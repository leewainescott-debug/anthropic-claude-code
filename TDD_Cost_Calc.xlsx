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6870" yWindow="-14510" windowWidth="34620" windowHeight="13900" tabRatio="500" firstSheet="11" activeTab="17" autoFilterDateGrouping="1"/>
  </bookViews>
  <sheets>
    <sheet name="0.0 Data Config" sheetId="1" state="visible" r:id="rId1"/>
    <sheet name="0.1 Squads" sheetId="2" state="visible" r:id="rId2"/>
    <sheet name="0.2 FY26 Budget" sheetId="3" state="visible" r:id="rId3"/>
    <sheet name="0.3 For Presentation Pack (2)" sheetId="4" state="visible" r:id="rId4"/>
    <sheet name="0.4 Budget Table (Fin)" sheetId="5" state="visible" r:id="rId5"/>
    <sheet name="1.1 Ampol Retail" sheetId="6" state="visible" r:id="rId6"/>
    <sheet name="1.2 Customer" sheetId="7" state="visible" r:id="rId7"/>
    <sheet name="1.3 Enterprise Data" sheetId="8" state="visible" r:id="rId8"/>
    <sheet name="1.4 TDD Group Functions" sheetId="9" state="visible" r:id="rId9"/>
    <sheet name="1.5 P&amp;C" sheetId="10" state="visible" r:id="rId10"/>
    <sheet name="1.6 Finance" sheetId="11" state="visible" r:id="rId11"/>
    <sheet name="1.7 Infrastructure" sheetId="12" state="visible" r:id="rId12"/>
    <sheet name="1.8 Energy Solutions &amp; B2B" sheetId="13" state="visible" r:id="rId13"/>
    <sheet name="1.9 Commercial Fuels" sheetId="14" state="visible" r:id="rId14"/>
    <sheet name="1.10 Z Retail" sheetId="15" state="visible" r:id="rId15"/>
    <sheet name="1.11 TDD Cyber" sheetId="16" state="visible" r:id="rId16"/>
    <sheet name="2.0 Group Summary" sheetId="17" state="visible" r:id="rId17"/>
    <sheet name="2.1 COE" sheetId="18" state="visible" r:id="rId18"/>
    <sheet name="squad mapping" sheetId="19" state="visible" r:id="rId19"/>
    <sheet name="Lists" sheetId="20" state="hidden" r:id="rId20"/>
  </sheets>
  <definedNames>
    <definedName name="OnOff">Lists!$C$2:$C$3</definedName>
    <definedName name="SquadSizes">Lists!$B$2:$B$5</definedName>
    <definedName name="SquadTypes">Lists!$A$2:$A$7</definedName>
    <definedName name="SupportPct">Lists!$D$2:$D$4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#,##0.00;\(#,##0.00\);\-"/>
    <numFmt numFmtId="165" formatCode="#,##0.000;\(#,##0.000\);\-"/>
    <numFmt numFmtId="166" formatCode="#,##0.0"/>
    <numFmt numFmtId="167" formatCode="0.0"/>
    <numFmt numFmtId="168" formatCode="_-\$#,##0.0_-;[Red]&quot;-$&quot;#,##0.0_-;_-\-_-;_-@_-"/>
    <numFmt numFmtId="169" formatCode="0%;[Red]\-0%"/>
    <numFmt numFmtId="170" formatCode="\$#,##0.00_);[Red]&quot;($&quot;#,##0.00\)"/>
    <numFmt numFmtId="171" formatCode="\$#,##0.00;[Red]&quot;-$&quot;#,##0.00"/>
    <numFmt numFmtId="172" formatCode="_-\$#,##0.0,,_-;[Red]&quot;-$&quot;#,##0.0,,_-;_-\-_-;_-@_-"/>
  </numFmts>
  <fonts count="47">
    <font>
      <name val="Calibri"/>
      <charset val="1"/>
      <family val="2"/>
      <color theme="1"/>
      <sz val="11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0"/>
    </font>
    <font>
      <name val="Aptos"/>
      <charset val="1"/>
      <family val="2"/>
      <b val="1"/>
      <sz val="14"/>
    </font>
    <font>
      <name val="Aptos"/>
      <charset val="1"/>
      <b val="1"/>
      <color rgb="FFFFFFFF"/>
      <sz val="10"/>
    </font>
    <font>
      <name val="Aptos"/>
      <charset val="1"/>
      <sz val="10"/>
    </font>
    <font>
      <name val="Aptos"/>
      <charset val="1"/>
      <family val="2"/>
      <sz val="10"/>
    </font>
    <font>
      <name val="Aptos"/>
      <charset val="1"/>
      <family val="2"/>
      <color rgb="FFFF0000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894711142307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FFFFFF"/>
      <sz val="10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b val="1"/>
      <sz val="16"/>
    </font>
    <font>
      <name val="Calibri"/>
      <charset val="1"/>
      <family val="2"/>
      <i val="1"/>
      <color rgb="FF595959"/>
      <sz val="10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charset val="1"/>
      <family val="2"/>
      <color theme="1"/>
      <sz val="11"/>
    </font>
    <font>
      <name val="Calibri"/>
      <family val="2"/>
      <b val="1"/>
      <color theme="1"/>
      <sz val="10"/>
    </font>
    <font>
      <name val="Calibri"/>
      <i val="1"/>
      <color rgb="FF808080"/>
      <sz val="9"/>
    </font>
    <font>
      <name val="Calibri"/>
      <i val="1"/>
      <color rgb="FF808080"/>
      <sz val="8"/>
    </font>
  </fonts>
  <fills count="25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D2E99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870296334727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theme="1"/>
        <bgColor rgb="FF151515"/>
      </patternFill>
    </fill>
    <fill>
      <patternFill patternType="solid">
        <fgColor theme="4" tint="0.799890133365886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FF2CC"/>
      </patternFill>
    </fill>
    <fill>
      <patternFill patternType="solid">
        <fgColor rgb="FFE7EAED"/>
        <bgColor rgb="FFDCEAF7"/>
      </patternFill>
    </fill>
    <fill>
      <patternFill patternType="solid">
        <fgColor theme="9" tint="0.3998840296639912"/>
        <bgColor rgb="FFF8CBAD"/>
      </patternFill>
    </fill>
    <fill>
      <patternFill patternType="solid">
        <fgColor rgb="FFFFF2CC"/>
        <bgColor rgb="FFFBE3D6"/>
      </patternFill>
    </fill>
    <fill>
      <patternFill patternType="solid">
        <fgColor rgb="FFF8CBAD"/>
        <bgColor rgb="FFFAC090"/>
      </patternFill>
    </fill>
  </fills>
  <borders count="10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/>
      <top style="medium">
        <color auto="1"/>
      </top>
      <bottom style="medium">
        <color rgb="FFFFFFFF"/>
      </bottom>
      <diagonal/>
    </border>
  </borders>
  <cellStyleXfs count="3">
    <xf numFmtId="0" fontId="43" fillId="0" borderId="0"/>
    <xf numFmtId="0" fontId="43" fillId="0" borderId="0"/>
    <xf numFmtId="9" fontId="43" fillId="0" borderId="0"/>
  </cellStyleXfs>
  <cellXfs count="322">
    <xf numFmtId="0" fontId="0" fillId="0" borderId="0" pivotButton="0" quotePrefix="0" xfId="0"/>
    <xf numFmtId="0" fontId="32" fillId="17" borderId="43" applyAlignment="1" pivotButton="0" quotePrefix="0" xfId="0">
      <alignment horizontal="center" vertical="center" wrapText="1" readingOrder="1"/>
    </xf>
    <xf numFmtId="0" fontId="32" fillId="17" borderId="40" applyAlignment="1" pivotButton="0" quotePrefix="0" xfId="0">
      <alignment horizontal="center" vertical="center" wrapText="1" readingOrder="1"/>
    </xf>
    <xf numFmtId="0" fontId="31" fillId="15" borderId="40" applyAlignment="1" pivotButton="0" quotePrefix="0" xfId="0">
      <alignment horizontal="center" vertical="center" wrapText="1" readingOrder="1"/>
    </xf>
    <xf numFmtId="0" fontId="15" fillId="15" borderId="8" applyAlignment="1" pivotButton="0" quotePrefix="0" xfId="1">
      <alignment horizontal="left" vertical="center" wrapText="1" readingOrder="1"/>
    </xf>
    <xf numFmtId="0" fontId="15" fillId="7" borderId="8" applyAlignment="1" pivotButton="0" quotePrefix="0" xfId="1">
      <alignment horizontal="center" vertical="center" wrapText="1" readingOrder="1"/>
    </xf>
    <xf numFmtId="0" fontId="16" fillId="16" borderId="8" applyAlignment="1" pivotButton="0" quotePrefix="0" xfId="1">
      <alignment horizontal="center" vertical="center" wrapText="1" readingOrder="1"/>
    </xf>
    <xf numFmtId="0" fontId="15" fillId="7" borderId="5" applyAlignment="1" pivotButton="0" quotePrefix="0" xfId="1">
      <alignment horizontal="center" vertical="center" wrapText="1" readingOrder="1"/>
    </xf>
    <xf numFmtId="0" fontId="17" fillId="7" borderId="8" applyAlignment="1" pivotButton="0" quotePrefix="0" xfId="1">
      <alignment horizontal="center" vertical="center" wrapText="1" readingOrder="1"/>
    </xf>
    <xf numFmtId="0" fontId="16" fillId="8" borderId="7" applyAlignment="1" pivotButton="0" quotePrefix="0" xfId="1">
      <alignment horizontal="center" vertical="center" wrapText="1" readingOrder="1"/>
    </xf>
    <xf numFmtId="0" fontId="16" fillId="8" borderId="6" applyAlignment="1" pivotButton="0" quotePrefix="0" xfId="1">
      <alignment horizontal="center" vertical="center" wrapText="1" readingOrder="1"/>
    </xf>
    <xf numFmtId="0" fontId="16" fillId="8" borderId="5" applyAlignment="1" pivotButton="0" quotePrefix="0" xfId="1">
      <alignment horizontal="center" vertical="center" wrapText="1" readingOrder="1"/>
    </xf>
    <xf numFmtId="0" fontId="15" fillId="7" borderId="4" applyAlignment="1" pivotButton="0" quotePrefix="0" xfId="1">
      <alignment horizontal="center" vertical="center" wrapText="1" readingOrder="1"/>
    </xf>
    <xf numFmtId="0" fontId="14" fillId="6" borderId="3" applyAlignment="1" pivotButton="0" quotePrefix="0" xfId="1">
      <alignment horizontal="left" vertical="center" wrapText="1" indent="1" readingOrder="1"/>
    </xf>
    <xf numFmtId="0" fontId="2" fillId="2" borderId="1" applyAlignment="1" pivotButton="0" quotePrefix="0" xfId="0">
      <alignment horizontal="left" vertical="center"/>
    </xf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pivotButton="0" quotePrefix="0" xfId="0"/>
    <xf numFmtId="164" fontId="3" fillId="4" borderId="1" pivotButton="0" quotePrefix="0" xfId="0"/>
    <xf numFmtId="0" fontId="3" fillId="0" borderId="1" pivotButton="0" quotePrefix="0" xfId="0"/>
    <xf numFmtId="164" fontId="3" fillId="0" borderId="1" pivotButton="0" quotePrefix="0" xfId="0"/>
    <xf numFmtId="9" fontId="3" fillId="0" borderId="1" pivotButton="0" quotePrefix="0" xfId="0"/>
    <xf numFmtId="0" fontId="4" fillId="0" borderId="0" pivotButton="0" quotePrefix="0" xfId="0"/>
    <xf numFmtId="165" fontId="4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166" fontId="0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8" fillId="0" borderId="1" pivotButton="0" quotePrefix="0" xfId="0"/>
    <xf numFmtId="0" fontId="9" fillId="0" borderId="1" pivotButton="0" quotePrefix="0" xfId="0"/>
    <xf numFmtId="167" fontId="9" fillId="0" borderId="1" pivotButton="0" quotePrefix="0" xfId="0"/>
    <xf numFmtId="164" fontId="9" fillId="0" borderId="1" pivotButton="0" quotePrefix="0" xfId="0"/>
    <xf numFmtId="0" fontId="9" fillId="4" borderId="1" pivotButton="0" quotePrefix="0" xfId="0"/>
    <xf numFmtId="167" fontId="9" fillId="4" borderId="1" pivotButton="0" quotePrefix="0" xfId="0"/>
    <xf numFmtId="164" fontId="9" fillId="4" borderId="1" pivotButton="0" quotePrefix="0" xfId="0"/>
    <xf numFmtId="0" fontId="10" fillId="4" borderId="1" pivotButton="0" quotePrefix="0" xfId="0"/>
    <xf numFmtId="167" fontId="10" fillId="4" borderId="1" pivotButton="0" quotePrefix="0" xfId="0"/>
    <xf numFmtId="164" fontId="10" fillId="4" borderId="1" pivotButton="0" quotePrefix="0" xfId="0"/>
    <xf numFmtId="0" fontId="9" fillId="4" borderId="2" pivotButton="0" quotePrefix="0" xfId="0"/>
    <xf numFmtId="0" fontId="11" fillId="0" borderId="0" pivotButton="0" quotePrefix="0" xfId="0"/>
    <xf numFmtId="0" fontId="12" fillId="5" borderId="0" pivotButton="0" quotePrefix="0" xfId="1"/>
    <xf numFmtId="0" fontId="13" fillId="5" borderId="0" pivotButton="0" quotePrefix="0" xfId="1"/>
    <xf numFmtId="0" fontId="18" fillId="6" borderId="9" applyAlignment="1" pivotButton="0" quotePrefix="0" xfId="1">
      <alignment horizontal="center" vertical="center" wrapText="1" readingOrder="1"/>
    </xf>
    <xf numFmtId="0" fontId="18" fillId="6" borderId="10" applyAlignment="1" pivotButton="0" quotePrefix="0" xfId="1">
      <alignment horizontal="center" vertical="center" wrapText="1" readingOrder="1"/>
    </xf>
    <xf numFmtId="0" fontId="19" fillId="9" borderId="10" applyAlignment="1" pivotButton="0" quotePrefix="0" xfId="1">
      <alignment horizontal="center" vertical="center" wrapText="1" readingOrder="1"/>
    </xf>
    <xf numFmtId="0" fontId="19" fillId="9" borderId="11" applyAlignment="1" pivotButton="0" quotePrefix="0" xfId="1">
      <alignment horizontal="center" vertical="center" wrapText="1" readingOrder="1"/>
    </xf>
    <xf numFmtId="0" fontId="19" fillId="9" borderId="12" applyAlignment="1" pivotButton="0" quotePrefix="0" xfId="1">
      <alignment horizontal="center" vertical="center" wrapText="1" readingOrder="1"/>
    </xf>
    <xf numFmtId="0" fontId="18" fillId="6" borderId="11" applyAlignment="1" pivotButton="0" quotePrefix="0" xfId="1">
      <alignment horizontal="center" vertical="center" wrapText="1" readingOrder="1"/>
    </xf>
    <xf numFmtId="0" fontId="12" fillId="5" borderId="0" applyAlignment="1" pivotButton="0" quotePrefix="0" xfId="1">
      <alignment vertical="center"/>
    </xf>
    <xf numFmtId="0" fontId="14" fillId="10" borderId="13" applyAlignment="1" pivotButton="0" quotePrefix="0" xfId="1">
      <alignment horizontal="left" vertical="center" wrapText="1" indent="1" readingOrder="1"/>
    </xf>
    <xf numFmtId="0" fontId="20" fillId="11" borderId="13" applyAlignment="1" pivotButton="0" quotePrefix="0" xfId="1">
      <alignment horizontal="left" vertical="center" wrapText="1" indent="1" readingOrder="1"/>
    </xf>
    <xf numFmtId="168" fontId="21" fillId="4" borderId="14" applyAlignment="1" pivotButton="0" quotePrefix="0" xfId="1">
      <alignment horizontal="center" vertical="center" wrapText="1" readingOrder="1"/>
    </xf>
    <xf numFmtId="168" fontId="21" fillId="4" borderId="15" applyAlignment="1" pivotButton="0" quotePrefix="0" xfId="1">
      <alignment horizontal="center" vertical="center" wrapText="1" readingOrder="1"/>
    </xf>
    <xf numFmtId="169" fontId="21" fillId="4" borderId="16" applyAlignment="1" pivotButton="0" quotePrefix="0" xfId="2">
      <alignment horizontal="center" vertical="center" wrapText="1" readingOrder="1"/>
    </xf>
    <xf numFmtId="0" fontId="19" fillId="12" borderId="16" applyAlignment="1" pivotButton="0" quotePrefix="0" xfId="1">
      <alignment horizontal="center" vertical="center" wrapText="1" readingOrder="1"/>
    </xf>
    <xf numFmtId="0" fontId="19" fillId="12" borderId="17" applyAlignment="1" pivotButton="0" quotePrefix="0" xfId="1">
      <alignment horizontal="center" vertical="center" wrapText="1" readingOrder="1"/>
    </xf>
    <xf numFmtId="0" fontId="19" fillId="13" borderId="16" applyAlignment="1" pivotButton="0" quotePrefix="0" xfId="1">
      <alignment horizontal="center" vertical="center" wrapText="1" readingOrder="1"/>
    </xf>
    <xf numFmtId="0" fontId="19" fillId="12" borderId="18" applyAlignment="1" pivotButton="0" quotePrefix="0" xfId="1">
      <alignment horizontal="center" vertical="center" wrapText="1" readingOrder="1"/>
    </xf>
    <xf numFmtId="168" fontId="21" fillId="4" borderId="19" applyAlignment="1" pivotButton="0" quotePrefix="0" xfId="1">
      <alignment horizontal="center" vertical="center" wrapText="1" readingOrder="1"/>
    </xf>
    <xf numFmtId="168" fontId="21" fillId="4" borderId="20" applyAlignment="1" pivotButton="0" quotePrefix="0" xfId="1">
      <alignment horizontal="center" vertical="center" wrapText="1" readingOrder="1"/>
    </xf>
    <xf numFmtId="0" fontId="19" fillId="13" borderId="21" applyAlignment="1" pivotButton="0" quotePrefix="0" xfId="1">
      <alignment horizontal="center" vertical="center" wrapText="1" readingOrder="1"/>
    </xf>
    <xf numFmtId="0" fontId="14" fillId="10" borderId="22" applyAlignment="1" pivotButton="0" quotePrefix="0" xfId="1">
      <alignment horizontal="left" vertical="center" wrapText="1" indent="1" readingOrder="1"/>
    </xf>
    <xf numFmtId="0" fontId="20" fillId="11" borderId="22" applyAlignment="1" pivotButton="0" quotePrefix="0" xfId="1">
      <alignment horizontal="left" vertical="center" wrapText="1" indent="1" readingOrder="1"/>
    </xf>
    <xf numFmtId="169" fontId="21" fillId="4" borderId="17" applyAlignment="1" pivotButton="0" quotePrefix="0" xfId="2">
      <alignment horizontal="center" vertical="center" wrapText="1" readingOrder="1"/>
    </xf>
    <xf numFmtId="0" fontId="22" fillId="4" borderId="17" applyAlignment="1" pivotButton="0" quotePrefix="0" xfId="1">
      <alignment horizontal="center" vertical="center" wrapText="1"/>
    </xf>
    <xf numFmtId="0" fontId="19" fillId="12" borderId="23" applyAlignment="1" pivotButton="0" quotePrefix="0" xfId="1">
      <alignment horizontal="center" vertical="center" wrapText="1" readingOrder="1"/>
    </xf>
    <xf numFmtId="0" fontId="15" fillId="14" borderId="21" applyAlignment="1" pivotButton="0" quotePrefix="0" xfId="1">
      <alignment horizontal="center" vertical="center" wrapText="1" readingOrder="1"/>
    </xf>
    <xf numFmtId="0" fontId="15" fillId="14" borderId="16" applyAlignment="1" pivotButton="0" quotePrefix="0" xfId="1">
      <alignment horizontal="center" vertical="center" wrapText="1" readingOrder="1"/>
    </xf>
    <xf numFmtId="0" fontId="15" fillId="14" borderId="24" applyAlignment="1" pivotButton="0" quotePrefix="0" xfId="1">
      <alignment horizontal="center" vertical="center" wrapText="1" readingOrder="1"/>
    </xf>
    <xf numFmtId="0" fontId="22" fillId="4" borderId="23" applyAlignment="1" pivotButton="0" quotePrefix="0" xfId="1">
      <alignment horizontal="center" vertical="center" wrapText="1"/>
    </xf>
    <xf numFmtId="0" fontId="14" fillId="10" borderId="25" applyAlignment="1" pivotButton="0" quotePrefix="0" xfId="1">
      <alignment horizontal="left" vertical="center" wrapText="1" indent="1" readingOrder="1"/>
    </xf>
    <xf numFmtId="0" fontId="20" fillId="11" borderId="25" applyAlignment="1" pivotButton="0" quotePrefix="0" xfId="1">
      <alignment horizontal="left" vertical="center" wrapText="1" indent="1" readingOrder="1"/>
    </xf>
    <xf numFmtId="168" fontId="21" fillId="4" borderId="26" applyAlignment="1" pivotButton="0" quotePrefix="0" xfId="1">
      <alignment horizontal="center" vertical="center" wrapText="1" readingOrder="1"/>
    </xf>
    <xf numFmtId="168" fontId="21" fillId="4" borderId="27" applyAlignment="1" pivotButton="0" quotePrefix="0" xfId="1">
      <alignment horizontal="center" vertical="center" wrapText="1" readingOrder="1"/>
    </xf>
    <xf numFmtId="169" fontId="21" fillId="4" borderId="28" applyAlignment="1" pivotButton="0" quotePrefix="0" xfId="2">
      <alignment horizontal="center" vertical="center" wrapText="1" readingOrder="1"/>
    </xf>
    <xf numFmtId="0" fontId="19" fillId="12" borderId="28" applyAlignment="1" pivotButton="0" quotePrefix="0" xfId="1">
      <alignment horizontal="center" vertical="center" wrapText="1" readingOrder="1"/>
    </xf>
    <xf numFmtId="168" fontId="21" fillId="4" borderId="29" applyAlignment="1" pivotButton="0" quotePrefix="0" xfId="1">
      <alignment horizontal="center" vertical="center" wrapText="1" readingOrder="1"/>
    </xf>
    <xf numFmtId="0" fontId="22" fillId="4" borderId="28" applyAlignment="1" pivotButton="0" quotePrefix="0" xfId="1">
      <alignment horizontal="center" vertical="center" wrapText="1"/>
    </xf>
    <xf numFmtId="0" fontId="19" fillId="12" borderId="21" applyAlignment="1" pivotButton="0" quotePrefix="0" xfId="1">
      <alignment horizontal="center" vertical="center" wrapText="1" readingOrder="1"/>
    </xf>
    <xf numFmtId="0" fontId="23" fillId="5" borderId="0" applyAlignment="1" pivotButton="0" quotePrefix="0" xfId="1">
      <alignment vertical="center"/>
    </xf>
    <xf numFmtId="0" fontId="24" fillId="15" borderId="3" applyAlignment="1" pivotButton="0" quotePrefix="0" xfId="1">
      <alignment horizontal="left" vertical="center" wrapText="1" indent="1" readingOrder="1"/>
    </xf>
    <xf numFmtId="168" fontId="19" fillId="4" borderId="30" applyAlignment="1" pivotButton="0" quotePrefix="0" xfId="1">
      <alignment horizontal="center" vertical="center" wrapText="1" readingOrder="1"/>
    </xf>
    <xf numFmtId="168" fontId="19" fillId="4" borderId="31" applyAlignment="1" pivotButton="0" quotePrefix="0" xfId="1">
      <alignment horizontal="center" vertical="center" wrapText="1" readingOrder="1"/>
    </xf>
    <xf numFmtId="169" fontId="25" fillId="4" borderId="32" applyAlignment="1" pivotButton="0" quotePrefix="0" xfId="2">
      <alignment horizontal="center" vertical="center" wrapText="1" readingOrder="1"/>
    </xf>
    <xf numFmtId="0" fontId="26" fillId="12" borderId="32" applyAlignment="1" pivotButton="0" quotePrefix="0" xfId="1">
      <alignment horizontal="center" vertical="center" wrapText="1" readingOrder="1"/>
    </xf>
    <xf numFmtId="168" fontId="19" fillId="4" borderId="32" applyAlignment="1" pivotButton="0" quotePrefix="0" xfId="1">
      <alignment horizontal="center" vertical="center" wrapText="1" readingOrder="1"/>
    </xf>
    <xf numFmtId="0" fontId="19" fillId="13" borderId="32" applyAlignment="1" pivotButton="0" quotePrefix="0" xfId="1">
      <alignment horizontal="center" vertical="center" wrapText="1" readingOrder="1"/>
    </xf>
    <xf numFmtId="0" fontId="26" fillId="12" borderId="33" applyAlignment="1" pivotButton="0" quotePrefix="0" xfId="1">
      <alignment horizontal="center" vertical="center" wrapText="1" readingOrder="1"/>
    </xf>
    <xf numFmtId="169" fontId="27" fillId="15" borderId="32" applyAlignment="1" pivotButton="0" quotePrefix="0" xfId="2">
      <alignment horizontal="center" vertical="center" wrapText="1" readingOrder="1"/>
    </xf>
    <xf numFmtId="169" fontId="19" fillId="4" borderId="16" applyAlignment="1" pivotButton="0" quotePrefix="0" xfId="2">
      <alignment horizontal="center" vertical="center" wrapText="1" readingOrder="1"/>
    </xf>
    <xf numFmtId="0" fontId="28" fillId="5" borderId="0" pivotButton="0" quotePrefix="0" xfId="1"/>
    <xf numFmtId="0" fontId="29" fillId="15" borderId="10" applyAlignment="1" pivotButton="0" quotePrefix="0" xfId="1">
      <alignment horizontal="center" vertical="center" wrapText="1" readingOrder="1"/>
    </xf>
    <xf numFmtId="0" fontId="19" fillId="9" borderId="34" applyAlignment="1" pivotButton="0" quotePrefix="0" xfId="1">
      <alignment horizontal="center" vertical="center" wrapText="1" readingOrder="1"/>
    </xf>
    <xf numFmtId="0" fontId="14" fillId="10" borderId="14" applyAlignment="1" pivotButton="0" quotePrefix="0" xfId="1">
      <alignment horizontal="left" vertical="center" wrapText="1" indent="1" readingOrder="1"/>
    </xf>
    <xf numFmtId="170" fontId="12" fillId="5" borderId="0" applyAlignment="1" pivotButton="0" quotePrefix="0" xfId="1">
      <alignment vertical="center"/>
    </xf>
    <xf numFmtId="0" fontId="14" fillId="10" borderId="19" applyAlignment="1" pivotButton="0" quotePrefix="0" xfId="1">
      <alignment horizontal="left" vertical="center" wrapText="1" indent="1" readingOrder="1"/>
    </xf>
    <xf numFmtId="0" fontId="14" fillId="10" borderId="26" applyAlignment="1" pivotButton="0" quotePrefix="0" xfId="1">
      <alignment horizontal="left" vertical="center" wrapText="1" indent="1" readingOrder="1"/>
    </xf>
    <xf numFmtId="0" fontId="15" fillId="14" borderId="28" applyAlignment="1" pivotButton="0" quotePrefix="0" xfId="1">
      <alignment horizontal="center" vertical="center" wrapText="1"/>
    </xf>
    <xf numFmtId="0" fontId="16" fillId="12" borderId="28" applyAlignment="1" pivotButton="0" quotePrefix="0" xfId="1">
      <alignment horizontal="center" vertical="center" wrapText="1"/>
    </xf>
    <xf numFmtId="171" fontId="12" fillId="5" borderId="0" pivotButton="0" quotePrefix="0" xfId="1"/>
    <xf numFmtId="0" fontId="13" fillId="5" borderId="35" pivotButton="0" quotePrefix="0" xfId="1"/>
    <xf numFmtId="0" fontId="15" fillId="15" borderId="13" applyAlignment="1" pivotButton="0" quotePrefix="0" xfId="1">
      <alignment vertical="center" wrapText="1" readingOrder="1"/>
    </xf>
    <xf numFmtId="0" fontId="15" fillId="15" borderId="36" applyAlignment="1" pivotButton="0" quotePrefix="0" xfId="1">
      <alignment vertical="center" wrapText="1" readingOrder="1"/>
    </xf>
    <xf numFmtId="172" fontId="29" fillId="15" borderId="26" applyAlignment="1" pivotButton="0" quotePrefix="0" xfId="1">
      <alignment horizontal="center" vertical="center" wrapText="1" readingOrder="1"/>
    </xf>
    <xf numFmtId="172" fontId="29" fillId="15" borderId="28" applyAlignment="1" pivotButton="0" quotePrefix="0" xfId="1">
      <alignment horizontal="center" vertical="center" wrapText="1" readingOrder="1"/>
    </xf>
    <xf numFmtId="0" fontId="21" fillId="4" borderId="13" applyAlignment="1" pivotButton="0" quotePrefix="0" xfId="1">
      <alignment horizontal="left" vertical="center" wrapText="1" indent="1" readingOrder="1"/>
    </xf>
    <xf numFmtId="0" fontId="19" fillId="13" borderId="23" applyAlignment="1" pivotButton="0" quotePrefix="0" xfId="1">
      <alignment horizontal="center" vertical="center" wrapText="1" readingOrder="1"/>
    </xf>
    <xf numFmtId="0" fontId="21" fillId="4" borderId="36" applyAlignment="1" pivotButton="0" quotePrefix="0" xfId="1">
      <alignment horizontal="left" vertical="center" wrapText="1" indent="1" readingOrder="1"/>
    </xf>
    <xf numFmtId="0" fontId="19" fillId="11" borderId="3" applyAlignment="1" pivotButton="0" quotePrefix="0" xfId="1">
      <alignment vertical="center" wrapText="1" readingOrder="1"/>
    </xf>
    <xf numFmtId="168" fontId="19" fillId="11" borderId="30" applyAlignment="1" pivotButton="0" quotePrefix="0" xfId="1">
      <alignment horizontal="center" vertical="center" wrapText="1" readingOrder="1"/>
    </xf>
    <xf numFmtId="168" fontId="19" fillId="11" borderId="31" applyAlignment="1" pivotButton="0" quotePrefix="0" xfId="1">
      <alignment horizontal="center" vertical="center" wrapText="1" readingOrder="1"/>
    </xf>
    <xf numFmtId="169" fontId="19" fillId="11" borderId="32" applyAlignment="1" pivotButton="0" quotePrefix="0" xfId="2">
      <alignment horizontal="center" vertical="center" wrapText="1" readingOrder="1"/>
    </xf>
    <xf numFmtId="0" fontId="19" fillId="13" borderId="33" applyAlignment="1" pivotButton="0" quotePrefix="0" xfId="1">
      <alignment horizontal="center" vertical="center" wrapText="1" readingOrder="1"/>
    </xf>
    <xf numFmtId="0" fontId="21" fillId="4" borderId="37" applyAlignment="1" pivotButton="0" quotePrefix="0" xfId="1">
      <alignment horizontal="left" vertical="center" wrapText="1" indent="1" readingOrder="1"/>
    </xf>
    <xf numFmtId="0" fontId="21" fillId="4" borderId="35" applyAlignment="1" pivotButton="0" quotePrefix="0" xfId="1">
      <alignment horizontal="left" vertical="center" wrapText="1" indent="1" readingOrder="1"/>
    </xf>
    <xf numFmtId="0" fontId="19" fillId="12" borderId="33" applyAlignment="1" pivotButton="0" quotePrefix="0" xfId="1">
      <alignment horizontal="center" vertical="center" wrapText="1" readingOrder="1"/>
    </xf>
    <xf numFmtId="0" fontId="15" fillId="15" borderId="38" applyAlignment="1" pivotButton="0" quotePrefix="0" xfId="1">
      <alignment horizontal="left" vertical="center" wrapText="1" indent="1" readingOrder="1"/>
    </xf>
    <xf numFmtId="0" fontId="15" fillId="15" borderId="35" applyAlignment="1" pivotButton="0" quotePrefix="0" xfId="1">
      <alignment horizontal="left" vertical="center" wrapText="1" readingOrder="1"/>
    </xf>
    <xf numFmtId="0" fontId="15" fillId="15" borderId="36" applyAlignment="1" pivotButton="0" quotePrefix="0" xfId="1">
      <alignment horizontal="left" vertical="center" wrapText="1" readingOrder="1"/>
    </xf>
    <xf numFmtId="0" fontId="30" fillId="0" borderId="0" pivotButton="0" quotePrefix="0" xfId="0"/>
    <xf numFmtId="0" fontId="31" fillId="15" borderId="39" applyAlignment="1" pivotButton="0" quotePrefix="0" xfId="0">
      <alignment horizontal="center" vertical="center" wrapText="1" readingOrder="1"/>
    </xf>
    <xf numFmtId="0" fontId="31" fillId="15" borderId="41" applyAlignment="1" pivotButton="0" quotePrefix="0" xfId="0">
      <alignment horizontal="center" vertical="center" wrapText="1" readingOrder="1"/>
    </xf>
    <xf numFmtId="0" fontId="33" fillId="4" borderId="42" applyAlignment="1" pivotButton="0" quotePrefix="0" xfId="0">
      <alignment vertical="center" wrapText="1"/>
    </xf>
    <xf numFmtId="0" fontId="31" fillId="15" borderId="44" applyAlignment="1" pivotButton="0" quotePrefix="0" xfId="0">
      <alignment horizontal="center" vertical="center" wrapText="1" readingOrder="1"/>
    </xf>
    <xf numFmtId="0" fontId="32" fillId="18" borderId="17" applyAlignment="1" pivotButton="0" quotePrefix="0" xfId="0">
      <alignment horizontal="center" vertical="center" wrapText="1" readingOrder="1"/>
    </xf>
    <xf numFmtId="0" fontId="31" fillId="15" borderId="45" applyAlignment="1" pivotButton="0" quotePrefix="0" xfId="0">
      <alignment horizontal="center" vertical="center" wrapText="1" readingOrder="1"/>
    </xf>
    <xf numFmtId="0" fontId="33" fillId="4" borderId="42" applyAlignment="1" pivotButton="0" quotePrefix="0" xfId="0">
      <alignment horizontal="center" vertical="center" wrapText="1"/>
    </xf>
    <xf numFmtId="0" fontId="31" fillId="19" borderId="46" applyAlignment="1" pivotButton="0" quotePrefix="0" xfId="0">
      <alignment horizontal="left" vertical="center" wrapText="1" readingOrder="1"/>
    </xf>
    <xf numFmtId="0" fontId="34" fillId="4" borderId="17" applyAlignment="1" pivotButton="0" quotePrefix="0" xfId="0">
      <alignment horizontal="left" vertical="center" wrapText="1" readingOrder="1"/>
    </xf>
    <xf numFmtId="0" fontId="33" fillId="4" borderId="17" applyAlignment="1" pivotButton="0" quotePrefix="0" xfId="0">
      <alignment vertical="center" wrapText="1"/>
    </xf>
    <xf numFmtId="0" fontId="34" fillId="4" borderId="17" applyAlignment="1" pivotButton="0" quotePrefix="0" xfId="0">
      <alignment horizontal="center" vertical="center" wrapText="1" readingOrder="1"/>
    </xf>
    <xf numFmtId="0" fontId="32" fillId="9" borderId="17" applyAlignment="1" pivotButton="0" quotePrefix="0" xfId="0">
      <alignment horizontal="center" vertical="center" wrapText="1" readingOrder="1"/>
    </xf>
    <xf numFmtId="0" fontId="32" fillId="18" borderId="47" applyAlignment="1" pivotButton="0" quotePrefix="0" xfId="0">
      <alignment horizontal="center" vertical="center" wrapText="1" readingOrder="1"/>
    </xf>
    <xf numFmtId="0" fontId="33" fillId="4" borderId="46" applyAlignment="1" pivotButton="0" quotePrefix="0" xfId="0">
      <alignment horizontal="center" vertical="center" wrapText="1"/>
    </xf>
    <xf numFmtId="0" fontId="33" fillId="4" borderId="17" applyAlignment="1" pivotButton="0" quotePrefix="0" xfId="0">
      <alignment horizontal="center" vertical="center" wrapText="1"/>
    </xf>
    <xf numFmtId="0" fontId="32" fillId="20" borderId="17" applyAlignment="1" pivotButton="0" quotePrefix="0" xfId="0">
      <alignment horizontal="center" vertical="center" wrapText="1" readingOrder="1"/>
    </xf>
    <xf numFmtId="0" fontId="32" fillId="4" borderId="46" applyAlignment="1" pivotButton="0" quotePrefix="0" xfId="0">
      <alignment horizontal="center" vertical="center" wrapText="1" readingOrder="1"/>
    </xf>
    <xf numFmtId="0" fontId="33" fillId="9" borderId="17" applyAlignment="1" pivotButton="0" quotePrefix="0" xfId="0">
      <alignment horizontal="center" vertical="center" wrapText="1"/>
    </xf>
    <xf numFmtId="0" fontId="32" fillId="17" borderId="17" applyAlignment="1" pivotButton="0" quotePrefix="0" xfId="0">
      <alignment horizontal="center" vertical="center" wrapText="1" readingOrder="1"/>
    </xf>
    <xf numFmtId="0" fontId="34" fillId="4" borderId="48" applyAlignment="1" pivotButton="0" quotePrefix="0" xfId="0">
      <alignment horizontal="left" vertical="center" wrapText="1" readingOrder="1"/>
    </xf>
    <xf numFmtId="0" fontId="33" fillId="4" borderId="48" applyAlignment="1" pivotButton="0" quotePrefix="0" xfId="0">
      <alignment vertical="center" wrapText="1"/>
    </xf>
    <xf numFmtId="0" fontId="33" fillId="4" borderId="48" applyAlignment="1" pivotButton="0" quotePrefix="0" xfId="0">
      <alignment horizontal="center" vertical="center" wrapText="1"/>
    </xf>
    <xf numFmtId="0" fontId="34" fillId="4" borderId="48" applyAlignment="1" pivotButton="0" quotePrefix="0" xfId="0">
      <alignment horizontal="center" vertical="center" wrapText="1" readingOrder="1"/>
    </xf>
    <xf numFmtId="0" fontId="32" fillId="9" borderId="48" applyAlignment="1" pivotButton="0" quotePrefix="0" xfId="0">
      <alignment horizontal="center" vertical="center" wrapText="1" readingOrder="1"/>
    </xf>
    <xf numFmtId="0" fontId="33" fillId="9" borderId="48" applyAlignment="1" pivotButton="0" quotePrefix="0" xfId="0">
      <alignment horizontal="center" vertical="center" wrapText="1"/>
    </xf>
    <xf numFmtId="0" fontId="32" fillId="18" borderId="49" applyAlignment="1" pivotButton="0" quotePrefix="0" xfId="0">
      <alignment horizontal="center" vertical="center" wrapText="1" readingOrder="1"/>
    </xf>
    <xf numFmtId="0" fontId="33" fillId="4" borderId="50" applyAlignment="1" pivotButton="0" quotePrefix="0" xfId="0">
      <alignment horizontal="center" vertical="center" wrapText="1"/>
    </xf>
    <xf numFmtId="0" fontId="32" fillId="4" borderId="51" applyAlignment="1" pivotButton="0" quotePrefix="0" xfId="0">
      <alignment horizontal="center" vertical="center" wrapText="1" readingOrder="1"/>
    </xf>
    <xf numFmtId="0" fontId="32" fillId="17" borderId="48" applyAlignment="1" pivotButton="0" quotePrefix="0" xfId="0">
      <alignment horizontal="center" vertical="center" wrapText="1" readingOrder="1"/>
    </xf>
    <xf numFmtId="0" fontId="31" fillId="19" borderId="51" applyAlignment="1" pivotButton="0" quotePrefix="0" xfId="0">
      <alignment horizontal="left" vertical="center" wrapText="1" readingOrder="1"/>
    </xf>
    <xf numFmtId="0" fontId="33" fillId="4" borderId="52" applyAlignment="1" pivotButton="0" quotePrefix="0" xfId="0">
      <alignment vertical="center" wrapText="1"/>
    </xf>
    <xf numFmtId="0" fontId="34" fillId="4" borderId="52" applyAlignment="1" pivotButton="0" quotePrefix="0" xfId="0">
      <alignment horizontal="center" vertical="center" wrapText="1" readingOrder="1"/>
    </xf>
    <xf numFmtId="0" fontId="32" fillId="9" borderId="52" applyAlignment="1" pivotButton="0" quotePrefix="0" xfId="0">
      <alignment horizontal="center" vertical="center" wrapText="1" readingOrder="1"/>
    </xf>
    <xf numFmtId="0" fontId="32" fillId="18" borderId="53" applyAlignment="1" pivotButton="0" quotePrefix="0" xfId="0">
      <alignment horizontal="center" vertical="center" wrapText="1" readingOrder="1"/>
    </xf>
    <xf numFmtId="0" fontId="33" fillId="4" borderId="54" applyAlignment="1" pivotButton="0" quotePrefix="0" xfId="0">
      <alignment horizontal="center" vertical="center" wrapText="1"/>
    </xf>
    <xf numFmtId="0" fontId="32" fillId="4" borderId="55" applyAlignment="1" pivotButton="0" quotePrefix="0" xfId="0">
      <alignment horizontal="center" vertical="center" wrapText="1" readingOrder="1"/>
    </xf>
    <xf numFmtId="0" fontId="32" fillId="4" borderId="52" applyAlignment="1" pivotButton="0" quotePrefix="0" xfId="0">
      <alignment horizontal="center" vertical="center" wrapText="1" readingOrder="1"/>
    </xf>
    <xf numFmtId="0" fontId="35" fillId="15" borderId="57" applyAlignment="1" pivotButton="0" quotePrefix="0" xfId="0">
      <alignment horizontal="center" vertical="center" wrapText="1" readingOrder="1"/>
    </xf>
    <xf numFmtId="0" fontId="22" fillId="5" borderId="42" applyAlignment="1" pivotButton="0" quotePrefix="0" xfId="0">
      <alignment vertical="center" wrapText="1"/>
    </xf>
    <xf numFmtId="0" fontId="36" fillId="17" borderId="58" applyAlignment="1" pivotButton="0" quotePrefix="0" xfId="0">
      <alignment horizontal="center" vertical="center" wrapText="1" readingOrder="1"/>
    </xf>
    <xf numFmtId="0" fontId="35" fillId="15" borderId="41" applyAlignment="1" pivotButton="0" quotePrefix="0" xfId="0">
      <alignment horizontal="center" vertical="center" wrapText="1" readingOrder="1"/>
    </xf>
    <xf numFmtId="0" fontId="36" fillId="18" borderId="56" applyAlignment="1" pivotButton="0" quotePrefix="0" xfId="0">
      <alignment horizontal="center" vertical="center" wrapText="1" readingOrder="1"/>
    </xf>
    <xf numFmtId="0" fontId="35" fillId="15" borderId="59" applyAlignment="1" pivotButton="0" quotePrefix="0" xfId="0">
      <alignment horizontal="center" vertical="center" wrapText="1" readingOrder="1"/>
    </xf>
    <xf numFmtId="0" fontId="22" fillId="5" borderId="42" applyAlignment="1" pivotButton="0" quotePrefix="0" xfId="0">
      <alignment horizontal="center" vertical="center" wrapText="1"/>
    </xf>
    <xf numFmtId="0" fontId="36" fillId="17" borderId="16" applyAlignment="1" pivotButton="0" quotePrefix="0" xfId="0">
      <alignment horizontal="center" vertical="center" wrapText="1" readingOrder="1"/>
    </xf>
    <xf numFmtId="0" fontId="35" fillId="15" borderId="45" applyAlignment="1" pivotButton="0" quotePrefix="0" xfId="0">
      <alignment horizontal="center" vertical="center" wrapText="1" readingOrder="1"/>
    </xf>
    <xf numFmtId="0" fontId="37" fillId="17" borderId="43" applyAlignment="1" pivotButton="0" quotePrefix="0" xfId="0">
      <alignment horizontal="left" vertical="center" wrapText="1" readingOrder="1"/>
    </xf>
    <xf numFmtId="0" fontId="22" fillId="17" borderId="40" applyAlignment="1" pivotButton="0" quotePrefix="0" xfId="0">
      <alignment vertical="center" wrapText="1"/>
    </xf>
    <xf numFmtId="0" fontId="36" fillId="21" borderId="40" applyAlignment="1" pivotButton="0" quotePrefix="0" xfId="0">
      <alignment horizontal="center" vertical="center" wrapText="1" readingOrder="1"/>
    </xf>
    <xf numFmtId="0" fontId="22" fillId="21" borderId="40" applyAlignment="1" pivotButton="0" quotePrefix="0" xfId="0">
      <alignment horizontal="center" vertical="center" wrapText="1"/>
    </xf>
    <xf numFmtId="0" fontId="22" fillId="21" borderId="60" applyAlignment="1" pivotButton="0" quotePrefix="0" xfId="0">
      <alignment horizontal="center" vertical="center" wrapText="1"/>
    </xf>
    <xf numFmtId="0" fontId="36" fillId="17" borderId="54" applyAlignment="1" pivotButton="0" quotePrefix="0" xfId="0">
      <alignment horizontal="center" vertical="center" wrapText="1" readingOrder="1"/>
    </xf>
    <xf numFmtId="0" fontId="22" fillId="21" borderId="46" applyAlignment="1" pivotButton="0" quotePrefix="0" xfId="0">
      <alignment horizontal="center" vertical="center" wrapText="1"/>
    </xf>
    <xf numFmtId="0" fontId="22" fillId="21" borderId="17" applyAlignment="1" pivotButton="0" quotePrefix="0" xfId="0">
      <alignment horizontal="center" vertical="center" wrapText="1"/>
    </xf>
    <xf numFmtId="0" fontId="36" fillId="18" borderId="47" applyAlignment="1" pivotButton="0" quotePrefix="0" xfId="0">
      <alignment horizontal="center" vertical="center" wrapText="1" readingOrder="1"/>
    </xf>
    <xf numFmtId="0" fontId="37" fillId="17" borderId="46" applyAlignment="1" pivotButton="0" quotePrefix="0" xfId="0">
      <alignment horizontal="left" vertical="center" wrapText="1" readingOrder="1"/>
    </xf>
    <xf numFmtId="0" fontId="22" fillId="17" borderId="17" applyAlignment="1" pivotButton="0" quotePrefix="0" xfId="0">
      <alignment vertical="center" wrapText="1"/>
    </xf>
    <xf numFmtId="0" fontId="36" fillId="21" borderId="17" applyAlignment="1" pivotButton="0" quotePrefix="0" xfId="0">
      <alignment horizontal="center" vertical="center" wrapText="1" readingOrder="1"/>
    </xf>
    <xf numFmtId="0" fontId="22" fillId="21" borderId="47" applyAlignment="1" pivotButton="0" quotePrefix="0" xfId="0">
      <alignment horizontal="center" vertical="center" wrapText="1"/>
    </xf>
    <xf numFmtId="0" fontId="36" fillId="17" borderId="42" applyAlignment="1" pivotButton="0" quotePrefix="0" xfId="0">
      <alignment horizontal="center" vertical="center" wrapText="1" readingOrder="1"/>
    </xf>
    <xf numFmtId="0" fontId="37" fillId="20" borderId="46" applyAlignment="1" pivotButton="0" quotePrefix="0" xfId="0">
      <alignment horizontal="left" vertical="center" wrapText="1" readingOrder="1"/>
    </xf>
    <xf numFmtId="0" fontId="22" fillId="20" borderId="17" applyAlignment="1" pivotButton="0" quotePrefix="0" xfId="0">
      <alignment vertical="center" wrapText="1"/>
    </xf>
    <xf numFmtId="0" fontId="37" fillId="20" borderId="17" applyAlignment="1" pivotButton="0" quotePrefix="0" xfId="0">
      <alignment horizontal="left" vertical="center" wrapText="1" readingOrder="1"/>
    </xf>
    <xf numFmtId="0" fontId="36" fillId="20" borderId="42" applyAlignment="1" pivotButton="0" quotePrefix="0" xfId="0">
      <alignment horizontal="center" vertical="center" wrapText="1" readingOrder="1"/>
    </xf>
    <xf numFmtId="0" fontId="36" fillId="20" borderId="17" applyAlignment="1" pivotButton="0" quotePrefix="0" xfId="0">
      <alignment horizontal="center" vertical="center" wrapText="1" readingOrder="1"/>
    </xf>
    <xf numFmtId="0" fontId="36" fillId="21" borderId="47" applyAlignment="1" pivotButton="0" quotePrefix="0" xfId="0">
      <alignment horizontal="center" vertical="center" wrapText="1" readingOrder="1"/>
    </xf>
    <xf numFmtId="0" fontId="37" fillId="20" borderId="51" applyAlignment="1" pivotButton="0" quotePrefix="0" xfId="0">
      <alignment horizontal="left" vertical="center" wrapText="1" readingOrder="1"/>
    </xf>
    <xf numFmtId="0" fontId="22" fillId="20" borderId="48" applyAlignment="1" pivotButton="0" quotePrefix="0" xfId="0">
      <alignment vertical="center" wrapText="1"/>
    </xf>
    <xf numFmtId="0" fontId="37" fillId="20" borderId="48" applyAlignment="1" pivotButton="0" quotePrefix="0" xfId="0">
      <alignment horizontal="left" vertical="center" wrapText="1" readingOrder="1"/>
    </xf>
    <xf numFmtId="0" fontId="36" fillId="21" borderId="48" applyAlignment="1" pivotButton="0" quotePrefix="0" xfId="0">
      <alignment horizontal="center" vertical="center" wrapText="1" readingOrder="1"/>
    </xf>
    <xf numFmtId="0" fontId="22" fillId="21" borderId="48" applyAlignment="1" pivotButton="0" quotePrefix="0" xfId="0">
      <alignment horizontal="center" vertical="center" wrapText="1"/>
    </xf>
    <xf numFmtId="0" fontId="22" fillId="21" borderId="49" applyAlignment="1" pivotButton="0" quotePrefix="0" xfId="0">
      <alignment horizontal="center" vertical="center" wrapText="1"/>
    </xf>
    <xf numFmtId="0" fontId="36" fillId="20" borderId="50" applyAlignment="1" pivotButton="0" quotePrefix="0" xfId="0">
      <alignment horizontal="center" vertical="center" wrapText="1" readingOrder="1"/>
    </xf>
    <xf numFmtId="0" fontId="22" fillId="5" borderId="50" applyAlignment="1" pivotButton="0" quotePrefix="0" xfId="0">
      <alignment horizontal="center" vertical="center" wrapText="1"/>
    </xf>
    <xf numFmtId="0" fontId="22" fillId="21" borderId="51" applyAlignment="1" pivotButton="0" quotePrefix="0" xfId="0">
      <alignment horizontal="center" vertical="center" wrapText="1"/>
    </xf>
    <xf numFmtId="0" fontId="36" fillId="20" borderId="48" applyAlignment="1" pivotButton="0" quotePrefix="0" xfId="0">
      <alignment horizontal="center" vertical="center" wrapText="1" readingOrder="1"/>
    </xf>
    <xf numFmtId="0" fontId="36" fillId="18" borderId="49" applyAlignment="1" pivotButton="0" quotePrefix="0" xfId="0">
      <alignment horizontal="center" vertical="center" wrapText="1" readingOrder="1"/>
    </xf>
    <xf numFmtId="0" fontId="35" fillId="19" borderId="52" applyAlignment="1" pivotButton="0" quotePrefix="0" xfId="0">
      <alignment horizontal="left" vertical="center" wrapText="1" readingOrder="1"/>
    </xf>
    <xf numFmtId="0" fontId="22" fillId="19" borderId="52" applyAlignment="1" pivotButton="0" quotePrefix="0" xfId="0">
      <alignment vertical="center" wrapText="1"/>
    </xf>
    <xf numFmtId="0" fontId="36" fillId="18" borderId="52" applyAlignment="1" pivotButton="0" quotePrefix="0" xfId="0">
      <alignment horizontal="center" vertical="center" wrapText="1" readingOrder="1"/>
    </xf>
    <xf numFmtId="0" fontId="36" fillId="18" borderId="53" applyAlignment="1" pivotButton="0" quotePrefix="0" xfId="0">
      <alignment horizontal="center" vertical="center" wrapText="1" readingOrder="1"/>
    </xf>
    <xf numFmtId="0" fontId="22" fillId="5" borderId="56" applyAlignment="1" pivotButton="0" quotePrefix="0" xfId="0">
      <alignment horizontal="center" vertical="center" wrapText="1"/>
    </xf>
    <xf numFmtId="0" fontId="22" fillId="18" borderId="55" applyAlignment="1" pivotButton="0" quotePrefix="0" xfId="0">
      <alignment horizontal="center" vertical="center" wrapText="1"/>
    </xf>
    <xf numFmtId="0" fontId="22" fillId="18" borderId="52" applyAlignment="1" pivotButton="0" quotePrefix="0" xfId="0">
      <alignment horizontal="center" vertical="center" wrapText="1"/>
    </xf>
    <xf numFmtId="0" fontId="22" fillId="21" borderId="54" applyAlignment="1" pivotButton="0" quotePrefix="0" xfId="0">
      <alignment vertical="center" wrapText="1"/>
    </xf>
    <xf numFmtId="0" fontId="22" fillId="21" borderId="40" applyAlignment="1" pivotButton="0" quotePrefix="0" xfId="0">
      <alignment vertical="center" wrapText="1"/>
    </xf>
    <xf numFmtId="0" fontId="36" fillId="21" borderId="60" applyAlignment="1" pivotButton="0" quotePrefix="0" xfId="0">
      <alignment horizontal="center" vertical="center" wrapText="1" readingOrder="1"/>
    </xf>
    <xf numFmtId="0" fontId="36" fillId="18" borderId="54" applyAlignment="1" pivotButton="0" quotePrefix="0" xfId="0">
      <alignment horizontal="center" vertical="center" wrapText="1" readingOrder="1"/>
    </xf>
    <xf numFmtId="0" fontId="22" fillId="5" borderId="54" applyAlignment="1" pivotButton="0" quotePrefix="0" xfId="0">
      <alignment horizontal="center" vertical="center" wrapText="1"/>
    </xf>
    <xf numFmtId="0" fontId="22" fillId="21" borderId="43" applyAlignment="1" pivotButton="0" quotePrefix="0" xfId="0">
      <alignment horizontal="center" vertical="center" wrapText="1"/>
    </xf>
    <xf numFmtId="0" fontId="36" fillId="18" borderId="60" applyAlignment="1" pivotButton="0" quotePrefix="0" xfId="0">
      <alignment horizontal="center" vertical="center" wrapText="1" readingOrder="1"/>
    </xf>
    <xf numFmtId="0" fontId="22" fillId="21" borderId="50" applyAlignment="1" pivotButton="0" quotePrefix="0" xfId="0">
      <alignment vertical="center" wrapText="1"/>
    </xf>
    <xf numFmtId="0" fontId="22" fillId="21" borderId="48" applyAlignment="1" pivotButton="0" quotePrefix="0" xfId="0">
      <alignment vertical="center" wrapText="1"/>
    </xf>
    <xf numFmtId="0" fontId="36" fillId="18" borderId="50" applyAlignment="1" pivotButton="0" quotePrefix="0" xfId="0">
      <alignment horizontal="center" vertical="center" wrapText="1" readingOrder="1"/>
    </xf>
    <xf numFmtId="0" fontId="36" fillId="18" borderId="55" applyAlignment="1" pivotButton="0" quotePrefix="0" xfId="0">
      <alignment horizontal="center" vertical="center" wrapText="1" readingOrder="1"/>
    </xf>
    <xf numFmtId="0" fontId="38" fillId="0" borderId="0" pivotButton="0" quotePrefix="0" xfId="0"/>
    <xf numFmtId="0" fontId="39" fillId="0" borderId="0" pivotButton="0" quotePrefix="0" xfId="0"/>
    <xf numFmtId="0" fontId="2" fillId="15" borderId="1" applyAlignment="1" pivotButton="0" quotePrefix="0" xfId="0">
      <alignment vertical="center"/>
    </xf>
    <xf numFmtId="0" fontId="30" fillId="0" borderId="1" pivotButton="0" quotePrefix="0" xfId="0"/>
    <xf numFmtId="164" fontId="40" fillId="0" borderId="1" pivotButton="0" quotePrefix="0" xfId="0"/>
    <xf numFmtId="0" fontId="4" fillId="9" borderId="1" pivotButton="0" quotePrefix="0" xfId="0"/>
    <xf numFmtId="164" fontId="4" fillId="9" borderId="1" pivotButton="0" quotePrefix="0" xfId="0"/>
    <xf numFmtId="0" fontId="2" fillId="15" borderId="1" applyAlignment="1" pivotButton="0" quotePrefix="0" xfId="0">
      <alignment horizontal="left" vertical="center"/>
    </xf>
    <xf numFmtId="0" fontId="30" fillId="22" borderId="61" applyAlignment="1" pivotButton="0" quotePrefix="0" xfId="0">
      <alignment horizontal="center"/>
    </xf>
    <xf numFmtId="164" fontId="30" fillId="0" borderId="61" pivotButton="0" quotePrefix="0" xfId="0"/>
    <xf numFmtId="2" fontId="30" fillId="0" borderId="61" pivotButton="0" quotePrefix="0" xfId="0"/>
    <xf numFmtId="0" fontId="43" fillId="0" borderId="0" pivotButton="0" quotePrefix="0" xfId="1"/>
    <xf numFmtId="164" fontId="41" fillId="23" borderId="1" pivotButton="0" quotePrefix="0" xfId="0"/>
    <xf numFmtId="0" fontId="4" fillId="0" borderId="1" pivotButton="0" quotePrefix="0" xfId="0"/>
    <xf numFmtId="0" fontId="30" fillId="9" borderId="1" pivotButton="0" quotePrefix="0" xfId="0"/>
    <xf numFmtId="0" fontId="3" fillId="23" borderId="1" pivotButton="0" quotePrefix="0" xfId="0"/>
    <xf numFmtId="9" fontId="30" fillId="23" borderId="1" pivotButton="0" quotePrefix="0" xfId="0"/>
    <xf numFmtId="0" fontId="42" fillId="0" borderId="1" pivotButton="0" quotePrefix="0" xfId="0"/>
    <xf numFmtId="0" fontId="0" fillId="24" borderId="0" pivotButton="0" quotePrefix="0" xfId="0"/>
    <xf numFmtId="9" fontId="0" fillId="0" borderId="0" pivotButton="0" quotePrefix="0" xfId="0"/>
    <xf numFmtId="0" fontId="0" fillId="0" borderId="62" pivotButton="0" quotePrefix="0" xfId="0"/>
    <xf numFmtId="0" fontId="0" fillId="0" borderId="63" pivotButton="0" quotePrefix="0" xfId="0"/>
    <xf numFmtId="0" fontId="35" fillId="15" borderId="56" applyAlignment="1" pivotButton="0" quotePrefix="0" xfId="0">
      <alignment horizontal="center" vertical="center" wrapText="1" readingOrder="1"/>
    </xf>
    <xf numFmtId="0" fontId="36" fillId="17" borderId="56" applyAlignment="1" pivotButton="0" quotePrefix="0" xfId="0">
      <alignment horizontal="center" vertical="center" wrapText="1" readingOrder="1"/>
    </xf>
    <xf numFmtId="0" fontId="36" fillId="17" borderId="43" applyAlignment="1" pivotButton="0" quotePrefix="0" xfId="0">
      <alignment horizontal="center" vertical="center" wrapText="1" readingOrder="1"/>
    </xf>
    <xf numFmtId="0" fontId="36" fillId="17" borderId="40" applyAlignment="1" pivotButton="0" quotePrefix="0" xfId="0">
      <alignment horizontal="center" vertical="center" wrapText="1" readingOrder="1"/>
    </xf>
    <xf numFmtId="0" fontId="22" fillId="21" borderId="56" applyAlignment="1" pivotButton="0" quotePrefix="0" xfId="0">
      <alignment horizontal="center" vertical="center" wrapText="1"/>
    </xf>
    <xf numFmtId="0" fontId="35" fillId="19" borderId="55" applyAlignment="1" pivotButton="0" quotePrefix="0" xfId="0">
      <alignment horizontal="left" vertical="center" wrapText="1" readingOrder="1"/>
    </xf>
    <xf numFmtId="0" fontId="37" fillId="21" borderId="43" applyAlignment="1" pivotButton="0" quotePrefix="0" xfId="0">
      <alignment horizontal="left" vertical="center" wrapText="1" readingOrder="1"/>
    </xf>
    <xf numFmtId="0" fontId="37" fillId="21" borderId="51" applyAlignment="1" pivotButton="0" quotePrefix="0" xfId="0">
      <alignment horizontal="left" vertical="center" wrapText="1" readingOrder="1"/>
    </xf>
    <xf numFmtId="0" fontId="2" fillId="15" borderId="1" applyAlignment="1" pivotButton="0" quotePrefix="0" xfId="0">
      <alignment horizontal="left" vertical="center"/>
    </xf>
    <xf numFmtId="0" fontId="30" fillId="22" borderId="61" applyAlignment="1" pivotButton="0" quotePrefix="0" xfId="0">
      <alignment horizontal="center"/>
    </xf>
    <xf numFmtId="0" fontId="2" fillId="15" borderId="64" applyAlignment="1" pivotButton="0" quotePrefix="0" xfId="0">
      <alignment horizontal="left" vertical="center"/>
    </xf>
    <xf numFmtId="0" fontId="2" fillId="15" borderId="65" applyAlignment="1" pivotButton="0" quotePrefix="0" xfId="0">
      <alignment horizontal="left" vertical="center"/>
    </xf>
    <xf numFmtId="0" fontId="2" fillId="15" borderId="66" applyAlignment="1" pivotButton="0" quotePrefix="0" xfId="0">
      <alignment horizontal="left" vertical="center"/>
    </xf>
    <xf numFmtId="0" fontId="2" fillId="15" borderId="0" applyAlignment="1" pivotButton="0" quotePrefix="0" xfId="0">
      <alignment horizontal="left" vertical="center"/>
    </xf>
    <xf numFmtId="0" fontId="2" fillId="3" borderId="61" applyAlignment="1" pivotButton="0" quotePrefix="0" xfId="0">
      <alignment horizontal="left" vertical="center"/>
    </xf>
    <xf numFmtId="0" fontId="3" fillId="0" borderId="61" pivotButton="0" quotePrefix="0" xfId="0"/>
    <xf numFmtId="0" fontId="3" fillId="23" borderId="61" pivotButton="0" quotePrefix="0" xfId="0"/>
    <xf numFmtId="9" fontId="30" fillId="23" borderId="61" pivotButton="0" quotePrefix="0" xfId="0"/>
    <xf numFmtId="164" fontId="40" fillId="0" borderId="61" pivotButton="0" quotePrefix="0" xfId="0"/>
    <xf numFmtId="164" fontId="3" fillId="0" borderId="61" pivotButton="0" quotePrefix="0" xfId="0"/>
    <xf numFmtId="0" fontId="42" fillId="0" borderId="61" pivotButton="0" quotePrefix="0" xfId="0"/>
    <xf numFmtId="0" fontId="0" fillId="0" borderId="61" pivotButton="0" quotePrefix="0" xfId="0"/>
    <xf numFmtId="0" fontId="4" fillId="9" borderId="61" pivotButton="0" quotePrefix="0" xfId="0"/>
    <xf numFmtId="164" fontId="4" fillId="9" borderId="61" pivotButton="0" quotePrefix="0" xfId="0"/>
    <xf numFmtId="0" fontId="30" fillId="22" borderId="36" applyAlignment="1" pivotButton="0" quotePrefix="0" xfId="0">
      <alignment horizontal="center"/>
    </xf>
    <xf numFmtId="0" fontId="30" fillId="22" borderId="0" applyAlignment="1" pivotButton="0" quotePrefix="0" xfId="0">
      <alignment horizontal="center"/>
    </xf>
    <xf numFmtId="0" fontId="30" fillId="22" borderId="67" applyAlignment="1" pivotButton="0" quotePrefix="0" xfId="0">
      <alignment horizontal="center"/>
    </xf>
    <xf numFmtId="0" fontId="2" fillId="2" borderId="68" applyAlignment="1" pivotButton="0" quotePrefix="0" xfId="0">
      <alignment horizontal="left" vertical="center"/>
    </xf>
    <xf numFmtId="0" fontId="2" fillId="2" borderId="62" applyAlignment="1" pivotButton="0" quotePrefix="0" xfId="0">
      <alignment horizontal="left" vertical="center"/>
    </xf>
    <xf numFmtId="0" fontId="2" fillId="2" borderId="63" applyAlignment="1" pivotButton="0" quotePrefix="0" xfId="0">
      <alignment horizontal="left" vertical="center"/>
    </xf>
    <xf numFmtId="0" fontId="30" fillId="22" borderId="36" applyAlignment="1" pivotButton="0" quotePrefix="0" xfId="0">
      <alignment horizontal="left"/>
    </xf>
    <xf numFmtId="0" fontId="30" fillId="22" borderId="0" applyAlignment="1" pivotButton="0" quotePrefix="0" xfId="0">
      <alignment horizontal="left"/>
    </xf>
    <xf numFmtId="0" fontId="30" fillId="22" borderId="67" applyAlignment="1" pivotButton="0" quotePrefix="0" xfId="0">
      <alignment horizontal="left"/>
    </xf>
    <xf numFmtId="0" fontId="2" fillId="15" borderId="68" applyAlignment="1" pivotButton="0" quotePrefix="0" xfId="0">
      <alignment horizontal="center" vertical="center"/>
    </xf>
    <xf numFmtId="0" fontId="2" fillId="15" borderId="63" applyAlignment="1" pivotButton="0" quotePrefix="0" xfId="0">
      <alignment horizontal="center" vertical="center"/>
    </xf>
    <xf numFmtId="0" fontId="2" fillId="15" borderId="68" applyAlignment="1" pivotButton="0" quotePrefix="0" xfId="0">
      <alignment horizontal="left" vertical="center"/>
    </xf>
    <xf numFmtId="0" fontId="2" fillId="15" borderId="63" applyAlignment="1" pivotButton="0" quotePrefix="0" xfId="0">
      <alignment horizontal="left" vertical="center"/>
    </xf>
    <xf numFmtId="0" fontId="2" fillId="15" borderId="61" applyAlignment="1" pivotButton="0" quotePrefix="0" xfId="0">
      <alignment horizontal="left" vertical="center"/>
    </xf>
    <xf numFmtId="164" fontId="41" fillId="23" borderId="61" pivotButton="0" quotePrefix="0" xfId="0"/>
    <xf numFmtId="0" fontId="4" fillId="0" borderId="61" pivotButton="0" quotePrefix="0" xfId="0"/>
    <xf numFmtId="164" fontId="4" fillId="0" borderId="61" pivotButton="0" quotePrefix="0" xfId="0"/>
    <xf numFmtId="0" fontId="2" fillId="15" borderId="61" applyAlignment="1" pivotButton="0" quotePrefix="0" xfId="0">
      <alignment horizontal="left" vertical="top"/>
    </xf>
    <xf numFmtId="0" fontId="2" fillId="15" borderId="3" applyAlignment="1" pivotButton="0" quotePrefix="0" xfId="0">
      <alignment horizontal="left" vertical="center"/>
    </xf>
    <xf numFmtId="0" fontId="2" fillId="15" borderId="69" applyAlignment="1" pivotButton="0" quotePrefix="0" xfId="0">
      <alignment horizontal="left" vertical="center"/>
    </xf>
    <xf numFmtId="0" fontId="2" fillId="15" borderId="70" applyAlignment="1" pivotButton="0" quotePrefix="0" xfId="0">
      <alignment horizontal="left" vertical="center"/>
    </xf>
    <xf numFmtId="0" fontId="3" fillId="0" borderId="68" pivotButton="0" quotePrefix="0" xfId="0"/>
    <xf numFmtId="0" fontId="2" fillId="3" borderId="71" applyAlignment="1" pivotButton="0" quotePrefix="0" xfId="0">
      <alignment horizontal="left" vertical="center"/>
    </xf>
    <xf numFmtId="164" fontId="3" fillId="0" borderId="72" pivotButton="0" quotePrefix="0" xfId="0"/>
    <xf numFmtId="0" fontId="30" fillId="22" borderId="3" applyAlignment="1" pivotButton="0" quotePrefix="0" xfId="0">
      <alignment horizontal="left"/>
    </xf>
    <xf numFmtId="0" fontId="30" fillId="22" borderId="69" applyAlignment="1" pivotButton="0" quotePrefix="0" xfId="0">
      <alignment horizontal="left"/>
    </xf>
    <xf numFmtId="0" fontId="30" fillId="22" borderId="70" applyAlignment="1" pivotButton="0" quotePrefix="0" xfId="0">
      <alignment horizontal="left"/>
    </xf>
    <xf numFmtId="0" fontId="44" fillId="9" borderId="1" pivotButton="0" quotePrefix="0" xfId="0"/>
    <xf numFmtId="0" fontId="0" fillId="0" borderId="79" pivotButton="0" quotePrefix="0" xfId="0"/>
    <xf numFmtId="0" fontId="0" fillId="0" borderId="82" pivotButton="0" quotePrefix="0" xfId="0"/>
    <xf numFmtId="0" fontId="0" fillId="0" borderId="80" pivotButton="0" quotePrefix="0" xfId="0"/>
    <xf numFmtId="0" fontId="0" fillId="0" borderId="38" pivotButton="0" quotePrefix="0" xfId="0"/>
    <xf numFmtId="0" fontId="0" fillId="0" borderId="76" pivotButton="0" quotePrefix="0" xfId="0"/>
    <xf numFmtId="0" fontId="0" fillId="0" borderId="100" pivotButton="0" quotePrefix="0" xfId="0"/>
    <xf numFmtId="0" fontId="0" fillId="0" borderId="93" pivotButton="0" quotePrefix="0" xfId="0"/>
    <xf numFmtId="0" fontId="0" fillId="0" borderId="16" pivotButton="0" quotePrefix="0" xfId="0"/>
    <xf numFmtId="0" fontId="0" fillId="0" borderId="44" pivotButton="0" quotePrefix="0" xfId="0"/>
    <xf numFmtId="0" fontId="0" fillId="0" borderId="83" pivotButton="0" quotePrefix="0" xfId="0"/>
    <xf numFmtId="0" fontId="0" fillId="0" borderId="89" pivotButton="0" quotePrefix="0" xfId="0"/>
    <xf numFmtId="0" fontId="0" fillId="0" borderId="85" pivotButton="0" quotePrefix="0" xfId="0"/>
    <xf numFmtId="0" fontId="0" fillId="0" borderId="98" pivotButton="0" quotePrefix="0" xfId="0"/>
    <xf numFmtId="0" fontId="0" fillId="0" borderId="91" pivotButton="0" quotePrefix="0" xfId="0"/>
    <xf numFmtId="0" fontId="0" fillId="0" borderId="96" pivotButton="0" quotePrefix="0" xfId="0"/>
    <xf numFmtId="0" fontId="0" fillId="0" borderId="92" pivotButton="0" quotePrefix="0" xfId="0"/>
    <xf numFmtId="0" fontId="0" fillId="0" borderId="59" pivotButton="0" quotePrefix="0" xfId="0"/>
    <xf numFmtId="0" fontId="0" fillId="0" borderId="88" pivotButton="0" quotePrefix="0" xfId="0"/>
    <xf numFmtId="0" fontId="0" fillId="0" borderId="90" pivotButton="0" quotePrefix="0" xfId="0"/>
    <xf numFmtId="0" fontId="0" fillId="0" borderId="86" pivotButton="0" quotePrefix="0" xfId="0"/>
    <xf numFmtId="0" fontId="0" fillId="0" borderId="95" pivotButton="0" quotePrefix="0" xfId="0"/>
    <xf numFmtId="0" fontId="45" fillId="0" borderId="0" pivotButton="0" quotePrefix="0" xfId="0"/>
    <xf numFmtId="0" fontId="46" fillId="0" borderId="0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65" pivotButton="0" quotePrefix="0" xfId="0"/>
    <xf numFmtId="0" fontId="30" fillId="22" borderId="75" applyAlignment="1" pivotButton="0" quotePrefix="0" xfId="0">
      <alignment horizontal="center"/>
    </xf>
    <xf numFmtId="0" fontId="0" fillId="0" borderId="67" pivotButton="0" quotePrefix="0" xfId="0"/>
    <xf numFmtId="0" fontId="30" fillId="22" borderId="75" applyAlignment="1" pivotButton="0" quotePrefix="0" xfId="0">
      <alignment horizontal="left"/>
    </xf>
    <xf numFmtId="0" fontId="2" fillId="15" borderId="1" applyAlignment="1" pivotButton="0" quotePrefix="0" xfId="0">
      <alignment horizontal="center" vertical="center"/>
    </xf>
    <xf numFmtId="0" fontId="30" fillId="22" borderId="61" applyAlignment="1" pivotButton="0" quotePrefix="0" xfId="0">
      <alignment horizontal="left"/>
    </xf>
  </cellXfs>
  <cellStyles count="3">
    <cellStyle name="Normal" xfId="0" builtinId="0"/>
    <cellStyle name="Normal 2" xfId="1"/>
    <cellStyle name="Percent 2" xfId="2"/>
  </cellStyles>
  <dxfs count="2"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99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AF7"/>
      <rgbColor rgb="FF660066"/>
      <rgbColor rgb="FFFF8080"/>
      <rgbColor rgb="FF0066CC"/>
      <rgbColor rgb="FFB8D0ED"/>
      <rgbColor rgb="FF18249C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7EAED"/>
      <rgbColor rgb="FFFBE3D6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333300"/>
      <rgbColor rgb="FF993300"/>
      <rgbColor rgb="FF993366"/>
      <rgbColor rgb="FF1D2E99"/>
      <rgbColor rgb="FF1F4E7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QA</author>
  </authors>
  <commentList>
    <comment ref="C10" authorId="0" shapeId="0">
      <text>
        <t>Includes the spare squad rows 35 and 42 so anything typed there is counted everywhere (the H-column platform totals already spanned them).</t>
      </text>
    </comment>
  </commentList>
</comments>
</file>

<file path=xl/comments/comment2.xml><?xml version="1.0" encoding="utf-8"?>
<comments xmlns="http://schemas.openxmlformats.org/spreadsheetml/2006/main">
  <authors>
    <author>QA</author>
  </authors>
  <commentList>
    <comment ref="E14" authorId="0" shapeId="0">
      <text>
        <t>Finance sub-row 'Strategy, Architecture and Data' (Matt Ashley) within TDD Corporate - the closest line for Enterprise Data. The whole TDD Corporate segment (112.8) was previously shown here, identically on 1.3/1.4/1.11, which triple-displays one budget and loses the people element.</t>
      </text>
    </comment>
  </commentList>
</comments>
</file>

<file path=xl/comments/comment3.xml><?xml version="1.0" encoding="utf-8"?>
<comments xmlns="http://schemas.openxmlformats.org/spreadsheetml/2006/main">
  <authors>
    <author>QA</author>
  </authors>
  <commentList>
    <comment ref="E14" authorId="0" shapeId="0">
      <text>
        <t>Finance sub-row 'TDD' (Emily Mogic) within TDD Corporate - enterprise tooling/SW-heavy, matching Workplace &amp; Enterprise Tooling, Network &amp; Infrastructure, DevOps and Integration.</t>
      </text>
    </comment>
  </commentList>
</comments>
</file>

<file path=xl/comments/comment4.xml><?xml version="1.0" encoding="utf-8"?>
<comments xmlns="http://schemas.openxmlformats.org/spreadsheetml/2006/main">
  <authors>
    <author>QA</author>
  </authors>
  <commentList>
    <comment ref="E14" authorId="0" shapeId="0">
      <text>
        <t>Finance sub-row 'Cyber Risk and Operations' (Frances Bouzo) within TDD Corporate. Wider than the TDD Cyber squad alone.</t>
      </text>
    </comment>
  </commentList>
</comments>
</file>

<file path=xl/comments/comment5.xml><?xml version="1.0" encoding="utf-8"?>
<comments xmlns="http://schemas.openxmlformats.org/spreadsheetml/2006/main">
  <authors>
    <author>QA</author>
  </authors>
  <commentList>
    <comment ref="C25" authorId="0" shapeId="0">
      <text>
        <t>0 means every dollar of the Data Config allocation is represented in a tab.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28"/>
  <sheetViews>
    <sheetView showGridLines="0" zoomScale="120" zoomScaleNormal="120" workbookViewId="0">
      <selection activeCell="B28" sqref="B28"/>
    </sheetView>
  </sheetViews>
  <sheetFormatPr baseColWidth="8" defaultColWidth="8.6328125" defaultRowHeight="14.5"/>
  <cols>
    <col width="24.7265625" customWidth="1" min="2" max="2"/>
    <col width="8" customWidth="1" min="3" max="5"/>
    <col width="32" customWidth="1" min="7" max="7"/>
    <col width="11" customWidth="1" min="8" max="8"/>
    <col width="10.36328125" customWidth="1" min="9" max="9"/>
    <col width="16" customWidth="1" min="10" max="10"/>
  </cols>
  <sheetData>
    <row r="2" ht="18" customHeight="1">
      <c r="B2" s="15" t="inlineStr">
        <is>
          <t>Data Config</t>
        </is>
      </c>
    </row>
    <row r="4">
      <c r="B4" s="16" t="inlineStr">
        <is>
          <t>TDD Budget Allocation ($m)</t>
        </is>
      </c>
      <c r="C4" s="237" t="n"/>
      <c r="D4" s="237" t="n"/>
      <c r="E4" s="238" t="n"/>
      <c r="G4" s="16" t="inlineStr">
        <is>
          <t>Portfolio Overhead (roles, $m)</t>
        </is>
      </c>
      <c r="H4" s="237" t="n"/>
      <c r="I4" s="237" t="n"/>
      <c r="J4" s="238" t="n"/>
    </row>
    <row r="5">
      <c r="B5" s="17" t="inlineStr">
        <is>
          <t>Portfolio</t>
        </is>
      </c>
      <c r="C5" s="17" t="inlineStr">
        <is>
          <t>AU</t>
        </is>
      </c>
      <c r="D5" s="17" t="inlineStr">
        <is>
          <t>NZ</t>
        </is>
      </c>
      <c r="E5" s="17" t="inlineStr">
        <is>
          <t>Total</t>
        </is>
      </c>
      <c r="G5" s="17" t="inlineStr">
        <is>
          <t>Role</t>
        </is>
      </c>
      <c r="H5" s="17" t="inlineStr">
        <is>
          <t>Cost ($m)</t>
        </is>
      </c>
      <c r="I5" s="17" t="inlineStr">
        <is>
          <t>Allocation %</t>
        </is>
      </c>
      <c r="J5" s="17" t="inlineStr">
        <is>
          <t>Portfolio cost ($m)</t>
        </is>
      </c>
    </row>
    <row r="6">
      <c r="B6" s="18" t="inlineStr">
        <is>
          <t>COE - Strategy Architecture</t>
        </is>
      </c>
      <c r="C6" s="19" t="n">
        <v>1.5</v>
      </c>
      <c r="D6" s="19" t="n">
        <v>0.5</v>
      </c>
      <c r="E6" s="19">
        <f>C6+D6</f>
        <v>2.0</v>
      </c>
      <c r="G6" s="20" t="inlineStr">
        <is>
          <t>Head of Tech</t>
        </is>
      </c>
      <c r="H6" s="21" t="n">
        <v>0.275</v>
      </c>
      <c r="I6" s="22" t="n">
        <v>0.5</v>
      </c>
      <c r="J6" s="21">
        <f>H6*I6</f>
        <v>0.1375</v>
      </c>
    </row>
    <row r="7">
      <c r="B7" s="20" t="inlineStr">
        <is>
          <t>COE - Cyber, Risk &amp; Service Ops</t>
        </is>
      </c>
      <c r="C7" s="21" t="n">
        <v>1.5</v>
      </c>
      <c r="D7" s="21" t="n">
        <v>0.5</v>
      </c>
      <c r="E7" s="21">
        <f>C7+D7</f>
        <v>2.0</v>
      </c>
      <c r="G7" s="20" t="inlineStr">
        <is>
          <t>Business Partner</t>
        </is>
      </c>
      <c r="H7" s="21" t="n">
        <v>0.43</v>
      </c>
      <c r="I7" s="22" t="n">
        <v>0.4</v>
      </c>
      <c r="J7" s="21">
        <f>H7*I7</f>
        <v>0.17200000000000001</v>
      </c>
    </row>
    <row r="8">
      <c r="B8" s="18" t="inlineStr">
        <is>
          <t>COE - Transformation</t>
        </is>
      </c>
      <c r="C8" s="19" t="n">
        <v>1.5</v>
      </c>
      <c r="D8" s="19" t="n">
        <v>0.5</v>
      </c>
      <c r="E8" s="19">
        <f>C8+D8</f>
        <v>2.0</v>
      </c>
      <c r="G8" s="20" t="inlineStr">
        <is>
          <t>Domain Architect</t>
        </is>
      </c>
      <c r="H8" s="21" t="n">
        <v>0.28</v>
      </c>
      <c r="I8" s="22" t="n">
        <v>0.5</v>
      </c>
      <c r="J8" s="21">
        <f>H8*I8</f>
        <v>0.14</v>
      </c>
    </row>
    <row r="9">
      <c r="B9" s="20" t="inlineStr">
        <is>
          <t>COE - Business Partnering</t>
        </is>
      </c>
      <c r="C9" s="21" t="n">
        <v>1.5</v>
      </c>
      <c r="D9" s="21" t="n">
        <v>0.5</v>
      </c>
      <c r="E9" s="21">
        <f>C9+D9</f>
        <v>2.0</v>
      </c>
      <c r="G9" s="20" t="inlineStr">
        <is>
          <t>Leadership Overhead</t>
        </is>
      </c>
      <c r="H9" s="21" t="n">
        <v>1</v>
      </c>
      <c r="I9" s="22" t="n">
        <v>0.3</v>
      </c>
      <c r="J9" s="21">
        <f>H9*I9</f>
        <v>0.3</v>
      </c>
    </row>
    <row r="10">
      <c r="B10" s="18" t="inlineStr">
        <is>
          <t>COE - Data</t>
        </is>
      </c>
      <c r="C10" s="19" t="n">
        <v>1.5</v>
      </c>
      <c r="D10" s="19" t="n">
        <v>0.5</v>
      </c>
      <c r="E10" s="19">
        <f>C10+D10</f>
        <v>2.0</v>
      </c>
      <c r="G10" s="23" t="inlineStr">
        <is>
          <t>Portfolio overhead subtotal</t>
        </is>
      </c>
      <c r="J10" s="24">
        <f>SUM(J6:J9)</f>
        <v>0.7495</v>
      </c>
    </row>
    <row r="11">
      <c r="B11" s="20" t="inlineStr">
        <is>
          <t>Ampol Retail</t>
        </is>
      </c>
      <c r="C11" s="21" t="n">
        <v>2.5</v>
      </c>
      <c r="D11" s="21" t="n">
        <v>0</v>
      </c>
      <c r="E11" s="21">
        <f>C11+D11</f>
        <v>2.5</v>
      </c>
    </row>
    <row r="12">
      <c r="B12" s="18" t="inlineStr">
        <is>
          <t>Z Retail</t>
        </is>
      </c>
      <c r="C12" s="19" t="n">
        <v>0</v>
      </c>
      <c r="D12" s="19" t="n">
        <v>2.5</v>
      </c>
      <c r="E12" s="19">
        <f>C12+D12</f>
        <v>2.5</v>
      </c>
      <c r="G12" s="16" t="inlineStr">
        <is>
          <t>Platform Overhead (roles, $m)</t>
        </is>
      </c>
      <c r="H12" s="237" t="n"/>
      <c r="I12" s="237" t="n"/>
      <c r="J12" s="238" t="n"/>
    </row>
    <row r="13">
      <c r="B13" s="20" t="inlineStr">
        <is>
          <t>Ampol Customer</t>
        </is>
      </c>
      <c r="C13" s="21" t="n">
        <v>2.5</v>
      </c>
      <c r="D13" s="21" t="n">
        <v>0</v>
      </c>
      <c r="E13" s="21">
        <f>C13+D13</f>
        <v>2.5</v>
      </c>
      <c r="G13" s="17" t="inlineStr">
        <is>
          <t>Role</t>
        </is>
      </c>
      <c r="H13" s="17" t="inlineStr">
        <is>
          <t>Cost ($m)</t>
        </is>
      </c>
      <c r="I13" s="17" t="inlineStr">
        <is>
          <t>Alloc %</t>
        </is>
      </c>
      <c r="J13" s="17" t="inlineStr">
        <is>
          <t>Platform cost ($m)</t>
        </is>
      </c>
    </row>
    <row r="14">
      <c r="B14" s="18" t="inlineStr">
        <is>
          <t>Z Customer</t>
        </is>
      </c>
      <c r="C14" s="19" t="n">
        <v>0</v>
      </c>
      <c r="D14" s="19" t="n">
        <v>2.5</v>
      </c>
      <c r="E14" s="19">
        <f>C14+D14</f>
        <v>2.5</v>
      </c>
      <c r="G14" s="20" t="inlineStr">
        <is>
          <t>Delivery Manager</t>
        </is>
      </c>
      <c r="H14" s="21" t="n">
        <v>0.28</v>
      </c>
      <c r="I14" s="22" t="n">
        <v>0.3</v>
      </c>
      <c r="J14" s="21">
        <f>H14*I14</f>
        <v>0.084</v>
      </c>
    </row>
    <row r="15">
      <c r="B15" s="20" t="inlineStr">
        <is>
          <t>Commercial Fuels</t>
        </is>
      </c>
      <c r="C15" s="21" t="n">
        <v>2.5</v>
      </c>
      <c r="D15" s="21" t="n">
        <v>0</v>
      </c>
      <c r="E15" s="21">
        <f>C15+D15</f>
        <v>2.5</v>
      </c>
      <c r="G15" s="20" t="inlineStr">
        <is>
          <t>Tech Manager</t>
        </is>
      </c>
      <c r="H15" s="21" t="n">
        <v>0.27</v>
      </c>
      <c r="I15" s="22" t="n">
        <v>0.3</v>
      </c>
      <c r="J15" s="21">
        <f>H15*I15</f>
        <v>0.081</v>
      </c>
    </row>
    <row r="16">
      <c r="B16" s="18" t="inlineStr">
        <is>
          <t>Energy Solutions &amp; B2B</t>
        </is>
      </c>
      <c r="C16" s="19" t="n">
        <v>2.5</v>
      </c>
      <c r="D16" s="19" t="n">
        <v>0</v>
      </c>
      <c r="E16" s="19">
        <f>C16+D16</f>
        <v>2.5</v>
      </c>
      <c r="G16" s="23" t="inlineStr">
        <is>
          <t>Platform overhead subtotal (per platform)</t>
        </is>
      </c>
      <c r="J16" s="24">
        <f>SUM(J14:J15)</f>
        <v>0.165</v>
      </c>
    </row>
    <row r="17">
      <c r="B17" s="20" t="inlineStr">
        <is>
          <t>Infrastructure</t>
        </is>
      </c>
      <c r="C17" s="21" t="n">
        <v>2.5</v>
      </c>
      <c r="D17" s="21" t="n">
        <v>0</v>
      </c>
      <c r="E17" s="21">
        <f>C17+D17</f>
        <v>2.5</v>
      </c>
    </row>
    <row r="18">
      <c r="B18" s="18" t="inlineStr">
        <is>
          <t>P&amp;C</t>
        </is>
      </c>
      <c r="C18" s="19" t="n">
        <v>1</v>
      </c>
      <c r="D18" s="19" t="n">
        <v>1</v>
      </c>
      <c r="E18" s="19">
        <f>C18+D18</f>
        <v>2.0</v>
      </c>
    </row>
    <row r="19">
      <c r="B19" s="20" t="inlineStr">
        <is>
          <t>Finance</t>
        </is>
      </c>
      <c r="C19" s="21" t="n">
        <v>1</v>
      </c>
      <c r="D19" s="21" t="n">
        <v>1</v>
      </c>
      <c r="E19" s="21">
        <f>C19+D19</f>
        <v>2.0</v>
      </c>
    </row>
    <row r="20">
      <c r="B20" s="18" t="inlineStr">
        <is>
          <t>Legal</t>
        </is>
      </c>
      <c r="C20" s="19" t="n">
        <v>0</v>
      </c>
      <c r="D20" s="19" t="n">
        <v>0</v>
      </c>
      <c r="E20" s="19">
        <f>C20+D20</f>
        <v>0.0</v>
      </c>
    </row>
    <row r="21">
      <c r="B21" s="20" t="inlineStr">
        <is>
          <t>TDD</t>
        </is>
      </c>
      <c r="C21" s="21" t="n">
        <v>4.5</v>
      </c>
      <c r="D21" s="21" t="n">
        <v>1</v>
      </c>
      <c r="E21" s="21">
        <f>C21+D21</f>
        <v>5.5</v>
      </c>
    </row>
    <row r="22">
      <c r="B22" s="18" t="inlineStr">
        <is>
          <t>TDD Data</t>
        </is>
      </c>
      <c r="C22" s="19" t="n">
        <v>2.5</v>
      </c>
      <c r="D22" s="19" t="n">
        <v>1</v>
      </c>
      <c r="E22" s="19">
        <f>C22+D22</f>
        <v>3.5</v>
      </c>
    </row>
    <row r="23">
      <c r="B23" s="25" t="inlineStr">
        <is>
          <t>TDD Cyber</t>
        </is>
      </c>
      <c r="C23" s="21" t="n">
        <v>1</v>
      </c>
      <c r="D23" s="21" t="n">
        <v>0.5</v>
      </c>
      <c r="E23" s="21">
        <f>C23+D23</f>
        <v>1.5</v>
      </c>
    </row>
    <row r="24">
      <c r="B24" s="18" t="inlineStr">
        <is>
          <t>EG</t>
        </is>
      </c>
      <c r="C24" s="19" t="n">
        <v>0</v>
      </c>
      <c r="D24" s="19" t="n">
        <v>0</v>
      </c>
      <c r="E24" s="19">
        <f>C24+D24</f>
        <v>0.0</v>
      </c>
    </row>
    <row r="25">
      <c r="B25" s="20" t="inlineStr">
        <is>
          <t>EGI</t>
        </is>
      </c>
      <c r="C25" s="21" t="n">
        <v>0</v>
      </c>
      <c r="D25" s="21" t="n">
        <v>0</v>
      </c>
      <c r="E25" s="21">
        <f>C25+D25</f>
        <v>0.0</v>
      </c>
    </row>
    <row r="26">
      <c r="B26" s="23" t="inlineStr">
        <is>
          <t>Total</t>
        </is>
      </c>
      <c r="C26" s="26">
        <f>SUM(C6:C25)</f>
        <v>30.0</v>
      </c>
      <c r="D26" s="26">
        <f>SUM(D6:D25)</f>
        <v>12.0</v>
      </c>
      <c r="E26" s="26">
        <f>SUM(E6:E25)</f>
        <v>42.0</v>
      </c>
    </row>
    <row r="27">
      <c r="B27" t="inlineStr">
        <is>
          <t>Budget</t>
        </is>
      </c>
      <c r="C27">
        <f>'0.4 Budget Table (Fin)'!G5 +1</f>
        <v>36.2</v>
      </c>
      <c r="D27">
        <f>'0.4 Budget Table (Fin)'!G6</f>
        <v>17.6</v>
      </c>
      <c r="E27">
        <f>'0.4 Budget Table (Fin)'!G14</f>
        <v>53.800000000000004</v>
      </c>
    </row>
    <row r="28">
      <c r="B28" t="inlineStr">
        <is>
          <t>Variance</t>
        </is>
      </c>
      <c r="C28" s="27">
        <f>C27-C26</f>
        <v>6.200000000000003</v>
      </c>
      <c r="D28" s="27">
        <f>D27-D26</f>
        <v>5.600000000000001</v>
      </c>
      <c r="E28" s="27">
        <f>E27-E26</f>
        <v>11.800000000000004</v>
      </c>
    </row>
  </sheetData>
  <mergeCells count="3">
    <mergeCell ref="B4:E4"/>
    <mergeCell ref="G4:J4"/>
    <mergeCell ref="G12:J1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24"/>
  <sheetViews>
    <sheetView showGridLines="0" topLeftCell="B1" zoomScaleNormal="100" workbookViewId="0">
      <selection activeCell="E27" sqref="E27"/>
    </sheetView>
  </sheetViews>
  <sheetFormatPr baseColWidth="8" defaultColWidth="8.632812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" customWidth="1" min="7" max="8"/>
    <col width="45" customWidth="1" min="9" max="9"/>
  </cols>
  <sheetData>
    <row r="2" ht="18" customHeight="1">
      <c r="C2" s="28" t="inlineStr">
        <is>
          <t>Squad Cost Lookup</t>
        </is>
      </c>
    </row>
    <row r="4">
      <c r="A4" s="29" t="inlineStr">
        <is>
          <t>Key</t>
        </is>
      </c>
      <c r="C4" s="29" t="inlineStr">
        <is>
          <t>Squad Type</t>
        </is>
      </c>
      <c r="D4" s="29" t="inlineStr">
        <is>
          <t>Size</t>
        </is>
      </c>
      <c r="E4" s="29" t="inlineStr">
        <is>
          <t>Archetype</t>
        </is>
      </c>
      <c r="F4" s="29" t="inlineStr">
        <is>
          <t># of roles</t>
        </is>
      </c>
      <c r="G4" s="29" t="inlineStr">
        <is>
          <t>Onshore Cost ($m)</t>
        </is>
      </c>
      <c r="H4" s="29" t="inlineStr">
        <is>
          <t>Offshore Cost ($m)</t>
        </is>
      </c>
      <c r="I4" s="29" t="inlineStr">
        <is>
          <t>Use When</t>
        </is>
      </c>
    </row>
    <row r="5">
      <c r="A5" s="30" t="inlineStr">
        <is>
          <t>Engineering|S</t>
        </is>
      </c>
      <c r="C5" s="31" t="inlineStr">
        <is>
          <t>Engineering</t>
        </is>
      </c>
      <c r="D5" s="31" t="inlineStr">
        <is>
          <t>S</t>
        </is>
      </c>
      <c r="E5" s="31" t="inlineStr">
        <is>
          <t>Lean build squad</t>
        </is>
      </c>
      <c r="F5" s="32" t="n">
        <v>4.5</v>
      </c>
      <c r="G5" s="33" t="n">
        <v>0.8</v>
      </c>
      <c r="H5" s="33" t="n">
        <v>0.32</v>
      </c>
      <c r="I5" s="31" t="inlineStr">
        <is>
          <t>Simple platforms, incremental changes</t>
        </is>
      </c>
    </row>
    <row r="6">
      <c r="A6" s="30" t="inlineStr">
        <is>
          <t>Engineering|M</t>
        </is>
      </c>
      <c r="C6" s="34" t="inlineStr">
        <is>
          <t>Engineering</t>
        </is>
      </c>
      <c r="D6" s="34" t="inlineStr">
        <is>
          <t>M</t>
        </is>
      </c>
      <c r="E6" s="34" t="inlineStr">
        <is>
          <t>Standard Engineering Squad</t>
        </is>
      </c>
      <c r="F6" s="35" t="n">
        <v>9</v>
      </c>
      <c r="G6" s="36" t="n">
        <v>2</v>
      </c>
      <c r="H6" s="36" t="n">
        <v>0.8</v>
      </c>
      <c r="I6" s="34" t="inlineStr">
        <is>
          <t>Medium complexity platforms</t>
        </is>
      </c>
    </row>
    <row r="7">
      <c r="A7" s="30" t="inlineStr">
        <is>
          <t>Engineering|L</t>
        </is>
      </c>
      <c r="C7" s="31" t="inlineStr">
        <is>
          <t>Engineering</t>
        </is>
      </c>
      <c r="D7" s="31" t="inlineStr">
        <is>
          <t>L</t>
        </is>
      </c>
      <c r="E7" s="31" t="inlineStr">
        <is>
          <t>High-scale squad</t>
        </is>
      </c>
      <c r="F7" s="32" t="n">
        <v>12</v>
      </c>
      <c r="G7" s="33" t="n">
        <v>2.7</v>
      </c>
      <c r="H7" s="33" t="n">
        <v>1.08</v>
      </c>
      <c r="I7" s="31" t="inlineStr">
        <is>
          <t>Scalable platforms, high volume output</t>
        </is>
      </c>
    </row>
    <row r="8">
      <c r="A8" s="30" t="inlineStr">
        <is>
          <t>Configuration / Integration|XS</t>
        </is>
      </c>
      <c r="C8" s="37" t="inlineStr">
        <is>
          <t>Configuration / Integration</t>
        </is>
      </c>
      <c r="D8" s="37" t="inlineStr">
        <is>
          <t>XS</t>
        </is>
      </c>
      <c r="E8" s="37" t="inlineStr">
        <is>
          <t>MS Squad</t>
        </is>
      </c>
      <c r="F8" s="38" t="n">
        <v>1</v>
      </c>
      <c r="G8" s="39" t="n">
        <v>3.2</v>
      </c>
      <c r="H8" s="36" t="n">
        <v>1.28</v>
      </c>
      <c r="I8" s="34" t="inlineStr">
        <is>
          <t>Work managed by a vendor</t>
        </is>
      </c>
    </row>
    <row r="9">
      <c r="A9" s="30" t="inlineStr">
        <is>
          <t>Configuration / Integration|S</t>
        </is>
      </c>
      <c r="C9" s="31" t="inlineStr">
        <is>
          <t>Configuration / Integration</t>
        </is>
      </c>
      <c r="D9" s="31" t="inlineStr">
        <is>
          <t>S</t>
        </is>
      </c>
      <c r="E9" s="31" t="inlineStr">
        <is>
          <t>Simple Configuration Squad</t>
        </is>
      </c>
      <c r="F9" s="32" t="n">
        <v>6</v>
      </c>
      <c r="G9" s="33" t="n">
        <v>0.4</v>
      </c>
      <c r="H9" s="33" t="n">
        <v>0.16</v>
      </c>
      <c r="I9" s="31" t="inlineStr">
        <is>
          <t>Simple configuration, limited integration</t>
        </is>
      </c>
    </row>
    <row r="10">
      <c r="A10" s="30" t="inlineStr">
        <is>
          <t>Configuration / Integration|M</t>
        </is>
      </c>
      <c r="C10" s="34" t="inlineStr">
        <is>
          <t>Configuration / Integration</t>
        </is>
      </c>
      <c r="D10" s="34" t="inlineStr">
        <is>
          <t>M</t>
        </is>
      </c>
      <c r="E10" s="34" t="inlineStr">
        <is>
          <t>Standard Configuration Squad</t>
        </is>
      </c>
      <c r="F10" s="35" t="n">
        <v>9</v>
      </c>
      <c r="G10" s="36" t="n">
        <v>1.4</v>
      </c>
      <c r="H10" s="36" t="n">
        <v>0.5600000000000001</v>
      </c>
      <c r="I10" s="34" t="inlineStr">
        <is>
          <t>Standard configuration, medium complexity</t>
        </is>
      </c>
    </row>
    <row r="11">
      <c r="A11" s="30" t="inlineStr">
        <is>
          <t>Configuration / Integration|L</t>
        </is>
      </c>
      <c r="C11" s="31" t="inlineStr">
        <is>
          <t>Configuration / Integration</t>
        </is>
      </c>
      <c r="D11" s="31" t="inlineStr">
        <is>
          <t>L</t>
        </is>
      </c>
      <c r="E11" s="31" t="inlineStr">
        <is>
          <t>Complex Integration Squad</t>
        </is>
      </c>
      <c r="F11" s="32" t="n">
        <v>14</v>
      </c>
      <c r="G11" s="33" t="n">
        <v>2.1</v>
      </c>
      <c r="H11" s="33" t="n">
        <v>0.84</v>
      </c>
      <c r="I11" s="31" t="inlineStr">
        <is>
          <t>Complex config or custom build, high integration</t>
        </is>
      </c>
    </row>
    <row r="12">
      <c r="A12" s="30" t="inlineStr">
        <is>
          <t>Product|S</t>
        </is>
      </c>
      <c r="C12" s="34" t="inlineStr">
        <is>
          <t>Product</t>
        </is>
      </c>
      <c r="D12" s="34" t="inlineStr">
        <is>
          <t>S</t>
        </is>
      </c>
      <c r="E12" s="34" t="inlineStr">
        <is>
          <t>Lean Product Squad</t>
        </is>
      </c>
      <c r="F12" s="35" t="n">
        <v>5.5</v>
      </c>
      <c r="G12" s="36" t="n">
        <v>1.3</v>
      </c>
      <c r="H12" s="36" t="n">
        <v>0.52</v>
      </c>
      <c r="I12" s="34" t="inlineStr">
        <is>
          <t>Early stage product testing or low complexity</t>
        </is>
      </c>
    </row>
    <row r="13">
      <c r="A13" s="30" t="inlineStr">
        <is>
          <t>Product|M</t>
        </is>
      </c>
      <c r="C13" s="31" t="inlineStr">
        <is>
          <t>Product</t>
        </is>
      </c>
      <c r="D13" s="31" t="inlineStr">
        <is>
          <t>M</t>
        </is>
      </c>
      <c r="E13" s="31" t="inlineStr">
        <is>
          <t>Balanced Product Squad</t>
        </is>
      </c>
      <c r="F13" s="32" t="n">
        <v>8.5</v>
      </c>
      <c r="G13" s="33" t="n">
        <v>1.9</v>
      </c>
      <c r="H13" s="33" t="n">
        <v>0.76</v>
      </c>
      <c r="I13" s="31" t="inlineStr">
        <is>
          <t>Ongoing product development, moderate complexity</t>
        </is>
      </c>
    </row>
    <row r="14">
      <c r="A14" s="30" t="inlineStr">
        <is>
          <t>Product|L</t>
        </is>
      </c>
      <c r="C14" s="34" t="inlineStr">
        <is>
          <t>Product</t>
        </is>
      </c>
      <c r="D14" s="34" t="inlineStr">
        <is>
          <t>L</t>
        </is>
      </c>
      <c r="E14" s="34" t="inlineStr">
        <is>
          <t>Scaled Product Squad</t>
        </is>
      </c>
      <c r="F14" s="35" t="n">
        <v>12</v>
      </c>
      <c r="G14" s="36" t="n">
        <v>2.8</v>
      </c>
      <c r="H14" s="36" t="n">
        <v>1.12</v>
      </c>
      <c r="I14" s="34" t="inlineStr">
        <is>
          <t>Mature product</t>
        </is>
      </c>
    </row>
    <row r="15">
      <c r="A15" s="30" t="inlineStr">
        <is>
          <t>Operations|S</t>
        </is>
      </c>
      <c r="C15" s="31" t="inlineStr">
        <is>
          <t>Operations</t>
        </is>
      </c>
      <c r="D15" s="31" t="inlineStr">
        <is>
          <t>S</t>
        </is>
      </c>
      <c r="E15" s="31" t="inlineStr">
        <is>
          <t>Lean operations squad</t>
        </is>
      </c>
      <c r="F15" s="32" t="n">
        <v>4</v>
      </c>
      <c r="G15" s="33" t="n">
        <v>0.8</v>
      </c>
      <c r="H15" s="33" t="n">
        <v>0.32</v>
      </c>
      <c r="I15" s="31" t="inlineStr">
        <is>
          <t>Low change, stable platforms</t>
        </is>
      </c>
    </row>
    <row r="16">
      <c r="A16" s="30" t="inlineStr">
        <is>
          <t>Operations|M</t>
        </is>
      </c>
      <c r="C16" s="34" t="inlineStr">
        <is>
          <t>Operations</t>
        </is>
      </c>
      <c r="D16" s="34" t="inlineStr">
        <is>
          <t>M</t>
        </is>
      </c>
      <c r="E16" s="34" t="inlineStr">
        <is>
          <t>Balanced operations squad</t>
        </is>
      </c>
      <c r="F16" s="35" t="n">
        <v>6</v>
      </c>
      <c r="G16" s="36" t="n">
        <v>1.4</v>
      </c>
      <c r="H16" s="36" t="n">
        <v>0.5600000000000001</v>
      </c>
      <c r="I16" s="34" t="inlineStr">
        <is>
          <t>Moderate support plus improvements</t>
        </is>
      </c>
    </row>
    <row r="17">
      <c r="A17" s="30" t="inlineStr">
        <is>
          <t>Operations|L</t>
        </is>
      </c>
      <c r="C17" s="31" t="inlineStr">
        <is>
          <t>Operations</t>
        </is>
      </c>
      <c r="D17" s="31" t="inlineStr">
        <is>
          <t>L</t>
        </is>
      </c>
      <c r="E17" s="31" t="inlineStr">
        <is>
          <t>High demand operations squad</t>
        </is>
      </c>
      <c r="F17" s="32" t="n">
        <v>10</v>
      </c>
      <c r="G17" s="33" t="n">
        <v>2.3</v>
      </c>
      <c r="H17" s="33" t="n">
        <v>0.92</v>
      </c>
      <c r="I17" s="31" t="inlineStr">
        <is>
          <t>High ticket volume, critical systems</t>
        </is>
      </c>
    </row>
    <row r="18">
      <c r="A18" s="30" t="inlineStr">
        <is>
          <t>Enterprise Data and Insights|S</t>
        </is>
      </c>
      <c r="C18" s="34" t="inlineStr">
        <is>
          <t>Enterprise Data and Insights</t>
        </is>
      </c>
      <c r="D18" s="34" t="inlineStr">
        <is>
          <t>S</t>
        </is>
      </c>
      <c r="E18" s="34" t="inlineStr">
        <is>
          <t>Lean Data squad</t>
        </is>
      </c>
      <c r="F18" s="35" t="n">
        <v>4</v>
      </c>
      <c r="G18" s="36" t="n">
        <v>0.9</v>
      </c>
      <c r="H18" s="36" t="n">
        <v>0.36</v>
      </c>
      <c r="I18" s="34" t="inlineStr">
        <is>
          <t>Basic reporting, low complexity</t>
        </is>
      </c>
    </row>
    <row r="19">
      <c r="A19" s="30" t="inlineStr">
        <is>
          <t>Enterprise Data and Insights|M</t>
        </is>
      </c>
      <c r="C19" s="31" t="inlineStr">
        <is>
          <t>Enterprise Data and Insights</t>
        </is>
      </c>
      <c r="D19" s="31" t="inlineStr">
        <is>
          <t>M</t>
        </is>
      </c>
      <c r="E19" s="31" t="inlineStr">
        <is>
          <t>Standard Data squad</t>
        </is>
      </c>
      <c r="F19" s="32" t="n">
        <v>7.5</v>
      </c>
      <c r="G19" s="33" t="n">
        <v>1.7</v>
      </c>
      <c r="H19" s="33" t="n">
        <v>0.68</v>
      </c>
      <c r="I19" s="31" t="inlineStr">
        <is>
          <t>Ongoing analytics, dashboarding</t>
        </is>
      </c>
    </row>
    <row r="20">
      <c r="A20" s="30" t="inlineStr">
        <is>
          <t>Enterprise Data and Insights|L</t>
        </is>
      </c>
      <c r="C20" s="34" t="inlineStr">
        <is>
          <t>Enterprise Data and Insights</t>
        </is>
      </c>
      <c r="D20" s="34" t="inlineStr">
        <is>
          <t>L</t>
        </is>
      </c>
      <c r="E20" s="34" t="inlineStr">
        <is>
          <t>Advanced Data / AI squad</t>
        </is>
      </c>
      <c r="F20" s="35" t="n">
        <v>9</v>
      </c>
      <c r="G20" s="36" t="n">
        <v>2</v>
      </c>
      <c r="H20" s="36" t="n">
        <v>0.8</v>
      </c>
      <c r="I20" s="34" t="inlineStr">
        <is>
          <t>Advanced analytics, predictive modelling, AI</t>
        </is>
      </c>
    </row>
    <row r="21">
      <c r="A21" s="30" t="inlineStr">
        <is>
          <t>Build and Run|S</t>
        </is>
      </c>
      <c r="C21" s="31" t="inlineStr">
        <is>
          <t>Build and Run</t>
        </is>
      </c>
      <c r="D21" s="31" t="inlineStr">
        <is>
          <t>S</t>
        </is>
      </c>
      <c r="E21" s="31" t="inlineStr">
        <is>
          <t>Lean build and run squad</t>
        </is>
      </c>
      <c r="F21" s="32" t="n">
        <v>4</v>
      </c>
      <c r="G21" s="33" t="n">
        <v>0.9</v>
      </c>
      <c r="H21" s="33" t="n">
        <v>0.36</v>
      </c>
      <c r="I21" s="31" t="inlineStr">
        <is>
          <t>Simple platforms, low traffic, stable</t>
        </is>
      </c>
    </row>
    <row r="22">
      <c r="A22" s="30" t="inlineStr">
        <is>
          <t>Build and Run|M</t>
        </is>
      </c>
      <c r="C22" s="34" t="inlineStr">
        <is>
          <t>Build and Run</t>
        </is>
      </c>
      <c r="D22" s="34" t="inlineStr">
        <is>
          <t>M</t>
        </is>
      </c>
      <c r="E22" s="34" t="inlineStr">
        <is>
          <t>Standard build and run squad</t>
        </is>
      </c>
      <c r="F22" s="35" t="n">
        <v>9</v>
      </c>
      <c r="G22" s="36" t="n">
        <v>2</v>
      </c>
      <c r="H22" s="36" t="n">
        <v>0.8</v>
      </c>
      <c r="I22" s="34" t="inlineStr">
        <is>
          <t>Core platforms, moderate complexity</t>
        </is>
      </c>
    </row>
    <row r="23">
      <c r="A23" s="30" t="inlineStr">
        <is>
          <t>Build and Run|L</t>
        </is>
      </c>
      <c r="C23" s="31" t="inlineStr">
        <is>
          <t>Build and Run</t>
        </is>
      </c>
      <c r="D23" s="31" t="inlineStr">
        <is>
          <t>L</t>
        </is>
      </c>
      <c r="E23" s="31" t="inlineStr">
        <is>
          <t>Scaled build and run squad</t>
        </is>
      </c>
      <c r="F23" s="32" t="n">
        <v>13</v>
      </c>
      <c r="G23" s="33" t="n">
        <v>2.8</v>
      </c>
      <c r="H23" s="33" t="n">
        <v>1.12</v>
      </c>
      <c r="I23" s="31" t="inlineStr">
        <is>
          <t>High traffic or business critical, 24/7</t>
        </is>
      </c>
    </row>
    <row r="24">
      <c r="C24" s="40" t="inlineStr">
        <is>
          <t>Exceptions (will need to incl. rules)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K23" sqref="K23"/>
    </sheetView>
  </sheetViews>
  <sheetFormatPr baseColWidth="8" defaultColWidth="8.6328125" defaultRowHeight="14.5"/>
  <cols>
    <col width="20" customWidth="1" min="2" max="2"/>
    <col width="26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15" t="inlineStr">
        <is>
          <t>FY2026 Budget by Business Segment</t>
        </is>
      </c>
    </row>
    <row r="3">
      <c r="B3" s="41" t="n"/>
    </row>
    <row r="5">
      <c r="B5" s="16" t="inlineStr">
        <is>
          <t>Business Segment</t>
        </is>
      </c>
      <c r="C5" s="16" t="inlineStr">
        <is>
          <t>TDD GM</t>
        </is>
      </c>
      <c r="D5" s="16" t="inlineStr">
        <is>
          <t>Total</t>
        </is>
      </c>
      <c r="E5" s="16" t="inlineStr">
        <is>
          <t>OpEx: Lights On</t>
        </is>
      </c>
      <c r="F5" s="16" t="inlineStr">
        <is>
          <t>OpEx: Initiatives</t>
        </is>
      </c>
      <c r="G5" s="16" t="inlineStr">
        <is>
          <t>Depreciation</t>
        </is>
      </c>
      <c r="H5" s="16" t="inlineStr">
        <is>
          <t>Significant Items</t>
        </is>
      </c>
      <c r="I5" s="16" t="inlineStr">
        <is>
          <t>CapEx</t>
        </is>
      </c>
    </row>
    <row r="6">
      <c r="B6" s="18" t="inlineStr">
        <is>
          <t>TDD (Corporate)</t>
        </is>
      </c>
      <c r="C6" s="18" t="inlineStr">
        <is>
          <t>Brad Blyth / Greg Cassis</t>
        </is>
      </c>
      <c r="D6" s="19" t="n">
        <v>112.75951309</v>
      </c>
      <c r="E6" s="19" t="n">
        <v>78.89486321</v>
      </c>
      <c r="F6" s="19" t="n">
        <v>3</v>
      </c>
      <c r="G6" s="19" t="n">
        <v>5.80004988</v>
      </c>
      <c r="H6" s="19" t="n">
        <v>20.1966</v>
      </c>
      <c r="I6" s="19" t="n">
        <v>4.868</v>
      </c>
    </row>
    <row r="7">
      <c r="B7" s="20" t="inlineStr">
        <is>
          <t>Z-Energy</t>
        </is>
      </c>
      <c r="C7" s="20" t="inlineStr">
        <is>
          <t>Vance Anderson / Harley Giles</t>
        </is>
      </c>
      <c r="D7" s="21" t="n">
        <v>76.70351405</v>
      </c>
      <c r="E7" s="21" t="n">
        <v>52.22525962</v>
      </c>
      <c r="F7" s="21" t="n">
        <v>1.44624</v>
      </c>
      <c r="G7" s="21" t="n">
        <v>11.30652059</v>
      </c>
      <c r="H7" s="21" t="n">
        <v>0</v>
      </c>
      <c r="I7" s="21" t="n">
        <v>11.72549384</v>
      </c>
    </row>
    <row r="8">
      <c r="B8" s="18" t="inlineStr">
        <is>
          <t>Commercial Fuels</t>
        </is>
      </c>
      <c r="C8" s="18" t="inlineStr">
        <is>
          <t>Roanne Steele</t>
        </is>
      </c>
      <c r="D8" s="19" t="n">
        <v>40.53422304</v>
      </c>
      <c r="E8" s="19" t="n">
        <v>13.65558128</v>
      </c>
      <c r="F8" s="19" t="n">
        <v>5.86172092</v>
      </c>
      <c r="G8" s="19" t="n">
        <v>0</v>
      </c>
      <c r="H8" s="19" t="n">
        <v>14.219208</v>
      </c>
      <c r="I8" s="19" t="n">
        <v>6.79771284</v>
      </c>
    </row>
    <row r="9">
      <c r="B9" s="20" t="inlineStr">
        <is>
          <t>Retail</t>
        </is>
      </c>
      <c r="C9" s="20" t="inlineStr">
        <is>
          <t>Vance Anderson</t>
        </is>
      </c>
      <c r="D9" s="21" t="n">
        <v>33.88085459</v>
      </c>
      <c r="E9" s="21" t="n">
        <v>13.92585459</v>
      </c>
      <c r="F9" s="21" t="n">
        <v>1.31</v>
      </c>
      <c r="G9" s="21" t="n">
        <v>0</v>
      </c>
      <c r="H9" s="21" t="n">
        <v>6.845</v>
      </c>
      <c r="I9" s="21" t="n">
        <v>11.8</v>
      </c>
    </row>
    <row r="10">
      <c r="B10" s="18" t="inlineStr">
        <is>
          <t>Energy Solutions</t>
        </is>
      </c>
      <c r="C10" s="18" t="inlineStr">
        <is>
          <t>Roanne Steele</t>
        </is>
      </c>
      <c r="D10" s="19" t="n">
        <v>8.009524369999999</v>
      </c>
      <c r="E10" s="19" t="n">
        <v>4.04193945</v>
      </c>
      <c r="F10" s="19" t="n">
        <v>0.97</v>
      </c>
      <c r="G10" s="19" t="n">
        <v>0</v>
      </c>
      <c r="H10" s="19" t="n">
        <v>0</v>
      </c>
      <c r="I10" s="19" t="n">
        <v>2.99758492</v>
      </c>
    </row>
    <row r="11">
      <c r="B11" s="20" t="inlineStr">
        <is>
          <t>Infrastructure</t>
        </is>
      </c>
      <c r="C11" s="20" t="inlineStr">
        <is>
          <t>Roanne Steele</t>
        </is>
      </c>
      <c r="D11" s="21" t="n">
        <v>9.24937596</v>
      </c>
      <c r="E11" s="21" t="n">
        <v>3.594596</v>
      </c>
      <c r="F11" s="21" t="n">
        <v>0.763362</v>
      </c>
      <c r="G11" s="21" t="n">
        <v>0</v>
      </c>
      <c r="H11" s="21" t="n">
        <v>0</v>
      </c>
      <c r="I11" s="21" t="n">
        <v>4.89141796</v>
      </c>
    </row>
    <row r="12">
      <c r="B12" s="18" t="inlineStr">
        <is>
          <t>Finance &amp; Other Corp</t>
        </is>
      </c>
      <c r="C12" s="18" t="inlineStr">
        <is>
          <t>Emily Mogic</t>
        </is>
      </c>
      <c r="D12" s="19" t="n">
        <v>3.88077368</v>
      </c>
      <c r="E12" s="19" t="n">
        <v>2.94528707</v>
      </c>
      <c r="F12" s="19" t="n">
        <v>0.93548661</v>
      </c>
      <c r="G12" s="19" t="n">
        <v>0</v>
      </c>
      <c r="H12" s="19" t="n">
        <v>0</v>
      </c>
      <c r="I12" s="19" t="n">
        <v>0</v>
      </c>
    </row>
    <row r="13">
      <c r="B13" s="20" t="inlineStr">
        <is>
          <t>P&amp;C</t>
        </is>
      </c>
      <c r="C13" s="20" t="inlineStr">
        <is>
          <t>Emily Mogic</t>
        </is>
      </c>
      <c r="D13" s="21" t="n">
        <v>5.81303803</v>
      </c>
      <c r="E13" s="21" t="n">
        <v>2.14803803</v>
      </c>
      <c r="F13" s="21" t="n">
        <v>1.975</v>
      </c>
      <c r="G13" s="21" t="n">
        <v>0</v>
      </c>
      <c r="H13" s="21" t="n">
        <v>1.36</v>
      </c>
      <c r="I13" s="21" t="n">
        <v>0.33</v>
      </c>
    </row>
    <row r="14">
      <c r="B14" s="18" t="inlineStr">
        <is>
          <t>Customer</t>
        </is>
      </c>
      <c r="C14" s="18" t="inlineStr">
        <is>
          <t>Harley Giles</t>
        </is>
      </c>
      <c r="D14" s="19" t="n">
        <v>11.69153287</v>
      </c>
      <c r="E14" s="19" t="n">
        <v>1.69153283</v>
      </c>
      <c r="F14" s="19" t="n">
        <v>0</v>
      </c>
      <c r="G14" s="19" t="n">
        <v>0</v>
      </c>
      <c r="H14" s="19" t="n">
        <v>5.00000004</v>
      </c>
      <c r="I14" s="19" t="n">
        <v>5</v>
      </c>
    </row>
    <row r="15">
      <c r="B15" s="23" t="inlineStr">
        <is>
          <t>Total Technology</t>
        </is>
      </c>
      <c r="D15" s="26">
        <f>SUM(D6:D14)</f>
        <v>302.52234968</v>
      </c>
      <c r="E15" s="26">
        <f>SUM(E6:E14)</f>
        <v>173.12295208000003</v>
      </c>
      <c r="F15" s="26">
        <f>SUM(F6:F14)</f>
        <v>16.26180953</v>
      </c>
      <c r="G15" s="26">
        <f>SUM(G6:G14)</f>
        <v>17.10657047</v>
      </c>
      <c r="H15" s="26">
        <f>SUM(H6:H14)</f>
        <v>47.62080804</v>
      </c>
      <c r="I15" s="26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8249C"/>
    <outlinePr summaryBelow="1" summaryRight="1"/>
    <pageSetUpPr/>
  </sheetPr>
  <dimension ref="A3:AS52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U9" sqref="AU9"/>
    </sheetView>
  </sheetViews>
  <sheetFormatPr baseColWidth="8" defaultColWidth="9.1796875" defaultRowHeight="15.5"/>
  <cols>
    <col hidden="1" width="30.1796875" customWidth="1" style="42" min="1" max="1"/>
    <col width="28.26953125" customWidth="1" style="43" min="2" max="2"/>
    <col width="21" customWidth="1" style="43" min="3" max="3"/>
    <col width="7.81640625" customWidth="1" style="42" min="4" max="6"/>
    <col hidden="1" outlineLevel="1" width="8.26953125" customWidth="1" style="42" min="7" max="7"/>
    <col width="6.26953125" customWidth="1" style="42" min="8" max="8"/>
    <col hidden="1" width="7.81640625" customWidth="1" style="42" min="9" max="11"/>
    <col hidden="1" outlineLevel="1" width="8.26953125" customWidth="1" style="42" min="12" max="12"/>
    <col hidden="1" width="6.26953125" customWidth="1" style="42" min="13" max="13"/>
    <col outlineLevel="1" width="7.81640625" customWidth="1" style="42" min="14" max="16"/>
    <col hidden="1" outlineLevel="2" width="8.26953125" customWidth="1" style="42" min="17" max="17"/>
    <col outlineLevel="1" collapsed="1" width="6.26953125" customWidth="1" style="42" min="18" max="18"/>
    <col outlineLevel="1" width="7.81640625" customWidth="1" style="42" min="19" max="21"/>
    <col hidden="1" outlineLevel="2" width="8.26953125" customWidth="1" style="42" min="22" max="22"/>
    <col outlineLevel="1" collapsed="1" width="6.26953125" customWidth="1" style="42" min="23" max="23"/>
    <col width="7.81640625" customWidth="1" style="42" min="24" max="26"/>
    <col hidden="1" outlineLevel="1" width="8.26953125" customWidth="1" style="42" min="27" max="27"/>
    <col width="6.26953125" customWidth="1" style="42" min="28" max="28"/>
    <col width="7.81640625" customWidth="1" style="42" min="29" max="31"/>
    <col hidden="1" outlineLevel="1" width="8.26953125" customWidth="1" style="42" min="32" max="32"/>
    <col width="6.26953125" customWidth="1" style="42" min="33" max="33"/>
    <col width="7.81640625" customWidth="1" style="42" min="34" max="36"/>
    <col hidden="1" outlineLevel="1" width="8.26953125" customWidth="1" style="42" min="37" max="37"/>
    <col width="6.26953125" customWidth="1" style="42" min="38" max="38"/>
    <col width="0.7265625" customWidth="1" style="42" min="39" max="39"/>
    <col width="7.81640625" customWidth="1" style="42" min="40" max="42"/>
    <col outlineLevel="1" width="9.1796875" customWidth="1" style="42" min="43" max="43"/>
    <col width="6.26953125" customWidth="1" style="42" min="44" max="44"/>
    <col width="9.1796875" customWidth="1" style="42" min="45" max="16384"/>
  </cols>
  <sheetData>
    <row r="3" ht="39" customHeight="1">
      <c r="B3" s="13" t="inlineStr">
        <is>
          <t>BUSINESS SEGMENTS</t>
        </is>
      </c>
      <c r="C3" s="13" t="inlineStr">
        <is>
          <t>TDD GM</t>
        </is>
      </c>
      <c r="D3" s="12" t="inlineStr">
        <is>
          <t>TOTAL 
YTD (Jun-2026)</t>
        </is>
      </c>
      <c r="E3" s="291" t="n"/>
      <c r="F3" s="291" t="n"/>
      <c r="G3" s="291" t="n"/>
      <c r="H3" s="292" t="n"/>
      <c r="I3" s="11" t="inlineStr">
        <is>
          <t>OPEX: LIGHTS ON + INITIATIVES
(YTD)</t>
        </is>
      </c>
      <c r="J3" s="291" t="n"/>
      <c r="K3" s="291" t="n"/>
      <c r="L3" s="291" t="n"/>
      <c r="M3" s="292" t="n"/>
      <c r="N3" s="11" t="inlineStr">
        <is>
          <t>OPEX: LIGHTS ON
(YTD)</t>
        </is>
      </c>
      <c r="O3" s="291" t="n"/>
      <c r="P3" s="291" t="n"/>
      <c r="Q3" s="291" t="n"/>
      <c r="R3" s="292" t="n"/>
      <c r="S3" s="11" t="inlineStr">
        <is>
          <t>OPEX: INITIATIVES
(YTD)</t>
        </is>
      </c>
      <c r="T3" s="291" t="n"/>
      <c r="U3" s="291" t="n"/>
      <c r="V3" s="291" t="n"/>
      <c r="W3" s="292" t="n"/>
      <c r="X3" s="10" t="inlineStr">
        <is>
          <t>OPEX: DEPRECIATION
(YTD)</t>
        </is>
      </c>
      <c r="Y3" s="291" t="n"/>
      <c r="Z3" s="291" t="n"/>
      <c r="AA3" s="291" t="n"/>
      <c r="AB3" s="293" t="n"/>
      <c r="AC3" s="9" t="inlineStr">
        <is>
          <t>SIGNIFICANT ITEMS
(YTD)</t>
        </is>
      </c>
      <c r="AD3" s="291" t="n"/>
      <c r="AE3" s="291" t="n"/>
      <c r="AF3" s="291" t="n"/>
      <c r="AG3" s="291" t="n"/>
      <c r="AH3" s="10" t="inlineStr">
        <is>
          <t>CAPEX
(YTD)</t>
        </is>
      </c>
      <c r="AI3" s="291" t="n"/>
      <c r="AJ3" s="291" t="n"/>
      <c r="AK3" s="291" t="n"/>
      <c r="AL3" s="293" t="n"/>
      <c r="AN3" s="8" t="inlineStr">
        <is>
          <t>FY2026</t>
        </is>
      </c>
      <c r="AO3" s="291" t="n"/>
      <c r="AP3" s="291" t="n"/>
      <c r="AQ3" s="291" t="n"/>
      <c r="AR3" s="293" t="n"/>
    </row>
    <row r="4" ht="13.5" customHeight="1">
      <c r="B4" s="294" t="n"/>
      <c r="C4" s="294" t="n"/>
      <c r="D4" s="44" t="inlineStr">
        <is>
          <t>A</t>
        </is>
      </c>
      <c r="E4" s="45" t="inlineStr">
        <is>
          <t>B</t>
        </is>
      </c>
      <c r="F4" s="45" t="inlineStr">
        <is>
          <t>V</t>
        </is>
      </c>
      <c r="G4" s="45" t="inlineStr">
        <is>
          <t>V %</t>
        </is>
      </c>
      <c r="H4" s="45" t="inlineStr">
        <is>
          <t>Trend</t>
        </is>
      </c>
      <c r="I4" s="46" t="inlineStr">
        <is>
          <t>A</t>
        </is>
      </c>
      <c r="J4" s="46" t="inlineStr">
        <is>
          <t>B</t>
        </is>
      </c>
      <c r="K4" s="46" t="inlineStr">
        <is>
          <t>V</t>
        </is>
      </c>
      <c r="L4" s="46" t="inlineStr">
        <is>
          <t>V %</t>
        </is>
      </c>
      <c r="M4" s="46" t="inlineStr">
        <is>
          <t>Trend</t>
        </is>
      </c>
      <c r="N4" s="46" t="inlineStr">
        <is>
          <t>A</t>
        </is>
      </c>
      <c r="O4" s="46" t="inlineStr">
        <is>
          <t>B</t>
        </is>
      </c>
      <c r="P4" s="46" t="inlineStr">
        <is>
          <t>V</t>
        </is>
      </c>
      <c r="Q4" s="46" t="n"/>
      <c r="R4" s="46" t="inlineStr">
        <is>
          <t>Trend</t>
        </is>
      </c>
      <c r="S4" s="46" t="inlineStr">
        <is>
          <t>A</t>
        </is>
      </c>
      <c r="T4" s="46" t="inlineStr">
        <is>
          <t>B</t>
        </is>
      </c>
      <c r="U4" s="46" t="inlineStr">
        <is>
          <t>V</t>
        </is>
      </c>
      <c r="V4" s="46" t="inlineStr">
        <is>
          <t>V %</t>
        </is>
      </c>
      <c r="W4" s="46" t="inlineStr">
        <is>
          <t>Trend</t>
        </is>
      </c>
      <c r="X4" s="46" t="inlineStr">
        <is>
          <t>A</t>
        </is>
      </c>
      <c r="Y4" s="46" t="inlineStr">
        <is>
          <t>B</t>
        </is>
      </c>
      <c r="Z4" s="46" t="inlineStr">
        <is>
          <t>V</t>
        </is>
      </c>
      <c r="AA4" s="46" t="inlineStr">
        <is>
          <t>V %</t>
        </is>
      </c>
      <c r="AB4" s="47" t="inlineStr">
        <is>
          <t>Trend</t>
        </is>
      </c>
      <c r="AC4" s="46" t="inlineStr">
        <is>
          <t>A</t>
        </is>
      </c>
      <c r="AD4" s="46" t="inlineStr">
        <is>
          <t>B</t>
        </is>
      </c>
      <c r="AE4" s="46" t="inlineStr">
        <is>
          <t>V</t>
        </is>
      </c>
      <c r="AF4" s="46" t="inlineStr">
        <is>
          <t>V %</t>
        </is>
      </c>
      <c r="AG4" s="48" t="inlineStr">
        <is>
          <t>Trend</t>
        </is>
      </c>
      <c r="AH4" s="46" t="inlineStr">
        <is>
          <t>A</t>
        </is>
      </c>
      <c r="AI4" s="46" t="inlineStr">
        <is>
          <t>B</t>
        </is>
      </c>
      <c r="AJ4" s="46" t="inlineStr">
        <is>
          <t>V</t>
        </is>
      </c>
      <c r="AK4" s="46" t="inlineStr">
        <is>
          <t>V %</t>
        </is>
      </c>
      <c r="AL4" s="47" t="inlineStr">
        <is>
          <t>Trend</t>
        </is>
      </c>
      <c r="AN4" s="44" t="inlineStr">
        <is>
          <t>F</t>
        </is>
      </c>
      <c r="AO4" s="45" t="inlineStr">
        <is>
          <t>B</t>
        </is>
      </c>
      <c r="AP4" s="45" t="inlineStr">
        <is>
          <t>V</t>
        </is>
      </c>
      <c r="AQ4" s="45" t="n"/>
      <c r="AR4" s="49" t="inlineStr">
        <is>
          <t>Trend</t>
        </is>
      </c>
    </row>
    <row r="5" ht="21" customFormat="1" customHeight="1" s="50">
      <c r="A5" s="50" t="inlineStr">
        <is>
          <t>TDD (Corporate)1</t>
        </is>
      </c>
      <c r="B5" s="51" t="inlineStr">
        <is>
          <t>TDD (Corporate)1</t>
        </is>
      </c>
      <c r="C5" s="52" t="inlineStr">
        <is>
          <t>Brad Blyth
Greg Cassis</t>
        </is>
      </c>
      <c r="D5" s="53">
        <f>I5+AC5+AH5+X5</f>
        <v>53.57500618</v>
      </c>
      <c r="E5" s="54">
        <f>J5+AD5+AI5+Y5</f>
        <v>56.158125129999995</v>
      </c>
      <c r="F5" s="54">
        <f>E5-D5</f>
        <v>2.5831189499999923</v>
      </c>
      <c r="G5" s="55">
        <f>IFERROR(F5/E5,"-")</f>
        <v>0.04599724339123414</v>
      </c>
      <c r="H5" s="56" t="inlineStr">
        <is>
          <t>G</t>
        </is>
      </c>
      <c r="I5" s="54" t="n">
        <v>41.77379708</v>
      </c>
      <c r="J5" s="54" t="n">
        <v>41.9336938</v>
      </c>
      <c r="K5" s="54">
        <f>J5-I5</f>
        <v>0.159896719999999</v>
      </c>
      <c r="L5" s="55">
        <f>IFERROR(K5/J5,"-")</f>
        <v>0.0038130845511157663</v>
      </c>
      <c r="M5" s="57" t="inlineStr">
        <is>
          <t>G</t>
        </is>
      </c>
      <c r="N5" s="54">
        <f>I5-S5</f>
        <v>40.97295585</v>
      </c>
      <c r="O5" s="54">
        <f>J5-T5</f>
        <v>40.4336938</v>
      </c>
      <c r="P5" s="54">
        <f>O5-N5</f>
        <v>-0.5392620499999978</v>
      </c>
      <c r="Q5" s="55">
        <f>IFERROR(P5/O5,"-")</f>
        <v>-0.013336947464344646</v>
      </c>
      <c r="R5" s="58" t="inlineStr">
        <is>
          <t>A</t>
        </is>
      </c>
      <c r="S5" s="54" t="n">
        <v>0.80084123</v>
      </c>
      <c r="T5" s="54" t="n">
        <v>1.5</v>
      </c>
      <c r="U5" s="54">
        <f>T5-S5</f>
        <v>0.69915877</v>
      </c>
      <c r="V5" s="55">
        <f>IFERROR(U5/T5,"-")</f>
        <v>0.4661058466666667</v>
      </c>
      <c r="W5" s="56" t="inlineStr">
        <is>
          <t>G</t>
        </is>
      </c>
      <c r="X5" s="54" t="n">
        <v>2.78522111</v>
      </c>
      <c r="Y5" s="54" t="n">
        <v>2.9338979</v>
      </c>
      <c r="Z5" s="54">
        <f>Y5-X5</f>
        <v>0.14867678999999967</v>
      </c>
      <c r="AA5" s="55">
        <f>IFERROR(Z5/Y5,"-")</f>
        <v>0.0506755160089244</v>
      </c>
      <c r="AB5" s="56" t="inlineStr">
        <is>
          <t>G</t>
        </is>
      </c>
      <c r="AC5" s="54" t="n">
        <v>8.8400082</v>
      </c>
      <c r="AD5" s="54" t="n">
        <v>9.2622</v>
      </c>
      <c r="AE5" s="54">
        <f>AD5-AC5</f>
        <v>0.42219180000000023</v>
      </c>
      <c r="AF5" s="55">
        <f>IFERROR(AE5/AD5,"-")</f>
        <v>0.04558223748137594</v>
      </c>
      <c r="AG5" s="56" t="inlineStr">
        <is>
          <t>G</t>
        </is>
      </c>
      <c r="AH5" s="54" t="n">
        <v>0.17597979</v>
      </c>
      <c r="AI5" s="54" t="n">
        <v>2.02833343</v>
      </c>
      <c r="AJ5" s="54">
        <f>AI5-AH5</f>
        <v>1.85235364</v>
      </c>
      <c r="AK5" s="55">
        <f>IFERROR(AJ5/AI5,"-")</f>
        <v>0.9132392202400372</v>
      </c>
      <c r="AL5" s="59" t="inlineStr">
        <is>
          <t>G</t>
        </is>
      </c>
      <c r="AN5" s="60">
        <f>I21+AC21+AH21+X21</f>
        <v>117.95714038000001</v>
      </c>
      <c r="AO5" s="61">
        <f>J21+AD21+AI21+Y21</f>
        <v>112.75951309</v>
      </c>
      <c r="AP5" s="61">
        <f>AO5-AN5</f>
        <v>-5.197627290000014</v>
      </c>
      <c r="AQ5" s="55">
        <f>IFERROR(AP5/AO5,"-")</f>
        <v>-0.04609480076285433</v>
      </c>
      <c r="AR5" s="62" t="inlineStr">
        <is>
          <t>A</t>
        </is>
      </c>
    </row>
    <row r="6" ht="21" customFormat="1" customHeight="1" s="50">
      <c r="A6" s="50" t="inlineStr">
        <is>
          <t>Z-Energy</t>
        </is>
      </c>
      <c r="B6" s="63" t="inlineStr">
        <is>
          <t>Z- Energy</t>
        </is>
      </c>
      <c r="C6" s="64" t="inlineStr">
        <is>
          <t>Vance Anderson
Harley Giles</t>
        </is>
      </c>
      <c r="D6" s="60">
        <f>I6+AC6+AH6+X6</f>
        <v>35.2578582524</v>
      </c>
      <c r="E6" s="61">
        <f>J6+AD6+AI6+Y6</f>
        <v>38.25415984714868</v>
      </c>
      <c r="F6" s="61">
        <f>E6-D6</f>
        <v>2.9963015947486795</v>
      </c>
      <c r="G6" s="65">
        <f>IFERROR(F6/E6,"-")</f>
        <v>0.07832616391840619</v>
      </c>
      <c r="H6" s="57" t="inlineStr">
        <is>
          <t>G</t>
        </is>
      </c>
      <c r="I6" s="61" t="n">
        <v>26.4555130724</v>
      </c>
      <c r="J6" s="61" t="n">
        <v>26.8009903019695</v>
      </c>
      <c r="K6" s="61">
        <f>J6-I6</f>
        <v>0.3454772295695001</v>
      </c>
      <c r="L6" s="65">
        <f>IFERROR(K6/J6,"-")</f>
        <v>0.012890465078975547</v>
      </c>
      <c r="M6" s="57" t="inlineStr">
        <is>
          <t>G</t>
        </is>
      </c>
      <c r="N6" s="54">
        <f>I6-S6</f>
        <v>26.4555130724</v>
      </c>
      <c r="O6" s="54">
        <f>J6-T6</f>
        <v>26.077870301969497</v>
      </c>
      <c r="P6" s="61">
        <f>O6-N6</f>
        <v>-0.37764277043050143</v>
      </c>
      <c r="Q6" s="65">
        <f>IFERROR(P6/O6,"-")</f>
        <v>-0.01448135012781241</v>
      </c>
      <c r="R6" s="58" t="inlineStr">
        <is>
          <t>A</t>
        </is>
      </c>
      <c r="S6" s="54" t="n">
        <v>0</v>
      </c>
      <c r="T6" s="54" t="n">
        <v>0.72312</v>
      </c>
      <c r="U6" s="61">
        <f>T6-S6</f>
        <v>0.72312</v>
      </c>
      <c r="V6" s="65">
        <f>IFERROR(U6/T6,"-")</f>
        <v>1.0</v>
      </c>
      <c r="W6" s="57" t="inlineStr">
        <is>
          <t>G</t>
        </is>
      </c>
      <c r="X6" s="61" t="n">
        <v>4.835755244</v>
      </c>
      <c r="Y6" s="61" t="n">
        <v>5.14368626517918</v>
      </c>
      <c r="Z6" s="61">
        <f>Y6-X6</f>
        <v>0.30793102117918014</v>
      </c>
      <c r="AA6" s="65">
        <f>IFERROR(Z6/Y6,"-")</f>
        <v>0.05986582487811461</v>
      </c>
      <c r="AB6" s="57" t="inlineStr">
        <is>
          <t>G</t>
        </is>
      </c>
      <c r="AC6" s="61" t="n">
        <v>0</v>
      </c>
      <c r="AD6" s="61" t="n">
        <v>0</v>
      </c>
      <c r="AE6" s="61">
        <f>AD6-AC6</f>
        <v>0.0</v>
      </c>
      <c r="AF6" s="65" t="str">
        <f>IFERROR(AE6/AD6,"-")</f>
        <v>-</v>
      </c>
      <c r="AG6" s="66" t="n"/>
      <c r="AH6" s="54" t="n">
        <v>3.966589936</v>
      </c>
      <c r="AI6" s="54" t="n">
        <v>6.30948328</v>
      </c>
      <c r="AJ6" s="61">
        <f>AI6-AH6</f>
        <v>2.342893344</v>
      </c>
      <c r="AK6" s="65">
        <f>IFERROR(AJ6/AI6,"-")</f>
        <v>0.37132887750516397</v>
      </c>
      <c r="AL6" s="67" t="inlineStr">
        <is>
          <t>G</t>
        </is>
      </c>
      <c r="AN6" s="60">
        <f>I22+AC22+AH22+X22</f>
        <v>73.1083914772</v>
      </c>
      <c r="AO6" s="61">
        <f>J22+AD22+AI22+Y22</f>
        <v>76.70351404837331</v>
      </c>
      <c r="AP6" s="61">
        <f>AO6-AN6</f>
        <v>3.595122571173306</v>
      </c>
      <c r="AQ6" s="65">
        <f>IFERROR(AP6/AO6,"-")</f>
        <v>0.04687037635467432</v>
      </c>
      <c r="AR6" s="67" t="inlineStr">
        <is>
          <t>G</t>
        </is>
      </c>
    </row>
    <row r="7" ht="24" customFormat="1" customHeight="1" s="50">
      <c r="A7" s="50" t="inlineStr">
        <is>
          <t>Commercial Fuels</t>
        </is>
      </c>
      <c r="B7" s="63" t="inlineStr">
        <is>
          <t>Commercial Fuels</t>
        </is>
      </c>
      <c r="C7" s="64" t="inlineStr">
        <is>
          <t>Roanne Steele</t>
        </is>
      </c>
      <c r="D7" s="60">
        <f>I7+AC7+AH7+X7</f>
        <v>12.40156227969697</v>
      </c>
      <c r="E7" s="61">
        <f>J7+AD7+AI7+Y7</f>
        <v>18.77737756909091</v>
      </c>
      <c r="F7" s="61">
        <f>E7-D7</f>
        <v>6.375815289393939</v>
      </c>
      <c r="G7" s="65">
        <f>IFERROR(F7/E7,"-")</f>
        <v>0.3395476959407287</v>
      </c>
      <c r="H7" s="57" t="inlineStr">
        <is>
          <t>G</t>
        </is>
      </c>
      <c r="I7" s="61" t="n">
        <v>7.1072414</v>
      </c>
      <c r="J7" s="61" t="n">
        <v>8.284722285454549</v>
      </c>
      <c r="K7" s="61">
        <f>J7-I7</f>
        <v>1.1774808854545489</v>
      </c>
      <c r="L7" s="65">
        <f>IFERROR(K7/J7,"-")</f>
        <v>0.14212677804805202</v>
      </c>
      <c r="M7" s="57" t="inlineStr">
        <is>
          <t>G</t>
        </is>
      </c>
      <c r="N7" s="54">
        <f>I7-S7</f>
        <v>5.01868455307692</v>
      </c>
      <c r="O7" s="54">
        <f>J7-T7</f>
        <v>5.353861823916089</v>
      </c>
      <c r="P7" s="61">
        <f>O7-N7</f>
        <v>0.3351772708391696</v>
      </c>
      <c r="Q7" s="65">
        <f>IFERROR(P7/O7,"-")</f>
        <v>0.06260476677636849</v>
      </c>
      <c r="R7" s="57" t="inlineStr">
        <is>
          <t>G</t>
        </is>
      </c>
      <c r="S7" s="54" t="n">
        <v>2.08855684692308</v>
      </c>
      <c r="T7" s="54" t="n">
        <v>2.93086046153846</v>
      </c>
      <c r="U7" s="61">
        <f>T7-S7</f>
        <v>0.8423036146153797</v>
      </c>
      <c r="V7" s="65">
        <f>IFERROR(U7/T7,"-")</f>
        <v>0.287391237375129</v>
      </c>
      <c r="W7" s="57" t="inlineStr">
        <is>
          <t>G</t>
        </is>
      </c>
      <c r="X7" s="61" t="n"/>
      <c r="Y7" s="61" t="n"/>
      <c r="Z7" s="61">
        <f>Y7-X7</f>
        <v>0.0</v>
      </c>
      <c r="AA7" s="65" t="str">
        <f>IFERROR(Z7/Y7,"-")</f>
        <v>-</v>
      </c>
      <c r="AB7" s="66" t="n"/>
      <c r="AC7" s="61" t="n">
        <v>4.72854146969697</v>
      </c>
      <c r="AD7" s="61" t="n">
        <v>7.109604</v>
      </c>
      <c r="AE7" s="61">
        <f>AD7-AC7</f>
        <v>2.38106253030303</v>
      </c>
      <c r="AF7" s="65">
        <f>IFERROR(AE7/AD7,"-")</f>
        <v>0.3349078978664677</v>
      </c>
      <c r="AG7" s="57" t="inlineStr">
        <is>
          <t>G</t>
        </is>
      </c>
      <c r="AH7" s="54" t="n">
        <v>0.56577941</v>
      </c>
      <c r="AI7" s="54" t="n">
        <v>3.38305128363636</v>
      </c>
      <c r="AJ7" s="61">
        <f>AI7-AH7</f>
        <v>2.8172718736363604</v>
      </c>
      <c r="AK7" s="65">
        <f>IFERROR(AJ7/AI7,"-")</f>
        <v>0.8327606168027529</v>
      </c>
      <c r="AL7" s="67" t="inlineStr">
        <is>
          <t>G</t>
        </is>
      </c>
      <c r="AN7" s="60">
        <f>I23+AC23+AH23+X23</f>
        <v>32.76899756317017</v>
      </c>
      <c r="AO7" s="61">
        <f>J23+AD23+AI23+Y23</f>
        <v>40.534223043939406</v>
      </c>
      <c r="AP7" s="61">
        <f>AO7-AN7</f>
        <v>7.765225480769239</v>
      </c>
      <c r="AQ7" s="65">
        <f>IFERROR(AP7/AO7,"-")</f>
        <v>0.191572081506328</v>
      </c>
      <c r="AR7" s="67" t="inlineStr">
        <is>
          <t>G</t>
        </is>
      </c>
    </row>
    <row r="8" ht="24" customFormat="1" customHeight="1" s="50">
      <c r="A8" s="50" t="inlineStr">
        <is>
          <t>Retail</t>
        </is>
      </c>
      <c r="B8" s="63" t="inlineStr">
        <is>
          <t>Retail</t>
        </is>
      </c>
      <c r="C8" s="64" t="inlineStr">
        <is>
          <t>Vance Anderson</t>
        </is>
      </c>
      <c r="D8" s="60">
        <f>I8+AC8+AH8+X8</f>
        <v>14.290548620000003</v>
      </c>
      <c r="E8" s="61">
        <f>J8+AD8+AI8+Y8</f>
        <v>18.065295140000003</v>
      </c>
      <c r="F8" s="61">
        <f>E8-D8</f>
        <v>3.7747465200000008</v>
      </c>
      <c r="G8" s="65">
        <f>IFERROR(F8/E8,"-")</f>
        <v>0.20895017162725413</v>
      </c>
      <c r="H8" s="57" t="inlineStr">
        <is>
          <t>G</t>
        </is>
      </c>
      <c r="I8" s="61" t="n">
        <v>6.854453</v>
      </c>
      <c r="J8" s="61" t="n">
        <v>7.08529514</v>
      </c>
      <c r="K8" s="61">
        <f>J8-I8</f>
        <v>0.23084214000000003</v>
      </c>
      <c r="L8" s="65">
        <f>IFERROR(K8/J8,"-")</f>
        <v>0.03258045507473384</v>
      </c>
      <c r="M8" s="57" t="inlineStr">
        <is>
          <t>G</t>
        </is>
      </c>
      <c r="N8" s="54">
        <f>I8-S8</f>
        <v>6.45960741</v>
      </c>
      <c r="O8" s="54">
        <f>J8-T8</f>
        <v>6.43029514</v>
      </c>
      <c r="P8" s="61">
        <f>O8-N8</f>
        <v>-0.02931227000000014</v>
      </c>
      <c r="Q8" s="65">
        <f>IFERROR(P8/O8,"-")</f>
        <v>-0.004558464170277593</v>
      </c>
      <c r="R8" s="57" t="inlineStr">
        <is>
          <t>G</t>
        </is>
      </c>
      <c r="S8" s="54" t="n">
        <v>0.39484559</v>
      </c>
      <c r="T8" s="54" t="n">
        <v>0.655</v>
      </c>
      <c r="U8" s="61">
        <f>T8-S8</f>
        <v>0.26015441</v>
      </c>
      <c r="V8" s="65">
        <f>IFERROR(U8/T8,"-")</f>
        <v>0.39718230534351145</v>
      </c>
      <c r="W8" s="57" t="inlineStr">
        <is>
          <t>G</t>
        </is>
      </c>
      <c r="X8" s="61" t="n"/>
      <c r="Y8" s="61" t="n"/>
      <c r="Z8" s="61">
        <f>Y8-X8</f>
        <v>0.0</v>
      </c>
      <c r="AA8" s="65" t="str">
        <f>IFERROR(Z8/Y8,"-")</f>
        <v>-</v>
      </c>
      <c r="AB8" s="66" t="n"/>
      <c r="AC8" s="61" t="n">
        <v>3.35460589</v>
      </c>
      <c r="AD8" s="61" t="n">
        <v>5.08</v>
      </c>
      <c r="AE8" s="61">
        <f>AD8-AC8</f>
        <v>1.7253941099999999</v>
      </c>
      <c r="AF8" s="65">
        <f>IFERROR(AE8/AD8,"-")</f>
        <v>0.33964450984251965</v>
      </c>
      <c r="AG8" s="57" t="inlineStr">
        <is>
          <t>G</t>
        </is>
      </c>
      <c r="AH8" s="54" t="n">
        <v>4.08148973</v>
      </c>
      <c r="AI8" s="54" t="n">
        <v>5.9</v>
      </c>
      <c r="AJ8" s="61">
        <f>AI8-AH8</f>
        <v>1.81851027</v>
      </c>
      <c r="AK8" s="65">
        <f>IFERROR(AJ8/AI8,"-")</f>
        <v>0.30822207966101695</v>
      </c>
      <c r="AL8" s="67" t="inlineStr">
        <is>
          <t>G</t>
        </is>
      </c>
      <c r="AN8" s="60">
        <f>I24+AC24+AH24+X24</f>
        <v>35.260355770000004</v>
      </c>
      <c r="AO8" s="61">
        <f>J24+AD24+AI24+Y24</f>
        <v>33.88085459</v>
      </c>
      <c r="AP8" s="61">
        <f>AO8-AN8</f>
        <v>-1.3795011800000054</v>
      </c>
      <c r="AQ8" s="65">
        <f>IFERROR(AP8/AO8,"-")</f>
        <v>-0.04071624510932992</v>
      </c>
      <c r="AR8" s="68" t="inlineStr">
        <is>
          <t>R</t>
        </is>
      </c>
    </row>
    <row r="9" ht="24" customFormat="1" customHeight="1" s="50">
      <c r="A9" s="50" t="inlineStr">
        <is>
          <t>Energy Solutions</t>
        </is>
      </c>
      <c r="B9" s="63" t="inlineStr">
        <is>
          <t>Energy Solutions</t>
        </is>
      </c>
      <c r="C9" s="64" t="inlineStr">
        <is>
          <t>Roanne Steele</t>
        </is>
      </c>
      <c r="D9" s="60">
        <f>I9+AC9+AH9+X9</f>
        <v>4.138503998274</v>
      </c>
      <c r="E9" s="61">
        <f>J9+AD9+AI9+Y9</f>
        <v>3.80667954</v>
      </c>
      <c r="F9" s="61">
        <f>E9-D9</f>
        <v>-0.3318244582740002</v>
      </c>
      <c r="G9" s="65">
        <f>IFERROR(F9/E9,"-")</f>
        <v>-0.0871690024829356</v>
      </c>
      <c r="H9" s="69" t="inlineStr">
        <is>
          <t>R</t>
        </is>
      </c>
      <c r="I9" s="61" t="n">
        <v>2.87890034</v>
      </c>
      <c r="J9" s="61" t="n">
        <v>2.51601915</v>
      </c>
      <c r="K9" s="61">
        <f>J9-I9</f>
        <v>-0.36288118999999996</v>
      </c>
      <c r="L9" s="65">
        <f>IFERROR(K9/J9,"-")</f>
        <v>-0.14422831002697256</v>
      </c>
      <c r="M9" s="70" t="inlineStr">
        <is>
          <t>R</t>
        </is>
      </c>
      <c r="N9" s="54">
        <f>I9-S9</f>
        <v>2.54529162</v>
      </c>
      <c r="O9" s="54">
        <f>J9-T9</f>
        <v>2.03101915</v>
      </c>
      <c r="P9" s="61">
        <f>O9-N9</f>
        <v>-0.5142724699999999</v>
      </c>
      <c r="Q9" s="65">
        <f>IFERROR(P9/O9,"-")</f>
        <v>-0.2532090699390992</v>
      </c>
      <c r="R9" s="69" t="inlineStr">
        <is>
          <t>R</t>
        </is>
      </c>
      <c r="S9" s="54" t="n">
        <v>0.33360872</v>
      </c>
      <c r="T9" s="54" t="n">
        <v>0.485</v>
      </c>
      <c r="U9" s="61">
        <f>T9-S9</f>
        <v>0.15139127999999996</v>
      </c>
      <c r="V9" s="65">
        <f>IFERROR(U9/T9,"-")</f>
        <v>0.3121469690721649</v>
      </c>
      <c r="W9" s="57" t="inlineStr">
        <is>
          <t>G</t>
        </is>
      </c>
      <c r="X9" s="61" t="n"/>
      <c r="Y9" s="61" t="n"/>
      <c r="Z9" s="61">
        <f>Y9-X9</f>
        <v>0.0</v>
      </c>
      <c r="AA9" s="65" t="str">
        <f>IFERROR(Z9/Y9,"-")</f>
        <v>-</v>
      </c>
      <c r="AB9" s="66" t="n"/>
      <c r="AC9" s="61" t="n"/>
      <c r="AD9" s="61" t="n"/>
      <c r="AE9" s="61">
        <f>AD9-AC9</f>
        <v>0.0</v>
      </c>
      <c r="AF9" s="65" t="str">
        <f>IFERROR(AE9/AD9,"-")</f>
        <v>-</v>
      </c>
      <c r="AG9" s="66" t="n"/>
      <c r="AH9" s="54" t="n">
        <v>1.259603658274</v>
      </c>
      <c r="AI9" s="54" t="n">
        <v>1.29066039</v>
      </c>
      <c r="AJ9" s="61">
        <f>AI9-AH9</f>
        <v>0.031056731725999986</v>
      </c>
      <c r="AK9" s="65">
        <f>IFERROR(AJ9/AI9,"-")</f>
        <v>0.024062667427176554</v>
      </c>
      <c r="AL9" s="67" t="inlineStr">
        <is>
          <t>G</t>
        </is>
      </c>
      <c r="AN9" s="60">
        <f>I25+AC25+AH25+X25</f>
        <v>7.830666008273999</v>
      </c>
      <c r="AO9" s="61">
        <f>J25+AD25+AI25+Y25</f>
        <v>8.00952437</v>
      </c>
      <c r="AP9" s="61">
        <f>AO9-AN9</f>
        <v>0.17885836172600023</v>
      </c>
      <c r="AQ9" s="65">
        <f>IFERROR(AP9/AO9,"-")</f>
        <v>0.022330709473326722</v>
      </c>
      <c r="AR9" s="68" t="inlineStr">
        <is>
          <t>R</t>
        </is>
      </c>
    </row>
    <row r="10" ht="24" customFormat="1" customHeight="1" s="50">
      <c r="A10" s="50" t="inlineStr">
        <is>
          <t>Infrastructure</t>
        </is>
      </c>
      <c r="B10" s="63" t="inlineStr">
        <is>
          <t>Infrastructure</t>
        </is>
      </c>
      <c r="C10" s="64" t="inlineStr">
        <is>
          <t>Roanne Steele</t>
        </is>
      </c>
      <c r="D10" s="60">
        <f>I10+AC10+AH10+X10</f>
        <v>2.69057661</v>
      </c>
      <c r="E10" s="61">
        <f>J10+AD10+AI10+Y10</f>
        <v>4.27708298</v>
      </c>
      <c r="F10" s="61">
        <f>E10-D10</f>
        <v>1.5865063700000004</v>
      </c>
      <c r="G10" s="65">
        <f>IFERROR(F10/E10,"-")</f>
        <v>0.37093186581103</v>
      </c>
      <c r="H10" s="57" t="inlineStr">
        <is>
          <t>G</t>
        </is>
      </c>
      <c r="I10" s="61" t="n">
        <v>1.75620822</v>
      </c>
      <c r="J10" s="61" t="n">
        <v>1.831374</v>
      </c>
      <c r="K10" s="61">
        <f>J10-I10</f>
        <v>0.07516578000000007</v>
      </c>
      <c r="L10" s="65">
        <f>IFERROR(K10/J10,"-")</f>
        <v>0.04104338054378847</v>
      </c>
      <c r="M10" s="57" t="inlineStr">
        <is>
          <t>G</t>
        </is>
      </c>
      <c r="N10" s="54">
        <f>I10-S10</f>
        <v>1.44044992</v>
      </c>
      <c r="O10" s="54">
        <f>J10-T10</f>
        <v>1.4496930000000001</v>
      </c>
      <c r="P10" s="61">
        <f>O10-N10</f>
        <v>0.00924308000000007</v>
      </c>
      <c r="Q10" s="65">
        <f>IFERROR(P10/O10,"-")</f>
        <v>0.006375887860395318</v>
      </c>
      <c r="R10" s="57" t="inlineStr">
        <is>
          <t>G</t>
        </is>
      </c>
      <c r="S10" s="54" t="n">
        <v>0.3157583</v>
      </c>
      <c r="T10" s="54" t="n">
        <v>0.381681</v>
      </c>
      <c r="U10" s="61">
        <f>T10-S10</f>
        <v>0.0659227</v>
      </c>
      <c r="V10" s="65">
        <f>IFERROR(U10/T10,"-")</f>
        <v>0.17271674513533553</v>
      </c>
      <c r="W10" s="57" t="inlineStr">
        <is>
          <t>G</t>
        </is>
      </c>
      <c r="X10" s="61" t="n"/>
      <c r="Y10" s="61" t="n"/>
      <c r="Z10" s="61">
        <f>Y10-X10</f>
        <v>0.0</v>
      </c>
      <c r="AA10" s="65" t="str">
        <f>IFERROR(Z10/Y10,"-")</f>
        <v>-</v>
      </c>
      <c r="AB10" s="66" t="n"/>
      <c r="AC10" s="61" t="n"/>
      <c r="AD10" s="61" t="n"/>
      <c r="AE10" s="61">
        <f>AD10-AC10</f>
        <v>0.0</v>
      </c>
      <c r="AF10" s="65" t="str">
        <f>IFERROR(AE10/AD10,"-")</f>
        <v>-</v>
      </c>
      <c r="AG10" s="66" t="n"/>
      <c r="AH10" s="54" t="n">
        <v>0.93436839</v>
      </c>
      <c r="AI10" s="54" t="n">
        <v>2.44570898</v>
      </c>
      <c r="AJ10" s="61">
        <f>AI10-AH10</f>
        <v>1.51134059</v>
      </c>
      <c r="AK10" s="65">
        <f>IFERROR(AJ10/AI10,"-")</f>
        <v>0.6179560210798262</v>
      </c>
      <c r="AL10" s="67" t="inlineStr">
        <is>
          <t>G</t>
        </is>
      </c>
      <c r="AN10" s="60">
        <f>I26+AC26+AH26+X26</f>
        <v>8.41854714</v>
      </c>
      <c r="AO10" s="61">
        <f>J26+AD26+AI26+Y26</f>
        <v>9.24937596</v>
      </c>
      <c r="AP10" s="61">
        <f>AO10-AN10</f>
        <v>0.8308288200000007</v>
      </c>
      <c r="AQ10" s="65">
        <f>IFERROR(AP10/AO10,"-")</f>
        <v>0.08982539185270622</v>
      </c>
      <c r="AR10" s="67" t="inlineStr">
        <is>
          <t>G</t>
        </is>
      </c>
    </row>
    <row r="11" ht="24" customFormat="1" customHeight="1" s="50">
      <c r="A11" s="50" t="inlineStr">
        <is>
          <t>Finance &amp; Other Corp</t>
        </is>
      </c>
      <c r="B11" s="63" t="inlineStr">
        <is>
          <t>Finance &amp; Other Corp</t>
        </is>
      </c>
      <c r="C11" s="64" t="inlineStr">
        <is>
          <t>Emily Mogic</t>
        </is>
      </c>
      <c r="D11" s="60">
        <f>I11+AC11+AH11+X11</f>
        <v>2.84685292</v>
      </c>
      <c r="E11" s="61">
        <f>J11+AD11+AI11+Y11</f>
        <v>2.12235381</v>
      </c>
      <c r="F11" s="61">
        <f>E11-D11</f>
        <v>-0.72449911</v>
      </c>
      <c r="G11" s="65">
        <f>IFERROR(F11/E11,"-")</f>
        <v>-0.3413658488920846</v>
      </c>
      <c r="H11" s="69" t="inlineStr">
        <is>
          <t>R</t>
        </is>
      </c>
      <c r="I11" s="61" t="n">
        <v>2.84685292</v>
      </c>
      <c r="J11" s="61" t="n">
        <v>2.12235381</v>
      </c>
      <c r="K11" s="61">
        <f>J11-I11</f>
        <v>-0.72449911</v>
      </c>
      <c r="L11" s="65">
        <f>IFERROR(K11/J11,"-")</f>
        <v>-0.3413658488920846</v>
      </c>
      <c r="M11" s="69" t="inlineStr">
        <is>
          <t>R</t>
        </is>
      </c>
      <c r="N11" s="54">
        <f>I11-S11</f>
        <v>2.07860065</v>
      </c>
      <c r="O11" s="54">
        <f>J11-T11</f>
        <v>1.654610505</v>
      </c>
      <c r="P11" s="61">
        <f>O11-N11</f>
        <v>-0.4239901449999999</v>
      </c>
      <c r="Q11" s="65">
        <f>IFERROR(P11/O11,"-")</f>
        <v>-0.2562477052567727</v>
      </c>
      <c r="R11" s="69" t="inlineStr">
        <is>
          <t>R</t>
        </is>
      </c>
      <c r="S11" s="54" t="n">
        <v>0.76825227</v>
      </c>
      <c r="T11" s="54" t="n">
        <v>0.467743305</v>
      </c>
      <c r="U11" s="61">
        <f>T11-S11</f>
        <v>-0.30050896499999996</v>
      </c>
      <c r="V11" s="65">
        <f>IFERROR(U11/T11,"-")</f>
        <v>-0.6424655613189375</v>
      </c>
      <c r="W11" s="69" t="inlineStr">
        <is>
          <t>R</t>
        </is>
      </c>
      <c r="X11" s="61" t="n"/>
      <c r="Y11" s="61" t="n"/>
      <c r="Z11" s="61">
        <f>Y11-X11</f>
        <v>0.0</v>
      </c>
      <c r="AA11" s="65" t="str">
        <f>IFERROR(Z11/Y11,"-")</f>
        <v>-</v>
      </c>
      <c r="AB11" s="66" t="n"/>
      <c r="AC11" s="61" t="n"/>
      <c r="AD11" s="61" t="n"/>
      <c r="AE11" s="61">
        <f>AD11-AC11</f>
        <v>0.0</v>
      </c>
      <c r="AF11" s="65" t="str">
        <f>IFERROR(AE11/AD11,"-")</f>
        <v>-</v>
      </c>
      <c r="AG11" s="66" t="n"/>
      <c r="AH11" s="54" t="n">
        <v>0</v>
      </c>
      <c r="AI11" s="54" t="n">
        <v>0</v>
      </c>
      <c r="AJ11" s="61">
        <f>AI11-AH11</f>
        <v>0.0</v>
      </c>
      <c r="AK11" s="65" t="str">
        <f>IFERROR(AJ11/AI11,"-")</f>
        <v>-</v>
      </c>
      <c r="AL11" s="71" t="n"/>
      <c r="AN11" s="60">
        <f>I27+AC27+AH27+X27</f>
        <v>5.27211191</v>
      </c>
      <c r="AO11" s="61">
        <f>J27+AD27+AI27+Y27</f>
        <v>3.88077368</v>
      </c>
      <c r="AP11" s="61">
        <f>AO11-AN11</f>
        <v>-1.3913382299999997</v>
      </c>
      <c r="AQ11" s="65">
        <f>IFERROR(AP11/AO11,"-")</f>
        <v>-0.3585208375253668</v>
      </c>
      <c r="AR11" s="67" t="inlineStr">
        <is>
          <t>G</t>
        </is>
      </c>
    </row>
    <row r="12" ht="24" customFormat="1" customHeight="1" s="50">
      <c r="A12" s="50" t="inlineStr">
        <is>
          <t>People &amp; Culture</t>
        </is>
      </c>
      <c r="B12" s="63" t="inlineStr">
        <is>
          <t>P&amp;C</t>
        </is>
      </c>
      <c r="C12" s="64" t="inlineStr">
        <is>
          <t>Emily Mogic</t>
        </is>
      </c>
      <c r="D12" s="60">
        <f>I12+AC12+AH12+X12</f>
        <v>1.9651397</v>
      </c>
      <c r="E12" s="61">
        <f>J12+AD12+AI12+Y12</f>
        <v>2.46050804</v>
      </c>
      <c r="F12" s="61">
        <f>E12-D12</f>
        <v>0.4953683400000002</v>
      </c>
      <c r="G12" s="65">
        <f>IFERROR(F12/E12,"-")</f>
        <v>0.20132766564745716</v>
      </c>
      <c r="H12" s="57" t="inlineStr">
        <is>
          <t>G</t>
        </is>
      </c>
      <c r="I12" s="61" t="n">
        <v>1.61781844</v>
      </c>
      <c r="J12" s="61" t="n">
        <v>1.86060804</v>
      </c>
      <c r="K12" s="61">
        <f>J12-I12</f>
        <v>0.24278960000000005</v>
      </c>
      <c r="L12" s="65">
        <f>IFERROR(K12/J12,"-")</f>
        <v>0.13048938560966342</v>
      </c>
      <c r="M12" s="57" t="inlineStr">
        <is>
          <t>G</t>
        </is>
      </c>
      <c r="N12" s="54">
        <f>I12-S12</f>
        <v>0.70035539</v>
      </c>
      <c r="O12" s="54">
        <f>J12-T12</f>
        <v>0.87310804</v>
      </c>
      <c r="P12" s="61">
        <f>O12-N12</f>
        <v>0.17275264999999995</v>
      </c>
      <c r="Q12" s="65">
        <f>IFERROR(P12/O12,"-")</f>
        <v>0.19785941955133063</v>
      </c>
      <c r="R12" s="57" t="inlineStr">
        <is>
          <t>G</t>
        </is>
      </c>
      <c r="S12" s="54" t="n">
        <v>0.9174630499999999</v>
      </c>
      <c r="T12" s="54" t="n">
        <v>0.9875</v>
      </c>
      <c r="U12" s="61">
        <f>T12-S12</f>
        <v>0.0700369500000001</v>
      </c>
      <c r="V12" s="65">
        <f>IFERROR(U12/T12,"-")</f>
        <v>0.07092349367088617</v>
      </c>
      <c r="W12" s="57" t="inlineStr">
        <is>
          <t>G</t>
        </is>
      </c>
      <c r="X12" s="61" t="n"/>
      <c r="Y12" s="61" t="n"/>
      <c r="Z12" s="61">
        <f>Y12-X12</f>
        <v>0.0</v>
      </c>
      <c r="AA12" s="65" t="str">
        <f>IFERROR(Z12/Y12,"-")</f>
        <v>-</v>
      </c>
      <c r="AB12" s="66" t="n"/>
      <c r="AC12" s="61" t="n">
        <v>0.34732126</v>
      </c>
      <c r="AD12" s="61" t="n">
        <v>0.4624</v>
      </c>
      <c r="AE12" s="61">
        <f>AD12-AC12</f>
        <v>0.11507873999999996</v>
      </c>
      <c r="AF12" s="65">
        <f>IFERROR(AE12/AD12,"-")</f>
        <v>0.24887270761245667</v>
      </c>
      <c r="AG12" s="57" t="inlineStr">
        <is>
          <t>G</t>
        </is>
      </c>
      <c r="AH12" s="54" t="n">
        <v>0</v>
      </c>
      <c r="AI12" s="54" t="n">
        <v>0.1375</v>
      </c>
      <c r="AJ12" s="61">
        <f>AI12-AH12</f>
        <v>0.1375</v>
      </c>
      <c r="AK12" s="65">
        <f>IFERROR(AJ12/AI12,"-")</f>
        <v>1.0</v>
      </c>
      <c r="AL12" s="67" t="inlineStr">
        <is>
          <t>G</t>
        </is>
      </c>
      <c r="AN12" s="60">
        <f>I28+AC28+AH28+X28</f>
        <v>5.4932256</v>
      </c>
      <c r="AO12" s="61">
        <f>J28+AD28+AI28+Y28</f>
        <v>5.81303803</v>
      </c>
      <c r="AP12" s="61">
        <f>AO12-AN12</f>
        <v>0.3198124300000007</v>
      </c>
      <c r="AQ12" s="65">
        <f>IFERROR(AP12/AO12,"-")</f>
        <v>0.055016400778647695</v>
      </c>
      <c r="AR12" s="67" t="inlineStr">
        <is>
          <t>G</t>
        </is>
      </c>
    </row>
    <row r="13" ht="24" customFormat="1" customHeight="1" s="50">
      <c r="A13" s="50" t="inlineStr">
        <is>
          <t>Customer</t>
        </is>
      </c>
      <c r="B13" s="72" t="inlineStr">
        <is>
          <t>Customer</t>
        </is>
      </c>
      <c r="C13" s="73" t="inlineStr">
        <is>
          <t>Harley Giles</t>
        </is>
      </c>
      <c r="D13" s="74">
        <f>I13+AC13+AH13+X13</f>
        <v>2.41052833</v>
      </c>
      <c r="E13" s="75">
        <f>J13+AD13+AI13+Y13</f>
        <v>5.40474571</v>
      </c>
      <c r="F13" s="75">
        <f>E13-D13</f>
        <v>2.9942173800000003</v>
      </c>
      <c r="G13" s="76">
        <f>IFERROR(F13/E13,"-")</f>
        <v>0.5539978272169257</v>
      </c>
      <c r="H13" s="77" t="inlineStr">
        <is>
          <t>G</t>
        </is>
      </c>
      <c r="I13" s="75" t="n">
        <v>0.98861064</v>
      </c>
      <c r="J13" s="75" t="n">
        <v>0.82141236</v>
      </c>
      <c r="K13" s="75">
        <f>J13-I13</f>
        <v>-0.16719828000000003</v>
      </c>
      <c r="L13" s="76">
        <f>IFERROR(K13/J13,"-")</f>
        <v>-0.20354974936096656</v>
      </c>
      <c r="M13" s="70" t="inlineStr">
        <is>
          <t>R</t>
        </is>
      </c>
      <c r="N13" s="78">
        <f>I13-S13</f>
        <v>0.98861064</v>
      </c>
      <c r="O13" s="78">
        <f>J13-T13</f>
        <v>0.82141236</v>
      </c>
      <c r="P13" s="75">
        <f>O13-N13</f>
        <v>-0.16719828000000003</v>
      </c>
      <c r="Q13" s="76">
        <f>IFERROR(P13/O13,"-")</f>
        <v>-0.20354974936096656</v>
      </c>
      <c r="R13" s="70" t="inlineStr">
        <is>
          <t>R</t>
        </is>
      </c>
      <c r="S13" s="78" t="n">
        <v>0</v>
      </c>
      <c r="T13" s="78" t="n">
        <v>0</v>
      </c>
      <c r="U13" s="75">
        <f>T13-S13</f>
        <v>0.0</v>
      </c>
      <c r="V13" s="76" t="str">
        <f>IFERROR(U13/T13,"-")</f>
        <v>-</v>
      </c>
      <c r="W13" s="79" t="n"/>
      <c r="X13" s="75" t="n"/>
      <c r="Y13" s="75" t="n"/>
      <c r="Z13" s="75">
        <f>Y13-X13</f>
        <v>0.0</v>
      </c>
      <c r="AA13" s="76" t="str">
        <f>IFERROR(Z13/Y13,"-")</f>
        <v>-</v>
      </c>
      <c r="AB13" s="79" t="n"/>
      <c r="AC13" s="75" t="n">
        <v>0</v>
      </c>
      <c r="AD13" s="75" t="n">
        <v>2.50000002</v>
      </c>
      <c r="AE13" s="75">
        <f>AD13-AC13</f>
        <v>2.50000002</v>
      </c>
      <c r="AF13" s="76">
        <f>IFERROR(AE13/AD13,"-")</f>
        <v>1.0</v>
      </c>
      <c r="AG13" s="77" t="inlineStr">
        <is>
          <t>G</t>
        </is>
      </c>
      <c r="AH13" s="78" t="n">
        <v>1.42191769</v>
      </c>
      <c r="AI13" s="78" t="n">
        <v>2.08333333</v>
      </c>
      <c r="AJ13" s="75">
        <f>AI13-AH13</f>
        <v>0.66141564</v>
      </c>
      <c r="AK13" s="76">
        <f>IFERROR(AJ13/AI13,"-")</f>
        <v>0.31747950770796723</v>
      </c>
      <c r="AL13" s="80" t="inlineStr">
        <is>
          <t>G</t>
        </is>
      </c>
      <c r="AN13" s="74">
        <f>I29+AC29+AH29+X29</f>
        <v>10.98378269</v>
      </c>
      <c r="AO13" s="75">
        <f>J29+AD29+AI29+Y29</f>
        <v>11.69153287</v>
      </c>
      <c r="AP13" s="75">
        <f>AO13-AN13</f>
        <v>0.7077501799999997</v>
      </c>
      <c r="AQ13" s="76">
        <f>IFERROR(AP13/AO13,"-")</f>
        <v>0.060535276928148404</v>
      </c>
      <c r="AR13" s="80" t="inlineStr">
        <is>
          <t>G</t>
        </is>
      </c>
    </row>
    <row r="14" ht="26.25" customFormat="1" customHeight="1" s="81">
      <c r="B14" s="82" t="inlineStr">
        <is>
          <t>Total Technology</t>
        </is>
      </c>
      <c r="C14" s="82" t="n"/>
      <c r="D14" s="83">
        <f>SUM(D5:D13)</f>
        <v>129.57657689037097</v>
      </c>
      <c r="E14" s="84">
        <f>SUM(E5:E13)</f>
        <v>149.32632776623956</v>
      </c>
      <c r="F14" s="84">
        <f>SUM(F5:F13)</f>
        <v>19.749750875868614</v>
      </c>
      <c r="G14" s="85">
        <f>F14/E14</f>
        <v>0.13225900061498558</v>
      </c>
      <c r="H14" s="86" t="inlineStr">
        <is>
          <t>G</t>
        </is>
      </c>
      <c r="I14" s="87">
        <f>SUM(I5:I13)</f>
        <v>92.27939511240001</v>
      </c>
      <c r="J14" s="84">
        <f>SUM(J5:J13)</f>
        <v>93.25646888742403</v>
      </c>
      <c r="K14" s="84">
        <f>SUM(K5:K13)</f>
        <v>0.9770737750240481</v>
      </c>
      <c r="L14" s="85">
        <f>K14/J14</f>
        <v>0.010477276125515085</v>
      </c>
      <c r="M14" s="86" t="inlineStr">
        <is>
          <t>G</t>
        </is>
      </c>
      <c r="N14" s="87">
        <f>SUM(N5:N13)</f>
        <v>86.66006910547694</v>
      </c>
      <c r="O14" s="84">
        <f>SUM(O5:O13)</f>
        <v>85.12556412088558</v>
      </c>
      <c r="P14" s="84">
        <f>SUM(P5:P13)</f>
        <v>-1.5345049845913294</v>
      </c>
      <c r="Q14" s="85">
        <f>P14/O14</f>
        <v>-0.018026370813968424</v>
      </c>
      <c r="R14" s="88" t="inlineStr">
        <is>
          <t>A</t>
        </is>
      </c>
      <c r="S14" s="87">
        <f>SUM(S5:S13)</f>
        <v>5.61932600692308</v>
      </c>
      <c r="T14" s="84">
        <f>SUM(T5:T13)</f>
        <v>8.13090476653846</v>
      </c>
      <c r="U14" s="84">
        <f>SUM(U5:U13)</f>
        <v>2.5115787596153796</v>
      </c>
      <c r="V14" s="85">
        <f>U14/T14</f>
        <v>0.30889290081854254</v>
      </c>
      <c r="W14" s="86" t="inlineStr">
        <is>
          <t>G</t>
        </is>
      </c>
      <c r="X14" s="87">
        <f>SUM(X5:X13)</f>
        <v>7.620976354</v>
      </c>
      <c r="Y14" s="84">
        <f>SUM(Y5:Y13)</f>
        <v>8.077584165179179</v>
      </c>
      <c r="Z14" s="84">
        <f>SUM(Z5:Z13)</f>
        <v>0.4566078111791798</v>
      </c>
      <c r="AA14" s="85">
        <f>Z14/Y14</f>
        <v>0.05652776892719028</v>
      </c>
      <c r="AB14" s="86" t="inlineStr">
        <is>
          <t>G</t>
        </is>
      </c>
      <c r="AC14" s="87">
        <f>SUM(AC5:AC13)</f>
        <v>17.270476819696974</v>
      </c>
      <c r="AD14" s="84">
        <f>SUM(AD5:AD13)</f>
        <v>24.41420402</v>
      </c>
      <c r="AE14" s="84">
        <f>SUM(AE5:AE13)</f>
        <v>7.143727200303029</v>
      </c>
      <c r="AF14" s="85">
        <f>AE14/AD14</f>
        <v>0.29260536999080217</v>
      </c>
      <c r="AG14" s="86" t="inlineStr">
        <is>
          <t>G</t>
        </is>
      </c>
      <c r="AH14" s="87">
        <f>SUM(AH5:AH13)</f>
        <v>12.405728604274</v>
      </c>
      <c r="AI14" s="84">
        <f>SUM(AI5:AI13)</f>
        <v>23.57807069363636</v>
      </c>
      <c r="AJ14" s="84">
        <f>SUM(AJ5:AJ13)</f>
        <v>11.172342089362362</v>
      </c>
      <c r="AK14" s="85">
        <f>AJ14/AI14</f>
        <v>0.47384462598874716</v>
      </c>
      <c r="AL14" s="89" t="inlineStr">
        <is>
          <t>G</t>
        </is>
      </c>
      <c r="AN14" s="83">
        <f>SUM(AN5:AN13)</f>
        <v>297.0932185386442</v>
      </c>
      <c r="AO14" s="84">
        <f>SUM(AO5:AO13)</f>
        <v>302.5223496823127</v>
      </c>
      <c r="AP14" s="84">
        <f>SUM(AP5:AP13)</f>
        <v>5.429131143668527</v>
      </c>
      <c r="AQ14" s="90">
        <f>AP14/AO14</f>
        <v>0.017946215046160428</v>
      </c>
      <c r="AR14" s="89" t="inlineStr">
        <is>
          <t>G</t>
        </is>
      </c>
    </row>
    <row r="15" ht="24" customHeight="1">
      <c r="F15" s="91">
        <f>F14/E14</f>
        <v>0.13225900061498558</v>
      </c>
      <c r="I15" s="91">
        <f>I14/$D14</f>
        <v>0.7121610813231587</v>
      </c>
      <c r="J15" s="92" t="inlineStr">
        <is>
          <t>`</t>
        </is>
      </c>
      <c r="K15" s="91">
        <f>K14/J14</f>
        <v>0.010477276125515085</v>
      </c>
      <c r="L15" s="92" t="n"/>
      <c r="M15" s="92" t="n"/>
      <c r="N15" s="91">
        <f>N14/$D14</f>
        <v>0.6687942465002467</v>
      </c>
      <c r="O15" s="92" t="n"/>
      <c r="P15" s="91">
        <f>P14/O14</f>
        <v>-0.018026370813968424</v>
      </c>
      <c r="Q15" s="92" t="n"/>
      <c r="R15" s="92" t="n"/>
      <c r="S15" s="91">
        <f>S14/$D14</f>
        <v>0.043366834822912044</v>
      </c>
      <c r="T15" s="92" t="n"/>
      <c r="U15" s="91">
        <f>U14/T14</f>
        <v>0.30889290081854254</v>
      </c>
      <c r="V15" s="92" t="n"/>
      <c r="W15" s="92" t="n"/>
      <c r="X15" s="91">
        <f>X14/$D14</f>
        <v>0.058814459656916014</v>
      </c>
      <c r="Z15" s="91">
        <f>Z14/Y14</f>
        <v>0.05652776892719028</v>
      </c>
      <c r="AC15" s="91">
        <f>AC14/$D14</f>
        <v>0.13328394092636636</v>
      </c>
      <c r="AD15" s="92" t="n"/>
      <c r="AE15" s="91">
        <f>AE14/AD14</f>
        <v>0.29260536999080217</v>
      </c>
      <c r="AF15" s="92" t="n"/>
      <c r="AG15" s="92" t="n"/>
      <c r="AH15" s="91">
        <f>AH14/$D14</f>
        <v>0.09574051809355899</v>
      </c>
      <c r="AI15" s="92" t="n"/>
      <c r="AJ15" s="91">
        <f>AJ14/AI14</f>
        <v>0.47384462598874716</v>
      </c>
      <c r="AK15" s="92" t="n"/>
      <c r="AL15" s="92" t="n"/>
    </row>
    <row r="16" ht="30.75" customHeight="1">
      <c r="B16" s="42" t="n"/>
      <c r="C16" s="42" t="n"/>
    </row>
    <row r="19" ht="35.25" customHeight="1">
      <c r="B19" s="13" t="inlineStr">
        <is>
          <t>BUSINESS SEGMENTS</t>
        </is>
      </c>
      <c r="C19" s="13" t="inlineStr">
        <is>
          <t>TDD GM</t>
        </is>
      </c>
      <c r="D19" s="7" t="inlineStr">
        <is>
          <t>FY2026 - TOTAL</t>
        </is>
      </c>
      <c r="E19" s="291" t="n"/>
      <c r="F19" s="291" t="n"/>
      <c r="G19" s="291" t="n"/>
      <c r="H19" s="292" t="n"/>
      <c r="I19" s="11" t="inlineStr">
        <is>
          <t>OPEX: LIGHTS ON + INITIATIVES</t>
        </is>
      </c>
      <c r="J19" s="291" t="n"/>
      <c r="K19" s="291" t="n"/>
      <c r="L19" s="291" t="n"/>
      <c r="M19" s="292" t="n"/>
      <c r="N19" s="11" t="inlineStr">
        <is>
          <t>OPEX:LIGHTS ON</t>
        </is>
      </c>
      <c r="O19" s="291" t="n"/>
      <c r="P19" s="291" t="n"/>
      <c r="Q19" s="291" t="n"/>
      <c r="R19" s="292" t="n"/>
      <c r="S19" s="11" t="inlineStr">
        <is>
          <t>OPEX: INITIATIVES</t>
        </is>
      </c>
      <c r="T19" s="291" t="n"/>
      <c r="U19" s="291" t="n"/>
      <c r="V19" s="291" t="n"/>
      <c r="W19" s="292" t="n"/>
      <c r="X19" s="11" t="inlineStr">
        <is>
          <t>OPEX: DEPRECIATION</t>
        </is>
      </c>
      <c r="Y19" s="291" t="n"/>
      <c r="Z19" s="291" t="n"/>
      <c r="AA19" s="291" t="n"/>
      <c r="AB19" s="292" t="n"/>
      <c r="AC19" s="11" t="inlineStr">
        <is>
          <t>OPEX: SIGNIFICANT ITEMS</t>
        </is>
      </c>
      <c r="AD19" s="291" t="n"/>
      <c r="AE19" s="291" t="n"/>
      <c r="AF19" s="291" t="n"/>
      <c r="AG19" s="292" t="n"/>
      <c r="AH19" s="10" t="inlineStr">
        <is>
          <t>CAPEX</t>
        </is>
      </c>
      <c r="AI19" s="291" t="n"/>
      <c r="AJ19" s="291" t="n"/>
      <c r="AK19" s="291" t="n"/>
      <c r="AL19" s="293" t="n"/>
    </row>
    <row r="20" ht="12.75" customHeight="1">
      <c r="B20" s="294" t="n"/>
      <c r="C20" s="294" t="n"/>
      <c r="D20" s="93" t="inlineStr">
        <is>
          <t>F</t>
        </is>
      </c>
      <c r="E20" s="93" t="inlineStr">
        <is>
          <t>B</t>
        </is>
      </c>
      <c r="F20" s="93" t="inlineStr">
        <is>
          <t>V</t>
        </is>
      </c>
      <c r="G20" s="45" t="inlineStr">
        <is>
          <t>V %</t>
        </is>
      </c>
      <c r="H20" s="93" t="inlineStr">
        <is>
          <t>Trend</t>
        </is>
      </c>
      <c r="I20" s="94" t="inlineStr">
        <is>
          <t>F</t>
        </is>
      </c>
      <c r="J20" s="46" t="inlineStr">
        <is>
          <t>B</t>
        </is>
      </c>
      <c r="K20" s="46" t="inlineStr">
        <is>
          <t>V</t>
        </is>
      </c>
      <c r="L20" s="46" t="inlineStr">
        <is>
          <t>V %</t>
        </is>
      </c>
      <c r="M20" s="46" t="inlineStr">
        <is>
          <t>Trend</t>
        </is>
      </c>
      <c r="N20" s="94" t="inlineStr">
        <is>
          <t>F</t>
        </is>
      </c>
      <c r="O20" s="46" t="inlineStr">
        <is>
          <t>B</t>
        </is>
      </c>
      <c r="P20" s="46" t="inlineStr">
        <is>
          <t>V</t>
        </is>
      </c>
      <c r="Q20" s="46" t="inlineStr">
        <is>
          <t>V %</t>
        </is>
      </c>
      <c r="R20" s="46" t="inlineStr">
        <is>
          <t>Trend</t>
        </is>
      </c>
      <c r="S20" s="94" t="inlineStr">
        <is>
          <t>F</t>
        </is>
      </c>
      <c r="T20" s="46" t="inlineStr">
        <is>
          <t>B</t>
        </is>
      </c>
      <c r="U20" s="46" t="inlineStr">
        <is>
          <t>V</t>
        </is>
      </c>
      <c r="V20" s="46" t="inlineStr">
        <is>
          <t>V %</t>
        </is>
      </c>
      <c r="W20" s="46" t="inlineStr">
        <is>
          <t>Trend</t>
        </is>
      </c>
      <c r="X20" s="94" t="inlineStr">
        <is>
          <t>F</t>
        </is>
      </c>
      <c r="Y20" s="46" t="inlineStr">
        <is>
          <t>B</t>
        </is>
      </c>
      <c r="Z20" s="46" t="inlineStr">
        <is>
          <t>V</t>
        </is>
      </c>
      <c r="AA20" s="46" t="inlineStr">
        <is>
          <t>V %</t>
        </is>
      </c>
      <c r="AB20" s="46" t="inlineStr">
        <is>
          <t>Trend</t>
        </is>
      </c>
      <c r="AC20" s="94" t="inlineStr">
        <is>
          <t>F</t>
        </is>
      </c>
      <c r="AD20" s="46" t="inlineStr">
        <is>
          <t>B</t>
        </is>
      </c>
      <c r="AE20" s="46" t="inlineStr">
        <is>
          <t>V</t>
        </is>
      </c>
      <c r="AF20" s="46" t="inlineStr">
        <is>
          <t>V %</t>
        </is>
      </c>
      <c r="AG20" s="46" t="inlineStr">
        <is>
          <t>Trend</t>
        </is>
      </c>
      <c r="AH20" s="94" t="inlineStr">
        <is>
          <t>F</t>
        </is>
      </c>
      <c r="AI20" s="46" t="inlineStr">
        <is>
          <t>B</t>
        </is>
      </c>
      <c r="AJ20" s="46" t="inlineStr">
        <is>
          <t>V</t>
        </is>
      </c>
      <c r="AK20" s="46" t="inlineStr">
        <is>
          <t>V %</t>
        </is>
      </c>
      <c r="AL20" s="47" t="inlineStr">
        <is>
          <t>Trend</t>
        </is>
      </c>
    </row>
    <row r="21" ht="21" customFormat="1" customHeight="1" s="50">
      <c r="A21" s="50" t="inlineStr">
        <is>
          <t>TDD (Corporate)1</t>
        </is>
      </c>
      <c r="B21" s="95" t="inlineStr">
        <is>
          <t>TDD (Corporate)1</t>
        </is>
      </c>
      <c r="C21" s="52" t="inlineStr">
        <is>
          <t>Brad Blyth
Greg Cassis</t>
        </is>
      </c>
      <c r="D21" s="54">
        <f>I21+AC21+AH21+X21</f>
        <v>117.95714038000001</v>
      </c>
      <c r="E21" s="54">
        <f>J21+AD21+AI21+Y21</f>
        <v>112.75951309</v>
      </c>
      <c r="F21" s="54">
        <f>E21-D21</f>
        <v>-5.197627290000014</v>
      </c>
      <c r="G21" s="55">
        <f>IFERROR(F21/E21,"-")</f>
        <v>-0.04609480076285433</v>
      </c>
      <c r="H21" s="69" t="inlineStr">
        <is>
          <t>R</t>
        </is>
      </c>
      <c r="I21" s="54" t="n">
        <v>82.08787687</v>
      </c>
      <c r="J21" s="54" t="n">
        <v>81.89486321</v>
      </c>
      <c r="K21" s="54">
        <f>J21-I21</f>
        <v>-0.19301366000000542</v>
      </c>
      <c r="L21" s="55">
        <f>IFERROR(K21/J21,"-")</f>
        <v>-0.002356846967374102</v>
      </c>
      <c r="M21" s="56" t="inlineStr">
        <is>
          <t>G</t>
        </is>
      </c>
      <c r="N21" s="54">
        <f>I21-S21</f>
        <v>79.31043564000001</v>
      </c>
      <c r="O21" s="54">
        <f>J21-T21</f>
        <v>78.89486321</v>
      </c>
      <c r="P21" s="54">
        <f>O21-N21</f>
        <v>-0.41557243000001165</v>
      </c>
      <c r="Q21" s="55">
        <f>IFERROR(P21/O21,"-")</f>
        <v>-0.005267420629070024</v>
      </c>
      <c r="R21" s="58" t="inlineStr">
        <is>
          <t>A</t>
        </is>
      </c>
      <c r="S21" s="54" t="n">
        <v>2.77744123</v>
      </c>
      <c r="T21" s="54" t="n">
        <v>3</v>
      </c>
      <c r="U21" s="54">
        <f>T21-S21</f>
        <v>0.22255877000000002</v>
      </c>
      <c r="V21" s="55">
        <f>IFERROR(U21/T21,"-")</f>
        <v>0.07418625666666667</v>
      </c>
      <c r="W21" s="56" t="inlineStr">
        <is>
          <t>G</t>
        </is>
      </c>
      <c r="X21" s="54" t="n">
        <v>5.68651106</v>
      </c>
      <c r="Y21" s="54" t="n">
        <v>5.80004988</v>
      </c>
      <c r="Z21" s="54">
        <f>Y21-X21</f>
        <v>0.11353882000000048</v>
      </c>
      <c r="AA21" s="55">
        <f>IFERROR(Z21/Y21,"-")</f>
        <v>0.019575490271473404</v>
      </c>
      <c r="AB21" s="56" t="inlineStr">
        <is>
          <t>G</t>
        </is>
      </c>
      <c r="AC21" s="54" t="n">
        <v>25.39577262</v>
      </c>
      <c r="AD21" s="54" t="n">
        <v>20.1966</v>
      </c>
      <c r="AE21" s="54">
        <f>AD21-AC21</f>
        <v>-5.199172619999999</v>
      </c>
      <c r="AF21" s="55">
        <f>IFERROR(AE21/AD21,"-")</f>
        <v>-0.25742811265262466</v>
      </c>
      <c r="AG21" s="69" t="inlineStr">
        <is>
          <t>R</t>
        </is>
      </c>
      <c r="AH21" s="54" t="n">
        <v>4.78697983</v>
      </c>
      <c r="AI21" s="54" t="n">
        <v>4.868</v>
      </c>
      <c r="AJ21" s="54">
        <f>AI21-AH21</f>
        <v>0.08102017000000039</v>
      </c>
      <c r="AK21" s="55">
        <f>IFERROR(AJ21/AI21,"-")</f>
        <v>0.016643420295809445</v>
      </c>
      <c r="AL21" s="59" t="inlineStr">
        <is>
          <t>G</t>
        </is>
      </c>
      <c r="AM21" s="96">
        <f>I21+X21</f>
        <v>87.77438793</v>
      </c>
      <c r="AN21" s="50" t="inlineStr">
        <is>
          <t>input retail SI number manually</t>
        </is>
      </c>
      <c r="AO21" s="96" t="n"/>
      <c r="AP21" s="96" t="n"/>
      <c r="AQ21" s="96" t="n"/>
      <c r="AR21" s="96" t="n"/>
      <c r="AS21" s="96" t="n"/>
    </row>
    <row r="22" ht="21" customFormat="1" customHeight="1" s="50">
      <c r="A22" s="50" t="inlineStr">
        <is>
          <t>Z-Energy</t>
        </is>
      </c>
      <c r="B22" s="97" t="inlineStr">
        <is>
          <t>Z- Energy</t>
        </is>
      </c>
      <c r="C22" s="64" t="inlineStr">
        <is>
          <t>Vance Anderson
Harley Giles</t>
        </is>
      </c>
      <c r="D22" s="61">
        <f>I22+AC22+AH22+X22</f>
        <v>73.1083914772</v>
      </c>
      <c r="E22" s="61">
        <f>J22+AD22+AI22+Y22</f>
        <v>76.70351404837331</v>
      </c>
      <c r="F22" s="61">
        <f>E22-D22</f>
        <v>3.595122571173306</v>
      </c>
      <c r="G22" s="65">
        <f>IFERROR(F22/E22,"-")</f>
        <v>0.04687037635467432</v>
      </c>
      <c r="H22" s="57" t="inlineStr">
        <is>
          <t>G</t>
        </is>
      </c>
      <c r="I22" s="61" t="n">
        <v>53.465433886</v>
      </c>
      <c r="J22" s="61" t="n">
        <v>53.6714996190862</v>
      </c>
      <c r="K22" s="61">
        <f>J22-I22</f>
        <v>0.20606573308619858</v>
      </c>
      <c r="L22" s="65">
        <f>IFERROR(K22/J22,"-")</f>
        <v>0.003839388400709401</v>
      </c>
      <c r="M22" s="57" t="inlineStr">
        <is>
          <t>G</t>
        </is>
      </c>
      <c r="N22" s="54">
        <f>I22-S22</f>
        <v>53.465433886</v>
      </c>
      <c r="O22" s="54">
        <f>J22-T22</f>
        <v>52.225259619086195</v>
      </c>
      <c r="P22" s="61">
        <f>O22-N22</f>
        <v>-1.2401742669138045</v>
      </c>
      <c r="Q22" s="65">
        <f>IFERROR(P22/O22,"-")</f>
        <v>-0.023746636703373545</v>
      </c>
      <c r="R22" s="58" t="inlineStr">
        <is>
          <t>A</t>
        </is>
      </c>
      <c r="S22" s="61" t="n">
        <v>0</v>
      </c>
      <c r="T22" s="61" t="n">
        <v>1.44624</v>
      </c>
      <c r="U22" s="61">
        <f>T22-S22</f>
        <v>1.44624</v>
      </c>
      <c r="V22" s="65">
        <f>IFERROR(U22/T22,"-")</f>
        <v>1.0</v>
      </c>
      <c r="W22" s="57" t="inlineStr">
        <is>
          <t>G</t>
        </is>
      </c>
      <c r="X22" s="61" t="n">
        <v>10.1614981916</v>
      </c>
      <c r="Y22" s="61" t="n">
        <v>11.3065205892871</v>
      </c>
      <c r="Z22" s="54">
        <f>Y22-X22</f>
        <v>1.1450223976871001</v>
      </c>
      <c r="AA22" s="65">
        <f>IFERROR(Z22/Y22,"-")</f>
        <v>0.10127097798521731</v>
      </c>
      <c r="AB22" s="57" t="inlineStr">
        <is>
          <t>G</t>
        </is>
      </c>
      <c r="AC22" s="61" t="n">
        <v>0</v>
      </c>
      <c r="AD22" s="61" t="n">
        <v>0</v>
      </c>
      <c r="AE22" s="61">
        <f>AD22-AC22</f>
        <v>0.0</v>
      </c>
      <c r="AF22" s="65" t="str">
        <f>IFERROR(AE22/AD22,"-")</f>
        <v>-</v>
      </c>
      <c r="AG22" s="66" t="n"/>
      <c r="AH22" s="61" t="n">
        <v>9.4814593996</v>
      </c>
      <c r="AI22" s="61" t="n">
        <v>11.72549384</v>
      </c>
      <c r="AJ22" s="61">
        <f>AI22-AH22</f>
        <v>2.2440344404</v>
      </c>
      <c r="AK22" s="65">
        <f>IFERROR(AJ22/AI22,"-")</f>
        <v>0.19138080417088854</v>
      </c>
      <c r="AL22" s="67" t="inlineStr">
        <is>
          <t>G</t>
        </is>
      </c>
      <c r="AM22" s="96">
        <f>I22+X22</f>
        <v>63.6269320776</v>
      </c>
      <c r="AN22" s="96" t="n"/>
      <c r="AO22" s="96" t="n"/>
      <c r="AP22" s="96" t="n"/>
      <c r="AQ22" s="96" t="n"/>
      <c r="AR22" s="96" t="n"/>
      <c r="AS22" s="96" t="n"/>
    </row>
    <row r="23" ht="24" customFormat="1" customHeight="1" s="50">
      <c r="A23" s="50" t="inlineStr">
        <is>
          <t>Commercial Fuels</t>
        </is>
      </c>
      <c r="B23" s="97" t="inlineStr">
        <is>
          <t>Commercial Fuels</t>
        </is>
      </c>
      <c r="C23" s="64" t="inlineStr">
        <is>
          <t>Roanne Steele</t>
        </is>
      </c>
      <c r="D23" s="61">
        <f>I23+AC23+AH23+X23</f>
        <v>32.76899756317017</v>
      </c>
      <c r="E23" s="61">
        <f>J23+AD23+AI23+Y23</f>
        <v>40.534223043939406</v>
      </c>
      <c r="F23" s="61">
        <f>E23-D23</f>
        <v>7.765225480769239</v>
      </c>
      <c r="G23" s="65">
        <f>IFERROR(F23/E23,"-")</f>
        <v>0.191572081506328</v>
      </c>
      <c r="H23" s="57" t="inlineStr">
        <is>
          <t>G</t>
        </is>
      </c>
      <c r="I23" s="61" t="n">
        <v>18.0758203839394</v>
      </c>
      <c r="J23" s="61" t="n">
        <v>19.5173022039394</v>
      </c>
      <c r="K23" s="61">
        <f>J23-I23</f>
        <v>1.44148182</v>
      </c>
      <c r="L23" s="65">
        <f>IFERROR(K23/J23,"-")</f>
        <v>0.0738566121965898</v>
      </c>
      <c r="M23" s="57" t="inlineStr">
        <is>
          <t>G</t>
        </is>
      </c>
      <c r="N23" s="54">
        <f>I23-S23</f>
        <v>12.122014240313021</v>
      </c>
      <c r="O23" s="54">
        <f>J23-T23</f>
        <v>13.655581280862481</v>
      </c>
      <c r="P23" s="61">
        <f>O23-N23</f>
        <v>1.5335670405494604</v>
      </c>
      <c r="Q23" s="65">
        <f>IFERROR(P23/O23,"-")</f>
        <v>0.11230331459406032</v>
      </c>
      <c r="R23" s="57" t="inlineStr">
        <is>
          <t>G</t>
        </is>
      </c>
      <c r="S23" s="61" t="n">
        <v>5.95380614362638</v>
      </c>
      <c r="T23" s="61" t="n">
        <v>5.86172092307692</v>
      </c>
      <c r="U23" s="61">
        <f>T23-S23</f>
        <v>-0.09208522054946044</v>
      </c>
      <c r="V23" s="65">
        <f>IFERROR(U23/T23,"-")</f>
        <v>-0.015709587979006564</v>
      </c>
      <c r="W23" s="58" t="inlineStr">
        <is>
          <t>A</t>
        </is>
      </c>
      <c r="X23" s="61" t="n"/>
      <c r="Y23" s="61" t="n"/>
      <c r="Z23" s="61">
        <f>Y23-X23</f>
        <v>0.0</v>
      </c>
      <c r="AA23" s="65" t="str">
        <f>IFERROR(Z23/Y23,"-")</f>
        <v>-</v>
      </c>
      <c r="AB23" s="66" t="n"/>
      <c r="AC23" s="61" t="n">
        <v>8.927315999999999</v>
      </c>
      <c r="AD23" s="61" t="n">
        <v>14.219208</v>
      </c>
      <c r="AE23" s="61">
        <f>AD23-AC23</f>
        <v>5.291892000000001</v>
      </c>
      <c r="AF23" s="65">
        <f>IFERROR(AE23/AD23,"-")</f>
        <v>0.37216503197646456</v>
      </c>
      <c r="AG23" s="57" t="inlineStr">
        <is>
          <t>G</t>
        </is>
      </c>
      <c r="AH23" s="61" t="n">
        <v>5.76586117923077</v>
      </c>
      <c r="AI23" s="61" t="n">
        <v>6.79771284</v>
      </c>
      <c r="AJ23" s="61">
        <f>AI23-AH23</f>
        <v>1.03185166076923</v>
      </c>
      <c r="AK23" s="65">
        <f>IFERROR(AJ23/AI23,"-")</f>
        <v>0.1517939467371249</v>
      </c>
      <c r="AL23" s="67" t="inlineStr">
        <is>
          <t>G</t>
        </is>
      </c>
    </row>
    <row r="24" ht="24" customFormat="1" customHeight="1" s="50">
      <c r="A24" s="50" t="inlineStr">
        <is>
          <t>Retail</t>
        </is>
      </c>
      <c r="B24" s="97" t="inlineStr">
        <is>
          <t>Retail</t>
        </is>
      </c>
      <c r="C24" s="64" t="inlineStr">
        <is>
          <t>Vance Anderson</t>
        </is>
      </c>
      <c r="D24" s="61">
        <f>I24+AC24+AH24+X24</f>
        <v>35.260355770000004</v>
      </c>
      <c r="E24" s="61">
        <f>J24+AD24+AI24+Y24</f>
        <v>33.88085459</v>
      </c>
      <c r="F24" s="61">
        <f>E24-D24</f>
        <v>-1.3795011800000054</v>
      </c>
      <c r="G24" s="65">
        <f>IFERROR(F24/E24,"-")</f>
        <v>-0.04071624510932992</v>
      </c>
      <c r="H24" s="58" t="inlineStr">
        <is>
          <t>A</t>
        </is>
      </c>
      <c r="I24" s="61" t="n">
        <v>15.23072269</v>
      </c>
      <c r="J24" s="61" t="n">
        <v>15.23585459</v>
      </c>
      <c r="K24" s="61">
        <f>J24-I24</f>
        <v>0.0051319000000003</v>
      </c>
      <c r="L24" s="65">
        <f>IFERROR(K24/J24,"-")</f>
        <v>0.0003368304659043284</v>
      </c>
      <c r="M24" s="57" t="inlineStr">
        <is>
          <t>G</t>
        </is>
      </c>
      <c r="N24" s="54">
        <f>I24-S24</f>
        <v>14.4810851</v>
      </c>
      <c r="O24" s="54">
        <f>J24-T24</f>
        <v>13.92585459</v>
      </c>
      <c r="P24" s="61">
        <f>O24-N24</f>
        <v>-0.5552305099999995</v>
      </c>
      <c r="Q24" s="65">
        <f>IFERROR(P24/O24,"-")</f>
        <v>-0.03987048022163783</v>
      </c>
      <c r="R24" s="58" t="inlineStr">
        <is>
          <t>A</t>
        </is>
      </c>
      <c r="S24" s="61" t="n">
        <v>0.74963759</v>
      </c>
      <c r="T24" s="61" t="n">
        <v>1.31</v>
      </c>
      <c r="U24" s="61">
        <f>T24-S24</f>
        <v>0.5603624100000001</v>
      </c>
      <c r="V24" s="65">
        <f>IFERROR(U24/T24,"-")</f>
        <v>0.4277575648854962</v>
      </c>
      <c r="W24" s="57" t="inlineStr">
        <is>
          <t>G</t>
        </is>
      </c>
      <c r="X24" s="61" t="n"/>
      <c r="Y24" s="61" t="n"/>
      <c r="Z24" s="61">
        <f>Y24-X24</f>
        <v>0.0</v>
      </c>
      <c r="AA24" s="65" t="str">
        <f>IFERROR(Z24/Y24,"-")</f>
        <v>-</v>
      </c>
      <c r="AB24" s="66" t="n"/>
      <c r="AC24" s="61" t="n">
        <v>8.640000000000001</v>
      </c>
      <c r="AD24" s="61" t="n">
        <v>6.845</v>
      </c>
      <c r="AE24" s="61">
        <f>AD24-AC24</f>
        <v>-1.7950000000000008</v>
      </c>
      <c r="AF24" s="65">
        <f>IFERROR(AE24/AD24,"-")</f>
        <v>-0.26223520818115426</v>
      </c>
      <c r="AG24" s="69" t="inlineStr">
        <is>
          <t>R</t>
        </is>
      </c>
      <c r="AH24" s="61" t="n">
        <v>11.38963308</v>
      </c>
      <c r="AI24" s="61" t="n">
        <v>11.8</v>
      </c>
      <c r="AJ24" s="61">
        <f>AI24-AH24</f>
        <v>0.4103669200000013</v>
      </c>
      <c r="AK24" s="65">
        <f>IFERROR(AJ24/AI24,"-")</f>
        <v>0.034776857627118754</v>
      </c>
      <c r="AL24" s="67" t="inlineStr">
        <is>
          <t>G</t>
        </is>
      </c>
    </row>
    <row r="25" ht="24" customFormat="1" customHeight="1" s="50">
      <c r="A25" s="50" t="inlineStr">
        <is>
          <t>Energy Solutions</t>
        </is>
      </c>
      <c r="B25" s="97" t="inlineStr">
        <is>
          <t>Energy Solutions</t>
        </is>
      </c>
      <c r="C25" s="64" t="inlineStr">
        <is>
          <t>Roanne Steele</t>
        </is>
      </c>
      <c r="D25" s="61">
        <f>I25+AC25+AH25+X25</f>
        <v>7.830666008273999</v>
      </c>
      <c r="E25" s="61">
        <f>J25+AD25+AI25+Y25</f>
        <v>8.00952437</v>
      </c>
      <c r="F25" s="61">
        <f>E25-D25</f>
        <v>0.17885836172600023</v>
      </c>
      <c r="G25" s="65">
        <f>IFERROR(F25/E25,"-")</f>
        <v>0.022330709473326722</v>
      </c>
      <c r="H25" s="57" t="inlineStr">
        <is>
          <t>G</t>
        </is>
      </c>
      <c r="I25" s="61" t="n">
        <v>5.04409835</v>
      </c>
      <c r="J25" s="61" t="n">
        <v>5.01193945</v>
      </c>
      <c r="K25" s="61">
        <f>J25-I25</f>
        <v>-0.03215889999999977</v>
      </c>
      <c r="L25" s="65">
        <f>IFERROR(K25/J25,"-")</f>
        <v>-0.006416458203620111</v>
      </c>
      <c r="M25" s="58" t="inlineStr">
        <is>
          <t>A</t>
        </is>
      </c>
      <c r="N25" s="54">
        <f>I25-S25</f>
        <v>4.536215629999999</v>
      </c>
      <c r="O25" s="54">
        <f>J25-T25</f>
        <v>4.04193945</v>
      </c>
      <c r="P25" s="61">
        <f>O25-N25</f>
        <v>-0.49427617999999907</v>
      </c>
      <c r="Q25" s="65">
        <f>IFERROR(P25/O25,"-")</f>
        <v>-0.12228688383741104</v>
      </c>
      <c r="R25" s="69" t="inlineStr">
        <is>
          <t>R</t>
        </is>
      </c>
      <c r="S25" s="61" t="n">
        <v>0.50788272</v>
      </c>
      <c r="T25" s="61" t="n">
        <v>0.97</v>
      </c>
      <c r="U25" s="61">
        <f>T25-S25</f>
        <v>0.46211727999999996</v>
      </c>
      <c r="V25" s="65">
        <f>IFERROR(U25/T25,"-")</f>
        <v>0.47640956701030923</v>
      </c>
      <c r="W25" s="57" t="inlineStr">
        <is>
          <t>G</t>
        </is>
      </c>
      <c r="X25" s="61" t="n"/>
      <c r="Y25" s="61" t="n"/>
      <c r="Z25" s="61">
        <f>Y25-X25</f>
        <v>0.0</v>
      </c>
      <c r="AA25" s="65" t="str">
        <f>IFERROR(Z25/Y25,"-")</f>
        <v>-</v>
      </c>
      <c r="AB25" s="66" t="n"/>
      <c r="AC25" s="61" t="n"/>
      <c r="AD25" s="61" t="n"/>
      <c r="AE25" s="61">
        <f>AD25-AC25</f>
        <v>0.0</v>
      </c>
      <c r="AF25" s="65" t="str">
        <f>IFERROR(AE25/AD25,"-")</f>
        <v>-</v>
      </c>
      <c r="AG25" s="66" t="n"/>
      <c r="AH25" s="61" t="n">
        <v>2.786567658274</v>
      </c>
      <c r="AI25" s="61" t="n">
        <v>2.99758492</v>
      </c>
      <c r="AJ25" s="61">
        <f>AI25-AH25</f>
        <v>0.211017261726</v>
      </c>
      <c r="AK25" s="65">
        <f>IFERROR(AJ25/AI25,"-")</f>
        <v>0.07039575770417206</v>
      </c>
      <c r="AL25" s="67" t="inlineStr">
        <is>
          <t>G</t>
        </is>
      </c>
    </row>
    <row r="26" ht="24" customFormat="1" customHeight="1" s="50">
      <c r="A26" s="50" t="inlineStr">
        <is>
          <t>Infrastructure</t>
        </is>
      </c>
      <c r="B26" s="97" t="inlineStr">
        <is>
          <t>Infrastructure</t>
        </is>
      </c>
      <c r="C26" s="64" t="inlineStr">
        <is>
          <t>Roanne Steele</t>
        </is>
      </c>
      <c r="D26" s="61">
        <f>I26+AC26+AH26+X26</f>
        <v>8.41854714</v>
      </c>
      <c r="E26" s="61">
        <f>J26+AD26+AI26+Y26</f>
        <v>9.24937596</v>
      </c>
      <c r="F26" s="61">
        <f>E26-D26</f>
        <v>0.8308288200000007</v>
      </c>
      <c r="G26" s="65">
        <f>IFERROR(F26/E26,"-")</f>
        <v>0.08982539185270622</v>
      </c>
      <c r="H26" s="57" t="inlineStr">
        <is>
          <t>G</t>
        </is>
      </c>
      <c r="I26" s="61" t="n">
        <v>4.27497864</v>
      </c>
      <c r="J26" s="61" t="n">
        <v>4.357958</v>
      </c>
      <c r="K26" s="61">
        <f>J26-I26</f>
        <v>0.08297936000000039</v>
      </c>
      <c r="L26" s="65">
        <f>IFERROR(K26/J26,"-")</f>
        <v>0.01904088107319997</v>
      </c>
      <c r="M26" s="57" t="inlineStr">
        <is>
          <t>G</t>
        </is>
      </c>
      <c r="N26" s="54">
        <f>I26-S26</f>
        <v>3.30102534</v>
      </c>
      <c r="O26" s="54">
        <f>J26-T26</f>
        <v>3.594596</v>
      </c>
      <c r="P26" s="61">
        <f>O26-N26</f>
        <v>0.2935706600000003</v>
      </c>
      <c r="Q26" s="65">
        <f>IFERROR(P26/O26,"-")</f>
        <v>0.08167000130195447</v>
      </c>
      <c r="R26" s="57" t="inlineStr">
        <is>
          <t>G</t>
        </is>
      </c>
      <c r="S26" s="61" t="n">
        <v>0.9739533</v>
      </c>
      <c r="T26" s="61" t="n">
        <v>0.763362</v>
      </c>
      <c r="U26" s="61">
        <f>T26-S26</f>
        <v>-0.21059130000000004</v>
      </c>
      <c r="V26" s="65">
        <f>IFERROR(U26/T26,"-")</f>
        <v>-0.27587343881408827</v>
      </c>
      <c r="W26" s="69" t="inlineStr">
        <is>
          <t>R</t>
        </is>
      </c>
      <c r="X26" s="61" t="n"/>
      <c r="Y26" s="61" t="n"/>
      <c r="Z26" s="61">
        <f>Y26-X26</f>
        <v>0.0</v>
      </c>
      <c r="AA26" s="65" t="str">
        <f>IFERROR(Z26/Y26,"-")</f>
        <v>-</v>
      </c>
      <c r="AB26" s="66" t="n"/>
      <c r="AC26" s="61" t="n"/>
      <c r="AD26" s="61" t="n"/>
      <c r="AE26" s="61">
        <f>AD26-AC26</f>
        <v>0.0</v>
      </c>
      <c r="AF26" s="65" t="str">
        <f>IFERROR(AE26/AD26,"-")</f>
        <v>-</v>
      </c>
      <c r="AG26" s="66" t="n"/>
      <c r="AH26" s="61" t="n">
        <v>4.1435685</v>
      </c>
      <c r="AI26" s="61" t="n">
        <v>4.89141796</v>
      </c>
      <c r="AJ26" s="61">
        <f>AI26-AH26</f>
        <v>0.7478494600000003</v>
      </c>
      <c r="AK26" s="65">
        <f>IFERROR(AJ26/AI26,"-")</f>
        <v>0.15289011614129175</v>
      </c>
      <c r="AL26" s="67" t="inlineStr">
        <is>
          <t>G</t>
        </is>
      </c>
    </row>
    <row r="27" ht="24" customFormat="1" customHeight="1" s="50">
      <c r="A27" s="50" t="inlineStr">
        <is>
          <t>Finance &amp; Other Corp</t>
        </is>
      </c>
      <c r="B27" s="97" t="inlineStr">
        <is>
          <t>Finance &amp; Other Corp</t>
        </is>
      </c>
      <c r="C27" s="64" t="inlineStr">
        <is>
          <t>Emily Mogic</t>
        </is>
      </c>
      <c r="D27" s="61">
        <f>I27+AC27+AH27+X27</f>
        <v>5.27211191</v>
      </c>
      <c r="E27" s="61">
        <f>J27+AD27+AI27+Y27</f>
        <v>3.88077368</v>
      </c>
      <c r="F27" s="61">
        <f>E27-D27</f>
        <v>-1.3913382299999997</v>
      </c>
      <c r="G27" s="65">
        <f>IFERROR(F27/E27,"-")</f>
        <v>-0.3585208375253668</v>
      </c>
      <c r="H27" s="69" t="inlineStr">
        <is>
          <t>R</t>
        </is>
      </c>
      <c r="I27" s="61" t="n">
        <v>5.27211191</v>
      </c>
      <c r="J27" s="61" t="n">
        <v>3.88077368</v>
      </c>
      <c r="K27" s="61">
        <f>J27-I27</f>
        <v>-1.3913382299999997</v>
      </c>
      <c r="L27" s="65">
        <f>IFERROR(K27/J27,"-")</f>
        <v>-0.3585208375253668</v>
      </c>
      <c r="M27" s="69" t="inlineStr">
        <is>
          <t>R</t>
        </is>
      </c>
      <c r="N27" s="54">
        <f>I27-S27</f>
        <v>4.358895639999999</v>
      </c>
      <c r="O27" s="54">
        <f>J27-T27</f>
        <v>2.94528707</v>
      </c>
      <c r="P27" s="61">
        <f>O27-N27</f>
        <v>-1.4136085699999992</v>
      </c>
      <c r="Q27" s="65">
        <f>IFERROR(P27/O27,"-")</f>
        <v>-0.4799561252954535</v>
      </c>
      <c r="R27" s="69" t="inlineStr">
        <is>
          <t>R</t>
        </is>
      </c>
      <c r="S27" s="61" t="n">
        <v>0.9132162700000001</v>
      </c>
      <c r="T27" s="61" t="n">
        <v>0.93548661</v>
      </c>
      <c r="U27" s="61">
        <f>T27-S27</f>
        <v>0.022270339999999944</v>
      </c>
      <c r="V27" s="65">
        <f>IFERROR(U27/T27,"-")</f>
        <v>0.0238061558144589</v>
      </c>
      <c r="W27" s="57" t="inlineStr">
        <is>
          <t>G</t>
        </is>
      </c>
      <c r="X27" s="61" t="n"/>
      <c r="Y27" s="61" t="n"/>
      <c r="Z27" s="61">
        <f>Y27-X27</f>
        <v>0.0</v>
      </c>
      <c r="AA27" s="65" t="str">
        <f>IFERROR(Z27/Y27,"-")</f>
        <v>-</v>
      </c>
      <c r="AB27" s="66" t="n"/>
      <c r="AC27" s="61" t="n"/>
      <c r="AD27" s="61" t="n"/>
      <c r="AE27" s="61">
        <f>AD27-AC27</f>
        <v>0.0</v>
      </c>
      <c r="AF27" s="65" t="str">
        <f>IFERROR(AE27/AD27,"-")</f>
        <v>-</v>
      </c>
      <c r="AG27" s="66" t="n"/>
      <c r="AH27" s="61" t="n">
        <v>0</v>
      </c>
      <c r="AI27" s="61" t="n">
        <v>0</v>
      </c>
      <c r="AJ27" s="61">
        <f>AI27-AH27</f>
        <v>0.0</v>
      </c>
      <c r="AK27" s="65" t="str">
        <f>IFERROR(AJ27/AI27,"-")</f>
        <v>-</v>
      </c>
      <c r="AL27" s="67" t="inlineStr">
        <is>
          <t>G</t>
        </is>
      </c>
    </row>
    <row r="28" ht="24" customFormat="1" customHeight="1" s="50">
      <c r="A28" s="50" t="inlineStr">
        <is>
          <t>People &amp; Culture</t>
        </is>
      </c>
      <c r="B28" s="97" t="inlineStr">
        <is>
          <t>P&amp;C</t>
        </is>
      </c>
      <c r="C28" s="64" t="inlineStr">
        <is>
          <t>Emily Mogic</t>
        </is>
      </c>
      <c r="D28" s="61">
        <f>I28+AC28+AH28+X28</f>
        <v>5.4932256</v>
      </c>
      <c r="E28" s="61">
        <f>J28+AD28+AI28+Y28</f>
        <v>5.81303803</v>
      </c>
      <c r="F28" s="61">
        <f>E28-D28</f>
        <v>0.3198124300000007</v>
      </c>
      <c r="G28" s="65">
        <f>IFERROR(F28/E28,"-")</f>
        <v>0.055016400778647695</v>
      </c>
      <c r="H28" s="57" t="inlineStr">
        <is>
          <t>G</t>
        </is>
      </c>
      <c r="I28" s="61" t="n">
        <v>3.85168615</v>
      </c>
      <c r="J28" s="61" t="n">
        <v>4.12303803</v>
      </c>
      <c r="K28" s="61">
        <f>J28-I28</f>
        <v>0.2713518800000001</v>
      </c>
      <c r="L28" s="65">
        <f>IFERROR(K28/J28,"-")</f>
        <v>0.06581357679109259</v>
      </c>
      <c r="M28" s="57" t="inlineStr">
        <is>
          <t>G</t>
        </is>
      </c>
      <c r="N28" s="54">
        <f>I28-S28</f>
        <v>1.91213530398386</v>
      </c>
      <c r="O28" s="54">
        <f>J28-T28</f>
        <v>2.14803803</v>
      </c>
      <c r="P28" s="61">
        <f>O28-N28</f>
        <v>0.23590272601613993</v>
      </c>
      <c r="Q28" s="65">
        <f>IFERROR(P28/O28,"-")</f>
        <v>0.10982241595421843</v>
      </c>
      <c r="R28" s="57" t="inlineStr">
        <is>
          <t>G</t>
        </is>
      </c>
      <c r="S28" s="61" t="n">
        <v>1.93955084601614</v>
      </c>
      <c r="T28" s="61" t="n">
        <v>1.975</v>
      </c>
      <c r="U28" s="61">
        <f>T28-S28</f>
        <v>0.03544915398386017</v>
      </c>
      <c r="V28" s="65">
        <f>IFERROR(U28/T28,"-")</f>
        <v>0.01794893872600515</v>
      </c>
      <c r="W28" s="57" t="inlineStr">
        <is>
          <t>G</t>
        </is>
      </c>
      <c r="X28" s="61" t="n"/>
      <c r="Y28" s="61" t="n"/>
      <c r="Z28" s="61">
        <f>Y28-X28</f>
        <v>0.0</v>
      </c>
      <c r="AA28" s="65" t="str">
        <f>IFERROR(Z28/Y28,"-")</f>
        <v>-</v>
      </c>
      <c r="AB28" s="66" t="n"/>
      <c r="AC28" s="61" t="n">
        <v>1.31153945</v>
      </c>
      <c r="AD28" s="61" t="n">
        <v>1.36</v>
      </c>
      <c r="AE28" s="61">
        <f>AD28-AC28</f>
        <v>0.04846055000000016</v>
      </c>
      <c r="AF28" s="65">
        <f>IFERROR(AE28/AD28,"-")</f>
        <v>0.03563275735294129</v>
      </c>
      <c r="AG28" s="57" t="inlineStr">
        <is>
          <t>G</t>
        </is>
      </c>
      <c r="AH28" s="61" t="n">
        <v>0.33</v>
      </c>
      <c r="AI28" s="61" t="n">
        <v>0.33</v>
      </c>
      <c r="AJ28" s="61">
        <f>AI28-AH28</f>
        <v>0.0</v>
      </c>
      <c r="AK28" s="65">
        <f>IFERROR(AJ28/AI28,"-")</f>
        <v>0.0</v>
      </c>
      <c r="AL28" s="67" t="inlineStr">
        <is>
          <t>G</t>
        </is>
      </c>
    </row>
    <row r="29" ht="24" customFormat="1" customHeight="1" s="50">
      <c r="A29" s="50" t="inlineStr">
        <is>
          <t>Customer</t>
        </is>
      </c>
      <c r="B29" s="98" t="inlineStr">
        <is>
          <t>Customer</t>
        </is>
      </c>
      <c r="C29" s="73" t="inlineStr">
        <is>
          <t>Harley Giles</t>
        </is>
      </c>
      <c r="D29" s="75">
        <f>I29+AC29+AH29+X29</f>
        <v>10.98378269</v>
      </c>
      <c r="E29" s="75">
        <f>J29+AD29+AI29+Y29</f>
        <v>11.69153287</v>
      </c>
      <c r="F29" s="75">
        <f>E29-D29</f>
        <v>0.7077501799999997</v>
      </c>
      <c r="G29" s="76">
        <f>IFERROR(F29/E29,"-")</f>
        <v>0.060535276928148404</v>
      </c>
      <c r="H29" s="77" t="inlineStr">
        <is>
          <t>G</t>
        </is>
      </c>
      <c r="I29" s="75" t="n">
        <v>2.74505002</v>
      </c>
      <c r="J29" s="75" t="n">
        <v>1.69153283</v>
      </c>
      <c r="K29" s="75">
        <f>J29-I29</f>
        <v>-1.0535171899999998</v>
      </c>
      <c r="L29" s="76">
        <f>IFERROR(K29/J29,"-")</f>
        <v>-0.6228180566853081</v>
      </c>
      <c r="M29" s="99" t="inlineStr">
        <is>
          <t>R</t>
        </is>
      </c>
      <c r="N29" s="78">
        <f>I29-S29</f>
        <v>2.74505002</v>
      </c>
      <c r="O29" s="78">
        <f>J29-T29</f>
        <v>1.69153283</v>
      </c>
      <c r="P29" s="75">
        <f>O29-N29</f>
        <v>-1.0535171899999998</v>
      </c>
      <c r="Q29" s="76">
        <f>IFERROR(P29/O29,"-")</f>
        <v>-0.6228180566853081</v>
      </c>
      <c r="R29" s="99" t="inlineStr">
        <is>
          <t>R</t>
        </is>
      </c>
      <c r="S29" s="75" t="n">
        <v>0</v>
      </c>
      <c r="T29" s="75" t="n">
        <v>0</v>
      </c>
      <c r="U29" s="75">
        <f>T29-S29</f>
        <v>0.0</v>
      </c>
      <c r="V29" s="76" t="str">
        <f>IFERROR(U29/T29,"-")</f>
        <v>-</v>
      </c>
      <c r="W29" s="79" t="n"/>
      <c r="X29" s="75" t="n"/>
      <c r="Y29" s="75" t="n"/>
      <c r="Z29" s="75">
        <f>Y29-X29</f>
        <v>0.0</v>
      </c>
      <c r="AA29" s="76" t="str">
        <f>IFERROR(Z29/Y29,"-")</f>
        <v>-</v>
      </c>
      <c r="AB29" s="79" t="n"/>
      <c r="AC29" s="75" t="n">
        <v>3.83238698</v>
      </c>
      <c r="AD29" s="75" t="n">
        <v>5.00000004</v>
      </c>
      <c r="AE29" s="75">
        <f>AD29-AC29</f>
        <v>1.1676130599999999</v>
      </c>
      <c r="AF29" s="76">
        <f>IFERROR(AE29/AD29,"-")</f>
        <v>0.2335226101318191</v>
      </c>
      <c r="AG29" s="100" t="inlineStr">
        <is>
          <t>G</t>
        </is>
      </c>
      <c r="AH29" s="75" t="n">
        <v>4.40634569</v>
      </c>
      <c r="AI29" s="75" t="n">
        <v>5</v>
      </c>
      <c r="AJ29" s="75">
        <f>AI29-AH29</f>
        <v>0.5936543099999998</v>
      </c>
      <c r="AK29" s="76">
        <f>IFERROR(AJ29/AI29,"-")</f>
        <v>0.11873086199999996</v>
      </c>
      <c r="AL29" s="80" t="inlineStr">
        <is>
          <t>G</t>
        </is>
      </c>
    </row>
    <row r="30" ht="26.25" customFormat="1" customHeight="1" s="81">
      <c r="B30" s="82" t="inlineStr">
        <is>
          <t>Total Technology</t>
        </is>
      </c>
      <c r="C30" s="82" t="n"/>
      <c r="D30" s="87">
        <f>SUM(D21:D29)</f>
        <v>297.0932185386442</v>
      </c>
      <c r="E30" s="84">
        <f>SUM(E21:E29)</f>
        <v>302.5223496823127</v>
      </c>
      <c r="F30" s="84">
        <f>SUM(F21:F29)</f>
        <v>5.429131143668527</v>
      </c>
      <c r="G30" s="90">
        <f>F30/E30</f>
        <v>0.017946215046160428</v>
      </c>
      <c r="H30" s="86" t="inlineStr">
        <is>
          <t>G</t>
        </is>
      </c>
      <c r="I30" s="87">
        <f>SUM(I21:I29)</f>
        <v>190.0477788999394</v>
      </c>
      <c r="J30" s="84">
        <f>SUM(J21:J29)</f>
        <v>189.3847616130256</v>
      </c>
      <c r="K30" s="84">
        <f>SUM(K21:K29)</f>
        <v>-0.6630172869138053</v>
      </c>
      <c r="L30" s="85">
        <f>K30/J30</f>
        <v>-0.0035009009239537676</v>
      </c>
      <c r="M30" s="88" t="inlineStr">
        <is>
          <t>A</t>
        </is>
      </c>
      <c r="N30" s="87">
        <f>SUM(N21:N29)</f>
        <v>176.23229080029688</v>
      </c>
      <c r="O30" s="84">
        <f>SUM(O21:O29)</f>
        <v>173.1229520799487</v>
      </c>
      <c r="P30" s="84">
        <f>SUM(P21:P29)</f>
        <v>-3.1093387203482132</v>
      </c>
      <c r="Q30" s="85">
        <f>P30/O30</f>
        <v>-0.01796029170593343</v>
      </c>
      <c r="R30" s="88" t="inlineStr">
        <is>
          <t>A</t>
        </is>
      </c>
      <c r="S30" s="87">
        <f>SUM(S21:S29)</f>
        <v>13.81548809964252</v>
      </c>
      <c r="T30" s="84">
        <f>SUM(T21:T29)</f>
        <v>16.26180953307692</v>
      </c>
      <c r="U30" s="84">
        <f>SUM(U21:U29)</f>
        <v>2.4463214334343997</v>
      </c>
      <c r="V30" s="85">
        <f>U30/T30</f>
        <v>0.15043353130280623</v>
      </c>
      <c r="W30" s="86" t="inlineStr">
        <is>
          <t>G</t>
        </is>
      </c>
      <c r="X30" s="87">
        <f>SUM(X21:X29)</f>
        <v>15.8480092516</v>
      </c>
      <c r="Y30" s="84">
        <f>SUM(Y21:Y29)</f>
        <v>17.1065704692871</v>
      </c>
      <c r="Z30" s="84">
        <f>SUM(Z21:Z29)</f>
        <v>1.2585612176871006</v>
      </c>
      <c r="AA30" s="85">
        <f>Z30/Y30</f>
        <v>0.07357180212987191</v>
      </c>
      <c r="AB30" s="86" t="inlineStr">
        <is>
          <t>G</t>
        </is>
      </c>
      <c r="AC30" s="87">
        <f>SUM(AC21:AC29)</f>
        <v>48.10701505</v>
      </c>
      <c r="AD30" s="84">
        <f>SUM(AD21:AD29)</f>
        <v>47.62080804</v>
      </c>
      <c r="AE30" s="84">
        <f>SUM(AE21:AE29)</f>
        <v>-0.4862070099999989</v>
      </c>
      <c r="AF30" s="85">
        <f>AE30/AD30</f>
        <v>-0.010209969759261542</v>
      </c>
      <c r="AG30" s="88" t="inlineStr">
        <is>
          <t>A</t>
        </is>
      </c>
      <c r="AH30" s="87">
        <f>SUM(AH21:AH29)</f>
        <v>43.09041533710477</v>
      </c>
      <c r="AI30" s="84">
        <f>SUM(AI21:AI29)</f>
        <v>48.41020956</v>
      </c>
      <c r="AJ30" s="84">
        <f>SUM(AJ21:AJ29)</f>
        <v>5.319794222895232</v>
      </c>
      <c r="AK30" s="85">
        <f>AJ30/AI30</f>
        <v>0.10988992345306493</v>
      </c>
      <c r="AL30" s="89" t="inlineStr">
        <is>
          <t>G</t>
        </is>
      </c>
    </row>
    <row r="31" ht="15.75" customHeight="1">
      <c r="I31" s="91">
        <f>I30/$D30</f>
        <v>0.6396907335507528</v>
      </c>
      <c r="J31" s="92" t="n"/>
      <c r="K31" s="92" t="n"/>
      <c r="L31" s="92" t="n"/>
      <c r="M31" s="92" t="n"/>
      <c r="N31" s="91">
        <f>N30/$D30</f>
        <v>0.5931885341144991</v>
      </c>
      <c r="O31" s="92" t="n"/>
      <c r="P31" s="92" t="n"/>
      <c r="Q31" s="92" t="n"/>
      <c r="R31" s="92" t="n"/>
      <c r="S31" s="91">
        <f>S30/$D30</f>
        <v>0.046502199436253645</v>
      </c>
      <c r="T31" s="92" t="n"/>
      <c r="U31" s="92" t="n"/>
      <c r="V31" s="92" t="n"/>
      <c r="W31" s="92" t="n"/>
      <c r="X31" s="91">
        <f>X30/$D30</f>
        <v>0.05334355772088612</v>
      </c>
      <c r="AC31" s="91">
        <f>AC30/$D30</f>
        <v>0.1619256585075587</v>
      </c>
      <c r="AD31" s="92" t="n"/>
      <c r="AE31" s="92" t="n"/>
      <c r="AF31" s="92" t="n"/>
      <c r="AG31" s="92" t="n"/>
      <c r="AH31" s="91">
        <f>AH30/$D30</f>
        <v>0.14504005022080238</v>
      </c>
      <c r="AI31" s="92" t="n"/>
      <c r="AJ31" s="92" t="n"/>
      <c r="AK31" s="92" t="n"/>
      <c r="AL31" s="92" t="n"/>
    </row>
    <row r="32">
      <c r="AO32" s="101">
        <f>E30-297</f>
        <v>5.522349682312722</v>
      </c>
    </row>
    <row r="35" ht="38.25" customHeight="1">
      <c r="B35" s="102" t="n"/>
      <c r="C35" s="102" t="n"/>
      <c r="D35" s="6" t="str">
        <f>D3</f>
        <v>TOTAL 
YTD (Jun-2026)</v>
      </c>
      <c r="E35" s="291" t="n"/>
      <c r="F35" s="291" t="n"/>
      <c r="G35" s="291" t="n"/>
      <c r="H35" s="293" t="n"/>
      <c r="I35" s="5" t="inlineStr">
        <is>
          <t>TOTAL TECHNOLOGY
Full Year 2026</t>
        </is>
      </c>
      <c r="J35" s="291" t="n"/>
      <c r="K35" s="291" t="n"/>
      <c r="L35" s="291" t="n"/>
      <c r="M35" s="293" t="n"/>
    </row>
    <row r="36" ht="13.5" customHeight="1">
      <c r="B36" s="103" t="inlineStr">
        <is>
          <t>Spend Type</t>
        </is>
      </c>
      <c r="C36" s="104" t="n"/>
      <c r="D36" s="105" t="inlineStr">
        <is>
          <t>A</t>
        </is>
      </c>
      <c r="E36" s="106" t="inlineStr">
        <is>
          <t>B</t>
        </is>
      </c>
      <c r="F36" s="106" t="inlineStr">
        <is>
          <t>V</t>
        </is>
      </c>
      <c r="G36" s="45" t="inlineStr">
        <is>
          <t>V %</t>
        </is>
      </c>
      <c r="H36" s="49" t="inlineStr">
        <is>
          <t>Trend</t>
        </is>
      </c>
      <c r="I36" s="105" t="inlineStr">
        <is>
          <t>F</t>
        </is>
      </c>
      <c r="J36" s="106" t="inlineStr">
        <is>
          <t>B</t>
        </is>
      </c>
      <c r="K36" s="106" t="inlineStr">
        <is>
          <t>V</t>
        </is>
      </c>
      <c r="L36" s="45" t="inlineStr">
        <is>
          <t>V %</t>
        </is>
      </c>
      <c r="M36" s="49" t="inlineStr">
        <is>
          <t>Trend</t>
        </is>
      </c>
    </row>
    <row r="37" ht="19.5" customHeight="1">
      <c r="B37" s="107" t="inlineStr">
        <is>
          <t>Lights on</t>
        </is>
      </c>
      <c r="C37" s="107" t="n"/>
      <c r="D37" s="60">
        <f>N14</f>
        <v>86.66006910547694</v>
      </c>
      <c r="E37" s="60">
        <f>O14</f>
        <v>85.12556412088558</v>
      </c>
      <c r="F37" s="61">
        <f>E37-D37</f>
        <v>-1.5345049845913508</v>
      </c>
      <c r="G37" s="65">
        <f>IFERROR(F37/E37,"-")</f>
        <v>-0.018026370813968674</v>
      </c>
      <c r="H37" s="108" t="inlineStr">
        <is>
          <t>A</t>
        </is>
      </c>
      <c r="I37" s="60">
        <f>N30</f>
        <v>176.23229080029688</v>
      </c>
      <c r="J37" s="60">
        <f>O30</f>
        <v>173.1229520799487</v>
      </c>
      <c r="K37" s="61">
        <f>J37-I37</f>
        <v>-3.109338720348177</v>
      </c>
      <c r="L37" s="65">
        <f>IFERROR(K37/J37,"-")</f>
        <v>-0.017960291705933218</v>
      </c>
      <c r="M37" s="108" t="inlineStr">
        <is>
          <t>A</t>
        </is>
      </c>
    </row>
    <row r="38" ht="19.5" customHeight="1">
      <c r="B38" s="109" t="inlineStr">
        <is>
          <t>Depreciation</t>
        </is>
      </c>
      <c r="C38" s="109" t="n"/>
      <c r="D38" s="74">
        <f>X14</f>
        <v>7.620976354</v>
      </c>
      <c r="E38" s="75">
        <f>Y14</f>
        <v>8.077584165179179</v>
      </c>
      <c r="F38" s="75">
        <f>E38-D38</f>
        <v>0.4566078111791789</v>
      </c>
      <c r="G38" s="76">
        <f>IFERROR(F38/E38,"-")</f>
        <v>0.05652776892719017</v>
      </c>
      <c r="H38" s="80" t="inlineStr">
        <is>
          <t>G</t>
        </is>
      </c>
      <c r="I38" s="74">
        <f>X30</f>
        <v>15.8480092516</v>
      </c>
      <c r="J38" s="75">
        <f>Y30</f>
        <v>17.1065704692871</v>
      </c>
      <c r="K38" s="75">
        <f>J38-I38</f>
        <v>1.2585612176870988</v>
      </c>
      <c r="L38" s="76">
        <f>IFERROR(K38/J38,"-")</f>
        <v>0.07357180212987181</v>
      </c>
      <c r="M38" s="80" t="inlineStr">
        <is>
          <t>G</t>
        </is>
      </c>
    </row>
    <row r="39" ht="19.5" customHeight="1">
      <c r="B39" s="110" t="inlineStr">
        <is>
          <t>Lights on + Depreciation</t>
        </is>
      </c>
      <c r="C39" s="110" t="n"/>
      <c r="D39" s="111">
        <f>SUM(D37:D38)</f>
        <v>94.28104545947693</v>
      </c>
      <c r="E39" s="112">
        <f>SUM(E37:E38)</f>
        <v>93.20314828606476</v>
      </c>
      <c r="F39" s="112">
        <f>SUM(F37:F38)</f>
        <v>-1.0778971734121718</v>
      </c>
      <c r="G39" s="113">
        <f>IFERROR(F39/E39,"-")</f>
        <v>-0.01156502965011251</v>
      </c>
      <c r="H39" s="114" t="inlineStr">
        <is>
          <t>A</t>
        </is>
      </c>
      <c r="I39" s="111">
        <f>SUM(I37:I38)</f>
        <v>192.08030005189687</v>
      </c>
      <c r="J39" s="112">
        <f>SUM(J37:J38)</f>
        <v>190.2295225492358</v>
      </c>
      <c r="K39" s="112">
        <f>SUM(K37:K38)</f>
        <v>-1.850777502661078</v>
      </c>
      <c r="L39" s="113">
        <f>IFERROR(K39/J39,"-")</f>
        <v>-0.009729181243053659</v>
      </c>
      <c r="M39" s="114" t="inlineStr">
        <is>
          <t>A</t>
        </is>
      </c>
    </row>
    <row r="40" ht="19.5" customHeight="1">
      <c r="B40" s="107" t="inlineStr">
        <is>
          <t>Opex Initiatives</t>
        </is>
      </c>
      <c r="C40" s="107" t="n"/>
      <c r="D40" s="53">
        <f>S14</f>
        <v>5.61932600692308</v>
      </c>
      <c r="E40" s="54">
        <f>T14</f>
        <v>8.13090476653846</v>
      </c>
      <c r="F40" s="54">
        <f>E40-D40</f>
        <v>2.5115787596153805</v>
      </c>
      <c r="G40" s="55">
        <f>IFERROR(F40/E40,"-")</f>
        <v>0.30889290081854265</v>
      </c>
      <c r="H40" s="59" t="inlineStr">
        <is>
          <t>G</t>
        </is>
      </c>
      <c r="I40" s="53">
        <f>S30</f>
        <v>13.81548809964252</v>
      </c>
      <c r="J40" s="54">
        <f>T30</f>
        <v>16.26180953307692</v>
      </c>
      <c r="K40" s="54">
        <f>J40-I40</f>
        <v>2.4463214334344006</v>
      </c>
      <c r="L40" s="55">
        <f>IFERROR(K40/J40,"-")</f>
        <v>0.1504335313028063</v>
      </c>
      <c r="M40" s="59" t="inlineStr">
        <is>
          <t>G</t>
        </is>
      </c>
    </row>
    <row r="41" ht="19.5" customHeight="1">
      <c r="B41" s="115" t="inlineStr">
        <is>
          <t>Capex</t>
        </is>
      </c>
      <c r="C41" s="107" t="n"/>
      <c r="D41" s="60">
        <f>AH14</f>
        <v>12.405728604274</v>
      </c>
      <c r="E41" s="61">
        <f>AI14</f>
        <v>23.57807069363636</v>
      </c>
      <c r="F41" s="61">
        <f>E41-D41</f>
        <v>11.17234208936236</v>
      </c>
      <c r="G41" s="65">
        <f>IFERROR(F41/E41,"-")</f>
        <v>0.4738446259887471</v>
      </c>
      <c r="H41" s="67" t="inlineStr">
        <is>
          <t>G</t>
        </is>
      </c>
      <c r="I41" s="60">
        <f>AH30</f>
        <v>43.09041533710477</v>
      </c>
      <c r="J41" s="61">
        <f>AI30</f>
        <v>48.41020956</v>
      </c>
      <c r="K41" s="61">
        <f>J41-I41</f>
        <v>5.319794222895226</v>
      </c>
      <c r="L41" s="65">
        <f>IFERROR(K41/J41,"-")</f>
        <v>0.10988992345306481</v>
      </c>
      <c r="M41" s="67" t="inlineStr">
        <is>
          <t>G</t>
        </is>
      </c>
    </row>
    <row r="42" ht="19.5" customHeight="1">
      <c r="B42" s="116" t="inlineStr">
        <is>
          <t>Significant Items</t>
        </is>
      </c>
      <c r="C42" s="109" t="n"/>
      <c r="D42" s="74">
        <f>AC14</f>
        <v>17.270476819696974</v>
      </c>
      <c r="E42" s="75">
        <f>AD14</f>
        <v>24.41420402</v>
      </c>
      <c r="F42" s="75">
        <f>E42-D42</f>
        <v>7.143727200303026</v>
      </c>
      <c r="G42" s="76">
        <f>IFERROR(F42/E42,"-")</f>
        <v>0.292605369990802</v>
      </c>
      <c r="H42" s="80" t="inlineStr">
        <is>
          <t>G</t>
        </is>
      </c>
      <c r="I42" s="74">
        <f>AC30</f>
        <v>48.10701505</v>
      </c>
      <c r="J42" s="75">
        <f>AD30</f>
        <v>47.62080804</v>
      </c>
      <c r="K42" s="75">
        <f>J42-I42</f>
        <v>-0.4862070100000011</v>
      </c>
      <c r="L42" s="76">
        <f>IFERROR(K42/J42,"-")</f>
        <v>-0.010209969759261589</v>
      </c>
      <c r="M42" s="62" t="inlineStr">
        <is>
          <t>A</t>
        </is>
      </c>
    </row>
    <row r="43" ht="19.5" customHeight="1">
      <c r="B43" s="110" t="inlineStr">
        <is>
          <t>Projects</t>
        </is>
      </c>
      <c r="C43" s="110" t="n"/>
      <c r="D43" s="111">
        <f>SUM(D40:D42)</f>
        <v>35.29553143089405</v>
      </c>
      <c r="E43" s="112">
        <f>SUM(E40:E42)</f>
        <v>56.12317948017482</v>
      </c>
      <c r="F43" s="112">
        <f>SUM(F40:F42)</f>
        <v>20.827648049280768</v>
      </c>
      <c r="G43" s="113">
        <f>IFERROR(F43/E43,"-")</f>
        <v>0.3711059894002978</v>
      </c>
      <c r="H43" s="117" t="inlineStr">
        <is>
          <t>G</t>
        </is>
      </c>
      <c r="I43" s="111">
        <f>SUM(I40:I42)</f>
        <v>105.0129184867473</v>
      </c>
      <c r="J43" s="112">
        <f>SUM(J40:J42)</f>
        <v>112.29282713307693</v>
      </c>
      <c r="K43" s="112">
        <f>SUM(K40:K42)</f>
        <v>7.279908646329625</v>
      </c>
      <c r="L43" s="113">
        <f>IFERROR(K43/J43,"-")</f>
        <v>0.06482968531642978</v>
      </c>
      <c r="M43" s="117" t="inlineStr">
        <is>
          <t>G</t>
        </is>
      </c>
    </row>
    <row r="44" ht="19.5" customHeight="1">
      <c r="B44" s="118" t="inlineStr">
        <is>
          <t>Total Technology</t>
        </is>
      </c>
      <c r="C44" s="118" t="n"/>
      <c r="D44" s="111">
        <f>SUM(D43,D39)</f>
        <v>129.57657689037097</v>
      </c>
      <c r="E44" s="112">
        <f>SUM(E43,E39)</f>
        <v>149.3263277662396</v>
      </c>
      <c r="F44" s="112">
        <f>SUM(F43,F39)</f>
        <v>19.749750875868596</v>
      </c>
      <c r="G44" s="113">
        <f>IFERROR(F44/E44,"-")</f>
        <v>0.1322590006149854</v>
      </c>
      <c r="H44" s="117" t="inlineStr">
        <is>
          <t>G</t>
        </is>
      </c>
      <c r="I44" s="111">
        <f>SUM(I43,I39)</f>
        <v>297.0932185386442</v>
      </c>
      <c r="J44" s="112">
        <f>SUM(J43,J39)</f>
        <v>302.5223496823127</v>
      </c>
      <c r="K44" s="112">
        <f>SUM(K43,K39)</f>
        <v>5.429131143668547</v>
      </c>
      <c r="L44" s="113">
        <f>IFERROR(K44/J44,"-")</f>
        <v>0.017946215046160494</v>
      </c>
      <c r="M44" s="117" t="inlineStr">
        <is>
          <t>G</t>
        </is>
      </c>
    </row>
    <row r="47" ht="38.25" customHeight="1">
      <c r="B47" s="4" t="inlineStr">
        <is>
          <t>SPEND CATEGORY</t>
        </is>
      </c>
      <c r="C47" s="119" t="n"/>
      <c r="D47" s="6" t="str">
        <f>D3</f>
        <v>TOTAL 
YTD (Jun-2026)</v>
      </c>
      <c r="E47" s="291" t="n"/>
      <c r="F47" s="291" t="n"/>
      <c r="G47" s="291" t="n"/>
      <c r="H47" s="293" t="n"/>
      <c r="I47" s="5" t="inlineStr">
        <is>
          <t>TOTAL TECHNOLOGY
YTD (May-2026)</t>
        </is>
      </c>
      <c r="J47" s="291" t="n"/>
      <c r="K47" s="291" t="n"/>
      <c r="L47" s="291" t="n"/>
      <c r="M47" s="293" t="n"/>
    </row>
    <row r="48" ht="22.5" customHeight="1">
      <c r="B48" s="295" t="n"/>
      <c r="C48" s="120" t="n"/>
      <c r="D48" s="105" t="inlineStr">
        <is>
          <t>A</t>
        </is>
      </c>
      <c r="E48" s="106" t="inlineStr">
        <is>
          <t>B</t>
        </is>
      </c>
      <c r="F48" s="106" t="inlineStr">
        <is>
          <t>V</t>
        </is>
      </c>
      <c r="G48" s="45" t="inlineStr">
        <is>
          <t>V %</t>
        </is>
      </c>
      <c r="H48" s="49" t="inlineStr">
        <is>
          <t>Trend</t>
        </is>
      </c>
      <c r="I48" s="105" t="inlineStr">
        <is>
          <t>A</t>
        </is>
      </c>
      <c r="J48" s="106" t="inlineStr">
        <is>
          <t>B</t>
        </is>
      </c>
      <c r="K48" s="106" t="inlineStr">
        <is>
          <t>V</t>
        </is>
      </c>
      <c r="L48" s="45" t="inlineStr">
        <is>
          <t>V %</t>
        </is>
      </c>
      <c r="M48" s="49" t="inlineStr">
        <is>
          <t>Trend</t>
        </is>
      </c>
    </row>
    <row r="49" ht="19.5" customHeight="1">
      <c r="B49" s="107" t="inlineStr">
        <is>
          <t>Opex</t>
        </is>
      </c>
      <c r="C49" s="107" t="n"/>
      <c r="D49" s="60">
        <f>I14+X14</f>
        <v>99.9003714664</v>
      </c>
      <c r="E49" s="60">
        <f>J14+Y14</f>
        <v>101.33405305260321</v>
      </c>
      <c r="F49" s="61">
        <f>E49-D49</f>
        <v>1.4336815862032068</v>
      </c>
      <c r="G49" s="65">
        <f>IFERROR(F49/E49,"-")</f>
        <v>0.014148073061470982</v>
      </c>
      <c r="H49" s="67" t="inlineStr">
        <is>
          <t>G</t>
        </is>
      </c>
      <c r="I49" s="60">
        <f>I30+X30</f>
        <v>205.8957881515394</v>
      </c>
      <c r="J49" s="60">
        <f>J30+Y30</f>
        <v>206.4913320823127</v>
      </c>
      <c r="K49" s="61">
        <f>J49-I49</f>
        <v>0.5955439307733172</v>
      </c>
      <c r="L49" s="65">
        <f>IFERROR(K49/J49,"-")</f>
        <v>0.0028841110412127047</v>
      </c>
      <c r="M49" s="67" t="inlineStr">
        <is>
          <t>G</t>
        </is>
      </c>
    </row>
    <row r="50" ht="19.5" customHeight="1">
      <c r="B50" s="109" t="inlineStr">
        <is>
          <t>Significant Items</t>
        </is>
      </c>
      <c r="C50" s="109" t="n"/>
      <c r="D50" s="60">
        <f>AC14</f>
        <v>17.270476819696974</v>
      </c>
      <c r="E50" s="60">
        <f>AD14</f>
        <v>24.41420402</v>
      </c>
      <c r="F50" s="61">
        <f>E50-D50</f>
        <v>7.143727200303026</v>
      </c>
      <c r="G50" s="65">
        <f>IFERROR(F50/E50,"-")</f>
        <v>0.292605369990802</v>
      </c>
      <c r="H50" s="67" t="inlineStr">
        <is>
          <t>G</t>
        </is>
      </c>
      <c r="I50" s="60">
        <f>AC30</f>
        <v>48.10701505</v>
      </c>
      <c r="J50" s="60">
        <f>AD30</f>
        <v>47.62080804</v>
      </c>
      <c r="K50" s="61">
        <f>J50-I50</f>
        <v>-0.4862070100000011</v>
      </c>
      <c r="L50" s="65">
        <f>IFERROR(K50/J50,"-")</f>
        <v>-0.010209969759261589</v>
      </c>
      <c r="M50" s="108" t="inlineStr">
        <is>
          <t>A</t>
        </is>
      </c>
    </row>
    <row r="51" ht="19.5" customHeight="1">
      <c r="B51" s="109" t="inlineStr">
        <is>
          <t>Capex</t>
        </is>
      </c>
      <c r="C51" s="109" t="n"/>
      <c r="D51" s="60">
        <f>AH14</f>
        <v>12.405728604274</v>
      </c>
      <c r="E51" s="60">
        <f>AI14</f>
        <v>23.57807069363636</v>
      </c>
      <c r="F51" s="61">
        <f>E51-D51</f>
        <v>11.17234208936236</v>
      </c>
      <c r="G51" s="65">
        <f>IFERROR(F51/E51,"-")</f>
        <v>0.4738446259887471</v>
      </c>
      <c r="H51" s="67" t="inlineStr">
        <is>
          <t>G</t>
        </is>
      </c>
      <c r="I51" s="60">
        <f>AH30</f>
        <v>43.09041533710477</v>
      </c>
      <c r="J51" s="60">
        <f>AI30</f>
        <v>48.41020956</v>
      </c>
      <c r="K51" s="61">
        <f>J51-I51</f>
        <v>5.319794222895226</v>
      </c>
      <c r="L51" s="65">
        <f>IFERROR(K51/J51,"-")</f>
        <v>0.10988992345306481</v>
      </c>
      <c r="M51" s="67" t="inlineStr">
        <is>
          <t>G</t>
        </is>
      </c>
    </row>
    <row r="52" ht="19.5" customHeight="1">
      <c r="B52" s="118" t="inlineStr">
        <is>
          <t>Total Technology</t>
        </is>
      </c>
      <c r="C52" s="118" t="n"/>
      <c r="D52" s="111">
        <f>SUM(D49:D51)</f>
        <v>129.57657689037097</v>
      </c>
      <c r="E52" s="111">
        <f>SUM(E49:E51)</f>
        <v>149.32632776623956</v>
      </c>
      <c r="F52" s="111">
        <f>SUM(F49:F51)</f>
        <v>19.749750875868592</v>
      </c>
      <c r="G52" s="113">
        <f>IFERROR(F52/E52,"-")</f>
        <v>0.1322590006149854</v>
      </c>
      <c r="H52" s="117" t="inlineStr">
        <is>
          <t>G</t>
        </is>
      </c>
      <c r="I52" s="111">
        <f>SUM(I49:I51)</f>
        <v>297.0932185386442</v>
      </c>
      <c r="J52" s="111">
        <f>SUM(J49:J51)</f>
        <v>302.5223496823127</v>
      </c>
      <c r="K52" s="111">
        <f>SUM(K49:K51)</f>
        <v>5.429131143668542</v>
      </c>
      <c r="L52" s="113">
        <f>IFERROR(K52/J52,"-")</f>
        <v>0.017946215046160476</v>
      </c>
      <c r="M52" s="117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Y35"/>
  <sheetViews>
    <sheetView zoomScale="80" zoomScaleNormal="80" workbookViewId="0">
      <selection activeCell="Q9" sqref="Q9"/>
    </sheetView>
  </sheetViews>
  <sheetFormatPr baseColWidth="8" defaultColWidth="9.1796875" defaultRowHeight="13"/>
  <cols>
    <col width="9.1796875" customWidth="1" style="121" min="1" max="1"/>
    <col width="17.7265625" customWidth="1" style="121" min="2" max="2"/>
    <col width="15.7265625" customWidth="1" style="121" min="3" max="3"/>
    <col width="12.453125" customWidth="1" style="121" min="4" max="4"/>
    <col width="11.1796875" customWidth="1" style="121" min="5" max="5"/>
    <col width="14.7265625" customWidth="1" style="121" min="6" max="6"/>
    <col width="9.1796875" customWidth="1" style="121" min="7" max="7"/>
    <col width="12.7265625" customWidth="1" style="121" min="8" max="8"/>
    <col width="9.1796875" customWidth="1" style="121" min="9" max="13"/>
    <col width="11" customWidth="1" style="121" min="14" max="14"/>
    <col width="9.1796875" customWidth="1" style="121" min="15" max="16384"/>
  </cols>
  <sheetData>
    <row r="2" ht="13.5" customHeight="1"/>
    <row r="3" ht="29.25" customHeight="1">
      <c r="B3" s="122" t="inlineStr">
        <is>
          <t>BUSINESS</t>
        </is>
      </c>
      <c r="C3" s="3" t="inlineStr">
        <is>
          <t>EGM Sponsor</t>
        </is>
      </c>
      <c r="D3" s="3" t="inlineStr">
        <is>
          <t>GM Sponsor</t>
        </is>
      </c>
      <c r="E3" s="3" t="inlineStr">
        <is>
          <t>Domain Architect</t>
        </is>
      </c>
      <c r="F3" s="3" t="inlineStr">
        <is>
          <t>HO Technology</t>
        </is>
      </c>
      <c r="G3" s="2" t="inlineStr">
        <is>
          <t>Lights-on</t>
        </is>
      </c>
      <c r="H3" s="296" t="n"/>
      <c r="I3" s="296" t="n"/>
      <c r="J3" s="296" t="n"/>
      <c r="K3" s="296" t="n"/>
      <c r="L3" s="297" t="n"/>
      <c r="M3" s="2" t="inlineStr">
        <is>
          <t>Depreciation</t>
        </is>
      </c>
      <c r="N3" s="2" t="inlineStr">
        <is>
          <t>Initiatives</t>
        </is>
      </c>
      <c r="O3" s="2" t="inlineStr">
        <is>
          <t>Sig Items</t>
        </is>
      </c>
      <c r="P3" s="2" t="inlineStr">
        <is>
          <t>Capex</t>
        </is>
      </c>
      <c r="Q3" s="123" t="inlineStr">
        <is>
          <t>Total Budget</t>
        </is>
      </c>
      <c r="R3" s="124" t="n"/>
      <c r="S3" s="1" t="inlineStr">
        <is>
          <t>Existing</t>
        </is>
      </c>
      <c r="T3" s="2" t="inlineStr">
        <is>
          <t>Aligned Delivery</t>
        </is>
      </c>
      <c r="U3" s="2" t="inlineStr">
        <is>
          <t>Aligned COE's</t>
        </is>
      </c>
      <c r="V3" s="123" t="inlineStr">
        <is>
          <t>Total Budget</t>
        </is>
      </c>
    </row>
    <row r="4" ht="29.25" customHeight="1">
      <c r="B4" s="125" t="inlineStr">
        <is>
          <t>SEGMENT</t>
        </is>
      </c>
      <c r="C4" s="298" t="n"/>
      <c r="D4" s="298" t="n"/>
      <c r="E4" s="298" t="n"/>
      <c r="F4" s="298" t="n"/>
      <c r="G4" s="126" t="inlineStr">
        <is>
          <t>People</t>
        </is>
      </c>
      <c r="H4" s="126" t="inlineStr">
        <is>
          <t>HW</t>
        </is>
      </c>
      <c r="I4" s="126" t="inlineStr">
        <is>
          <t>SW</t>
        </is>
      </c>
      <c r="J4" s="126" t="inlineStr">
        <is>
          <t>Network</t>
        </is>
      </c>
      <c r="K4" s="126" t="inlineStr">
        <is>
          <t>Vendor</t>
        </is>
      </c>
      <c r="L4" s="126" t="inlineStr">
        <is>
          <t>Sub-Total</t>
        </is>
      </c>
      <c r="M4" s="298" t="n"/>
      <c r="N4" s="298" t="n"/>
      <c r="O4" s="298" t="n"/>
      <c r="P4" s="298" t="n"/>
      <c r="Q4" s="127" t="inlineStr">
        <is>
          <t>FY2026</t>
        </is>
      </c>
      <c r="R4" s="128" t="n"/>
      <c r="S4" s="299" t="n"/>
      <c r="T4" s="298" t="n"/>
      <c r="U4" s="298" t="n"/>
      <c r="V4" s="127" t="inlineStr">
        <is>
          <t>FY2026</t>
        </is>
      </c>
    </row>
    <row r="5" ht="22.5" customHeight="1">
      <c r="B5" s="129" t="inlineStr">
        <is>
          <t>TDD Corporate (1)</t>
        </is>
      </c>
      <c r="C5" s="130" t="inlineStr">
        <is>
          <t>Brad Blyth</t>
        </is>
      </c>
      <c r="D5" s="131" t="n"/>
      <c r="E5" s="131" t="n"/>
      <c r="F5" s="131" t="n"/>
      <c r="G5" s="132" t="n">
        <v>35.2</v>
      </c>
      <c r="H5" s="132" t="n">
        <v>2.9</v>
      </c>
      <c r="I5" s="132" t="n">
        <v>25.6</v>
      </c>
      <c r="J5" s="132" t="n">
        <v>2.1</v>
      </c>
      <c r="K5" s="132" t="n">
        <v>13.1</v>
      </c>
      <c r="L5" s="133">
        <f>SUM(G5:K5)</f>
        <v>78.89999999999999</v>
      </c>
      <c r="M5" s="133" t="n">
        <v>5.8</v>
      </c>
      <c r="N5" s="133" t="n">
        <v>3</v>
      </c>
      <c r="O5" s="133" t="n">
        <v>20.2</v>
      </c>
      <c r="P5" s="133" t="n">
        <v>4.9</v>
      </c>
      <c r="Q5" s="134">
        <f>SUM(L5:P5)</f>
        <v>112.8</v>
      </c>
      <c r="R5" s="128" t="n"/>
      <c r="S5" s="135" t="n"/>
      <c r="T5" s="136" t="n"/>
      <c r="U5" s="137">
        <f>SUM(W25:W29)</f>
        <v>91.60000000000001</v>
      </c>
      <c r="V5" s="134">
        <f>SUM(S5:U5)</f>
        <v>91.60000000000001</v>
      </c>
    </row>
    <row r="6" ht="29.25" customHeight="1">
      <c r="B6" s="129" t="inlineStr">
        <is>
          <t>Z-Energy (2)</t>
        </is>
      </c>
      <c r="C6" s="130" t="inlineStr">
        <is>
          <t>Lindis Jones</t>
        </is>
      </c>
      <c r="D6" s="130" t="inlineStr">
        <is>
          <t>Vance Anderson</t>
        </is>
      </c>
      <c r="E6" s="131" t="n"/>
      <c r="F6" s="131" t="n"/>
      <c r="G6" s="132" t="n">
        <v>17.6</v>
      </c>
      <c r="H6" s="132" t="n">
        <v>19.8</v>
      </c>
      <c r="I6" s="132" t="n">
        <v>11.6</v>
      </c>
      <c r="J6" s="132" t="n">
        <v>0.6</v>
      </c>
      <c r="K6" s="132" t="n">
        <v>2.6</v>
      </c>
      <c r="L6" s="133">
        <f>SUM(G6:K6)</f>
        <v>52.20000000000001</v>
      </c>
      <c r="M6" s="133" t="n">
        <v>11.3</v>
      </c>
      <c r="N6" s="133" t="n">
        <v>1.4</v>
      </c>
      <c r="O6" s="133" t="inlineStr">
        <is>
          <t>-</t>
        </is>
      </c>
      <c r="P6" s="133" t="n">
        <v>11.7</v>
      </c>
      <c r="Q6" s="134">
        <f>SUM(L6:P6)</f>
        <v>76.60000000000002</v>
      </c>
      <c r="R6" s="128" t="n"/>
      <c r="S6" s="138">
        <f>Q6</f>
        <v>76.60000000000002</v>
      </c>
      <c r="T6" s="136" t="n"/>
      <c r="U6" s="136" t="n"/>
      <c r="V6" s="134">
        <f>SUM(S6:U6)</f>
        <v>76.60000000000002</v>
      </c>
    </row>
    <row r="7" ht="29.25" customHeight="1">
      <c r="B7" s="129" t="inlineStr">
        <is>
          <t>EnergySolutions</t>
        </is>
      </c>
      <c r="C7" s="130" t="inlineStr">
        <is>
          <t>Brent Merrick</t>
        </is>
      </c>
      <c r="D7" s="130" t="inlineStr">
        <is>
          <t>Roanne Steele</t>
        </is>
      </c>
      <c r="E7" s="131" t="n"/>
      <c r="F7" s="131" t="n"/>
      <c r="G7" s="132" t="n">
        <v>1</v>
      </c>
      <c r="H7" s="132" t="n">
        <v>1.5</v>
      </c>
      <c r="I7" s="132" t="n">
        <v>1.4</v>
      </c>
      <c r="J7" s="136" t="n"/>
      <c r="K7" s="136" t="n"/>
      <c r="L7" s="133">
        <f>SUM(G7:K7)</f>
        <v>3.9</v>
      </c>
      <c r="M7" s="139" t="n"/>
      <c r="N7" s="133" t="n">
        <v>1</v>
      </c>
      <c r="O7" s="139" t="n"/>
      <c r="P7" s="133" t="n">
        <v>2.3</v>
      </c>
      <c r="Q7" s="134">
        <f>SUM(L7:P7)</f>
        <v>7.2</v>
      </c>
      <c r="R7" s="128" t="n"/>
      <c r="S7" s="138">
        <f>Q7</f>
        <v>7.2</v>
      </c>
      <c r="T7" s="136" t="n"/>
      <c r="U7" s="136" t="n"/>
      <c r="V7" s="134">
        <f>SUM(S7:U7)</f>
        <v>7.2</v>
      </c>
      <c r="Y7" s="121">
        <f>SUM(L9,N9,O9,P9)</f>
        <v>33.8</v>
      </c>
    </row>
    <row r="8" ht="29.25" customHeight="1">
      <c r="B8" s="129" t="inlineStr">
        <is>
          <t>Commercial Fuels</t>
        </is>
      </c>
      <c r="C8" s="130" t="inlineStr">
        <is>
          <t>Brent Merrick</t>
        </is>
      </c>
      <c r="D8" s="130" t="inlineStr">
        <is>
          <t>Roanne Steele</t>
        </is>
      </c>
      <c r="E8" s="131" t="n"/>
      <c r="F8" s="131" t="n"/>
      <c r="G8" s="136" t="n"/>
      <c r="H8" s="132" t="n">
        <v>2.5</v>
      </c>
      <c r="I8" s="132" t="n">
        <v>9.4</v>
      </c>
      <c r="J8" s="132" t="n">
        <v>1.5</v>
      </c>
      <c r="K8" s="136" t="n"/>
      <c r="L8" s="133">
        <f>SUM(G8:K8)</f>
        <v>13.4</v>
      </c>
      <c r="M8" s="139" t="n"/>
      <c r="N8" s="133" t="n">
        <v>6.1</v>
      </c>
      <c r="O8" s="133" t="n">
        <v>14.2</v>
      </c>
      <c r="P8" s="133" t="n">
        <v>6.8</v>
      </c>
      <c r="Q8" s="134">
        <f>SUM(L8:P8)</f>
        <v>40.5</v>
      </c>
      <c r="R8" s="128" t="n"/>
      <c r="S8" s="138">
        <f>Q8</f>
        <v>40.5</v>
      </c>
      <c r="T8" s="140">
        <f>S19</f>
        <v>1.2</v>
      </c>
      <c r="U8" s="136" t="n"/>
      <c r="V8" s="134">
        <f>SUM(S8:U8)</f>
        <v>41.7</v>
      </c>
    </row>
    <row r="9" ht="29.25" customHeight="1">
      <c r="B9" s="129" t="inlineStr">
        <is>
          <t>Retail</t>
        </is>
      </c>
      <c r="C9" s="130" t="inlineStr">
        <is>
          <t>Kate Thomson</t>
        </is>
      </c>
      <c r="D9" s="130" t="inlineStr">
        <is>
          <t>Roanne Steele</t>
        </is>
      </c>
      <c r="E9" s="131" t="n"/>
      <c r="F9" s="131" t="n"/>
      <c r="G9" s="136" t="n"/>
      <c r="H9" s="132" t="n">
        <v>5.3</v>
      </c>
      <c r="I9" s="132" t="n">
        <v>6.4</v>
      </c>
      <c r="J9" s="132" t="n">
        <v>2.2</v>
      </c>
      <c r="K9" s="136" t="n"/>
      <c r="L9" s="133">
        <f>SUM(G9:K9)</f>
        <v>13.899999999999999</v>
      </c>
      <c r="M9" s="139" t="n"/>
      <c r="N9" s="133" t="n">
        <v>1.3</v>
      </c>
      <c r="O9" s="133" t="n">
        <v>6.8</v>
      </c>
      <c r="P9" s="133" t="n">
        <v>11.8</v>
      </c>
      <c r="Q9" s="134">
        <f>SUM(L9:P9)</f>
        <v>33.8</v>
      </c>
      <c r="R9" s="128" t="n"/>
      <c r="S9" s="138">
        <f>Q9</f>
        <v>33.8</v>
      </c>
      <c r="T9" s="140">
        <f>S20</f>
        <v>5.2</v>
      </c>
      <c r="U9" s="136" t="n"/>
      <c r="V9" s="134">
        <f>SUM(S9:U9)</f>
        <v>39.0</v>
      </c>
    </row>
    <row r="10" ht="29.25" customHeight="1">
      <c r="B10" s="129" t="inlineStr">
        <is>
          <t>Infrastructure</t>
        </is>
      </c>
      <c r="C10" s="130" t="inlineStr">
        <is>
          <t>Michelle Bardy</t>
        </is>
      </c>
      <c r="D10" s="130" t="inlineStr">
        <is>
          <t>Roanne Steele</t>
        </is>
      </c>
      <c r="E10" s="131" t="n"/>
      <c r="F10" s="131" t="n"/>
      <c r="G10" s="136" t="n"/>
      <c r="H10" s="132" t="n">
        <v>1.9</v>
      </c>
      <c r="I10" s="132" t="n">
        <v>2</v>
      </c>
      <c r="J10" s="136" t="n"/>
      <c r="K10" s="136" t="n"/>
      <c r="L10" s="133">
        <f>SUM(G10:K10)</f>
        <v>3.9</v>
      </c>
      <c r="M10" s="139" t="n"/>
      <c r="N10" s="133" t="n">
        <v>0.4</v>
      </c>
      <c r="O10" s="139" t="n"/>
      <c r="P10" s="133" t="n">
        <v>5</v>
      </c>
      <c r="Q10" s="134">
        <f>SUM(L10:P10)</f>
        <v>9.3</v>
      </c>
      <c r="R10" s="128" t="n"/>
      <c r="S10" s="138">
        <f>Q10</f>
        <v>9.3</v>
      </c>
      <c r="T10" s="140">
        <f>S21</f>
        <v>2.2</v>
      </c>
      <c r="U10" s="136" t="n"/>
      <c r="V10" s="134">
        <f>SUM(S10:U10)</f>
        <v>11.5</v>
      </c>
    </row>
    <row r="11" ht="29.25" customHeight="1">
      <c r="B11" s="129" t="inlineStr">
        <is>
          <t>Corporate Finance</t>
        </is>
      </c>
      <c r="C11" s="130" t="inlineStr">
        <is>
          <t>Greg Barnes</t>
        </is>
      </c>
      <c r="D11" s="130" t="inlineStr">
        <is>
          <t>Emily Mogic</t>
        </is>
      </c>
      <c r="E11" s="131" t="n"/>
      <c r="F11" s="131" t="n"/>
      <c r="G11" s="136" t="n"/>
      <c r="H11" s="132" t="n">
        <v>0.5</v>
      </c>
      <c r="I11" s="132" t="n">
        <v>2.1</v>
      </c>
      <c r="J11" s="136" t="n"/>
      <c r="K11" s="136" t="n"/>
      <c r="L11" s="133">
        <f>SUM(G11:K11)</f>
        <v>2.6</v>
      </c>
      <c r="M11" s="139" t="n"/>
      <c r="N11" s="133" t="n">
        <v>0.9</v>
      </c>
      <c r="O11" s="139" t="n"/>
      <c r="P11" s="139" t="n"/>
      <c r="Q11" s="134">
        <f>SUM(L11:P11)</f>
        <v>3.5</v>
      </c>
      <c r="R11" s="128" t="n"/>
      <c r="S11" s="138">
        <f>Q11</f>
        <v>3.5</v>
      </c>
      <c r="T11" s="140">
        <f>S22</f>
        <v>9.0</v>
      </c>
      <c r="U11" s="136" t="n"/>
      <c r="V11" s="134">
        <f>SUM(S11:U11)</f>
        <v>12.5</v>
      </c>
    </row>
    <row r="12" ht="22.5" customHeight="1">
      <c r="B12" s="129" t="inlineStr">
        <is>
          <t>P&amp;C</t>
        </is>
      </c>
      <c r="C12" s="130" t="inlineStr">
        <is>
          <t>Meaghan Davis</t>
        </is>
      </c>
      <c r="D12" s="130" t="inlineStr">
        <is>
          <t>Emily Mogic</t>
        </is>
      </c>
      <c r="E12" s="131" t="n"/>
      <c r="F12" s="131" t="n"/>
      <c r="G12" s="136" t="n"/>
      <c r="H12" s="132" t="n">
        <v>0.3</v>
      </c>
      <c r="I12" s="132" t="n">
        <v>1.8</v>
      </c>
      <c r="J12" s="136" t="n"/>
      <c r="K12" s="136" t="n"/>
      <c r="L12" s="133">
        <f>SUM(G12:K12)</f>
        <v>2.1</v>
      </c>
      <c r="M12" s="139" t="n"/>
      <c r="N12" s="133" t="n">
        <v>2</v>
      </c>
      <c r="O12" s="133" t="n">
        <v>1.4</v>
      </c>
      <c r="P12" s="133" t="n">
        <v>0.3</v>
      </c>
      <c r="Q12" s="134">
        <f>SUM(L12:P12)</f>
        <v>5.8</v>
      </c>
      <c r="R12" s="128" t="n"/>
      <c r="S12" s="138">
        <f>Q12</f>
        <v>5.8</v>
      </c>
      <c r="T12" s="140">
        <f>S23</f>
        <v>0.0</v>
      </c>
      <c r="U12" s="136" t="n"/>
      <c r="V12" s="134">
        <f>SUM(S12:U12)</f>
        <v>5.8</v>
      </c>
    </row>
    <row r="13" ht="29.25" customHeight="1">
      <c r="B13" s="129" t="inlineStr">
        <is>
          <t>Customer</t>
        </is>
      </c>
      <c r="C13" s="141" t="inlineStr">
        <is>
          <t>Kate Thomson</t>
        </is>
      </c>
      <c r="D13" s="141" t="inlineStr">
        <is>
          <t>Vance Anderson</t>
        </is>
      </c>
      <c r="E13" s="142" t="n"/>
      <c r="F13" s="142" t="n"/>
      <c r="G13" s="143" t="n"/>
      <c r="H13" s="144" t="n">
        <v>0.1</v>
      </c>
      <c r="I13" s="144" t="n">
        <v>1.6</v>
      </c>
      <c r="J13" s="143" t="n"/>
      <c r="K13" s="143" t="n"/>
      <c r="L13" s="145">
        <f>SUM(G13:K13)</f>
        <v>1.7000000000000002</v>
      </c>
      <c r="M13" s="146" t="n"/>
      <c r="N13" s="146" t="n"/>
      <c r="O13" s="145" t="n">
        <v>5</v>
      </c>
      <c r="P13" s="145" t="n">
        <v>5</v>
      </c>
      <c r="Q13" s="147">
        <f>SUM(L13:P13)</f>
        <v>11.7</v>
      </c>
      <c r="R13" s="148" t="n"/>
      <c r="S13" s="149">
        <f>Q13</f>
        <v>11.7</v>
      </c>
      <c r="T13" s="150">
        <f>S24</f>
        <v>3.6999999999999997</v>
      </c>
      <c r="U13" s="143" t="n"/>
      <c r="V13" s="147">
        <f>SUM(S13:U13)</f>
        <v>15.399999999999999</v>
      </c>
    </row>
    <row r="14" ht="22.5" customHeight="1">
      <c r="B14" s="151" t="inlineStr">
        <is>
          <t>Total Technology</t>
        </is>
      </c>
      <c r="C14" s="152" t="n"/>
      <c r="D14" s="152" t="n"/>
      <c r="E14" s="152" t="n"/>
      <c r="F14" s="152" t="n"/>
      <c r="G14" s="153">
        <f>SUM(G5:G13)</f>
        <v>53.800000000000004</v>
      </c>
      <c r="H14" s="153">
        <f>SUM(H5:H13)</f>
        <v>34.8</v>
      </c>
      <c r="I14" s="153">
        <f>SUM(I5:I13)</f>
        <v>61.9</v>
      </c>
      <c r="J14" s="153">
        <f>SUM(J5:J13)</f>
        <v>6.4</v>
      </c>
      <c r="K14" s="153">
        <f>SUM(K5:K13)</f>
        <v>15.7</v>
      </c>
      <c r="L14" s="154">
        <f>SUM(L5:L13)</f>
        <v>172.6</v>
      </c>
      <c r="M14" s="154">
        <f>SUM(M5:M13)</f>
        <v>17.1</v>
      </c>
      <c r="N14" s="154">
        <f>SUM(N5:N13)</f>
        <v>16.1</v>
      </c>
      <c r="O14" s="154">
        <f>SUM(O5:O13)</f>
        <v>47.599999999999994</v>
      </c>
      <c r="P14" s="154">
        <f>SUM(P5:P13)</f>
        <v>47.800000000000004</v>
      </c>
      <c r="Q14" s="155">
        <f>SUM(Q5:Q13)</f>
        <v>301.2</v>
      </c>
      <c r="R14" s="156" t="n"/>
      <c r="S14" s="157">
        <f>SUM(S6:S13)</f>
        <v>188.40000000000003</v>
      </c>
      <c r="T14" s="158">
        <f>SUM(T8:T13)</f>
        <v>21.3</v>
      </c>
      <c r="U14" s="158">
        <f>U5</f>
        <v>91.60000000000001</v>
      </c>
      <c r="V14" s="155">
        <f>SUM(V5:V13)</f>
        <v>301.3</v>
      </c>
    </row>
    <row r="16" ht="13.5" customHeight="1"/>
    <row r="17" ht="26.25" customHeight="1">
      <c r="B17" s="239" t="inlineStr">
        <is>
          <t>BUSINESS SEGMENT</t>
        </is>
      </c>
      <c r="C17" s="300" t="n"/>
      <c r="D17" s="301" t="n"/>
      <c r="E17" s="239" t="inlineStr">
        <is>
          <t>EGM Sponsor</t>
        </is>
      </c>
      <c r="F17" s="239" t="inlineStr">
        <is>
          <t>GM Sponsor</t>
        </is>
      </c>
      <c r="G17" s="239" t="inlineStr">
        <is>
          <t>Domain Architect</t>
        </is>
      </c>
      <c r="H17" s="239" t="inlineStr">
        <is>
          <t>HO Technology</t>
        </is>
      </c>
      <c r="I17" s="240" t="inlineStr">
        <is>
          <t>Lights-on</t>
        </is>
      </c>
      <c r="J17" s="302" t="n"/>
      <c r="K17" s="302" t="n"/>
      <c r="L17" s="302" t="n"/>
      <c r="M17" s="302" t="n"/>
      <c r="N17" s="303" t="n"/>
      <c r="O17" s="240" t="inlineStr">
        <is>
          <t>Depreciation</t>
        </is>
      </c>
      <c r="P17" s="240" t="inlineStr">
        <is>
          <t>Initiatives</t>
        </is>
      </c>
      <c r="Q17" s="240" t="inlineStr">
        <is>
          <t>Sig Items</t>
        </is>
      </c>
      <c r="R17" s="240" t="inlineStr">
        <is>
          <t>Capex</t>
        </is>
      </c>
      <c r="S17" s="159" t="inlineStr">
        <is>
          <t>Total Budget</t>
        </is>
      </c>
      <c r="T17" s="160" t="n"/>
      <c r="U17" s="241" t="inlineStr">
        <is>
          <t>Existing</t>
        </is>
      </c>
      <c r="V17" s="242" t="inlineStr">
        <is>
          <t>Aligned  Delivery</t>
        </is>
      </c>
      <c r="W17" s="161" t="inlineStr">
        <is>
          <t>Aligned</t>
        </is>
      </c>
      <c r="X17" s="162" t="inlineStr">
        <is>
          <t>Total Budget</t>
        </is>
      </c>
    </row>
    <row r="18" ht="13.5" customHeight="1">
      <c r="B18" s="304" t="n"/>
      <c r="C18" s="305" t="n"/>
      <c r="D18" s="306" t="n"/>
      <c r="E18" s="307" t="n"/>
      <c r="F18" s="307" t="n"/>
      <c r="G18" s="307" t="n"/>
      <c r="H18" s="307" t="n"/>
      <c r="I18" s="163" t="inlineStr">
        <is>
          <t>People</t>
        </is>
      </c>
      <c r="J18" s="163" t="inlineStr">
        <is>
          <t>HW</t>
        </is>
      </c>
      <c r="K18" s="163" t="inlineStr">
        <is>
          <t>SW</t>
        </is>
      </c>
      <c r="L18" s="163" t="inlineStr">
        <is>
          <t>Network</t>
        </is>
      </c>
      <c r="M18" s="163" t="inlineStr">
        <is>
          <t>Vendor</t>
        </is>
      </c>
      <c r="N18" s="163" t="inlineStr">
        <is>
          <t>Sub-Total</t>
        </is>
      </c>
      <c r="O18" s="307" t="n"/>
      <c r="P18" s="307" t="n"/>
      <c r="Q18" s="307" t="n"/>
      <c r="R18" s="307" t="n"/>
      <c r="S18" s="164" t="inlineStr">
        <is>
          <t>FY2026</t>
        </is>
      </c>
      <c r="T18" s="165" t="n"/>
      <c r="U18" s="299" t="n"/>
      <c r="V18" s="298" t="n"/>
      <c r="W18" s="166" t="inlineStr">
        <is>
          <t>COE's</t>
        </is>
      </c>
      <c r="X18" s="167" t="inlineStr">
        <is>
          <t>FY2026</t>
        </is>
      </c>
    </row>
    <row r="19" ht="26.25" customHeight="1">
      <c r="B19" s="243" t="n"/>
      <c r="C19" s="301" t="n"/>
      <c r="D19" s="168" t="inlineStr">
        <is>
          <t>Commercial Fuels</t>
        </is>
      </c>
      <c r="E19" s="169" t="n"/>
      <c r="F19" s="169" t="n"/>
      <c r="G19" s="169" t="n"/>
      <c r="H19" s="169" t="n"/>
      <c r="I19" s="170" t="n">
        <v>1.2</v>
      </c>
      <c r="J19" s="170" t="n">
        <v>0</v>
      </c>
      <c r="K19" s="170" t="n">
        <v>0</v>
      </c>
      <c r="L19" s="170" t="inlineStr">
        <is>
          <t>-</t>
        </is>
      </c>
      <c r="M19" s="170" t="inlineStr">
        <is>
          <t>-</t>
        </is>
      </c>
      <c r="N19" s="170">
        <f>SUM(I19:M19)</f>
        <v>1.2</v>
      </c>
      <c r="O19" s="170" t="inlineStr">
        <is>
          <t>-</t>
        </is>
      </c>
      <c r="P19" s="171" t="n"/>
      <c r="Q19" s="171" t="n"/>
      <c r="R19" s="172" t="n"/>
      <c r="S19" s="173">
        <f>SUM(N19:R19)</f>
        <v>1.2</v>
      </c>
      <c r="T19" s="165" t="n"/>
      <c r="U19" s="174" t="n"/>
      <c r="V19" s="175" t="n"/>
      <c r="W19" s="175" t="n"/>
      <c r="X19" s="176" t="inlineStr">
        <is>
          <t>-</t>
        </is>
      </c>
    </row>
    <row r="20" ht="13.5" customHeight="1">
      <c r="B20" s="308" t="n"/>
      <c r="C20" s="309" t="n"/>
      <c r="D20" s="177" t="inlineStr">
        <is>
          <t>Retail</t>
        </is>
      </c>
      <c r="E20" s="178" t="n"/>
      <c r="F20" s="178" t="n"/>
      <c r="G20" s="178" t="n"/>
      <c r="H20" s="178" t="n"/>
      <c r="I20" s="179" t="n">
        <v>3.4</v>
      </c>
      <c r="J20" s="179" t="n">
        <v>0.2</v>
      </c>
      <c r="K20" s="179" t="n">
        <v>0.9</v>
      </c>
      <c r="L20" s="179" t="inlineStr">
        <is>
          <t>-</t>
        </is>
      </c>
      <c r="M20" s="179" t="n">
        <v>0.7</v>
      </c>
      <c r="N20" s="179">
        <f>SUM(I20:M20)</f>
        <v>5.2</v>
      </c>
      <c r="O20" s="179" t="inlineStr">
        <is>
          <t>-</t>
        </is>
      </c>
      <c r="P20" s="175" t="n"/>
      <c r="Q20" s="175" t="n"/>
      <c r="R20" s="180" t="n"/>
      <c r="S20" s="181">
        <f>SUM(N20:R20)</f>
        <v>5.2</v>
      </c>
      <c r="T20" s="165" t="n"/>
      <c r="U20" s="174" t="n"/>
      <c r="V20" s="175" t="n"/>
      <c r="W20" s="175" t="n"/>
      <c r="X20" s="176" t="inlineStr">
        <is>
          <t>-</t>
        </is>
      </c>
    </row>
    <row r="21" ht="30" customHeight="1">
      <c r="B21" s="308" t="n"/>
      <c r="C21" s="309" t="n"/>
      <c r="D21" s="177" t="inlineStr">
        <is>
          <t>Infrastructure</t>
        </is>
      </c>
      <c r="E21" s="178" t="n"/>
      <c r="F21" s="178" t="n"/>
      <c r="G21" s="178" t="n"/>
      <c r="H21" s="178" t="n"/>
      <c r="I21" s="179" t="n">
        <v>2</v>
      </c>
      <c r="J21" s="179" t="inlineStr">
        <is>
          <t>-</t>
        </is>
      </c>
      <c r="K21" s="179" t="n">
        <v>0.2</v>
      </c>
      <c r="L21" s="179" t="inlineStr">
        <is>
          <t>-</t>
        </is>
      </c>
      <c r="M21" s="179" t="inlineStr">
        <is>
          <t>-</t>
        </is>
      </c>
      <c r="N21" s="179">
        <f>SUM(I21:M21)</f>
        <v>2.2</v>
      </c>
      <c r="O21" s="179" t="inlineStr">
        <is>
          <t>-</t>
        </is>
      </c>
      <c r="P21" s="175" t="n"/>
      <c r="Q21" s="175" t="n"/>
      <c r="R21" s="180" t="n"/>
      <c r="S21" s="181">
        <f>SUM(N21:R21)</f>
        <v>2.2</v>
      </c>
      <c r="T21" s="165" t="n"/>
      <c r="U21" s="174" t="n"/>
      <c r="V21" s="175" t="n"/>
      <c r="W21" s="175" t="n"/>
      <c r="X21" s="176" t="inlineStr">
        <is>
          <t>-</t>
        </is>
      </c>
    </row>
    <row r="22" ht="26.25" customHeight="1">
      <c r="B22" s="308" t="n"/>
      <c r="C22" s="309" t="n"/>
      <c r="D22" s="177" t="inlineStr">
        <is>
          <t>Corporate Finance</t>
        </is>
      </c>
      <c r="E22" s="178" t="n"/>
      <c r="F22" s="178" t="n"/>
      <c r="G22" s="178" t="n"/>
      <c r="H22" s="178" t="n"/>
      <c r="I22" s="179" t="n">
        <v>1.3</v>
      </c>
      <c r="J22" s="179" t="inlineStr">
        <is>
          <t>-</t>
        </is>
      </c>
      <c r="K22" s="179" t="n">
        <v>4.2</v>
      </c>
      <c r="L22" s="179" t="inlineStr">
        <is>
          <t>-</t>
        </is>
      </c>
      <c r="M22" s="179" t="n">
        <v>3.5</v>
      </c>
      <c r="N22" s="179">
        <f>SUM(I22:M22)</f>
        <v>9.0</v>
      </c>
      <c r="O22" s="179" t="inlineStr">
        <is>
          <t>-</t>
        </is>
      </c>
      <c r="P22" s="175" t="n"/>
      <c r="Q22" s="175" t="n"/>
      <c r="R22" s="180" t="n"/>
      <c r="S22" s="181">
        <f>SUM(N22:R22)</f>
        <v>9.0</v>
      </c>
      <c r="T22" s="165" t="n"/>
      <c r="U22" s="174" t="n"/>
      <c r="V22" s="175" t="n"/>
      <c r="W22" s="175" t="n"/>
      <c r="X22" s="176" t="inlineStr">
        <is>
          <t>-</t>
        </is>
      </c>
    </row>
    <row r="23" ht="13.5" customHeight="1">
      <c r="B23" s="308" t="n"/>
      <c r="C23" s="309" t="n"/>
      <c r="D23" s="177" t="inlineStr">
        <is>
          <t>P&amp;C</t>
        </is>
      </c>
      <c r="E23" s="178" t="n"/>
      <c r="F23" s="178" t="n"/>
      <c r="G23" s="178" t="n"/>
      <c r="H23" s="178" t="n"/>
      <c r="I23" s="179" t="n">
        <v>0</v>
      </c>
      <c r="J23" s="179" t="inlineStr">
        <is>
          <t>-</t>
        </is>
      </c>
      <c r="K23" s="179" t="inlineStr">
        <is>
          <t>-</t>
        </is>
      </c>
      <c r="L23" s="179" t="inlineStr">
        <is>
          <t>-</t>
        </is>
      </c>
      <c r="M23" s="179" t="inlineStr">
        <is>
          <t>-</t>
        </is>
      </c>
      <c r="N23" s="179">
        <f>SUM(I23:M23)</f>
        <v>0.0</v>
      </c>
      <c r="O23" s="179" t="inlineStr">
        <is>
          <t>-</t>
        </is>
      </c>
      <c r="P23" s="175" t="n"/>
      <c r="Q23" s="175" t="n"/>
      <c r="R23" s="180" t="n"/>
      <c r="S23" s="181">
        <f>SUM(N23:R23)</f>
        <v>0.0</v>
      </c>
      <c r="T23" s="165" t="n"/>
      <c r="U23" s="174" t="n"/>
      <c r="V23" s="175" t="n"/>
      <c r="W23" s="175" t="n"/>
      <c r="X23" s="176" t="inlineStr">
        <is>
          <t>-</t>
        </is>
      </c>
    </row>
    <row r="24" ht="13.5" customHeight="1">
      <c r="B24" s="308" t="n"/>
      <c r="C24" s="309" t="n"/>
      <c r="D24" s="177" t="inlineStr">
        <is>
          <t>Customer</t>
        </is>
      </c>
      <c r="E24" s="178" t="n"/>
      <c r="F24" s="178" t="n"/>
      <c r="G24" s="178" t="n"/>
      <c r="H24" s="178" t="n"/>
      <c r="I24" s="179" t="n">
        <v>1.2</v>
      </c>
      <c r="J24" s="179" t="inlineStr">
        <is>
          <t>-</t>
        </is>
      </c>
      <c r="K24" s="179" t="n">
        <v>0.6</v>
      </c>
      <c r="L24" s="179" t="n">
        <v>0</v>
      </c>
      <c r="M24" s="179" t="n">
        <v>1</v>
      </c>
      <c r="N24" s="179">
        <f>SUM(I24:M24)</f>
        <v>2.8</v>
      </c>
      <c r="O24" s="179" t="n">
        <v>0.9</v>
      </c>
      <c r="P24" s="175" t="n"/>
      <c r="Q24" s="175" t="n"/>
      <c r="R24" s="180" t="n"/>
      <c r="S24" s="181">
        <f>SUM(N24:R24)</f>
        <v>3.6999999999999997</v>
      </c>
      <c r="T24" s="165" t="n"/>
      <c r="U24" s="174" t="n"/>
      <c r="V24" s="175" t="n"/>
      <c r="W24" s="175" t="n"/>
      <c r="X24" s="176" t="inlineStr">
        <is>
          <t>-</t>
        </is>
      </c>
    </row>
    <row r="25" ht="13.5" customHeight="1">
      <c r="B25" s="308" t="n"/>
      <c r="C25" s="309" t="n"/>
      <c r="D25" s="182" t="inlineStr">
        <is>
          <t>TDD</t>
        </is>
      </c>
      <c r="E25" s="183" t="n"/>
      <c r="F25" s="184" t="inlineStr">
        <is>
          <t>Emily Mogic</t>
        </is>
      </c>
      <c r="G25" s="183" t="n"/>
      <c r="H25" s="183" t="n"/>
      <c r="I25" s="179" t="n">
        <v>4.5</v>
      </c>
      <c r="J25" s="179" t="n">
        <v>2.5</v>
      </c>
      <c r="K25" s="179" t="n">
        <v>14.5</v>
      </c>
      <c r="L25" s="179" t="n">
        <v>0</v>
      </c>
      <c r="M25" s="179" t="n">
        <v>0.8</v>
      </c>
      <c r="N25" s="179">
        <f>SUM(I25:M25)</f>
        <v>22.3</v>
      </c>
      <c r="O25" s="179" t="n">
        <v>4.9</v>
      </c>
      <c r="P25" s="175" t="n"/>
      <c r="Q25" s="175" t="n"/>
      <c r="R25" s="180" t="n"/>
      <c r="S25" s="185">
        <f>SUM(N25:R25)</f>
        <v>27.200000000000003</v>
      </c>
      <c r="T25" s="165" t="n"/>
      <c r="U25" s="174" t="n"/>
      <c r="V25" s="175" t="n"/>
      <c r="W25" s="186">
        <f>S25</f>
        <v>27.200000000000003</v>
      </c>
      <c r="X25" s="176">
        <f>W25</f>
        <v>27.200000000000003</v>
      </c>
    </row>
    <row r="26" ht="13.5" customHeight="1">
      <c r="B26" s="308" t="n"/>
      <c r="C26" s="309" t="n"/>
      <c r="D26" s="182" t="inlineStr">
        <is>
          <t>TDDEGM</t>
        </is>
      </c>
      <c r="E26" s="183" t="n"/>
      <c r="F26" s="184" t="inlineStr">
        <is>
          <t>Brad Blyth</t>
        </is>
      </c>
      <c r="G26" s="183" t="n"/>
      <c r="H26" s="183" t="n"/>
      <c r="I26" s="179" t="n">
        <v>6.5</v>
      </c>
      <c r="J26" s="179" t="inlineStr">
        <is>
          <t>-</t>
        </is>
      </c>
      <c r="K26" s="179" t="inlineStr">
        <is>
          <t>-</t>
        </is>
      </c>
      <c r="L26" s="179" t="inlineStr">
        <is>
          <t>-</t>
        </is>
      </c>
      <c r="M26" s="179" t="n">
        <v>3.6</v>
      </c>
      <c r="N26" s="179">
        <f>SUM(I26:M26)</f>
        <v>10.1</v>
      </c>
      <c r="O26" s="179" t="inlineStr">
        <is>
          <t>-</t>
        </is>
      </c>
      <c r="P26" s="179" t="n">
        <v>3</v>
      </c>
      <c r="Q26" s="179" t="n">
        <v>20.2</v>
      </c>
      <c r="R26" s="187" t="n">
        <v>4.9</v>
      </c>
      <c r="S26" s="185">
        <f>SUM(N26:R26)</f>
        <v>38.199999999999996</v>
      </c>
      <c r="T26" s="165" t="n"/>
      <c r="U26" s="174" t="n"/>
      <c r="V26" s="175" t="n"/>
      <c r="W26" s="186">
        <f>S26</f>
        <v>38.199999999999996</v>
      </c>
      <c r="X26" s="176">
        <f>W26</f>
        <v>38.199999999999996</v>
      </c>
    </row>
    <row r="27" ht="39" customHeight="1">
      <c r="B27" s="308" t="n"/>
      <c r="C27" s="309" t="n"/>
      <c r="D27" s="182" t="inlineStr">
        <is>
          <t>Strategy, Architecture and Data</t>
        </is>
      </c>
      <c r="E27" s="183" t="n"/>
      <c r="F27" s="184" t="inlineStr">
        <is>
          <t>Matt Ashley</t>
        </is>
      </c>
      <c r="G27" s="183" t="n"/>
      <c r="H27" s="183" t="n"/>
      <c r="I27" s="179" t="n">
        <v>5.3</v>
      </c>
      <c r="J27" s="179" t="inlineStr">
        <is>
          <t>-</t>
        </is>
      </c>
      <c r="K27" s="179" t="n">
        <v>1</v>
      </c>
      <c r="L27" s="179" t="inlineStr">
        <is>
          <t>-</t>
        </is>
      </c>
      <c r="M27" s="179" t="n">
        <v>0.6</v>
      </c>
      <c r="N27" s="179">
        <f>SUM(I27:M27)</f>
        <v>6.8999999999999995</v>
      </c>
      <c r="O27" s="179" t="inlineStr">
        <is>
          <t>-</t>
        </is>
      </c>
      <c r="P27" s="175" t="n"/>
      <c r="Q27" s="175" t="n"/>
      <c r="R27" s="180" t="n"/>
      <c r="S27" s="185">
        <f>SUM(N27:R27)</f>
        <v>6.8999999999999995</v>
      </c>
      <c r="T27" s="165" t="n"/>
      <c r="U27" s="174" t="n"/>
      <c r="V27" s="175" t="n"/>
      <c r="W27" s="186">
        <f>S27</f>
        <v>6.8999999999999995</v>
      </c>
      <c r="X27" s="176">
        <f>W27</f>
        <v>6.8999999999999995</v>
      </c>
    </row>
    <row r="28" ht="39" customHeight="1">
      <c r="B28" s="308" t="n"/>
      <c r="C28" s="309" t="n"/>
      <c r="D28" s="182" t="inlineStr">
        <is>
          <t>Cyber Risk and Operations</t>
        </is>
      </c>
      <c r="E28" s="183" t="n"/>
      <c r="F28" s="184" t="inlineStr">
        <is>
          <t>Frances Bouzo</t>
        </is>
      </c>
      <c r="G28" s="183" t="n"/>
      <c r="H28" s="183" t="n"/>
      <c r="I28" s="179" t="n">
        <v>7.6</v>
      </c>
      <c r="J28" s="179" t="n">
        <v>0.2</v>
      </c>
      <c r="K28" s="179" t="n">
        <v>4.3</v>
      </c>
      <c r="L28" s="179" t="n">
        <v>2</v>
      </c>
      <c r="M28" s="179" t="n">
        <v>2.9</v>
      </c>
      <c r="N28" s="179">
        <f>SUM(I28:M28)</f>
        <v>17.0</v>
      </c>
      <c r="O28" s="179" t="inlineStr">
        <is>
          <t>-</t>
        </is>
      </c>
      <c r="P28" s="175" t="n"/>
      <c r="Q28" s="175" t="n"/>
      <c r="R28" s="180" t="n"/>
      <c r="S28" s="185">
        <f>SUM(N28:R28)</f>
        <v>17.0</v>
      </c>
      <c r="T28" s="165" t="n"/>
      <c r="U28" s="174" t="n"/>
      <c r="V28" s="175" t="n"/>
      <c r="W28" s="186">
        <f>S28</f>
        <v>17.0</v>
      </c>
      <c r="X28" s="176">
        <f>W28</f>
        <v>17.0</v>
      </c>
    </row>
    <row r="29" ht="52.5" customHeight="1">
      <c r="B29" s="304" t="n"/>
      <c r="C29" s="306" t="n"/>
      <c r="D29" s="188" t="inlineStr">
        <is>
          <t>Business Partnering and Governance</t>
        </is>
      </c>
      <c r="E29" s="189" t="n"/>
      <c r="F29" s="190" t="inlineStr">
        <is>
          <t>Michael Schofield</t>
        </is>
      </c>
      <c r="G29" s="189" t="n"/>
      <c r="H29" s="189" t="n"/>
      <c r="I29" s="191" t="n">
        <v>2.3</v>
      </c>
      <c r="J29" s="191" t="inlineStr">
        <is>
          <t>-</t>
        </is>
      </c>
      <c r="K29" s="191" t="inlineStr">
        <is>
          <t>-</t>
        </is>
      </c>
      <c r="L29" s="191" t="inlineStr">
        <is>
          <t>-</t>
        </is>
      </c>
      <c r="M29" s="191" t="inlineStr">
        <is>
          <t>-</t>
        </is>
      </c>
      <c r="N29" s="191">
        <f>SUM(I29:M29)</f>
        <v>2.3</v>
      </c>
      <c r="O29" s="191" t="inlineStr">
        <is>
          <t>-</t>
        </is>
      </c>
      <c r="P29" s="192" t="n"/>
      <c r="Q29" s="192" t="n"/>
      <c r="R29" s="193" t="n"/>
      <c r="S29" s="194">
        <f>SUM(N29:R29)</f>
        <v>2.3</v>
      </c>
      <c r="T29" s="195" t="n"/>
      <c r="U29" s="196" t="n"/>
      <c r="V29" s="192" t="n"/>
      <c r="W29" s="197">
        <f>S29</f>
        <v>2.3</v>
      </c>
      <c r="X29" s="198">
        <f>W29</f>
        <v>2.3</v>
      </c>
    </row>
    <row r="30" ht="13.5" customHeight="1">
      <c r="B30" s="244" t="inlineStr">
        <is>
          <t>TDD Corporate (1)</t>
        </is>
      </c>
      <c r="C30" s="302" t="n"/>
      <c r="D30" s="310" t="n"/>
      <c r="E30" s="199" t="inlineStr">
        <is>
          <t>Brad Blyth</t>
        </is>
      </c>
      <c r="F30" s="200" t="n"/>
      <c r="G30" s="200" t="n"/>
      <c r="H30" s="200" t="n"/>
      <c r="I30" s="201">
        <f>G5</f>
        <v>35.2</v>
      </c>
      <c r="J30" s="201">
        <f>H5</f>
        <v>2.9</v>
      </c>
      <c r="K30" s="201">
        <f>I5</f>
        <v>25.6</v>
      </c>
      <c r="L30" s="201">
        <f>J5</f>
        <v>2.1</v>
      </c>
      <c r="M30" s="201">
        <f>K5</f>
        <v>13.1</v>
      </c>
      <c r="N30" s="201">
        <f>L5</f>
        <v>78.89999999999999</v>
      </c>
      <c r="O30" s="201">
        <f>M5</f>
        <v>5.8</v>
      </c>
      <c r="P30" s="201">
        <f>N5</f>
        <v>3.0</v>
      </c>
      <c r="Q30" s="201">
        <f>O5</f>
        <v>20.2</v>
      </c>
      <c r="R30" s="202">
        <f>P5</f>
        <v>4.9</v>
      </c>
      <c r="S30" s="163">
        <f>Q5</f>
        <v>112.8</v>
      </c>
      <c r="T30" s="203" t="n"/>
      <c r="U30" s="204" t="n"/>
      <c r="V30" s="205" t="n"/>
      <c r="W30" s="201">
        <f>U5</f>
        <v>91.60000000000001</v>
      </c>
      <c r="X30" s="202">
        <f>W30</f>
        <v>91.60000000000001</v>
      </c>
    </row>
    <row r="31" ht="13.5" customHeight="1">
      <c r="B31" s="206" t="n"/>
      <c r="C31" s="245" t="inlineStr">
        <is>
          <t>Z-Energy (Direct TDD)</t>
        </is>
      </c>
      <c r="D31" s="297" t="n"/>
      <c r="E31" s="207" t="n"/>
      <c r="F31" s="207" t="n"/>
      <c r="G31" s="207" t="n"/>
      <c r="H31" s="207" t="n"/>
      <c r="I31" s="170" t="n">
        <v>17.6</v>
      </c>
      <c r="J31" s="170" t="n">
        <v>12.1</v>
      </c>
      <c r="K31" s="170" t="n">
        <v>6.3</v>
      </c>
      <c r="L31" s="170" t="n">
        <v>0.6</v>
      </c>
      <c r="M31" s="170" t="n">
        <v>2.6</v>
      </c>
      <c r="N31" s="170" t="n">
        <v>39.3</v>
      </c>
      <c r="O31" s="170" t="n">
        <v>11.3</v>
      </c>
      <c r="P31" s="170" t="n">
        <v>1.4</v>
      </c>
      <c r="Q31" s="171" t="n"/>
      <c r="R31" s="208" t="n">
        <v>11.7</v>
      </c>
      <c r="S31" s="209" t="n">
        <v>63.7</v>
      </c>
      <c r="T31" s="210" t="n"/>
      <c r="U31" s="211" t="n"/>
      <c r="V31" s="171" t="n"/>
      <c r="W31" s="171" t="n"/>
      <c r="X31" s="212" t="inlineStr">
        <is>
          <t>-</t>
        </is>
      </c>
    </row>
    <row r="32" ht="13.5" customHeight="1">
      <c r="B32" s="213" t="n"/>
      <c r="C32" s="246" t="inlineStr">
        <is>
          <t>Z-Energy (Other IT Spend for Supplies, Customer)</t>
        </is>
      </c>
      <c r="D32" s="311" t="n"/>
      <c r="E32" s="214" t="n"/>
      <c r="F32" s="214" t="n"/>
      <c r="G32" s="214" t="n"/>
      <c r="H32" s="214" t="n"/>
      <c r="I32" s="192" t="n"/>
      <c r="J32" s="191" t="n">
        <v>7.6</v>
      </c>
      <c r="K32" s="191" t="n">
        <v>5.3</v>
      </c>
      <c r="L32" s="192" t="n"/>
      <c r="M32" s="192" t="n"/>
      <c r="N32" s="191" t="n">
        <v>13</v>
      </c>
      <c r="O32" s="192" t="n"/>
      <c r="P32" s="192" t="n"/>
      <c r="Q32" s="192" t="n"/>
      <c r="R32" s="193" t="n"/>
      <c r="S32" s="215" t="n">
        <v>13</v>
      </c>
      <c r="T32" s="195" t="n"/>
      <c r="U32" s="196" t="n"/>
      <c r="V32" s="192" t="n"/>
      <c r="W32" s="192" t="n"/>
      <c r="X32" s="198" t="inlineStr">
        <is>
          <t>-</t>
        </is>
      </c>
    </row>
    <row r="33" ht="13.5" customHeight="1">
      <c r="B33" s="244" t="inlineStr">
        <is>
          <t>Z-Energy (2)</t>
        </is>
      </c>
      <c r="C33" s="302" t="n"/>
      <c r="D33" s="310" t="n"/>
      <c r="E33" s="199" t="inlineStr">
        <is>
          <t>Lindis Jones</t>
        </is>
      </c>
      <c r="F33" s="199" t="inlineStr">
        <is>
          <t>Vance Anderson</t>
        </is>
      </c>
      <c r="G33" s="200" t="n"/>
      <c r="H33" s="200" t="n"/>
      <c r="I33" s="201">
        <f>G6</f>
        <v>17.6</v>
      </c>
      <c r="J33" s="201">
        <f>H6</f>
        <v>19.8</v>
      </c>
      <c r="K33" s="201">
        <f>I6</f>
        <v>11.6</v>
      </c>
      <c r="L33" s="201">
        <f>J6</f>
        <v>0.6</v>
      </c>
      <c r="M33" s="201">
        <f>K6</f>
        <v>2.6</v>
      </c>
      <c r="N33" s="201">
        <f>L6</f>
        <v>52.20000000000001</v>
      </c>
      <c r="O33" s="201">
        <f>M6</f>
        <v>11.3</v>
      </c>
      <c r="P33" s="201">
        <f>N6</f>
        <v>1.4</v>
      </c>
      <c r="Q33" s="201" t="str">
        <f>O6</f>
        <v>-</v>
      </c>
      <c r="R33" s="202">
        <f>P6</f>
        <v>11.7</v>
      </c>
      <c r="S33" s="163">
        <f>Q6</f>
        <v>76.60000000000002</v>
      </c>
      <c r="T33" s="203" t="n"/>
      <c r="U33" s="216">
        <f>S6</f>
        <v>76.60000000000002</v>
      </c>
      <c r="V33" s="205" t="n"/>
      <c r="W33" s="205" t="n"/>
      <c r="X33" s="202">
        <f>U33</f>
        <v>76.60000000000002</v>
      </c>
    </row>
    <row r="35">
      <c r="B35" s="312" t="inlineStr">
        <is>
          <t>Note: totals are live sums of the component cells. The printed Finance pack rounds to $0.1m, so differences of up to ±$0.1m vs the pack are expected.</t>
        </is>
      </c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U3:U4"/>
    <mergeCell ref="D3:D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62"/>
  <sheetViews>
    <sheetView showGridLines="0" topLeftCell="A9" zoomScale="50" zoomScaleNormal="50" workbookViewId="0">
      <selection activeCell="C61" sqref="C61:G61"/>
    </sheetView>
  </sheetViews>
  <sheetFormatPr baseColWidth="8" defaultColWidth="8.6328125" defaultRowHeight="14.5"/>
  <cols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Ampol Retail</t>
        </is>
      </c>
    </row>
    <row r="3">
      <c r="B3" s="218" t="n"/>
      <c r="C3" s="121" t="n"/>
      <c r="D3" s="121" t="n"/>
      <c r="E3" s="121" t="n"/>
      <c r="F3" s="121" t="n"/>
      <c r="G3" s="121" t="n"/>
      <c r="H3" s="121" t="n"/>
      <c r="I3" s="121" t="n"/>
      <c r="J3" s="121" t="n"/>
    </row>
    <row r="4">
      <c r="B4" s="313" t="inlineStr">
        <is>
          <t>Yellow = your selection   |   Green text = pulled from another tab   |   Grey = calculated   |   Red / green = position</t>
        </is>
      </c>
      <c r="C4" s="121" t="n"/>
      <c r="D4" s="121" t="n"/>
      <c r="E4" s="121" t="n"/>
      <c r="F4" s="121" t="n"/>
      <c r="G4" s="121" t="n"/>
      <c r="H4" s="121" t="n"/>
      <c r="I4" s="121" t="n"/>
      <c r="J4" s="121" t="n"/>
    </row>
    <row r="5">
      <c r="B5" s="121" t="n"/>
      <c r="C5" s="121" t="n"/>
      <c r="D5" s="121" t="n"/>
      <c r="E5" s="121" t="n"/>
      <c r="F5" s="121" t="n"/>
      <c r="G5" s="121" t="n"/>
      <c r="H5" s="121" t="n"/>
      <c r="I5" s="121" t="n"/>
      <c r="J5" s="121" t="n"/>
    </row>
    <row r="6">
      <c r="B6" s="16" t="inlineStr">
        <is>
          <t>Portfolio Summary</t>
        </is>
      </c>
      <c r="C6" s="237" t="n"/>
      <c r="D6" s="237" t="n"/>
      <c r="E6" s="238" t="n"/>
      <c r="F6" s="121" t="n"/>
      <c r="G6" s="219" t="inlineStr">
        <is>
          <t>Budget vs TDD cost</t>
        </is>
      </c>
      <c r="H6" s="219" t="n"/>
      <c r="I6" s="121" t="n"/>
      <c r="J6" s="121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Retail Cost ($m)</t>
        </is>
      </c>
      <c r="F7" s="121" t="n"/>
      <c r="G7" s="220" t="inlineStr">
        <is>
          <t>TDD Lights On Budget</t>
        </is>
      </c>
      <c r="H7" s="221">
        <f>'0.0 Data Config'!$E$11</f>
        <v>2.5</v>
      </c>
      <c r="I7" s="121" t="n"/>
      <c r="J7" s="121" t="n"/>
    </row>
    <row r="8">
      <c r="B8" s="20" t="inlineStr">
        <is>
          <t>Portfolio Overhead</t>
        </is>
      </c>
      <c r="C8" s="221">
        <f>'0.0 Data Config'!$J$10</f>
        <v>0.7495</v>
      </c>
      <c r="D8" s="220" t="n"/>
      <c r="E8" s="21">
        <f>C8</f>
        <v>0.7495</v>
      </c>
      <c r="F8" s="121" t="n"/>
      <c r="G8" s="220" t="inlineStr">
        <is>
          <t>Overheads &amp; Support (this model)</t>
        </is>
      </c>
      <c r="H8" s="21">
        <f>C11</f>
        <v>3.8115</v>
      </c>
      <c r="I8" s="121" t="n"/>
      <c r="J8" s="121" t="n"/>
    </row>
    <row r="9">
      <c r="B9" s="20" t="inlineStr">
        <is>
          <t>Platform Overheads</t>
        </is>
      </c>
      <c r="C9" s="21">
        <f>SUM(H29,H36,H43,H49,H55, H61)</f>
        <v>0.9900000000000001</v>
      </c>
      <c r="D9" s="220" t="n"/>
      <c r="E9" s="21">
        <f>C9</f>
        <v>0.9900000000000001</v>
      </c>
      <c r="F9" s="121" t="n"/>
      <c r="G9" s="222" t="inlineStr">
        <is>
          <t>Variance (budget less cost)</t>
        </is>
      </c>
      <c r="H9" s="223">
        <f>H7-H8</f>
        <v>-1.3115</v>
      </c>
      <c r="I9" s="121" t="n"/>
      <c r="J9" s="121" t="n"/>
    </row>
    <row r="10">
      <c r="B10" s="20" t="inlineStr">
        <is>
          <t>Squad Support Costs</t>
        </is>
      </c>
      <c r="C10" s="21">
        <f>SUM(H25,H26,H27,H28,H34,H35,H41,H42,H48,H54,H60)</f>
        <v>2.072</v>
      </c>
      <c r="D10" s="21">
        <f>SUM(I25,I26,I27,I28,I34,I35,I41,I42,I48,I54,I60)</f>
        <v>8.288</v>
      </c>
      <c r="E10" s="21">
        <f>C10+D10</f>
        <v>10.36</v>
      </c>
      <c r="F10" s="121" t="n"/>
      <c r="G10" s="121" t="n"/>
      <c r="H10" s="121" t="n"/>
      <c r="I10" s="121" t="n"/>
      <c r="J10" s="121" t="n"/>
    </row>
    <row r="11">
      <c r="B11" s="222" t="inlineStr">
        <is>
          <t>Total Cost</t>
        </is>
      </c>
      <c r="C11" s="223">
        <f>SUM(C8:C10)</f>
        <v>3.8115</v>
      </c>
      <c r="D11" s="223">
        <f>SUM(D8:D10)</f>
        <v>8.288</v>
      </c>
      <c r="E11" s="223">
        <f>C11+D11</f>
        <v>12.0995</v>
      </c>
      <c r="F11" s="121" t="n"/>
      <c r="G11" s="121" t="n"/>
      <c r="H11" s="121" t="n"/>
      <c r="I11" s="121" t="n"/>
      <c r="J11" s="121" t="n"/>
    </row>
    <row r="12">
      <c r="B12" s="121" t="n"/>
      <c r="C12" s="121" t="n"/>
      <c r="D12" s="121" t="n"/>
      <c r="E12" s="121" t="n"/>
      <c r="F12" s="121" t="n"/>
      <c r="G12" s="247" t="inlineStr">
        <is>
          <t xml:space="preserve">Other funding </t>
        </is>
      </c>
      <c r="H12" s="237" t="n"/>
      <c r="I12" s="237" t="n"/>
      <c r="J12" s="238" t="n"/>
    </row>
    <row r="13">
      <c r="B13" s="248" t="inlineStr">
        <is>
          <t xml:space="preserve">Total Retail budget </t>
        </is>
      </c>
      <c r="C13" s="314" t="n"/>
      <c r="D13" s="315" t="n"/>
      <c r="E13" s="226">
        <f>SUM(H14,H15,H16,H17)</f>
        <v>33.8</v>
      </c>
      <c r="F13" s="121" t="n"/>
      <c r="G13" s="17" t="inlineStr">
        <is>
          <t>Budget line</t>
        </is>
      </c>
      <c r="H13" s="17" t="inlineStr">
        <is>
          <t>Budget ($m)</t>
        </is>
      </c>
      <c r="I13" s="17" t="inlineStr">
        <is>
          <t>Amount that can be allocated to people</t>
        </is>
      </c>
      <c r="J13" s="17" t="inlineStr">
        <is>
          <t>Remaining for non-people ($m)</t>
        </is>
      </c>
    </row>
    <row r="14">
      <c r="B14" s="248" t="inlineStr">
        <is>
          <t xml:space="preserve">Reconciled to Finance </t>
        </is>
      </c>
      <c r="C14" s="314" t="n"/>
      <c r="D14" s="315" t="n"/>
      <c r="E14" s="227">
        <f>'0.4 Budget Table (Fin)'!Q9</f>
        <v>33.8</v>
      </c>
      <c r="F14" s="121" t="n"/>
      <c r="G14" s="20" t="inlineStr">
        <is>
          <t>Retail Lights On</t>
        </is>
      </c>
      <c r="H14" s="221">
        <f>'0.4 Budget Table (Fin)'!L9</f>
        <v>13.899999999999999</v>
      </c>
      <c r="I14" s="228">
        <f>'0.4 Budget Table (Fin)'!G9</f>
        <v>0.0</v>
      </c>
      <c r="J14" s="21">
        <f>IFERROR(H14-I14,0)</f>
        <v>13.899999999999999</v>
      </c>
    </row>
    <row r="15">
      <c r="B15" s="121" t="n"/>
      <c r="C15" s="121" t="n"/>
      <c r="D15" s="121" t="n"/>
      <c r="E15" s="121" t="n"/>
      <c r="F15" s="121" t="n"/>
      <c r="G15" s="20" t="inlineStr">
        <is>
          <t>OpEx Initiatives</t>
        </is>
      </c>
      <c r="H15" s="221">
        <f>'0.4 Budget Table (Fin)'!N9</f>
        <v>1.3</v>
      </c>
      <c r="I15" s="229" t="n">
        <v>0</v>
      </c>
      <c r="J15" s="21">
        <f>IFERROR(H15-I15,0)</f>
        <v>1.3</v>
      </c>
    </row>
    <row r="16">
      <c r="B16" s="121" t="n"/>
      <c r="C16" s="121" t="n"/>
      <c r="D16" s="121" t="n"/>
      <c r="E16" s="121" t="n"/>
      <c r="F16" s="121" t="n"/>
      <c r="G16" s="20" t="inlineStr">
        <is>
          <t>Retail CapEx</t>
        </is>
      </c>
      <c r="H16" s="221">
        <f>'0.4 Budget Table (Fin)'!P9</f>
        <v>11.8</v>
      </c>
      <c r="I16" s="229" t="n">
        <v>4</v>
      </c>
      <c r="J16" s="21">
        <f>IFERROR(H16-I16,0)</f>
        <v>7.800000000000001</v>
      </c>
    </row>
    <row r="17">
      <c r="B17" s="121" t="n"/>
      <c r="C17" s="121" t="n"/>
      <c r="D17" s="121" t="n"/>
      <c r="E17" s="121" t="n"/>
      <c r="F17" s="121" t="n"/>
      <c r="G17" s="20" t="inlineStr">
        <is>
          <t>Significant Items</t>
        </is>
      </c>
      <c r="H17" s="221">
        <f>'0.4 Budget Table (Fin)'!O9</f>
        <v>6.8</v>
      </c>
      <c r="I17" s="229" t="n">
        <v>2</v>
      </c>
      <c r="J17" s="21">
        <f>IFERROR(H17-I17,0)</f>
        <v>4.8</v>
      </c>
    </row>
    <row r="18">
      <c r="B18" s="121" t="n"/>
      <c r="C18" s="121" t="n"/>
      <c r="D18" s="121" t="n"/>
      <c r="E18" s="121" t="n"/>
      <c r="F18" s="121" t="n"/>
      <c r="G18" s="230" t="inlineStr">
        <is>
          <t>Total applied</t>
        </is>
      </c>
      <c r="H18" s="220" t="n"/>
      <c r="I18" s="26">
        <f>SUM(I14:I17)</f>
        <v>6.0</v>
      </c>
      <c r="J18" s="220" t="n"/>
    </row>
    <row r="19">
      <c r="B19" s="121" t="n"/>
      <c r="C19" s="121" t="n"/>
      <c r="D19" s="121" t="n"/>
      <c r="E19" s="121" t="n"/>
      <c r="F19" s="121" t="n"/>
      <c r="G19" s="20" t="inlineStr">
        <is>
          <t>Other cost (this model)</t>
        </is>
      </c>
      <c r="H19" s="220" t="n"/>
      <c r="I19" s="21">
        <f>D11</f>
        <v>8.288</v>
      </c>
      <c r="J19" s="220" t="n"/>
    </row>
    <row r="20">
      <c r="B20" s="121" t="n"/>
      <c r="C20" s="121" t="n"/>
      <c r="D20" s="121" t="n"/>
      <c r="E20" s="121" t="n"/>
      <c r="F20" s="121" t="n"/>
      <c r="G20" s="222" t="inlineStr">
        <is>
          <t>Left to fund</t>
        </is>
      </c>
      <c r="H20" s="231" t="n"/>
      <c r="I20" s="223">
        <f>I19-I18</f>
        <v>2.2880000000000003</v>
      </c>
      <c r="J20" s="231" t="n"/>
    </row>
    <row r="21"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1" t="n"/>
    </row>
    <row r="22"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1" t="n"/>
    </row>
    <row r="23">
      <c r="B23" s="247" t="inlineStr">
        <is>
          <t>Platform: Store Operations</t>
        </is>
      </c>
      <c r="C23" s="237" t="n"/>
      <c r="D23" s="237" t="n"/>
      <c r="E23" s="237" t="n"/>
      <c r="F23" s="237" t="n"/>
      <c r="G23" s="237" t="n"/>
      <c r="H23" s="237" t="n"/>
      <c r="I23" s="238" t="n"/>
      <c r="J23" s="121" t="n"/>
    </row>
    <row r="24">
      <c r="B24" s="17" t="inlineStr">
        <is>
          <t>Squad</t>
        </is>
      </c>
      <c r="C24" s="17" t="inlineStr">
        <is>
          <t>Squad Type</t>
        </is>
      </c>
      <c r="D24" s="17" t="inlineStr">
        <is>
          <t>Size</t>
        </is>
      </c>
      <c r="E24" s="17" t="inlineStr">
        <is>
          <t>On/Off</t>
        </is>
      </c>
      <c r="F24" s="17" t="inlineStr">
        <is>
          <t>Support %</t>
        </is>
      </c>
      <c r="G24" s="17" t="inlineStr">
        <is>
          <t>Total Squad Cost ($m)</t>
        </is>
      </c>
      <c r="H24" s="17" t="inlineStr">
        <is>
          <t>TDD Cost ($m)</t>
        </is>
      </c>
      <c r="I24" s="17" t="inlineStr">
        <is>
          <t>Funded outside TDD ($m)</t>
        </is>
      </c>
      <c r="J24" s="121" t="n"/>
    </row>
    <row r="25">
      <c r="B25" s="20" t="inlineStr">
        <is>
          <t>POS</t>
        </is>
      </c>
      <c r="C25" s="232" t="inlineStr">
        <is>
          <t>Configuration / Integration</t>
        </is>
      </c>
      <c r="D25" s="232" t="inlineStr">
        <is>
          <t>M</t>
        </is>
      </c>
      <c r="E25" s="232" t="inlineStr">
        <is>
          <t>Offshore</t>
        </is>
      </c>
      <c r="F25" s="233" t="n">
        <v>0.2</v>
      </c>
      <c r="G25" s="221">
        <f>IFERROR(IF($E25="Onshore",INDEX('0.1 Squads'!$G$5:$G$23,MATCH($C25&amp;"|"&amp;$D25,'0.1 Squads'!$A$5:$A$23,0)),INDEX('0.1 Squads'!$H$5:$H$23,MATCH($C25&amp;"|"&amp;$D25,'0.1 Squads'!$A$5:$A$23,0))),"check size")</f>
        <v>0.56</v>
      </c>
      <c r="H25" s="21">
        <f>IFERROR($G25*$F25,"")</f>
        <v>0.11200000000000002</v>
      </c>
      <c r="I25" s="21">
        <f>IFERROR($G25*(1-$F25),"")</f>
        <v>0.44800000000000006</v>
      </c>
      <c r="J25" s="121" t="n"/>
    </row>
    <row r="26">
      <c r="B26" s="20" t="inlineStr">
        <is>
          <t>Payments</t>
        </is>
      </c>
      <c r="C26" s="232" t="inlineStr">
        <is>
          <t>Configuration / Integration</t>
        </is>
      </c>
      <c r="D26" s="232" t="inlineStr">
        <is>
          <t>S</t>
        </is>
      </c>
      <c r="E26" s="232" t="inlineStr">
        <is>
          <t>Onshore</t>
        </is>
      </c>
      <c r="F26" s="233" t="n">
        <v>0.2</v>
      </c>
      <c r="G26" s="221">
        <f>IFERROR(IF($E26="Onshore",INDEX('0.1 Squads'!$G$5:$G$23,MATCH($C26&amp;"|"&amp;$D26,'0.1 Squads'!$A$5:$A$23,0)),INDEX('0.1 Squads'!$H$5:$H$23,MATCH($C26&amp;"|"&amp;$D26,'0.1 Squads'!$A$5:$A$23,0))),"check size")</f>
        <v>0.4</v>
      </c>
      <c r="H26" s="21">
        <f>IFERROR($G26*$F26,"")</f>
        <v>0.08000000000000002</v>
      </c>
      <c r="I26" s="21">
        <f>IFERROR($G26*(1-$F26),"")</f>
        <v>0.32000000000000006</v>
      </c>
      <c r="J26" s="121" t="n"/>
    </row>
    <row r="27">
      <c r="B27" s="20" t="inlineStr">
        <is>
          <t>Retail Operations</t>
        </is>
      </c>
      <c r="C27" s="232" t="inlineStr">
        <is>
          <t>Build and Run</t>
        </is>
      </c>
      <c r="D27" s="232" t="inlineStr">
        <is>
          <t>M</t>
        </is>
      </c>
      <c r="E27" s="232" t="inlineStr">
        <is>
          <t>Offshore</t>
        </is>
      </c>
      <c r="F27" s="233" t="n">
        <v>0.2</v>
      </c>
      <c r="G27" s="221">
        <f>IFERROR(IF($E27="Onshore",INDEX('0.1 Squads'!$G$5:$G$23,MATCH($C27&amp;"|"&amp;$D27,'0.1 Squads'!$A$5:$A$23,0)),INDEX('0.1 Squads'!$H$5:$H$23,MATCH($C27&amp;"|"&amp;$D27,'0.1 Squads'!$A$5:$A$23,0))),"check size")</f>
        <v>0.8</v>
      </c>
      <c r="H27" s="21">
        <f>IFERROR($G27*$F27,"")</f>
        <v>0.16000000000000003</v>
      </c>
      <c r="I27" s="21">
        <f>IFERROR($G27*(1-$F27),"")</f>
        <v>0.6400000000000001</v>
      </c>
      <c r="J27" s="121" t="n"/>
    </row>
    <row r="28">
      <c r="B28" s="20" t="inlineStr">
        <is>
          <t>Deployment</t>
        </is>
      </c>
      <c r="C28" s="232" t="inlineStr">
        <is>
          <t>Configuration / Integration</t>
        </is>
      </c>
      <c r="D28" s="232" t="inlineStr">
        <is>
          <t>M</t>
        </is>
      </c>
      <c r="E28" s="232" t="inlineStr">
        <is>
          <t>Onshore</t>
        </is>
      </c>
      <c r="F28" s="233" t="n">
        <v>0.2</v>
      </c>
      <c r="G28" s="221">
        <f>IFERROR(IF($E28="Onshore",INDEX('0.1 Squads'!$G$5:$G$23,MATCH($C28&amp;"|"&amp;$D28,'0.1 Squads'!$A$5:$A$23,0)),INDEX('0.1 Squads'!$H$5:$H$23,MATCH($C28&amp;"|"&amp;$D28,'0.1 Squads'!$A$5:$A$23,0))),"check size")</f>
        <v>1.4</v>
      </c>
      <c r="H28" s="21">
        <f>IFERROR($G28*$F28,"")</f>
        <v>0.27999999999999997</v>
      </c>
      <c r="I28" s="21">
        <f>IFERROR($G28*(1-$F28),"")</f>
        <v>1.1199999999999999</v>
      </c>
      <c r="J28" s="121" t="n"/>
    </row>
    <row r="29">
      <c r="B29" s="234" t="inlineStr">
        <is>
          <t>Platform Overhead</t>
        </is>
      </c>
      <c r="C29" s="220" t="n"/>
      <c r="D29" s="220" t="n"/>
      <c r="E29" s="220" t="n"/>
      <c r="F29" s="220" t="n"/>
      <c r="G29" s="220" t="n"/>
      <c r="H29" s="221">
        <f>'0.0 Data Config'!$J$16</f>
        <v>0.165</v>
      </c>
      <c r="I29" s="220" t="n"/>
      <c r="J29" s="121" t="n"/>
    </row>
    <row r="30">
      <c r="B30" s="222" t="inlineStr">
        <is>
          <t>Store Operations Total</t>
        </is>
      </c>
      <c r="C30" s="231" t="n"/>
      <c r="D30" s="231" t="n"/>
      <c r="E30" s="231" t="n"/>
      <c r="F30" s="231" t="n"/>
      <c r="G30" s="223">
        <f>SUM(G25:G28)</f>
        <v>3.16</v>
      </c>
      <c r="H30" s="223">
        <f>SUM(H25:H29)</f>
        <v>0.7970000000000002</v>
      </c>
      <c r="I30" s="223">
        <f>SUM(I25:I28)</f>
        <v>2.5280000000000005</v>
      </c>
      <c r="J30" s="121" t="n"/>
    </row>
    <row r="31"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1" t="n"/>
    </row>
    <row r="32">
      <c r="B32" s="247" t="inlineStr">
        <is>
          <t>Platform: Merchandising / Supply Chain</t>
        </is>
      </c>
      <c r="C32" s="237" t="n"/>
      <c r="D32" s="237" t="n"/>
      <c r="E32" s="237" t="n"/>
      <c r="F32" s="237" t="n"/>
      <c r="G32" s="237" t="n"/>
      <c r="H32" s="237" t="n"/>
      <c r="I32" s="238" t="n"/>
      <c r="J32" s="121" t="n"/>
    </row>
    <row r="33">
      <c r="B33" s="17" t="inlineStr">
        <is>
          <t>Squad</t>
        </is>
      </c>
      <c r="C33" s="17" t="inlineStr">
        <is>
          <t>Squad Type</t>
        </is>
      </c>
      <c r="D33" s="17" t="inlineStr">
        <is>
          <t>Size</t>
        </is>
      </c>
      <c r="E33" s="17" t="inlineStr">
        <is>
          <t>On/Off</t>
        </is>
      </c>
      <c r="F33" s="17" t="inlineStr">
        <is>
          <t>Support %</t>
        </is>
      </c>
      <c r="G33" s="17" t="inlineStr">
        <is>
          <t>Total Squad Cost ($m)</t>
        </is>
      </c>
      <c r="H33" s="17" t="inlineStr">
        <is>
          <t>TDD Cost ($m)</t>
        </is>
      </c>
      <c r="I33" s="17" t="inlineStr">
        <is>
          <t>Funded outside TDD ($m)</t>
        </is>
      </c>
      <c r="J33" s="121" t="n"/>
    </row>
    <row r="34">
      <c r="B34" s="20" t="inlineStr">
        <is>
          <t>Merchandising / Supply Chain</t>
        </is>
      </c>
      <c r="C34" s="232" t="inlineStr">
        <is>
          <t>Configuration / Integration</t>
        </is>
      </c>
      <c r="D34" s="232" t="inlineStr">
        <is>
          <t>M</t>
        </is>
      </c>
      <c r="E34" s="232" t="inlineStr">
        <is>
          <t>Onshore</t>
        </is>
      </c>
      <c r="F34" s="233" t="n">
        <v>0.2</v>
      </c>
      <c r="G34" s="221">
        <f>IFERROR(IF($E34="Onshore",INDEX('0.1 Squads'!$G$5:$G$23,MATCH($C34&amp;"|"&amp;$D34,'0.1 Squads'!$A$5:$A$23,0)),INDEX('0.1 Squads'!$H$5:$H$23,MATCH($C34&amp;"|"&amp;$D34,'0.1 Squads'!$A$5:$A$23,0))),"check size")</f>
        <v>1.4</v>
      </c>
      <c r="H34" s="21">
        <f>IFERROR($G34*$F34,"")</f>
        <v>0.27999999999999997</v>
      </c>
      <c r="I34" s="21">
        <f>IFERROR($G34*(1-$F34),"")</f>
        <v>1.1199999999999999</v>
      </c>
      <c r="J34" s="121" t="n"/>
    </row>
    <row r="35">
      <c r="B35" s="20" t="n"/>
      <c r="C35" s="232" t="n"/>
      <c r="D35" s="232" t="n"/>
      <c r="E35" s="232" t="n"/>
      <c r="F35" s="233" t="n"/>
      <c r="G35" s="221" t="n"/>
      <c r="H35" s="21" t="n"/>
      <c r="I35" s="21" t="n"/>
      <c r="J35" s="121" t="n"/>
    </row>
    <row r="36">
      <c r="B36" s="234" t="inlineStr">
        <is>
          <t>Platform Overhead</t>
        </is>
      </c>
      <c r="C36" s="220" t="n"/>
      <c r="D36" s="220" t="n"/>
      <c r="E36" s="220" t="n"/>
      <c r="F36" s="220" t="n"/>
      <c r="G36" s="220" t="n"/>
      <c r="H36" s="221">
        <f>'0.0 Data Config'!$J$16</f>
        <v>0.165</v>
      </c>
      <c r="I36" s="220" t="n"/>
      <c r="J36" s="121" t="n"/>
    </row>
    <row r="37">
      <c r="B37" s="222" t="inlineStr">
        <is>
          <t>Merchandising / Supply Chain Total</t>
        </is>
      </c>
      <c r="C37" s="231" t="n"/>
      <c r="D37" s="231" t="n"/>
      <c r="E37" s="231" t="n"/>
      <c r="F37" s="231" t="n"/>
      <c r="G37" s="223">
        <f>SUM(G34:G35)</f>
        <v>1.4</v>
      </c>
      <c r="H37" s="223">
        <f>SUM(H34:H36)</f>
        <v>0.44499999999999995</v>
      </c>
      <c r="I37" s="223">
        <f>SUM(I34:I35)</f>
        <v>1.1199999999999999</v>
      </c>
      <c r="J37" s="121" t="n"/>
    </row>
    <row r="38"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1" t="n"/>
    </row>
    <row r="39">
      <c r="B39" s="247" t="inlineStr">
        <is>
          <t>Platform: Pricing &amp; WFM</t>
        </is>
      </c>
      <c r="C39" s="237" t="n"/>
      <c r="D39" s="237" t="n"/>
      <c r="E39" s="237" t="n"/>
      <c r="F39" s="237" t="n"/>
      <c r="G39" s="237" t="n"/>
      <c r="H39" s="237" t="n"/>
      <c r="I39" s="238" t="n"/>
      <c r="J39" s="121" t="n"/>
    </row>
    <row r="40">
      <c r="B40" s="17" t="inlineStr">
        <is>
          <t>Squad</t>
        </is>
      </c>
      <c r="C40" s="17" t="inlineStr">
        <is>
          <t>Squad Type</t>
        </is>
      </c>
      <c r="D40" s="17" t="inlineStr">
        <is>
          <t>Size</t>
        </is>
      </c>
      <c r="E40" s="17" t="inlineStr">
        <is>
          <t>On/Off</t>
        </is>
      </c>
      <c r="F40" s="17" t="inlineStr">
        <is>
          <t>Support %</t>
        </is>
      </c>
      <c r="G40" s="17" t="inlineStr">
        <is>
          <t>Total Squad Cost ($m)</t>
        </is>
      </c>
      <c r="H40" s="17" t="inlineStr">
        <is>
          <t>TDD Cost ($m)</t>
        </is>
      </c>
      <c r="I40" s="17" t="inlineStr">
        <is>
          <t>Funded outside TDD ($m)</t>
        </is>
      </c>
      <c r="J40" s="121" t="n"/>
    </row>
    <row r="41">
      <c r="B41" s="20" t="inlineStr">
        <is>
          <t>Pricing &amp; WFM</t>
        </is>
      </c>
      <c r="C41" s="232" t="inlineStr">
        <is>
          <t>Configuration / Integration</t>
        </is>
      </c>
      <c r="D41" s="232" t="inlineStr">
        <is>
          <t>S</t>
        </is>
      </c>
      <c r="E41" s="232" t="inlineStr">
        <is>
          <t>Onshore</t>
        </is>
      </c>
      <c r="F41" s="233" t="n">
        <v>0.2</v>
      </c>
      <c r="G41" s="221">
        <f>IFERROR(IF($E41="Onshore",INDEX('0.1 Squads'!$G$5:$G$23,MATCH($C41&amp;"|"&amp;$D41,'0.1 Squads'!$A$5:$A$23,0)),INDEX('0.1 Squads'!$H$5:$H$23,MATCH($C41&amp;"|"&amp;$D41,'0.1 Squads'!$A$5:$A$23,0))),"check size")</f>
        <v>0.4</v>
      </c>
      <c r="H41" s="21">
        <f>IFERROR($G41*$F41,"")</f>
        <v>0.08000000000000002</v>
      </c>
      <c r="I41" s="21">
        <f>IFERROR($G41*(1-$F41),"")</f>
        <v>0.32000000000000006</v>
      </c>
      <c r="J41" s="121" t="n"/>
    </row>
    <row r="42">
      <c r="B42" s="20" t="n"/>
      <c r="C42" s="232" t="n"/>
      <c r="D42" s="232" t="n"/>
      <c r="E42" s="232" t="n"/>
      <c r="F42" s="233" t="n"/>
      <c r="G42" s="221" t="n"/>
      <c r="H42" s="21" t="n"/>
      <c r="I42" s="21" t="n"/>
      <c r="J42" s="121" t="n"/>
    </row>
    <row r="43">
      <c r="B43" s="234" t="inlineStr">
        <is>
          <t>Platform Overhead</t>
        </is>
      </c>
      <c r="C43" s="220" t="n"/>
      <c r="D43" s="220" t="n"/>
      <c r="E43" s="220" t="n"/>
      <c r="F43" s="220" t="n"/>
      <c r="G43" s="220" t="n"/>
      <c r="H43" s="221">
        <f>'0.0 Data Config'!$J$16</f>
        <v>0.165</v>
      </c>
      <c r="I43" s="220" t="n"/>
      <c r="J43" s="121" t="n"/>
    </row>
    <row r="44">
      <c r="B44" s="222" t="inlineStr">
        <is>
          <t>Pricing &amp; WFM Total</t>
        </is>
      </c>
      <c r="C44" s="231" t="n"/>
      <c r="D44" s="231" t="n"/>
      <c r="E44" s="231" t="n"/>
      <c r="F44" s="231" t="n"/>
      <c r="G44" s="223">
        <f>SUM(G41:G42)</f>
        <v>0.4</v>
      </c>
      <c r="H44" s="223">
        <f>SUM(H41:H43)</f>
        <v>0.24500000000000002</v>
      </c>
      <c r="I44" s="223">
        <f>SUM(I41:I42)</f>
        <v>0.32000000000000006</v>
      </c>
      <c r="J44" s="121" t="n"/>
    </row>
    <row r="45"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1" t="n"/>
    </row>
    <row r="46">
      <c r="B46" s="247" t="inlineStr">
        <is>
          <t>Platform: AmPOS</t>
        </is>
      </c>
      <c r="C46" s="237" t="n"/>
      <c r="D46" s="237" t="n"/>
      <c r="E46" s="237" t="n"/>
      <c r="F46" s="237" t="n"/>
      <c r="G46" s="237" t="n"/>
      <c r="H46" s="237" t="n"/>
      <c r="I46" s="238" t="n"/>
      <c r="J46" s="121" t="n"/>
    </row>
    <row r="47">
      <c r="B47" s="17" t="inlineStr">
        <is>
          <t>Squad</t>
        </is>
      </c>
      <c r="C47" s="17" t="inlineStr">
        <is>
          <t>Squad Type</t>
        </is>
      </c>
      <c r="D47" s="17" t="inlineStr">
        <is>
          <t>Size</t>
        </is>
      </c>
      <c r="E47" s="17" t="inlineStr">
        <is>
          <t>On/Off</t>
        </is>
      </c>
      <c r="F47" s="17" t="inlineStr">
        <is>
          <t>Support %</t>
        </is>
      </c>
      <c r="G47" s="17" t="inlineStr">
        <is>
          <t>Total Squad Cost ($m)</t>
        </is>
      </c>
      <c r="H47" s="17" t="inlineStr">
        <is>
          <t>TDD Cost ($m)</t>
        </is>
      </c>
      <c r="I47" s="17" t="inlineStr">
        <is>
          <t>Funded outside TDD ($m)</t>
        </is>
      </c>
      <c r="J47" s="121" t="n"/>
    </row>
    <row r="48">
      <c r="B48" s="20" t="inlineStr">
        <is>
          <t>AmPOS</t>
        </is>
      </c>
      <c r="C48" s="232" t="inlineStr">
        <is>
          <t>Operations</t>
        </is>
      </c>
      <c r="D48" s="232" t="inlineStr">
        <is>
          <t>L</t>
        </is>
      </c>
      <c r="E48" s="232" t="inlineStr">
        <is>
          <t>Onshore</t>
        </is>
      </c>
      <c r="F48" s="233" t="n">
        <v>0.2</v>
      </c>
      <c r="G48" s="221">
        <f>IFERROR(IF($E48="Onshore",INDEX('0.1 Squads'!$G$5:$G$23,MATCH($C48&amp;"|"&amp;$D48,'0.1 Squads'!$A$5:$A$23,0)),INDEX('0.1 Squads'!$H$5:$H$23,MATCH($C48&amp;"|"&amp;$D48,'0.1 Squads'!$A$5:$A$23,0))),"check size")</f>
        <v>2.3</v>
      </c>
      <c r="H48" s="21">
        <f>IFERROR($G48*$F48,"")</f>
        <v>0.45999999999999996</v>
      </c>
      <c r="I48" s="21">
        <f>IFERROR($G48*(1-$F48),"")</f>
        <v>1.8399999999999999</v>
      </c>
      <c r="J48" s="121" t="n"/>
    </row>
    <row r="49">
      <c r="B49" s="234" t="inlineStr">
        <is>
          <t>Platform Overhead</t>
        </is>
      </c>
      <c r="C49" s="220" t="n"/>
      <c r="D49" s="220" t="n"/>
      <c r="E49" s="220" t="n"/>
      <c r="F49" s="220" t="n"/>
      <c r="G49" s="220" t="n"/>
      <c r="H49" s="221">
        <f>'0.0 Data Config'!$J$16</f>
        <v>0.165</v>
      </c>
      <c r="I49" s="220" t="n"/>
      <c r="J49" s="121" t="n"/>
    </row>
    <row r="50">
      <c r="B50" s="222" t="inlineStr">
        <is>
          <t>AmPOS Total</t>
        </is>
      </c>
      <c r="C50" s="231" t="n"/>
      <c r="D50" s="231" t="n"/>
      <c r="E50" s="231" t="n"/>
      <c r="F50" s="231" t="n"/>
      <c r="G50" s="223">
        <f>SUM(G48:G48)</f>
        <v>2.3</v>
      </c>
      <c r="H50" s="223">
        <f>SUM(H48:H49)</f>
        <v>0.625</v>
      </c>
      <c r="I50" s="223">
        <f>SUM(I48:I48)</f>
        <v>1.8399999999999999</v>
      </c>
      <c r="J50" s="121" t="n"/>
    </row>
    <row r="51"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</row>
    <row r="52">
      <c r="B52" s="247" t="inlineStr">
        <is>
          <t>Platform: Network / QSR</t>
        </is>
      </c>
      <c r="C52" s="237" t="n"/>
      <c r="D52" s="237" t="n"/>
      <c r="E52" s="237" t="n"/>
      <c r="F52" s="237" t="n"/>
      <c r="G52" s="237" t="n"/>
      <c r="H52" s="237" t="n"/>
      <c r="I52" s="238" t="n"/>
      <c r="J52" s="121" t="n"/>
    </row>
    <row r="53">
      <c r="B53" s="17" t="inlineStr">
        <is>
          <t>Squad</t>
        </is>
      </c>
      <c r="C53" s="17" t="inlineStr">
        <is>
          <t>Squad Type</t>
        </is>
      </c>
      <c r="D53" s="17" t="inlineStr">
        <is>
          <t>Size</t>
        </is>
      </c>
      <c r="E53" s="17" t="inlineStr">
        <is>
          <t>On/Off</t>
        </is>
      </c>
      <c r="F53" s="17" t="inlineStr">
        <is>
          <t>Support %</t>
        </is>
      </c>
      <c r="G53" s="17" t="inlineStr">
        <is>
          <t>Total Squad Cost ($m)</t>
        </is>
      </c>
      <c r="H53" s="17" t="inlineStr">
        <is>
          <t>TDD Cost ($m)</t>
        </is>
      </c>
      <c r="I53" s="17" t="inlineStr">
        <is>
          <t>Funded outside TDD ($m)</t>
        </is>
      </c>
      <c r="J53" s="121" t="n"/>
    </row>
    <row r="54">
      <c r="B54" s="20" t="inlineStr">
        <is>
          <t>Network / QSR</t>
        </is>
      </c>
      <c r="C54" s="232" t="inlineStr">
        <is>
          <t>Configuration / Integration</t>
        </is>
      </c>
      <c r="D54" s="232" t="inlineStr">
        <is>
          <t>M</t>
        </is>
      </c>
      <c r="E54" s="232" t="inlineStr">
        <is>
          <t>Onshore</t>
        </is>
      </c>
      <c r="F54" s="233" t="n">
        <v>0.2</v>
      </c>
      <c r="G54" s="221">
        <f>IFERROR(IF($E54="Onshore",INDEX('0.1 Squads'!$G$5:$G$23,MATCH($C54&amp;"|"&amp;$D54,'0.1 Squads'!$A$5:$A$23,0)),INDEX('0.1 Squads'!$H$5:$H$23,MATCH($C54&amp;"|"&amp;$D54,'0.1 Squads'!$A$5:$A$23,0))),"check size")</f>
        <v>1.4</v>
      </c>
      <c r="H54" s="21">
        <f>IFERROR($G54*$F54,"")</f>
        <v>0.27999999999999997</v>
      </c>
      <c r="I54" s="21">
        <f>IFERROR($G54*(1-$F54),"")</f>
        <v>1.1199999999999999</v>
      </c>
      <c r="J54" s="121" t="n"/>
    </row>
    <row r="55">
      <c r="B55" s="234" t="inlineStr">
        <is>
          <t>Platform Overhead</t>
        </is>
      </c>
      <c r="C55" s="220" t="n"/>
      <c r="D55" s="220" t="n"/>
      <c r="E55" s="220" t="n"/>
      <c r="F55" s="220" t="n"/>
      <c r="G55" s="220" t="n"/>
      <c r="H55" s="221">
        <f>'0.0 Data Config'!$J$16</f>
        <v>0.165</v>
      </c>
      <c r="I55" s="220" t="n"/>
      <c r="J55" s="121" t="n"/>
    </row>
    <row r="56">
      <c r="B56" s="222" t="inlineStr">
        <is>
          <t>Network / QSR Total</t>
        </is>
      </c>
      <c r="C56" s="231" t="n"/>
      <c r="D56" s="231" t="n"/>
      <c r="E56" s="231" t="n"/>
      <c r="F56" s="231" t="n"/>
      <c r="G56" s="223">
        <f>SUM(G54:G54)</f>
        <v>1.4</v>
      </c>
      <c r="H56" s="223">
        <f>SUM(H54:H55)</f>
        <v>0.44499999999999995</v>
      </c>
      <c r="I56" s="223">
        <f>SUM(I54:I54)</f>
        <v>1.1199999999999999</v>
      </c>
      <c r="J56" s="121" t="n"/>
    </row>
    <row r="57"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1" t="n"/>
    </row>
    <row r="58">
      <c r="B58" s="247" t="inlineStr">
        <is>
          <t>Platform: Data AU</t>
        </is>
      </c>
      <c r="C58" s="237" t="n"/>
      <c r="D58" s="237" t="n"/>
      <c r="E58" s="237" t="n"/>
      <c r="F58" s="237" t="n"/>
      <c r="G58" s="237" t="n"/>
      <c r="H58" s="237" t="n"/>
      <c r="I58" s="238" t="n"/>
    </row>
    <row r="59">
      <c r="B59" s="17" t="inlineStr">
        <is>
          <t>Squad</t>
        </is>
      </c>
      <c r="C59" s="17" t="inlineStr">
        <is>
          <t>Squad Type</t>
        </is>
      </c>
      <c r="D59" s="17" t="inlineStr">
        <is>
          <t>Size</t>
        </is>
      </c>
      <c r="E59" s="17" t="inlineStr">
        <is>
          <t>On/Off</t>
        </is>
      </c>
      <c r="F59" s="17" t="inlineStr">
        <is>
          <t>Support %</t>
        </is>
      </c>
      <c r="G59" s="17" t="inlineStr">
        <is>
          <t>Total Squad Cost ($m)</t>
        </is>
      </c>
      <c r="H59" s="17" t="inlineStr">
        <is>
          <t>TDD Cost ($m)</t>
        </is>
      </c>
      <c r="I59" s="17" t="inlineStr">
        <is>
          <t>Funded outside TDD ($m)</t>
        </is>
      </c>
    </row>
    <row r="60">
      <c r="B60" s="20" t="inlineStr">
        <is>
          <t>Data AU</t>
        </is>
      </c>
      <c r="C60" s="232" t="inlineStr">
        <is>
          <t>Enterprise Data and Insights</t>
        </is>
      </c>
      <c r="D60" s="232" t="inlineStr">
        <is>
          <t>M</t>
        </is>
      </c>
      <c r="E60" s="232" t="inlineStr">
        <is>
          <t>Onshore</t>
        </is>
      </c>
      <c r="F60" s="233" t="n">
        <v>0.2</v>
      </c>
      <c r="G60" s="221">
        <f>IFERROR(IF($E60="Onshore",INDEX('0.1 Squads'!$G$5:$G$23,MATCH($C60&amp;"|"&amp;$D60,'0.1 Squads'!$A$5:$A$23,0)),INDEX('0.1 Squads'!$H$5:$H$23,MATCH($C60&amp;"|"&amp;$D60,'0.1 Squads'!$A$5:$A$23,0))),"check size")</f>
        <v>1.7</v>
      </c>
      <c r="H60" s="21">
        <f>IFERROR($G60*$F60,"")</f>
        <v>0.34</v>
      </c>
      <c r="I60" s="21">
        <f>IFERROR($G60*(1-$F60),"")</f>
        <v>1.36</v>
      </c>
    </row>
    <row r="61">
      <c r="B61" s="234" t="inlineStr">
        <is>
          <t>Platform Overhead</t>
        </is>
      </c>
      <c r="C61" s="220" t="n"/>
      <c r="D61" s="220" t="n"/>
      <c r="E61" s="220" t="n"/>
      <c r="F61" s="220" t="n"/>
      <c r="G61" s="220" t="n"/>
      <c r="H61" s="221">
        <f>'0.0 Data Config'!$J$16</f>
        <v>0.165</v>
      </c>
      <c r="I61" s="220" t="n"/>
    </row>
    <row r="62">
      <c r="B62" s="222" t="inlineStr">
        <is>
          <t>Data AU Total</t>
        </is>
      </c>
      <c r="C62" s="231" t="n"/>
      <c r="D62" s="231" t="n"/>
      <c r="E62" s="231" t="n"/>
      <c r="F62" s="231" t="n"/>
      <c r="G62" s="223">
        <f>SUM(G60:G60)</f>
        <v>1.7</v>
      </c>
      <c r="H62" s="223">
        <f>SUM(H60:H61)</f>
        <v>0.505</v>
      </c>
      <c r="I62" s="223">
        <f>SUM(I60:I60)</f>
        <v>1.36</v>
      </c>
    </row>
  </sheetData>
  <mergeCells count="10">
    <mergeCell ref="B58:I58"/>
    <mergeCell ref="B52:I52"/>
    <mergeCell ref="B14:D14"/>
    <mergeCell ref="B39:I39"/>
    <mergeCell ref="B6:E6"/>
    <mergeCell ref="G12:J12"/>
    <mergeCell ref="B13:D13"/>
    <mergeCell ref="B46:I46"/>
    <mergeCell ref="B32:I32"/>
    <mergeCell ref="B23:I23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0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5:C28 C34:C35 C41:C42 C48 C54 C60" showDropDown="0" showInputMessage="0" showErrorMessage="0" allowBlank="1" type="list">
      <formula1>SquadTypes</formula1>
      <formula2>0</formula2>
    </dataValidation>
    <dataValidation sqref="D25:D28 D34:D35 D41:D42 D48 D54 D60" showDropDown="0" showInputMessage="0" showErrorMessage="0" allowBlank="1" type="list">
      <formula1>SquadSizes</formula1>
      <formula2>0</formula2>
    </dataValidation>
    <dataValidation sqref="E25:E28 E34:E35 E41:E42 E48 E54 E60" showDropDown="0" showInputMessage="0" showErrorMessage="0" allowBlank="1" type="list">
      <formula1>OnOff</formula1>
      <formula2>0</formula2>
    </dataValidation>
    <dataValidation sqref="F25:F28 F34:F35 F41:F42 F48 F54 F60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43"/>
  <sheetViews>
    <sheetView showGridLines="0" topLeftCell="A14" zoomScale="80" zoomScaleNormal="80" workbookViewId="0">
      <selection activeCell="C43" sqref="C43:F43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20.54296875" bestFit="1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Customer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219" t="inlineStr">
        <is>
          <t>Budget vs TDD cost</t>
        </is>
      </c>
      <c r="H6" s="219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Customer Cost ($m)</t>
        </is>
      </c>
      <c r="G7" s="220" t="inlineStr">
        <is>
          <t>TDD Lights On Budget</t>
        </is>
      </c>
      <c r="H7" s="221">
        <f>'0.0 Data Config'!$E$13+'0.0 Data Config'!$E$14</f>
        <v>5.0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4.1045</v>
      </c>
    </row>
    <row r="9">
      <c r="B9" s="20" t="inlineStr">
        <is>
          <t>Platform Overheads</t>
        </is>
      </c>
      <c r="C9" s="21">
        <f>SUM(H29,H36,H42)</f>
        <v>0.495</v>
      </c>
      <c r="E9" s="21">
        <f>C9</f>
        <v>0.495</v>
      </c>
      <c r="G9" s="222" t="inlineStr">
        <is>
          <t>Variance (budget less cost)</t>
        </is>
      </c>
      <c r="H9" s="223">
        <f>H7-H8</f>
        <v>0.8955000000000002</v>
      </c>
    </row>
    <row r="10">
      <c r="B10" s="20" t="inlineStr">
        <is>
          <t>Squad Support Costs</t>
        </is>
      </c>
      <c r="C10" s="21">
        <f>SUM(H26,H27,H28,H34,H35,H41)</f>
        <v>2.8600000000000003</v>
      </c>
      <c r="D10" s="21">
        <f>SUM(I26,I27,I28,I34,I35,I41)</f>
        <v>11.440000000000001</v>
      </c>
      <c r="E10" s="21">
        <f>C10+D10</f>
        <v>14.3</v>
      </c>
    </row>
    <row r="11">
      <c r="B11" s="222" t="inlineStr">
        <is>
          <t>Total Cost</t>
        </is>
      </c>
      <c r="C11" s="223">
        <f>SUM(C8:C10)</f>
        <v>4.1045</v>
      </c>
      <c r="D11" s="223">
        <f>SUM(D8:D10)</f>
        <v>11.440000000000001</v>
      </c>
      <c r="E11" s="223">
        <f>C11+D11</f>
        <v>15.544500000000001</v>
      </c>
    </row>
    <row r="12">
      <c r="G12" s="249" t="inlineStr">
        <is>
          <t xml:space="preserve">Other funding </t>
        </is>
      </c>
      <c r="H12" s="316" t="n"/>
      <c r="I12" s="316" t="n"/>
      <c r="J12" s="316" t="n"/>
    </row>
    <row r="13">
      <c r="B13" s="317" t="inlineStr">
        <is>
          <t xml:space="preserve">Total Customer budget </t>
        </is>
      </c>
      <c r="D13" s="318" t="n"/>
      <c r="E13" s="226">
        <f>SUM(H14:H18)</f>
        <v>11.7</v>
      </c>
      <c r="G13" s="17" t="inlineStr">
        <is>
          <t>Budget line</t>
        </is>
      </c>
      <c r="H13" s="17" t="inlineStr">
        <is>
          <t>Budget ($m)</t>
        </is>
      </c>
      <c r="I13" s="17" t="inlineStr">
        <is>
          <t>Amount that can be allocated to people</t>
        </is>
      </c>
      <c r="J13" s="17" t="inlineStr">
        <is>
          <t>Remaining for non-people ($m)</t>
        </is>
      </c>
    </row>
    <row r="14">
      <c r="B14" s="317" t="inlineStr">
        <is>
          <t xml:space="preserve">Reconciled to Finance </t>
        </is>
      </c>
      <c r="D14" s="318" t="n"/>
      <c r="E14" s="227">
        <f>'0.4 Budget Table (Fin)'!Q13</f>
        <v>11.7</v>
      </c>
      <c r="G14" s="20" t="inlineStr">
        <is>
          <t>Customer Lights On</t>
        </is>
      </c>
      <c r="H14" s="221">
        <f>'0.4 Budget Table (Fin)'!L13</f>
        <v>1.7000000000000002</v>
      </c>
      <c r="I14">
        <f>'0.4 Budget Table (Fin)'!G13</f>
        <v>0.0</v>
      </c>
      <c r="J14" s="21">
        <f>IFERROR(H14-I14,0)</f>
        <v>1.7000000000000002</v>
      </c>
    </row>
    <row r="15">
      <c r="G15" s="20" t="inlineStr">
        <is>
          <t>OpEx Initiatives</t>
        </is>
      </c>
      <c r="H15" s="221">
        <f>'0.4 Budget Table (Fin)'!N13</f>
        <v>0.0</v>
      </c>
      <c r="I15" s="229" t="n">
        <v>0</v>
      </c>
      <c r="J15" s="21">
        <f>IFERROR(H15-I15,0)</f>
        <v>0.0</v>
      </c>
    </row>
    <row r="16">
      <c r="G16" s="20" t="inlineStr">
        <is>
          <t>CapEx</t>
        </is>
      </c>
      <c r="H16" s="221">
        <f>'0.4 Budget Table (Fin)'!P13</f>
        <v>5.0</v>
      </c>
      <c r="I16" s="229" t="n">
        <v>0</v>
      </c>
      <c r="J16" s="21">
        <f>IFERROR(H16-I16,0)</f>
        <v>5.0</v>
      </c>
    </row>
    <row r="17">
      <c r="G17" s="20" t="inlineStr">
        <is>
          <t>Significant Items</t>
        </is>
      </c>
      <c r="H17" s="221">
        <f>'0.4 Budget Table (Fin)'!O13</f>
        <v>5.0</v>
      </c>
      <c r="I17" s="229" t="n">
        <v>0</v>
      </c>
      <c r="J17" s="21">
        <f>IFERROR(H17-I17,0)</f>
        <v>5.0</v>
      </c>
    </row>
    <row r="18">
      <c r="G18" s="20" t="inlineStr">
        <is>
          <t>Depreciation</t>
        </is>
      </c>
      <c r="H18" s="221">
        <f>'0.4 Budget Table (Fin)'!M13</f>
        <v>0.0</v>
      </c>
      <c r="I18" s="229" t="n">
        <v>0</v>
      </c>
      <c r="J18" s="21">
        <f>IFERROR(H18-I18,0)</f>
        <v>0.0</v>
      </c>
    </row>
    <row r="19">
      <c r="G19" s="230" t="inlineStr">
        <is>
          <t>Total applied</t>
        </is>
      </c>
      <c r="I19" s="26">
        <f>SUM(I14:I18)</f>
        <v>0.0</v>
      </c>
    </row>
    <row r="20">
      <c r="G20" s="20" t="inlineStr">
        <is>
          <t>Other cost (this model)</t>
        </is>
      </c>
      <c r="I20" s="21">
        <f>D11</f>
        <v>11.440000000000001</v>
      </c>
    </row>
    <row r="21">
      <c r="G21" s="222" t="inlineStr">
        <is>
          <t>Left to fund</t>
        </is>
      </c>
      <c r="H21" s="222" t="n"/>
      <c r="I21" s="223">
        <f>I20-I19</f>
        <v>11.440000000000001</v>
      </c>
      <c r="J21" s="222" t="n"/>
    </row>
    <row r="24">
      <c r="B24" s="249" t="inlineStr">
        <is>
          <t>Platform: Ampol Digital</t>
        </is>
      </c>
      <c r="C24" s="316" t="n"/>
      <c r="D24" s="316" t="n"/>
      <c r="E24" s="316" t="n"/>
      <c r="F24" s="316" t="n"/>
      <c r="G24" s="316" t="n"/>
      <c r="H24" s="316" t="n"/>
      <c r="I24" s="316" t="n"/>
    </row>
    <row r="25">
      <c r="B25" s="17" t="inlineStr">
        <is>
          <t>Squad</t>
        </is>
      </c>
      <c r="C25" s="17" t="inlineStr">
        <is>
          <t>Squad Type</t>
        </is>
      </c>
      <c r="D25" s="17" t="inlineStr">
        <is>
          <t>Size</t>
        </is>
      </c>
      <c r="E25" s="17" t="inlineStr">
        <is>
          <t>On/Off</t>
        </is>
      </c>
      <c r="F25" s="17" t="inlineStr">
        <is>
          <t>Support %</t>
        </is>
      </c>
      <c r="G25" s="17" t="inlineStr">
        <is>
          <t>Total Squad Cost ($m)</t>
        </is>
      </c>
      <c r="H25" s="17" t="inlineStr">
        <is>
          <t>TDD Cost ($m)</t>
        </is>
      </c>
      <c r="I25" s="17" t="inlineStr">
        <is>
          <t>Funded outside TDD ($m)</t>
        </is>
      </c>
    </row>
    <row r="26">
      <c r="B26" s="20" t="inlineStr">
        <is>
          <t>Ampol App</t>
        </is>
      </c>
      <c r="C26" s="232" t="inlineStr">
        <is>
          <t>Engineering</t>
        </is>
      </c>
      <c r="D26" s="232" t="inlineStr">
        <is>
          <t>L</t>
        </is>
      </c>
      <c r="E26" s="232" t="inlineStr">
        <is>
          <t>Onshore</t>
        </is>
      </c>
      <c r="F26" s="233" t="n">
        <v>0.2</v>
      </c>
      <c r="G26" s="221">
        <f>IFERROR(IF($E26="Onshore",INDEX('0.1 Squads'!$G$5:$G$23,MATCH($C26&amp;"|"&amp;$D26,'0.1 Squads'!$A$5:$A$23,0)),INDEX('0.1 Squads'!$H$5:$H$23,MATCH($C26&amp;"|"&amp;$D26,'0.1 Squads'!$A$5:$A$23,0))),"check size")</f>
        <v>2.7</v>
      </c>
      <c r="H26" s="21">
        <f>IFERROR($G26*$F26,"")</f>
        <v>0.54</v>
      </c>
      <c r="I26" s="21">
        <f>IFERROR($G26*(1-$F26),"")</f>
        <v>2.16</v>
      </c>
    </row>
    <row r="27">
      <c r="B27" s="20" t="inlineStr">
        <is>
          <t>Ampol Web</t>
        </is>
      </c>
      <c r="C27" s="232" t="inlineStr">
        <is>
          <t>Engineering</t>
        </is>
      </c>
      <c r="D27" s="232" t="inlineStr">
        <is>
          <t>L</t>
        </is>
      </c>
      <c r="E27" s="232" t="inlineStr">
        <is>
          <t>Onshore</t>
        </is>
      </c>
      <c r="F27" s="233" t="n">
        <v>0.2</v>
      </c>
      <c r="G27" s="221">
        <f>IFERROR(IF($E27="Onshore",INDEX('0.1 Squads'!$G$5:$G$23,MATCH($C27&amp;"|"&amp;$D27,'0.1 Squads'!$A$5:$A$23,0)),INDEX('0.1 Squads'!$H$5:$H$23,MATCH($C27&amp;"|"&amp;$D27,'0.1 Squads'!$A$5:$A$23,0))),"check size")</f>
        <v>2.7</v>
      </c>
      <c r="H27" s="21">
        <f>IFERROR($G27*$F27,"")</f>
        <v>0.54</v>
      </c>
      <c r="I27" s="21">
        <f>IFERROR($G27*(1-$F27),"")</f>
        <v>2.16</v>
      </c>
    </row>
    <row r="28">
      <c r="B28" s="20" t="inlineStr">
        <is>
          <t>Digital Operations</t>
        </is>
      </c>
      <c r="C28" s="232" t="inlineStr">
        <is>
          <t>Operations</t>
        </is>
      </c>
      <c r="D28" s="232" t="inlineStr">
        <is>
          <t>M</t>
        </is>
      </c>
      <c r="E28" s="232" t="inlineStr">
        <is>
          <t>Onshore</t>
        </is>
      </c>
      <c r="F28" s="233" t="n">
        <v>0.2</v>
      </c>
      <c r="G28" s="221">
        <f>IFERROR(IF($E28="Onshore",INDEX('0.1 Squads'!$G$5:$G$23,MATCH($C28&amp;"|"&amp;$D28,'0.1 Squads'!$A$5:$A$23,0)),INDEX('0.1 Squads'!$H$5:$H$23,MATCH($C28&amp;"|"&amp;$D28,'0.1 Squads'!$A$5:$A$23,0))),"check size")</f>
        <v>1.4</v>
      </c>
      <c r="H28" s="21">
        <f>IFERROR($G28*$F28,"")</f>
        <v>0.27999999999999997</v>
      </c>
      <c r="I28" s="21">
        <f>IFERROR($G28*(1-$F28),"")</f>
        <v>1.1199999999999999</v>
      </c>
    </row>
    <row r="29">
      <c r="B29" s="234" t="inlineStr">
        <is>
          <t>Platform Overhead</t>
        </is>
      </c>
      <c r="H29" s="221">
        <f>'0.0 Data Config'!$J$16</f>
        <v>0.165</v>
      </c>
    </row>
    <row r="30">
      <c r="B30" s="222" t="inlineStr">
        <is>
          <t>Ampol Digital Total</t>
        </is>
      </c>
      <c r="C30" s="231" t="n"/>
      <c r="D30" s="231" t="n"/>
      <c r="E30" s="231" t="n"/>
      <c r="F30" s="231" t="n"/>
      <c r="G30" s="231">
        <f>SUM(G26:G28)</f>
        <v>6.800000000000001</v>
      </c>
      <c r="H30" s="223">
        <f>SUM(H26:H29)</f>
        <v>1.5250000000000001</v>
      </c>
      <c r="I30" s="223">
        <f>SUM(I26:I28)</f>
        <v>5.44</v>
      </c>
    </row>
    <row r="32">
      <c r="B32" s="249" t="inlineStr">
        <is>
          <t>Platform: Customer Z</t>
        </is>
      </c>
      <c r="C32" s="316" t="n"/>
      <c r="D32" s="316" t="n"/>
      <c r="E32" s="316" t="n"/>
      <c r="F32" s="316" t="n"/>
      <c r="G32" s="316" t="n"/>
      <c r="H32" s="316" t="n"/>
      <c r="I32" s="316" t="n"/>
    </row>
    <row r="33">
      <c r="B33" s="17" t="inlineStr">
        <is>
          <t>Squad</t>
        </is>
      </c>
      <c r="C33" s="17" t="inlineStr">
        <is>
          <t>Squad Type</t>
        </is>
      </c>
      <c r="D33" s="17" t="inlineStr">
        <is>
          <t>Size</t>
        </is>
      </c>
      <c r="E33" s="17" t="inlineStr">
        <is>
          <t>On/Off</t>
        </is>
      </c>
      <c r="F33" s="17" t="inlineStr">
        <is>
          <t>Support %</t>
        </is>
      </c>
      <c r="G33" s="17" t="inlineStr">
        <is>
          <t>Total Squad Cost ($m)</t>
        </is>
      </c>
      <c r="H33" s="17" t="inlineStr">
        <is>
          <t>TDD Cost ($m)</t>
        </is>
      </c>
      <c r="I33" s="17" t="inlineStr">
        <is>
          <t>Funded outside TDD ($m)</t>
        </is>
      </c>
    </row>
    <row r="34">
      <c r="B34" s="20" t="inlineStr">
        <is>
          <t>Z Energy Apps</t>
        </is>
      </c>
      <c r="C34" s="232" t="inlineStr">
        <is>
          <t>Product</t>
        </is>
      </c>
      <c r="D34" s="232" t="inlineStr">
        <is>
          <t>M</t>
        </is>
      </c>
      <c r="E34" s="232" t="inlineStr">
        <is>
          <t>Onshore</t>
        </is>
      </c>
      <c r="F34" s="233" t="n">
        <v>0.2</v>
      </c>
      <c r="G34" s="221">
        <f>IFERROR(IF($E34="Onshore",INDEX('0.1 Squads'!$G$5:$G$23,MATCH($C34&amp;"|"&amp;$D34,'0.1 Squads'!$A$5:$A$23,0)),INDEX('0.1 Squads'!$H$5:$H$23,MATCH($C34&amp;"|"&amp;$D34,'0.1 Squads'!$A$5:$A$23,0))),"check size")</f>
        <v>1.9</v>
      </c>
      <c r="H34" s="21">
        <f>IFERROR($G34*$F34,"")</f>
        <v>0.38</v>
      </c>
      <c r="I34" s="21">
        <f>IFERROR($G34*(1-$F34),"")</f>
        <v>1.52</v>
      </c>
    </row>
    <row r="35">
      <c r="B35" s="20" t="inlineStr">
        <is>
          <t>Z Energy Martech</t>
        </is>
      </c>
      <c r="C35" s="232" t="inlineStr">
        <is>
          <t>Product</t>
        </is>
      </c>
      <c r="D35" s="232" t="inlineStr">
        <is>
          <t>L</t>
        </is>
      </c>
      <c r="E35" s="232" t="inlineStr">
        <is>
          <t>Onshore</t>
        </is>
      </c>
      <c r="F35" s="233" t="n">
        <v>0.2</v>
      </c>
      <c r="G35" s="221">
        <f>IFERROR(IF($E35="Onshore",INDEX('0.1 Squads'!$G$5:$G$23,MATCH($C35&amp;"|"&amp;$D35,'0.1 Squads'!$A$5:$A$23,0)),INDEX('0.1 Squads'!$H$5:$H$23,MATCH($C35&amp;"|"&amp;$D35,'0.1 Squads'!$A$5:$A$23,0))),"check size")</f>
        <v>2.8</v>
      </c>
      <c r="H35" s="21">
        <f>IFERROR($G35*$F35,"")</f>
        <v>0.5599999999999999</v>
      </c>
      <c r="I35" s="21">
        <f>IFERROR($G35*(1-$F35),"")</f>
        <v>2.2399999999999998</v>
      </c>
    </row>
    <row r="36">
      <c r="B36" s="234" t="inlineStr">
        <is>
          <t>Platform Overhead</t>
        </is>
      </c>
      <c r="H36" s="221">
        <f>'0.0 Data Config'!$J$16</f>
        <v>0.165</v>
      </c>
    </row>
    <row r="37">
      <c r="B37" s="222" t="inlineStr">
        <is>
          <t>Customer Z Total</t>
        </is>
      </c>
      <c r="C37" s="231" t="n"/>
      <c r="D37" s="231" t="n"/>
      <c r="E37" s="231" t="n"/>
      <c r="F37" s="231" t="n"/>
      <c r="G37" s="223">
        <f>SUM(G34:G35)</f>
        <v>4.699999999999999</v>
      </c>
      <c r="H37" s="223">
        <f>SUM(H34:H36)</f>
        <v>1.105</v>
      </c>
      <c r="I37" s="223">
        <f>SUM(I34:I35)</f>
        <v>3.76</v>
      </c>
    </row>
    <row r="39">
      <c r="B39" s="251" t="inlineStr">
        <is>
          <t>Platform: Group Customer Platforms</t>
        </is>
      </c>
    </row>
    <row r="40">
      <c r="B40" s="253" t="inlineStr">
        <is>
          <t>Squad</t>
        </is>
      </c>
      <c r="C40" s="253" t="inlineStr">
        <is>
          <t>Squad Type</t>
        </is>
      </c>
      <c r="D40" s="253" t="inlineStr">
        <is>
          <t>Size</t>
        </is>
      </c>
      <c r="E40" s="253" t="inlineStr">
        <is>
          <t>On/Off</t>
        </is>
      </c>
      <c r="F40" s="253" t="inlineStr">
        <is>
          <t>Support %</t>
        </is>
      </c>
      <c r="G40" s="253" t="inlineStr">
        <is>
          <t>Total Squad Cost ($m)</t>
        </is>
      </c>
      <c r="H40" s="253" t="inlineStr">
        <is>
          <t>TDD Cost ($m)</t>
        </is>
      </c>
      <c r="I40" s="253" t="inlineStr">
        <is>
          <t>Funded outside TDD ($m)</t>
        </is>
      </c>
    </row>
    <row r="41">
      <c r="B41" s="254" t="inlineStr">
        <is>
          <t>Loyalty &amp; Martech</t>
        </is>
      </c>
      <c r="C41" s="255" t="inlineStr">
        <is>
          <t>Product</t>
        </is>
      </c>
      <c r="D41" s="255" t="inlineStr">
        <is>
          <t>L</t>
        </is>
      </c>
      <c r="E41" s="255" t="inlineStr">
        <is>
          <t>Onshore</t>
        </is>
      </c>
      <c r="F41" s="256" t="n">
        <v>0.2</v>
      </c>
      <c r="G41" s="257">
        <f>IFERROR(IF($E41="Onshore",INDEX('0.1 Squads'!$G$5:$G$23,MATCH($C41&amp;"|"&amp;$D41,'0.1 Squads'!$A$5:$A$23,0)),INDEX('0.1 Squads'!$H$5:$H$23,MATCH($C41&amp;"|"&amp;$D41,'0.1 Squads'!$A$5:$A$23,0))),"check size")</f>
        <v>2.8</v>
      </c>
      <c r="H41" s="258">
        <f>IFERROR($G41*$F41,"")</f>
        <v>0.5599999999999999</v>
      </c>
      <c r="I41" s="258">
        <f>IFERROR($G41*(1-$F41),"")</f>
        <v>2.2399999999999998</v>
      </c>
    </row>
    <row r="42">
      <c r="B42" s="259" t="inlineStr">
        <is>
          <t>Platform Overhead</t>
        </is>
      </c>
      <c r="C42" s="220" t="n"/>
      <c r="D42" s="220" t="n"/>
      <c r="E42" s="220" t="n"/>
      <c r="F42" s="220" t="n"/>
      <c r="G42" s="260" t="n"/>
      <c r="H42" s="257">
        <f>'0.0 Data Config'!$J$16</f>
        <v>0.165</v>
      </c>
      <c r="I42" s="260" t="n"/>
    </row>
    <row r="43">
      <c r="B43" s="261" t="inlineStr">
        <is>
          <t>Group Customer Platforms Total</t>
        </is>
      </c>
      <c r="C43" s="231" t="n"/>
      <c r="D43" s="231" t="n"/>
      <c r="E43" s="231" t="n"/>
      <c r="F43" s="231" t="n"/>
      <c r="G43" s="261">
        <f>SUM(G41:G41)</f>
        <v>2.8</v>
      </c>
      <c r="H43" s="262">
        <f>SUM(H41:H42)</f>
        <v>0.725</v>
      </c>
      <c r="I43" s="262">
        <f>SUM(I41:I41)</f>
        <v>2.2399999999999998</v>
      </c>
    </row>
  </sheetData>
  <mergeCells count="7">
    <mergeCell ref="B14:D14"/>
    <mergeCell ref="B39:I39"/>
    <mergeCell ref="B24:I24"/>
    <mergeCell ref="B6:E6"/>
    <mergeCell ref="G12:J12"/>
    <mergeCell ref="B13:D13"/>
    <mergeCell ref="B32:I32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:C28 C34:C35 C41" showDropDown="0" showInputMessage="0" showErrorMessage="0" allowBlank="1" type="list">
      <formula1>SquadTypes</formula1>
      <formula2>0</formula2>
    </dataValidation>
    <dataValidation sqref="D26:D28 D34:D35 D41" showDropDown="0" showInputMessage="0" showErrorMessage="0" allowBlank="1" type="list">
      <formula1>SquadSizes</formula1>
      <formula2>0</formula2>
    </dataValidation>
    <dataValidation sqref="E26:E28 E34:E35 E41" showDropDown="0" showInputMessage="0" showErrorMessage="0" allowBlank="1" type="list">
      <formula1>OnOff</formula1>
      <formula2>0</formula2>
    </dataValidation>
    <dataValidation sqref="F26:F28 F34:F35 F41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31"/>
  <sheetViews>
    <sheetView showGridLines="0" topLeftCell="A3" zoomScaleNormal="100" workbookViewId="0">
      <selection activeCell="C31" sqref="C31:F31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25.1796875" bestFit="1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Enterprise Data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247" t="inlineStr">
        <is>
          <t>Budget vs TDD cost</t>
        </is>
      </c>
      <c r="H6" s="238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Enterprise Data Cost ($m)</t>
        </is>
      </c>
      <c r="G7" s="220" t="inlineStr">
        <is>
          <t>TDD Lights On Budget</t>
        </is>
      </c>
      <c r="H7" s="221">
        <f>'0.0 Data Config'!$E$22</f>
        <v>3.5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2.5105000000000004</v>
      </c>
    </row>
    <row r="9">
      <c r="B9" s="20" t="inlineStr">
        <is>
          <t>Platform Overheads</t>
        </is>
      </c>
      <c r="C9" s="21">
        <f>SUM(H30)</f>
        <v>0.165</v>
      </c>
      <c r="E9" s="21">
        <f>C9</f>
        <v>0.165</v>
      </c>
      <c r="G9" s="222" t="inlineStr">
        <is>
          <t>Variance (budget less cost)</t>
        </is>
      </c>
      <c r="H9" s="223">
        <f>H7-H8</f>
        <v>0.9894999999999996</v>
      </c>
    </row>
    <row r="10">
      <c r="B10" s="20" t="inlineStr">
        <is>
          <t>Squad Support Costs</t>
        </is>
      </c>
      <c r="C10" s="21">
        <f>SUM(H26,H27,H28,H29)</f>
        <v>1.596</v>
      </c>
      <c r="D10" s="21">
        <f>SUM(I26,I27,I28,I29)</f>
        <v>6.384</v>
      </c>
      <c r="E10" s="21">
        <f>C10+D10</f>
        <v>7.98</v>
      </c>
    </row>
    <row r="11">
      <c r="B11" s="222" t="inlineStr">
        <is>
          <t>Total Cost</t>
        </is>
      </c>
      <c r="C11" s="223">
        <f>SUM(C8:C10)</f>
        <v>2.5105000000000004</v>
      </c>
      <c r="D11" s="223">
        <f>SUM(D8:D10)</f>
        <v>6.384</v>
      </c>
      <c r="E11" s="223">
        <f>C11+D11</f>
        <v>8.8945</v>
      </c>
    </row>
    <row r="12">
      <c r="G12" s="276" t="inlineStr">
        <is>
          <t xml:space="preserve">Other funding </t>
        </is>
      </c>
      <c r="H12" s="314" t="n"/>
      <c r="I12" s="314" t="n"/>
      <c r="J12" s="315" t="n"/>
    </row>
    <row r="13">
      <c r="B13" s="319" t="inlineStr">
        <is>
          <t>Total Enterprise Data budget</t>
        </is>
      </c>
      <c r="D13" s="318" t="n"/>
      <c r="E13" s="226">
        <f>SUM(H14:H18)</f>
        <v>6.8999999999999995</v>
      </c>
      <c r="G13" s="253" t="inlineStr">
        <is>
          <t>Budget line</t>
        </is>
      </c>
      <c r="H13" s="253" t="inlineStr">
        <is>
          <t>Budget ($m)</t>
        </is>
      </c>
      <c r="I13" s="253" t="inlineStr">
        <is>
          <t>Amount that can be allocated to people</t>
        </is>
      </c>
      <c r="J13" s="253" t="inlineStr">
        <is>
          <t>Remaining for non-people ($m)</t>
        </is>
      </c>
    </row>
    <row r="14">
      <c r="B14" s="319" t="inlineStr">
        <is>
          <t xml:space="preserve">Reconciled to Finance </t>
        </is>
      </c>
      <c r="D14" s="318" t="n"/>
      <c r="E14" s="227">
        <f>'0.4 Budget Table (Fin)'!$S$27</f>
        <v>6.8999999999999995</v>
      </c>
      <c r="G14" s="254" t="inlineStr">
        <is>
          <t>Enterprise Data Lights On</t>
        </is>
      </c>
      <c r="H14" s="257">
        <f>'0.4 Budget Table (Fin)'!$N$27</f>
        <v>6.8999999999999995</v>
      </c>
      <c r="I14" s="257">
        <f>'0.4 Budget Table (Fin)'!$I$27</f>
        <v>5.3</v>
      </c>
      <c r="J14" s="258">
        <f>IFERROR(H14-I14,0)</f>
        <v>1.5999999999999996</v>
      </c>
    </row>
    <row r="15">
      <c r="G15" s="254" t="inlineStr">
        <is>
          <t>OpEx Initiatives</t>
        </is>
      </c>
      <c r="H15" s="257">
        <f>'0.4 Budget Table (Fin)'!$P$27</f>
        <v>0.0</v>
      </c>
      <c r="I15" s="277" t="n">
        <v>0</v>
      </c>
      <c r="J15" s="258">
        <f>IFERROR(H15-I15,0)</f>
        <v>0.0</v>
      </c>
    </row>
    <row r="16">
      <c r="G16" s="254" t="inlineStr">
        <is>
          <t>CapEx</t>
        </is>
      </c>
      <c r="H16" s="257">
        <f>'0.4 Budget Table (Fin)'!$R$27</f>
        <v>0.0</v>
      </c>
      <c r="I16" s="277" t="n">
        <v>0</v>
      </c>
      <c r="J16" s="258">
        <f>IFERROR(H16-I16,0)</f>
        <v>0.0</v>
      </c>
    </row>
    <row r="17">
      <c r="G17" s="254" t="inlineStr">
        <is>
          <t>Significant Items</t>
        </is>
      </c>
      <c r="H17" s="257">
        <f>'0.4 Budget Table (Fin)'!$Q$27</f>
        <v>0.0</v>
      </c>
      <c r="I17" s="277" t="n">
        <v>0</v>
      </c>
      <c r="J17" s="258">
        <f>IFERROR(H17-I17,0)</f>
        <v>0.0</v>
      </c>
    </row>
    <row r="18">
      <c r="G18" s="254" t="inlineStr">
        <is>
          <t>Depreciation</t>
        </is>
      </c>
      <c r="H18" s="257" t="str">
        <f>'0.4 Budget Table (Fin)'!$O$27</f>
        <v>-</v>
      </c>
      <c r="I18" s="277" t="n">
        <v>0</v>
      </c>
      <c r="J18" s="258">
        <f>IFERROR(H18-I18,0)</f>
        <v>0.0</v>
      </c>
    </row>
    <row r="19">
      <c r="G19" s="278" t="inlineStr">
        <is>
          <t>Total applied</t>
        </is>
      </c>
      <c r="H19" s="260" t="n"/>
      <c r="I19" s="279">
        <f>SUM(I14:I18)</f>
        <v>5.3</v>
      </c>
      <c r="J19" s="260" t="n"/>
    </row>
    <row r="20">
      <c r="G20" s="254" t="inlineStr">
        <is>
          <t>Other cost (this model)</t>
        </is>
      </c>
      <c r="H20" s="260" t="n"/>
      <c r="I20" s="258">
        <f>D11</f>
        <v>6.384</v>
      </c>
      <c r="J20" s="260" t="n"/>
    </row>
    <row r="21">
      <c r="G21" s="261" t="inlineStr">
        <is>
          <t>Left to fund</t>
        </is>
      </c>
      <c r="H21" s="260" t="n"/>
      <c r="I21" s="262">
        <f>I20-I19</f>
        <v>1.0840000000000005</v>
      </c>
      <c r="J21" s="260" t="n"/>
    </row>
    <row r="24">
      <c r="B24" s="249" t="inlineStr">
        <is>
          <t>Platform: Group Data</t>
        </is>
      </c>
      <c r="C24" s="316" t="n"/>
      <c r="D24" s="316" t="n"/>
      <c r="E24" s="316" t="n"/>
      <c r="F24" s="316" t="n"/>
      <c r="G24" s="316" t="n"/>
      <c r="H24" s="316" t="n"/>
      <c r="I24" s="316" t="n"/>
    </row>
    <row r="25">
      <c r="B25" s="17" t="inlineStr">
        <is>
          <t>Squad</t>
        </is>
      </c>
      <c r="C25" s="17" t="inlineStr">
        <is>
          <t>Squad Type</t>
        </is>
      </c>
      <c r="D25" s="17" t="inlineStr">
        <is>
          <t>Size</t>
        </is>
      </c>
      <c r="E25" s="17" t="inlineStr">
        <is>
          <t>On/Off</t>
        </is>
      </c>
      <c r="F25" s="17" t="inlineStr">
        <is>
          <t>Support %</t>
        </is>
      </c>
      <c r="G25" s="17" t="inlineStr">
        <is>
          <t>Total Squad Cost ($m)</t>
        </is>
      </c>
      <c r="H25" s="17" t="inlineStr">
        <is>
          <t>TDD Cost ($m)</t>
        </is>
      </c>
      <c r="I25" s="17" t="inlineStr">
        <is>
          <t>Funded outside TDD ($m)</t>
        </is>
      </c>
    </row>
    <row r="26">
      <c r="B26" s="20" t="inlineStr">
        <is>
          <t>Data Science</t>
        </is>
      </c>
      <c r="C26" s="232" t="inlineStr">
        <is>
          <t>Enterprise Data and Insights</t>
        </is>
      </c>
      <c r="D26" s="232" t="inlineStr">
        <is>
          <t>M</t>
        </is>
      </c>
      <c r="E26" s="232" t="inlineStr">
        <is>
          <t>Onshore</t>
        </is>
      </c>
      <c r="F26" s="233" t="n">
        <v>0.2</v>
      </c>
      <c r="G26" s="221">
        <f>IFERROR(IF($E26="Onshore",INDEX('0.1 Squads'!$G$5:$G$23,MATCH($C26&amp;"|"&amp;$D26,'0.1 Squads'!$A$5:$A$23,0)),INDEX('0.1 Squads'!$H$5:$H$23,MATCH($C26&amp;"|"&amp;$D26,'0.1 Squads'!$A$5:$A$23,0))),"check size")</f>
        <v>1.7</v>
      </c>
      <c r="H26" s="21">
        <f>IFERROR($G26*$F26,"")</f>
        <v>0.34</v>
      </c>
      <c r="I26" s="21">
        <f>IFERROR($G26*(1-$F26),"")</f>
        <v>1.36</v>
      </c>
    </row>
    <row r="27">
      <c r="B27" s="20" t="inlineStr">
        <is>
          <t>Reporting &amp; Analytics</t>
        </is>
      </c>
      <c r="C27" s="232" t="inlineStr">
        <is>
          <t>Build and Run</t>
        </is>
      </c>
      <c r="D27" s="232" t="inlineStr">
        <is>
          <t>L</t>
        </is>
      </c>
      <c r="E27" s="232" t="inlineStr">
        <is>
          <t>Onshore</t>
        </is>
      </c>
      <c r="F27" s="233" t="n">
        <v>0.2</v>
      </c>
      <c r="G27" s="221">
        <f>IFERROR(IF($E27="Onshore",INDEX('0.1 Squads'!$G$5:$G$23,MATCH($C27&amp;"|"&amp;$D27,'0.1 Squads'!$A$5:$A$23,0)),INDEX('0.1 Squads'!$H$5:$H$23,MATCH($C27&amp;"|"&amp;$D27,'0.1 Squads'!$A$5:$A$23,0))),"check size")</f>
        <v>2.8</v>
      </c>
      <c r="H27" s="21">
        <f>IFERROR($G27*$F27,"")</f>
        <v>0.5599999999999999</v>
      </c>
      <c r="I27" s="21">
        <f>IFERROR($G27*(1-$F27),"")</f>
        <v>2.2399999999999998</v>
      </c>
    </row>
    <row r="28">
      <c r="B28" s="20" t="inlineStr">
        <is>
          <t>Data Platforms</t>
        </is>
      </c>
      <c r="C28" s="232" t="inlineStr">
        <is>
          <t>Build and Run</t>
        </is>
      </c>
      <c r="D28" s="232" t="inlineStr">
        <is>
          <t>L</t>
        </is>
      </c>
      <c r="E28" s="232" t="inlineStr">
        <is>
          <t>Onshore</t>
        </is>
      </c>
      <c r="F28" s="233" t="n">
        <v>0.2</v>
      </c>
      <c r="G28" s="221">
        <f>IFERROR(IF($E28="Onshore",INDEX('0.1 Squads'!$G$5:$G$23,MATCH($C28&amp;"|"&amp;$D28,'0.1 Squads'!$A$5:$A$23,0)),INDEX('0.1 Squads'!$H$5:$H$23,MATCH($C28&amp;"|"&amp;$D28,'0.1 Squads'!$A$5:$A$23,0))),"check size")</f>
        <v>2.8</v>
      </c>
      <c r="H28" s="21">
        <f>IFERROR($G28*$F28,"")</f>
        <v>0.5599999999999999</v>
      </c>
      <c r="I28" s="21">
        <f>IFERROR($G28*(1-$F28),"")</f>
        <v>2.2399999999999998</v>
      </c>
    </row>
    <row r="29">
      <c r="B29" s="20" t="inlineStr">
        <is>
          <t>Enterprise Data Delivery</t>
        </is>
      </c>
      <c r="C29" s="232" t="inlineStr">
        <is>
          <t>Enterprise Data and Insights</t>
        </is>
      </c>
      <c r="D29" s="232" t="inlineStr">
        <is>
          <t>M</t>
        </is>
      </c>
      <c r="E29" s="232" t="inlineStr">
        <is>
          <t>Offshore</t>
        </is>
      </c>
      <c r="F29" s="233" t="n">
        <v>0.2</v>
      </c>
      <c r="G29" s="221">
        <f>IFERROR(IF($E29="Onshore",INDEX('0.1 Squads'!$G$5:$G$23,MATCH($C29&amp;"|"&amp;$D29,'0.1 Squads'!$A$5:$A$23,0)),INDEX('0.1 Squads'!$H$5:$H$23,MATCH($C29&amp;"|"&amp;$D29,'0.1 Squads'!$A$5:$A$23,0))),"check size")</f>
        <v>0.68</v>
      </c>
      <c r="H29" s="21">
        <f>IFERROR($G29*$F29,"")</f>
        <v>0.136</v>
      </c>
      <c r="I29" s="21">
        <f>IFERROR($G29*(1-$F29),"")</f>
        <v>0.544</v>
      </c>
    </row>
    <row r="30">
      <c r="B30" s="234" t="inlineStr">
        <is>
          <t>Platform Overhead</t>
        </is>
      </c>
      <c r="H30" s="221">
        <f>'0.0 Data Config'!$J$16</f>
        <v>0.165</v>
      </c>
    </row>
    <row r="31">
      <c r="B31" s="222" t="inlineStr">
        <is>
          <t>Group Data Total</t>
        </is>
      </c>
      <c r="C31" s="231" t="n"/>
      <c r="D31" s="231" t="n"/>
      <c r="E31" s="231" t="n"/>
      <c r="F31" s="231" t="n"/>
      <c r="G31" s="223">
        <f>SUM(G26:G29)</f>
        <v>7.9799999999999995</v>
      </c>
      <c r="H31" s="223">
        <f>SUM(H26:H30)</f>
        <v>1.7610000000000001</v>
      </c>
      <c r="I31" s="223">
        <f>SUM(I26:I29)</f>
        <v>6.384</v>
      </c>
    </row>
  </sheetData>
  <mergeCells count="6">
    <mergeCell ref="B14:D14"/>
    <mergeCell ref="B24:I24"/>
    <mergeCell ref="B6:E6"/>
    <mergeCell ref="G12:J12"/>
    <mergeCell ref="B13:D13"/>
    <mergeCell ref="G6:H6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:C29" showDropDown="0" showInputMessage="0" showErrorMessage="0" allowBlank="1" type="list">
      <formula1>SquadTypes</formula1>
      <formula2>0</formula2>
    </dataValidation>
    <dataValidation sqref="D26:D29" showDropDown="0" showInputMessage="0" showErrorMessage="0" allowBlank="1" type="list">
      <formula1>SquadSizes</formula1>
      <formula2>0</formula2>
    </dataValidation>
    <dataValidation sqref="E26:E29" showDropDown="0" showInputMessage="0" showErrorMessage="0" allowBlank="1" type="list">
      <formula1>OnOff</formula1>
      <formula2>0</formula2>
    </dataValidation>
    <dataValidation sqref="F26:F29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31"/>
  <sheetViews>
    <sheetView showGridLines="0" topLeftCell="A18" zoomScaleNormal="100" workbookViewId="0">
      <selection activeCell="C31" sqref="C31:F31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29.7265625" bestFit="1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TDD Group Functions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247" t="inlineStr">
        <is>
          <t>Budget vs TDD cost</t>
        </is>
      </c>
      <c r="H6" s="238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TDD Group Functions Cost ($m)</t>
        </is>
      </c>
      <c r="G7" s="220" t="inlineStr">
        <is>
          <t>TDD Lights On Budget</t>
        </is>
      </c>
      <c r="H7" s="221">
        <f>'0.0 Data Config'!$E$21</f>
        <v>5.5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1.7145000000000001</v>
      </c>
    </row>
    <row r="9">
      <c r="B9" s="20" t="inlineStr">
        <is>
          <t>Platform Overheads</t>
        </is>
      </c>
      <c r="C9" s="21">
        <f>SUM(H30)</f>
        <v>0.165</v>
      </c>
      <c r="E9" s="21">
        <f>C9</f>
        <v>0.165</v>
      </c>
      <c r="G9" s="222" t="inlineStr">
        <is>
          <t>Variance (budget less cost)</t>
        </is>
      </c>
      <c r="H9" s="223">
        <f>H7-H8</f>
        <v>3.7855</v>
      </c>
    </row>
    <row r="10">
      <c r="B10" s="20" t="inlineStr">
        <is>
          <t>Squad Support Costs</t>
        </is>
      </c>
      <c r="C10" s="21">
        <f>SUM(H26,H27,H28,H29)</f>
        <v>0.8</v>
      </c>
      <c r="D10" s="21">
        <f>SUM(I26,I27,I28,I29)</f>
        <v>3.2</v>
      </c>
      <c r="E10" s="21">
        <f>C10+D10</f>
        <v>4.0</v>
      </c>
    </row>
    <row r="11">
      <c r="B11" s="222" t="inlineStr">
        <is>
          <t>Total Cost</t>
        </is>
      </c>
      <c r="C11" s="223">
        <f>SUM(C8:C10)</f>
        <v>1.7145000000000001</v>
      </c>
      <c r="D11" s="223">
        <f>SUM(D8:D10)</f>
        <v>3.2</v>
      </c>
      <c r="E11" s="223">
        <f>C11+D11</f>
        <v>4.9145</v>
      </c>
    </row>
    <row r="12">
      <c r="G12" s="249" t="inlineStr">
        <is>
          <t xml:space="preserve">Other funding </t>
        </is>
      </c>
      <c r="H12" s="316" t="n"/>
      <c r="I12" s="316" t="n"/>
      <c r="J12" s="316" t="n"/>
    </row>
    <row r="13">
      <c r="B13" s="319" t="inlineStr">
        <is>
          <t>Total TDD Group Functions budget</t>
        </is>
      </c>
      <c r="D13" s="318" t="n"/>
      <c r="E13" s="226">
        <f>SUM(H14:H18)</f>
        <v>27.200000000000003</v>
      </c>
      <c r="G13" s="17" t="inlineStr">
        <is>
          <t>Budget line</t>
        </is>
      </c>
      <c r="H13" s="17" t="inlineStr">
        <is>
          <t>Budget ($m)</t>
        </is>
      </c>
      <c r="I13" s="17" t="inlineStr">
        <is>
          <t>Amount that can be allocated to people</t>
        </is>
      </c>
      <c r="J13" s="17" t="inlineStr">
        <is>
          <t>Remaining for non-people ($m)</t>
        </is>
      </c>
    </row>
    <row r="14">
      <c r="B14" s="319" t="inlineStr">
        <is>
          <t xml:space="preserve">Reconciled to Finance </t>
        </is>
      </c>
      <c r="D14" s="318" t="n"/>
      <c r="E14" s="227">
        <f>'0.4 Budget Table (Fin)'!$S$25</f>
        <v>27.200000000000003</v>
      </c>
      <c r="G14" s="20" t="inlineStr">
        <is>
          <t>TDD Group Functions Lights On</t>
        </is>
      </c>
      <c r="H14" s="221">
        <f>'0.4 Budget Table (Fin)'!$N$25</f>
        <v>22.3</v>
      </c>
      <c r="I14" s="221">
        <f>'0.4 Budget Table (Fin)'!$I$25</f>
        <v>4.5</v>
      </c>
      <c r="J14" s="21">
        <f>IFERROR(H14-I14,0)</f>
        <v>17.8</v>
      </c>
    </row>
    <row r="15">
      <c r="G15" s="20" t="inlineStr">
        <is>
          <t>OpEx Initiatives</t>
        </is>
      </c>
      <c r="H15" s="221">
        <f>'0.4 Budget Table (Fin)'!$P$25</f>
        <v>0.0</v>
      </c>
      <c r="I15" s="229" t="n">
        <v>0</v>
      </c>
      <c r="J15" s="21">
        <f>IFERROR(H15-I15,0)</f>
        <v>0.0</v>
      </c>
    </row>
    <row r="16">
      <c r="G16" s="20" t="inlineStr">
        <is>
          <t>CapEx</t>
        </is>
      </c>
      <c r="H16" s="221">
        <f>'0.4 Budget Table (Fin)'!$R$25</f>
        <v>0.0</v>
      </c>
      <c r="I16" s="229" t="n">
        <v>0</v>
      </c>
      <c r="J16" s="21">
        <f>IFERROR(H16-I16,0)</f>
        <v>0.0</v>
      </c>
    </row>
    <row r="17">
      <c r="G17" s="20" t="inlineStr">
        <is>
          <t>Significant Items</t>
        </is>
      </c>
      <c r="H17" s="221">
        <f>'0.4 Budget Table (Fin)'!$Q$25</f>
        <v>0.0</v>
      </c>
      <c r="I17" s="229" t="n">
        <v>0</v>
      </c>
      <c r="J17" s="21">
        <f>IFERROR(H17-I17,0)</f>
        <v>0.0</v>
      </c>
    </row>
    <row r="18">
      <c r="G18" s="20" t="inlineStr">
        <is>
          <t>Depreciation</t>
        </is>
      </c>
      <c r="H18" s="221">
        <f>'0.4 Budget Table (Fin)'!$O$25</f>
        <v>4.9</v>
      </c>
      <c r="I18" s="229" t="n">
        <v>0</v>
      </c>
      <c r="J18" s="21">
        <f>IFERROR(H18-I18,0)</f>
        <v>4.9</v>
      </c>
    </row>
    <row r="19">
      <c r="G19" s="230" t="inlineStr">
        <is>
          <t>Total applied</t>
        </is>
      </c>
      <c r="I19" s="26">
        <f>SUM(I14:I18)</f>
        <v>4.5</v>
      </c>
    </row>
    <row r="20">
      <c r="G20" s="20" t="inlineStr">
        <is>
          <t>Other cost (this model)</t>
        </is>
      </c>
      <c r="I20" s="21">
        <f>D11</f>
        <v>3.2</v>
      </c>
    </row>
    <row r="21">
      <c r="G21" s="222" t="inlineStr">
        <is>
          <t>Left to fund</t>
        </is>
      </c>
      <c r="I21" s="223">
        <f>I20-I19</f>
        <v>-1.2999999999999998</v>
      </c>
    </row>
    <row r="24">
      <c r="B24" s="249" t="inlineStr">
        <is>
          <t>Platform: TDD Group Functions</t>
        </is>
      </c>
      <c r="C24" s="316" t="n"/>
      <c r="D24" s="316" t="n"/>
      <c r="E24" s="316" t="n"/>
      <c r="F24" s="316" t="n"/>
      <c r="G24" s="316" t="n"/>
      <c r="H24" s="316" t="n"/>
      <c r="I24" s="316" t="n"/>
    </row>
    <row r="25">
      <c r="B25" s="17" t="inlineStr">
        <is>
          <t>Squad</t>
        </is>
      </c>
      <c r="C25" s="17" t="inlineStr">
        <is>
          <t>Squad Type</t>
        </is>
      </c>
      <c r="D25" s="17" t="inlineStr">
        <is>
          <t>Size</t>
        </is>
      </c>
      <c r="E25" s="17" t="inlineStr">
        <is>
          <t>On/Off</t>
        </is>
      </c>
      <c r="F25" s="17" t="inlineStr">
        <is>
          <t>Support %</t>
        </is>
      </c>
      <c r="G25" s="17" t="inlineStr">
        <is>
          <t>Total Squad Cost ($m)</t>
        </is>
      </c>
      <c r="H25" s="17" t="inlineStr">
        <is>
          <t>TDD Cost ($m)</t>
        </is>
      </c>
      <c r="I25" s="17" t="inlineStr">
        <is>
          <t>Funded outside TDD ($m)</t>
        </is>
      </c>
    </row>
    <row r="26">
      <c r="B26" s="20" t="inlineStr">
        <is>
          <t>Workplace &amp; Enterprise Tooling</t>
        </is>
      </c>
      <c r="C26" s="232" t="inlineStr">
        <is>
          <t>Configuration / Integration</t>
        </is>
      </c>
      <c r="D26" s="232" t="inlineStr">
        <is>
          <t>S</t>
        </is>
      </c>
      <c r="E26" s="232" t="inlineStr">
        <is>
          <t>Onshore</t>
        </is>
      </c>
      <c r="F26" s="233" t="n">
        <v>0.2</v>
      </c>
      <c r="G26" s="221">
        <f>IFERROR(IF($E26="Onshore",INDEX('0.1 Squads'!$G$5:$G$23,MATCH($C26&amp;"|"&amp;$D26,'0.1 Squads'!$A$5:$A$23,0)),INDEX('0.1 Squads'!$H$5:$H$23,MATCH($C26&amp;"|"&amp;$D26,'0.1 Squads'!$A$5:$A$23,0))),"check size")</f>
        <v>0.4</v>
      </c>
      <c r="H26" s="21">
        <f>IFERROR($G26*$F26,"")</f>
        <v>0.08000000000000002</v>
      </c>
      <c r="I26" s="21">
        <f>IFERROR($G26*(1-$F26),"")</f>
        <v>0.32000000000000006</v>
      </c>
    </row>
    <row r="27">
      <c r="B27" s="20" t="inlineStr">
        <is>
          <t>Network &amp; Infrastructure</t>
        </is>
      </c>
      <c r="C27" s="232" t="inlineStr">
        <is>
          <t>Operations</t>
        </is>
      </c>
      <c r="D27" s="232" t="inlineStr">
        <is>
          <t>M</t>
        </is>
      </c>
      <c r="E27" s="232" t="inlineStr">
        <is>
          <t>Onshore</t>
        </is>
      </c>
      <c r="F27" s="233" t="n">
        <v>0.2</v>
      </c>
      <c r="G27" s="221">
        <f>IFERROR(IF($E27="Onshore",INDEX('0.1 Squads'!$G$5:$G$23,MATCH($C27&amp;"|"&amp;$D27,'0.1 Squads'!$A$5:$A$23,0)),INDEX('0.1 Squads'!$H$5:$H$23,MATCH($C27&amp;"|"&amp;$D27,'0.1 Squads'!$A$5:$A$23,0))),"check size")</f>
        <v>1.4</v>
      </c>
      <c r="H27" s="21">
        <f>IFERROR($G27*$F27,"")</f>
        <v>0.27999999999999997</v>
      </c>
      <c r="I27" s="21">
        <f>IFERROR($G27*(1-$F27),"")</f>
        <v>1.1199999999999999</v>
      </c>
    </row>
    <row r="28">
      <c r="B28" s="20" t="inlineStr">
        <is>
          <t>DevOps &amp; Engineering</t>
        </is>
      </c>
      <c r="C28" s="232" t="inlineStr">
        <is>
          <t>Engineering</t>
        </is>
      </c>
      <c r="D28" s="232" t="inlineStr">
        <is>
          <t>S</t>
        </is>
      </c>
      <c r="E28" s="232" t="inlineStr">
        <is>
          <t>Onshore</t>
        </is>
      </c>
      <c r="F28" s="233" t="n">
        <v>0.2</v>
      </c>
      <c r="G28" s="221">
        <f>IFERROR(IF($E28="Onshore",INDEX('0.1 Squads'!$G$5:$G$23,MATCH($C28&amp;"|"&amp;$D28,'0.1 Squads'!$A$5:$A$23,0)),INDEX('0.1 Squads'!$H$5:$H$23,MATCH($C28&amp;"|"&amp;$D28,'0.1 Squads'!$A$5:$A$23,0))),"check size")</f>
        <v>0.8</v>
      </c>
      <c r="H28" s="21">
        <f>IFERROR($G28*$F28,"")</f>
        <v>0.16000000000000003</v>
      </c>
      <c r="I28" s="21">
        <f>IFERROR($G28*(1-$F28),"")</f>
        <v>0.6400000000000001</v>
      </c>
    </row>
    <row r="29">
      <c r="B29" s="20" t="inlineStr">
        <is>
          <t>Integration</t>
        </is>
      </c>
      <c r="C29" s="232" t="inlineStr">
        <is>
          <t>Configuration / Integration</t>
        </is>
      </c>
      <c r="D29" s="232" t="inlineStr">
        <is>
          <t>M</t>
        </is>
      </c>
      <c r="E29" s="232" t="inlineStr">
        <is>
          <t>Onshore</t>
        </is>
      </c>
      <c r="F29" s="233" t="n">
        <v>0.2</v>
      </c>
      <c r="G29" s="221">
        <f>IFERROR(IF($E29="Onshore",INDEX('0.1 Squads'!$G$5:$G$23,MATCH($C29&amp;"|"&amp;$D29,'0.1 Squads'!$A$5:$A$23,0)),INDEX('0.1 Squads'!$H$5:$H$23,MATCH($C29&amp;"|"&amp;$D29,'0.1 Squads'!$A$5:$A$23,0))),"check size")</f>
        <v>1.4</v>
      </c>
      <c r="H29" s="21">
        <f>IFERROR($G29*$F29,"")</f>
        <v>0.27999999999999997</v>
      </c>
      <c r="I29" s="21">
        <f>IFERROR($G29*(1-$F29),"")</f>
        <v>1.1199999999999999</v>
      </c>
    </row>
    <row r="30">
      <c r="B30" s="234" t="inlineStr">
        <is>
          <t>Platform Overhead</t>
        </is>
      </c>
      <c r="H30" s="221">
        <f>'0.0 Data Config'!$J$16</f>
        <v>0.165</v>
      </c>
    </row>
    <row r="31">
      <c r="B31" s="222" t="inlineStr">
        <is>
          <t>TDD Group Functions Total</t>
        </is>
      </c>
      <c r="C31" s="231" t="n"/>
      <c r="D31" s="231" t="n"/>
      <c r="E31" s="231" t="n"/>
      <c r="F31" s="231" t="n"/>
      <c r="G31" s="223">
        <f>SUM(G26:G29)</f>
        <v>3.9999999999999996</v>
      </c>
      <c r="H31" s="223">
        <f>SUM(H26:H30)</f>
        <v>0.9650000000000001</v>
      </c>
      <c r="I31" s="223">
        <f>SUM(I26:I29)</f>
        <v>3.2</v>
      </c>
    </row>
  </sheetData>
  <mergeCells count="6">
    <mergeCell ref="B14:D14"/>
    <mergeCell ref="B24:I24"/>
    <mergeCell ref="B6:E6"/>
    <mergeCell ref="G12:J12"/>
    <mergeCell ref="B13:D13"/>
    <mergeCell ref="G6:H6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:C29" showDropDown="0" showInputMessage="0" showErrorMessage="0" allowBlank="1" type="list">
      <formula1>SquadTypes</formula1>
      <formula2>0</formula2>
    </dataValidation>
    <dataValidation sqref="D26:D29" showDropDown="0" showInputMessage="0" showErrorMessage="0" allowBlank="1" type="list">
      <formula1>SquadSizes</formula1>
      <formula2>0</formula2>
    </dataValidation>
    <dataValidation sqref="E26:E29" showDropDown="0" showInputMessage="0" showErrorMessage="0" allowBlank="1" type="list">
      <formula1>OnOff</formula1>
      <formula2>0</formula2>
    </dataValidation>
    <dataValidation sqref="F26:F29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J29"/>
  <sheetViews>
    <sheetView showGridLines="0" topLeftCell="A18" zoomScaleNormal="100" workbookViewId="0">
      <selection activeCell="C29" sqref="C29:F29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P&amp;C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320" t="inlineStr">
        <is>
          <t>Budget vs TDD cost</t>
        </is>
      </c>
      <c r="H6" s="238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P&amp;C Cost ($m)</t>
        </is>
      </c>
      <c r="G7" s="220" t="inlineStr">
        <is>
          <t>TDD Lights On Budget</t>
        </is>
      </c>
      <c r="H7" s="221">
        <f>'0.0 Data Config'!$E$18</f>
        <v>2.0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1.2745000000000002</v>
      </c>
    </row>
    <row r="9">
      <c r="B9" s="20" t="inlineStr">
        <is>
          <t>Platform Overheads</t>
        </is>
      </c>
      <c r="C9" s="21">
        <f>SUM(H28)</f>
        <v>0.165</v>
      </c>
      <c r="E9" s="21">
        <f>C9</f>
        <v>0.165</v>
      </c>
      <c r="G9" s="222" t="inlineStr">
        <is>
          <t>Variance (budget less cost)</t>
        </is>
      </c>
      <c r="H9" s="223">
        <f>H7-H8</f>
        <v>0.7254999999999998</v>
      </c>
    </row>
    <row r="10">
      <c r="B10" s="20" t="inlineStr">
        <is>
          <t>Squad Support Costs</t>
        </is>
      </c>
      <c r="C10" s="21">
        <f>SUM(H26,H27)</f>
        <v>0.36</v>
      </c>
      <c r="D10" s="21">
        <f>SUM(I26,I27)</f>
        <v>1.44</v>
      </c>
      <c r="E10" s="21">
        <f>C10+D10</f>
        <v>1.7999999999999998</v>
      </c>
    </row>
    <row r="11">
      <c r="B11" s="222" t="inlineStr">
        <is>
          <t>Total Cost</t>
        </is>
      </c>
      <c r="C11" s="223">
        <f>SUM(C8:C10)</f>
        <v>1.2745000000000002</v>
      </c>
      <c r="D11" s="223">
        <f>SUM(D8:D10)</f>
        <v>1.44</v>
      </c>
      <c r="E11" s="223">
        <f>C11+D11</f>
        <v>2.7145</v>
      </c>
    </row>
    <row r="12">
      <c r="G12" s="276" t="inlineStr">
        <is>
          <t xml:space="preserve">Other funding </t>
        </is>
      </c>
      <c r="H12" s="314" t="n"/>
      <c r="I12" s="314" t="n"/>
      <c r="J12" s="315" t="n"/>
    </row>
    <row r="13">
      <c r="B13" s="319" t="inlineStr">
        <is>
          <t xml:space="preserve">Total P&amp;C budget </t>
        </is>
      </c>
      <c r="D13" s="318" t="n"/>
      <c r="E13" s="226">
        <f>SUM(H14:H18)</f>
        <v>5.799999999999999</v>
      </c>
      <c r="G13" s="253" t="inlineStr">
        <is>
          <t>Budget line</t>
        </is>
      </c>
      <c r="H13" s="253" t="inlineStr">
        <is>
          <t>Budget ($m)</t>
        </is>
      </c>
      <c r="I13" s="253" t="inlineStr">
        <is>
          <t>Amount that can be allocated to people</t>
        </is>
      </c>
      <c r="J13" s="253" t="inlineStr">
        <is>
          <t>Remaining for non-people ($m)</t>
        </is>
      </c>
    </row>
    <row r="14">
      <c r="B14" s="319" t="inlineStr">
        <is>
          <t xml:space="preserve">Reconciled to Finance </t>
        </is>
      </c>
      <c r="D14" s="318" t="n"/>
      <c r="E14" s="227">
        <f>'0.4 Budget Table (Fin)'!Q12</f>
        <v>5.8</v>
      </c>
      <c r="G14" s="254" t="inlineStr">
        <is>
          <t>P&amp;C Lights On</t>
        </is>
      </c>
      <c r="H14" s="257">
        <f>'0.4 Budget Table (Fin)'!L12</f>
        <v>2.1</v>
      </c>
      <c r="I14" s="260">
        <f>'0.4 Budget Table (Fin)'!G12</f>
        <v>0.0</v>
      </c>
      <c r="J14" s="258">
        <f>IFERROR(H14-I14,0)</f>
        <v>2.1</v>
      </c>
    </row>
    <row r="15">
      <c r="G15" s="254" t="inlineStr">
        <is>
          <t>OpEx Initiatives</t>
        </is>
      </c>
      <c r="H15" s="257">
        <f>'0.4 Budget Table (Fin)'!N12</f>
        <v>2.0</v>
      </c>
      <c r="I15" s="277" t="n">
        <v>0</v>
      </c>
      <c r="J15" s="258">
        <f>IFERROR(H15-I15,0)</f>
        <v>2.0</v>
      </c>
    </row>
    <row r="16">
      <c r="G16" s="254" t="inlineStr">
        <is>
          <t>CapEx</t>
        </is>
      </c>
      <c r="H16" s="257">
        <f>'0.4 Budget Table (Fin)'!P12</f>
        <v>0.3</v>
      </c>
      <c r="I16" s="277" t="n">
        <v>0</v>
      </c>
      <c r="J16" s="258">
        <f>IFERROR(H16-I16,0)</f>
        <v>0.3</v>
      </c>
    </row>
    <row r="17">
      <c r="G17" s="254" t="inlineStr">
        <is>
          <t>Significant Items</t>
        </is>
      </c>
      <c r="H17" s="257">
        <f>'0.4 Budget Table (Fin)'!O12</f>
        <v>1.4</v>
      </c>
      <c r="I17" s="277" t="n">
        <v>0</v>
      </c>
      <c r="J17" s="258">
        <f>IFERROR(H17-I17,0)</f>
        <v>1.4</v>
      </c>
    </row>
    <row r="18">
      <c r="G18" s="254" t="inlineStr">
        <is>
          <t>Depreciation</t>
        </is>
      </c>
      <c r="H18" s="257">
        <f>'0.4 Budget Table (Fin)'!M12</f>
        <v>0.0</v>
      </c>
      <c r="I18" s="277" t="n">
        <v>0</v>
      </c>
      <c r="J18" s="258">
        <f>IFERROR(H18-I18,0)</f>
        <v>0.0</v>
      </c>
    </row>
    <row r="19">
      <c r="G19" s="278" t="inlineStr">
        <is>
          <t>Total applied</t>
        </is>
      </c>
      <c r="H19" s="260" t="n"/>
      <c r="I19" s="279">
        <f>SUM(I14:I18)</f>
        <v>0.0</v>
      </c>
      <c r="J19" s="260" t="n"/>
    </row>
    <row r="20">
      <c r="G20" s="254" t="inlineStr">
        <is>
          <t>Other cost (this model)</t>
        </is>
      </c>
      <c r="H20" s="260" t="n"/>
      <c r="I20" s="258">
        <f>D11</f>
        <v>1.44</v>
      </c>
      <c r="J20" s="260" t="n"/>
    </row>
    <row r="21">
      <c r="G21" s="261" t="inlineStr">
        <is>
          <t>Left to fund</t>
        </is>
      </c>
      <c r="H21" s="260" t="n"/>
      <c r="I21" s="262">
        <f>I20-I19</f>
        <v>1.44</v>
      </c>
      <c r="J21" s="260" t="n"/>
    </row>
    <row r="24">
      <c r="B24" s="276" t="inlineStr">
        <is>
          <t>Platform: P&amp;C</t>
        </is>
      </c>
      <c r="C24" s="314" t="n"/>
      <c r="D24" s="314" t="n"/>
      <c r="E24" s="314" t="n"/>
      <c r="F24" s="314" t="n"/>
      <c r="G24" s="314" t="n"/>
      <c r="H24" s="314" t="n"/>
      <c r="I24" s="315" t="n"/>
    </row>
    <row r="25">
      <c r="B25" s="253" t="inlineStr">
        <is>
          <t>Squad</t>
        </is>
      </c>
      <c r="C25" s="253" t="inlineStr">
        <is>
          <t>Squad Type</t>
        </is>
      </c>
      <c r="D25" s="253" t="inlineStr">
        <is>
          <t>Size</t>
        </is>
      </c>
      <c r="E25" s="253" t="inlineStr">
        <is>
          <t>On/Off</t>
        </is>
      </c>
      <c r="F25" s="253" t="inlineStr">
        <is>
          <t>Support %</t>
        </is>
      </c>
      <c r="G25" s="253" t="inlineStr">
        <is>
          <t>Total Squad Cost ($m)</t>
        </is>
      </c>
      <c r="H25" s="253" t="inlineStr">
        <is>
          <t>TDD Cost ($m)</t>
        </is>
      </c>
      <c r="I25" s="253" t="inlineStr">
        <is>
          <t>Funded outside TDD ($m)</t>
        </is>
      </c>
    </row>
    <row r="26">
      <c r="B26" s="254" t="inlineStr">
        <is>
          <t>P&amp;C</t>
        </is>
      </c>
      <c r="C26" s="255" t="inlineStr">
        <is>
          <t>Configuration / Integration</t>
        </is>
      </c>
      <c r="D26" s="255" t="inlineStr">
        <is>
          <t>M</t>
        </is>
      </c>
      <c r="E26" s="255" t="inlineStr">
        <is>
          <t>Onshore</t>
        </is>
      </c>
      <c r="F26" s="256" t="n">
        <v>0.2</v>
      </c>
      <c r="G26" s="257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258">
        <f>IFERROR($G26*$F26,"")</f>
        <v>0.27999999999999997</v>
      </c>
      <c r="I26" s="258">
        <f>IFERROR($G26*(1-$F26),"")</f>
        <v>1.1199999999999999</v>
      </c>
    </row>
    <row r="27">
      <c r="B27" s="254" t="inlineStr">
        <is>
          <t>P&amp;C - RTA</t>
        </is>
      </c>
      <c r="C27" s="255" t="inlineStr">
        <is>
          <t>Configuration / Integration</t>
        </is>
      </c>
      <c r="D27" s="255" t="inlineStr">
        <is>
          <t>S</t>
        </is>
      </c>
      <c r="E27" s="255" t="inlineStr">
        <is>
          <t>Onshore</t>
        </is>
      </c>
      <c r="F27" s="256" t="n">
        <v>0.2</v>
      </c>
      <c r="G27" s="257">
        <f>IFERROR(IF($E27="Onshore",INDEX('0.1 Squads'!$G$5:$G$23,MATCH($C27&amp;"|"&amp;$D27,'0.1 Squads'!$A$5:$A$23,0)),INDEX('0.1 Squads'!$H$5:$H$23,MATCH($C27&amp;"|"&amp;$D27,'0.1 Squads'!$A$5:$A$23,0))),"check size")</f>
        <v>0.4</v>
      </c>
      <c r="H27" s="258">
        <f>IFERROR($G27*$F27,"")</f>
        <v>0.08000000000000002</v>
      </c>
      <c r="I27" s="258">
        <f>IFERROR($G27*(1-$F27),"")</f>
        <v>0.32000000000000006</v>
      </c>
    </row>
    <row r="28">
      <c r="B28" s="259" t="inlineStr">
        <is>
          <t>Platform Overhead</t>
        </is>
      </c>
      <c r="G28" s="260" t="n"/>
      <c r="H28" s="257">
        <f>'0.0 Data Config'!$J$16</f>
        <v>0.165</v>
      </c>
      <c r="I28" s="260" t="n"/>
    </row>
    <row r="29">
      <c r="B29" s="261" t="inlineStr">
        <is>
          <t>P&amp;C Total</t>
        </is>
      </c>
      <c r="C29" s="231" t="n"/>
      <c r="D29" s="231" t="n"/>
      <c r="E29" s="231" t="n"/>
      <c r="F29" s="231" t="n"/>
      <c r="G29" s="262">
        <f>SUM(G26:G27)</f>
        <v>1.7999999999999998</v>
      </c>
      <c r="H29" s="262">
        <f>SUM(H26:H28)</f>
        <v>0.525</v>
      </c>
      <c r="I29" s="262">
        <f>SUM(I26:I27)</f>
        <v>1.44</v>
      </c>
    </row>
  </sheetData>
  <mergeCells count="6">
    <mergeCell ref="B14:D14"/>
    <mergeCell ref="B24:I24"/>
    <mergeCell ref="B6:E6"/>
    <mergeCell ref="G12:J12"/>
    <mergeCell ref="B13:D13"/>
    <mergeCell ref="G6:H6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:C27" showDropDown="0" showInputMessage="0" showErrorMessage="0" allowBlank="1" type="list">
      <formula1>SquadTypes</formula1>
      <formula2>0</formula2>
    </dataValidation>
    <dataValidation sqref="D26:D27" showDropDown="0" showInputMessage="0" showErrorMessage="0" allowBlank="1" type="list">
      <formula1>SquadSizes</formula1>
      <formula2>0</formula2>
    </dataValidation>
    <dataValidation sqref="E26:E27" showDropDown="0" showInputMessage="0" showErrorMessage="0" allowBlank="1" type="list">
      <formula1>OnOff</formula1>
      <formula2>0</formula2>
    </dataValidation>
    <dataValidation sqref="F26:F27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29"/>
  <sheetViews>
    <sheetView showGridLines="0" topLeftCell="A15" zoomScaleNormal="100" workbookViewId="0">
      <selection activeCell="C29" sqref="C29:F29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Finance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247" t="inlineStr">
        <is>
          <t>Budget vs TDD cost</t>
        </is>
      </c>
      <c r="H6" s="238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Finance Cost ($m)</t>
        </is>
      </c>
      <c r="G7" s="220" t="inlineStr">
        <is>
          <t>TDD Lights On Budget</t>
        </is>
      </c>
      <c r="H7" s="221">
        <f>'0.0 Data Config'!$E$19</f>
        <v>2.0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1.7545000000000002</v>
      </c>
    </row>
    <row r="9">
      <c r="B9" s="20" t="inlineStr">
        <is>
          <t>Platform Overheads</t>
        </is>
      </c>
      <c r="C9" s="21">
        <f>SUM(H28)</f>
        <v>0.165</v>
      </c>
      <c r="E9" s="21">
        <f>C9</f>
        <v>0.165</v>
      </c>
      <c r="G9" s="222" t="inlineStr">
        <is>
          <t>Variance (budget less cost)</t>
        </is>
      </c>
      <c r="H9" s="223">
        <f>H7-H8</f>
        <v>0.24549999999999983</v>
      </c>
    </row>
    <row r="10">
      <c r="B10" s="20" t="inlineStr">
        <is>
          <t>Squad Support Costs</t>
        </is>
      </c>
      <c r="C10" s="21">
        <f>SUM(H26,H27)</f>
        <v>0.8400000000000001</v>
      </c>
      <c r="D10" s="21">
        <f>SUM(I26,I27)</f>
        <v>3.3600000000000003</v>
      </c>
      <c r="E10" s="21">
        <f>C10+D10</f>
        <v>4.2</v>
      </c>
    </row>
    <row r="11">
      <c r="B11" s="222" t="inlineStr">
        <is>
          <t>Total Cost</t>
        </is>
      </c>
      <c r="C11" s="223">
        <f>SUM(C8:C10)</f>
        <v>1.7545000000000002</v>
      </c>
      <c r="D11" s="223">
        <f>SUM(D8:D10)</f>
        <v>3.3600000000000003</v>
      </c>
      <c r="E11" s="223">
        <f>C11+D11</f>
        <v>5.1145000000000005</v>
      </c>
    </row>
    <row r="12">
      <c r="G12" s="276" t="inlineStr">
        <is>
          <t xml:space="preserve">Other funding </t>
        </is>
      </c>
      <c r="H12" s="314" t="n"/>
      <c r="I12" s="314" t="n"/>
      <c r="J12" s="315" t="n"/>
    </row>
    <row r="13">
      <c r="B13" s="319" t="inlineStr">
        <is>
          <t xml:space="preserve">Total Corporate Finance budget </t>
        </is>
      </c>
      <c r="D13" s="318" t="n"/>
      <c r="E13" s="226">
        <f>SUM(H14:H18)</f>
        <v>3.5</v>
      </c>
      <c r="G13" s="253" t="inlineStr">
        <is>
          <t>Budget line</t>
        </is>
      </c>
      <c r="H13" s="253" t="inlineStr">
        <is>
          <t>Budget ($m)</t>
        </is>
      </c>
      <c r="I13" s="253" t="inlineStr">
        <is>
          <t>Amount that can be allocated to people</t>
        </is>
      </c>
      <c r="J13" s="253" t="inlineStr">
        <is>
          <t>Remaining for non-people ($m)</t>
        </is>
      </c>
    </row>
    <row r="14">
      <c r="B14" s="319" t="inlineStr">
        <is>
          <t xml:space="preserve">Reconciled to Finance </t>
        </is>
      </c>
      <c r="D14" s="318" t="n"/>
      <c r="E14" s="227">
        <f>'0.4 Budget Table (Fin)'!Q11</f>
        <v>3.5</v>
      </c>
      <c r="G14" s="254" t="inlineStr">
        <is>
          <t>Corporate Finance Lights On</t>
        </is>
      </c>
      <c r="H14" s="257">
        <f>'0.4 Budget Table (Fin)'!L11</f>
        <v>2.6</v>
      </c>
      <c r="I14" s="260">
        <f>'0.4 Budget Table (Fin)'!G11</f>
        <v>0.0</v>
      </c>
      <c r="J14" s="258">
        <f>IFERROR(H14-I14,0)</f>
        <v>2.6</v>
      </c>
    </row>
    <row r="15">
      <c r="G15" s="254" t="inlineStr">
        <is>
          <t>OpEx Initiatives</t>
        </is>
      </c>
      <c r="H15" s="257">
        <f>'0.4 Budget Table (Fin)'!N11</f>
        <v>0.9</v>
      </c>
      <c r="I15" s="277" t="n">
        <v>0</v>
      </c>
      <c r="J15" s="258">
        <f>IFERROR(H15-I15,0)</f>
        <v>0.9</v>
      </c>
    </row>
    <row r="16">
      <c r="G16" s="254" t="inlineStr">
        <is>
          <t>CapEx</t>
        </is>
      </c>
      <c r="H16" s="257">
        <f>'0.4 Budget Table (Fin)'!P11</f>
        <v>0.0</v>
      </c>
      <c r="I16" s="277" t="n">
        <v>0</v>
      </c>
      <c r="J16" s="258">
        <f>IFERROR(H16-I16,0)</f>
        <v>0.0</v>
      </c>
    </row>
    <row r="17">
      <c r="G17" s="254" t="inlineStr">
        <is>
          <t>Significant Items</t>
        </is>
      </c>
      <c r="H17" s="257">
        <f>'0.4 Budget Table (Fin)'!O11</f>
        <v>0.0</v>
      </c>
      <c r="I17" s="277" t="n">
        <v>0</v>
      </c>
      <c r="J17" s="258">
        <f>IFERROR(H17-I17,0)</f>
        <v>0.0</v>
      </c>
    </row>
    <row r="18">
      <c r="G18" s="254" t="inlineStr">
        <is>
          <t>Depreciation</t>
        </is>
      </c>
      <c r="H18" s="257">
        <f>'0.4 Budget Table (Fin)'!M11</f>
        <v>0.0</v>
      </c>
      <c r="I18" s="277" t="n">
        <v>0</v>
      </c>
      <c r="J18" s="258">
        <f>IFERROR(H18-I18,0)</f>
        <v>0.0</v>
      </c>
    </row>
    <row r="19">
      <c r="G19" s="278" t="inlineStr">
        <is>
          <t>Total applied</t>
        </is>
      </c>
      <c r="H19" s="260" t="n"/>
      <c r="I19" s="279">
        <f>SUM(I14:I18)</f>
        <v>0.0</v>
      </c>
      <c r="J19" s="260" t="n"/>
    </row>
    <row r="20">
      <c r="G20" s="254" t="inlineStr">
        <is>
          <t>Other cost (this model)</t>
        </is>
      </c>
      <c r="H20" s="260" t="n"/>
      <c r="I20" s="258">
        <f>D11</f>
        <v>3.3600000000000003</v>
      </c>
      <c r="J20" s="260" t="n"/>
    </row>
    <row r="21">
      <c r="G21" s="261" t="inlineStr">
        <is>
          <t>Left to fund</t>
        </is>
      </c>
      <c r="H21" s="260" t="n"/>
      <c r="I21" s="262">
        <f>I20-I19</f>
        <v>3.3600000000000003</v>
      </c>
      <c r="J21" s="260" t="n"/>
    </row>
    <row r="24">
      <c r="B24" s="251" t="inlineStr">
        <is>
          <t>Platform: Finance</t>
        </is>
      </c>
    </row>
    <row r="25">
      <c r="B25" s="253" t="inlineStr">
        <is>
          <t>Squad</t>
        </is>
      </c>
      <c r="C25" s="253" t="inlineStr">
        <is>
          <t>Squad Type</t>
        </is>
      </c>
      <c r="D25" s="253" t="inlineStr">
        <is>
          <t>Size</t>
        </is>
      </c>
      <c r="E25" s="253" t="inlineStr">
        <is>
          <t>On/Off</t>
        </is>
      </c>
      <c r="F25" s="253" t="inlineStr">
        <is>
          <t>Support %</t>
        </is>
      </c>
      <c r="G25" s="253" t="inlineStr">
        <is>
          <t>Total Squad Cost ($m)</t>
        </is>
      </c>
      <c r="H25" s="253" t="inlineStr">
        <is>
          <t>TDD Cost ($m)</t>
        </is>
      </c>
      <c r="I25" s="253" t="inlineStr">
        <is>
          <t>Funded outside TDD ($m)</t>
        </is>
      </c>
    </row>
    <row r="26">
      <c r="B26" s="254" t="inlineStr">
        <is>
          <t>AU Finance</t>
        </is>
      </c>
      <c r="C26" s="255" t="inlineStr">
        <is>
          <t>Configuration / Integration</t>
        </is>
      </c>
      <c r="D26" s="255" t="inlineStr">
        <is>
          <t>L</t>
        </is>
      </c>
      <c r="E26" s="255" t="inlineStr">
        <is>
          <t>Onshore</t>
        </is>
      </c>
      <c r="F26" s="256" t="n">
        <v>0.2</v>
      </c>
      <c r="G26" s="257">
        <f>IFERROR(IF($E26="Onshore",INDEX('0.1 Squads'!$G$5:$G$23,MATCH($C26&amp;"|"&amp;$D26,'0.1 Squads'!$A$5:$A$23,0)),INDEX('0.1 Squads'!$H$5:$H$23,MATCH($C26&amp;"|"&amp;$D26,'0.1 Squads'!$A$5:$A$23,0))),"check size")</f>
        <v>2.1</v>
      </c>
      <c r="H26" s="258">
        <f>IFERROR($G26*$F26,"")</f>
        <v>0.42000000000000004</v>
      </c>
      <c r="I26" s="258">
        <f>IFERROR($G26*(1-$F26),"")</f>
        <v>1.6800000000000002</v>
      </c>
    </row>
    <row r="27">
      <c r="B27" s="254" t="inlineStr">
        <is>
          <t>NZ Finance</t>
        </is>
      </c>
      <c r="C27" s="255" t="inlineStr">
        <is>
          <t>Configuration / Integration</t>
        </is>
      </c>
      <c r="D27" s="255" t="inlineStr">
        <is>
          <t>L</t>
        </is>
      </c>
      <c r="E27" s="255" t="inlineStr">
        <is>
          <t>Onshore</t>
        </is>
      </c>
      <c r="F27" s="256" t="n">
        <v>0.2</v>
      </c>
      <c r="G27" s="257">
        <f>IFERROR(IF($E27="Onshore",INDEX('0.1 Squads'!$G$5:$G$23,MATCH($C27&amp;"|"&amp;$D27,'0.1 Squads'!$A$5:$A$23,0)),INDEX('0.1 Squads'!$H$5:$H$23,MATCH($C27&amp;"|"&amp;$D27,'0.1 Squads'!$A$5:$A$23,0))),"check size")</f>
        <v>2.1</v>
      </c>
      <c r="H27" s="258">
        <f>IFERROR($G27*$F27,"")</f>
        <v>0.42000000000000004</v>
      </c>
      <c r="I27" s="258">
        <f>IFERROR($G27*(1-$F27),"")</f>
        <v>1.6800000000000002</v>
      </c>
    </row>
    <row r="28">
      <c r="B28" s="259" t="inlineStr">
        <is>
          <t>Platform Overhead</t>
        </is>
      </c>
      <c r="C28" s="260" t="n"/>
      <c r="D28" s="260" t="n"/>
      <c r="E28" s="260" t="n"/>
      <c r="F28" s="260" t="n"/>
      <c r="G28" s="260" t="n"/>
      <c r="H28" s="257">
        <f>'0.0 Data Config'!$J$16</f>
        <v>0.165</v>
      </c>
      <c r="I28" s="260" t="n"/>
    </row>
    <row r="29">
      <c r="B29" s="261" t="inlineStr">
        <is>
          <t>Finance Total</t>
        </is>
      </c>
      <c r="C29" s="231" t="n"/>
      <c r="D29" s="231" t="n"/>
      <c r="E29" s="231" t="n"/>
      <c r="F29" s="231" t="n"/>
      <c r="G29" s="262">
        <f>SUM(G26:G27)</f>
        <v>4.2</v>
      </c>
      <c r="H29" s="262">
        <f>SUM(H26:H28)</f>
        <v>1.0050000000000001</v>
      </c>
      <c r="I29" s="262">
        <f>SUM(I26:I27)</f>
        <v>3.3600000000000003</v>
      </c>
    </row>
  </sheetData>
  <mergeCells count="6">
    <mergeCell ref="B14:D14"/>
    <mergeCell ref="B24:I24"/>
    <mergeCell ref="B6:E6"/>
    <mergeCell ref="G12:J12"/>
    <mergeCell ref="B13:D13"/>
    <mergeCell ref="G6:H6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:C27" showDropDown="0" showInputMessage="0" showErrorMessage="0" allowBlank="1" type="list">
      <formula1>SquadTypes</formula1>
      <formula2>0</formula2>
    </dataValidation>
    <dataValidation sqref="D26:D27" showDropDown="0" showInputMessage="0" showErrorMessage="0" allowBlank="1" type="list">
      <formula1>SquadSizes</formula1>
      <formula2>0</formula2>
    </dataValidation>
    <dataValidation sqref="E26:E27" showDropDown="0" showInputMessage="0" showErrorMessage="0" allowBlank="1" type="list">
      <formula1>OnOff</formula1>
      <formula2>0</formula2>
    </dataValidation>
    <dataValidation sqref="F26:F27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opLeftCell="A21" zoomScaleNormal="100" workbookViewId="0">
      <selection activeCell="C35" sqref="C35:F35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23.6328125" bestFit="1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Infrastructure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219" t="inlineStr">
        <is>
          <t>Budget vs TDD cost</t>
        </is>
      </c>
      <c r="H6" s="219" t="n"/>
    </row>
    <row r="7">
      <c r="B7" s="17" t="inlineStr">
        <is>
          <t>Cost</t>
        </is>
      </c>
      <c r="C7" s="285" t="inlineStr">
        <is>
          <t>TDD ($m)</t>
        </is>
      </c>
      <c r="D7" s="285" t="inlineStr">
        <is>
          <t>Other ($m)</t>
        </is>
      </c>
      <c r="E7" s="285" t="inlineStr">
        <is>
          <t>Total Infrastructure Cost ($m)</t>
        </is>
      </c>
      <c r="G7" s="220" t="inlineStr">
        <is>
          <t>TDD Lights On Budget</t>
        </is>
      </c>
      <c r="H7" s="221">
        <f>'0.0 Data Config'!$E$17</f>
        <v>2.5</v>
      </c>
    </row>
    <row r="8">
      <c r="B8" s="284" t="inlineStr">
        <is>
          <t>Portfolio Overhead</t>
        </is>
      </c>
      <c r="C8" s="257">
        <f>'0.0 Data Config'!$J$10</f>
        <v>0.7495</v>
      </c>
      <c r="D8" s="260" t="n"/>
      <c r="E8" s="258">
        <f>C8</f>
        <v>0.7495</v>
      </c>
      <c r="G8" s="220" t="inlineStr">
        <is>
          <t>Overheads &amp; Support (this model)</t>
        </is>
      </c>
      <c r="H8" s="21">
        <f>C11</f>
        <v>2.0445</v>
      </c>
    </row>
    <row r="9">
      <c r="B9" s="284" t="inlineStr">
        <is>
          <t>Platform Overheads</t>
        </is>
      </c>
      <c r="C9" s="258">
        <f>SUM(H27,H34,H40)</f>
        <v>0.495</v>
      </c>
      <c r="D9" s="260" t="n"/>
      <c r="E9" s="258">
        <f>C9</f>
        <v>0.495</v>
      </c>
      <c r="G9" s="222" t="inlineStr">
        <is>
          <t>Variance (budget less cost)</t>
        </is>
      </c>
      <c r="H9" s="223">
        <f>H7-H8</f>
        <v>0.4554999999999998</v>
      </c>
    </row>
    <row r="10">
      <c r="B10" s="20" t="inlineStr">
        <is>
          <t>Squad Support Costs</t>
        </is>
      </c>
      <c r="C10" s="286">
        <f>SUM(H26,H32,H33,H39)</f>
        <v>0.8</v>
      </c>
      <c r="D10" s="286">
        <f>SUM(I26,I32,I33,I39)</f>
        <v>3.2</v>
      </c>
      <c r="E10" s="286">
        <f>C10+D10</f>
        <v>4.0</v>
      </c>
    </row>
    <row r="11">
      <c r="B11" s="222" t="inlineStr">
        <is>
          <t>Total Cost</t>
        </is>
      </c>
      <c r="C11" s="223">
        <f>SUM(C8:C10)</f>
        <v>2.0445</v>
      </c>
      <c r="D11" s="223">
        <f>SUM(D8:D10)</f>
        <v>3.2</v>
      </c>
      <c r="E11" s="223">
        <f>C11+D11</f>
        <v>5.2445</v>
      </c>
    </row>
    <row r="12">
      <c r="G12" s="276" t="inlineStr">
        <is>
          <t xml:space="preserve">Other funding </t>
        </is>
      </c>
      <c r="H12" s="314" t="n"/>
      <c r="I12" s="314" t="n"/>
      <c r="J12" s="315" t="n"/>
    </row>
    <row r="13">
      <c r="B13" s="319" t="inlineStr">
        <is>
          <t xml:space="preserve">Total Infrastructure budget </t>
        </is>
      </c>
      <c r="D13" s="318" t="n"/>
      <c r="E13" s="226">
        <f>SUM(H14:H18)</f>
        <v>9.3</v>
      </c>
      <c r="G13" s="253" t="inlineStr">
        <is>
          <t>Budget line</t>
        </is>
      </c>
      <c r="H13" s="253" t="inlineStr">
        <is>
          <t>Budget ($m)</t>
        </is>
      </c>
      <c r="I13" s="253" t="inlineStr">
        <is>
          <t>Amount that can be allocated to people</t>
        </is>
      </c>
      <c r="J13" s="253" t="inlineStr">
        <is>
          <t>Remaining for non-people ($m)</t>
        </is>
      </c>
    </row>
    <row r="14">
      <c r="B14" s="321" t="inlineStr">
        <is>
          <t xml:space="preserve">Reconciled to Finance </t>
        </is>
      </c>
      <c r="C14" s="314" t="n"/>
      <c r="D14" s="315" t="n"/>
      <c r="E14" s="227">
        <f>'0.4 Budget Table (Fin)'!Q10</f>
        <v>9.3</v>
      </c>
      <c r="G14" s="254" t="inlineStr">
        <is>
          <t>Infrastructure Lights On</t>
        </is>
      </c>
      <c r="H14" s="257">
        <f>'0.4 Budget Table (Fin)'!L10</f>
        <v>3.9</v>
      </c>
      <c r="I14" s="260">
        <f>'0.4 Budget Table (Fin)'!G10</f>
        <v>0.0</v>
      </c>
      <c r="J14" s="258">
        <f>IFERROR(H14-I14,0)</f>
        <v>3.9</v>
      </c>
    </row>
    <row r="15">
      <c r="G15" s="254" t="inlineStr">
        <is>
          <t>OpEx Initiatives</t>
        </is>
      </c>
      <c r="H15" s="257">
        <f>'0.4 Budget Table (Fin)'!N10</f>
        <v>0.4</v>
      </c>
      <c r="I15" s="277" t="n">
        <v>0</v>
      </c>
      <c r="J15" s="258">
        <f>IFERROR(H15-I15,0)</f>
        <v>0.4</v>
      </c>
    </row>
    <row r="16">
      <c r="G16" s="254" t="inlineStr">
        <is>
          <t>CapEx</t>
        </is>
      </c>
      <c r="H16" s="257">
        <f>'0.4 Budget Table (Fin)'!P10</f>
        <v>5.0</v>
      </c>
      <c r="I16" s="277" t="n">
        <v>0</v>
      </c>
      <c r="J16" s="258">
        <f>IFERROR(H16-I16,0)</f>
        <v>5.0</v>
      </c>
    </row>
    <row r="17">
      <c r="G17" s="254" t="inlineStr">
        <is>
          <t>Significant Items</t>
        </is>
      </c>
      <c r="H17" s="257">
        <f>'0.4 Budget Table (Fin)'!O10</f>
        <v>0.0</v>
      </c>
      <c r="I17" s="277" t="n">
        <v>0</v>
      </c>
      <c r="J17" s="258">
        <f>IFERROR(H17-I17,0)</f>
        <v>0.0</v>
      </c>
    </row>
    <row r="18">
      <c r="G18" s="254" t="inlineStr">
        <is>
          <t>Depreciation</t>
        </is>
      </c>
      <c r="H18" s="257">
        <f>'0.4 Budget Table (Fin)'!M10</f>
        <v>0.0</v>
      </c>
      <c r="I18" s="277" t="n">
        <v>0</v>
      </c>
      <c r="J18" s="258">
        <f>IFERROR(H18-I18,0)</f>
        <v>0.0</v>
      </c>
    </row>
    <row r="19">
      <c r="G19" s="278" t="inlineStr">
        <is>
          <t>Total applied</t>
        </is>
      </c>
      <c r="H19" s="260" t="n"/>
      <c r="I19" s="279">
        <f>SUM(I14:I18)</f>
        <v>0.0</v>
      </c>
      <c r="J19" s="260" t="n"/>
    </row>
    <row r="20">
      <c r="G20" s="254" t="inlineStr">
        <is>
          <t>Other cost (this model)</t>
        </is>
      </c>
      <c r="H20" s="260" t="n"/>
      <c r="I20" s="258">
        <f>D11</f>
        <v>3.2</v>
      </c>
      <c r="J20" s="260" t="n"/>
    </row>
    <row r="21">
      <c r="G21" s="261" t="inlineStr">
        <is>
          <t>Left to fund</t>
        </is>
      </c>
      <c r="H21" s="260" t="n"/>
      <c r="I21" s="262">
        <f>I20-I19</f>
        <v>3.2</v>
      </c>
      <c r="J21" s="260" t="n"/>
    </row>
    <row r="24">
      <c r="B24" s="276" t="inlineStr">
        <is>
          <t>Platform: Distribution</t>
        </is>
      </c>
      <c r="C24" s="314" t="n"/>
      <c r="D24" s="314" t="n"/>
      <c r="E24" s="314" t="n"/>
      <c r="F24" s="314" t="n"/>
      <c r="G24" s="314" t="n"/>
      <c r="H24" s="314" t="n"/>
      <c r="I24" s="315" t="n"/>
    </row>
    <row r="25">
      <c r="B25" s="253" t="inlineStr">
        <is>
          <t>Squad</t>
        </is>
      </c>
      <c r="C25" s="253" t="inlineStr">
        <is>
          <t>Squad Type</t>
        </is>
      </c>
      <c r="D25" s="253" t="inlineStr">
        <is>
          <t>Size</t>
        </is>
      </c>
      <c r="E25" s="253" t="inlineStr">
        <is>
          <t>On/Off</t>
        </is>
      </c>
      <c r="F25" s="253" t="inlineStr">
        <is>
          <t>Support %</t>
        </is>
      </c>
      <c r="G25" s="253" t="inlineStr">
        <is>
          <t>Total Squad Cost ($m)</t>
        </is>
      </c>
      <c r="H25" s="253" t="inlineStr">
        <is>
          <t>TDD Cost ($m)</t>
        </is>
      </c>
      <c r="I25" s="253" t="inlineStr">
        <is>
          <t>Funded outside TDD ($m)</t>
        </is>
      </c>
    </row>
    <row r="26">
      <c r="B26" s="254" t="inlineStr">
        <is>
          <t>Distribution, Sales &amp; Services</t>
        </is>
      </c>
      <c r="C26" s="255" t="inlineStr">
        <is>
          <t>Configuration / Integration</t>
        </is>
      </c>
      <c r="D26" s="255" t="inlineStr">
        <is>
          <t>M</t>
        </is>
      </c>
      <c r="E26" s="255" t="inlineStr">
        <is>
          <t>Onshore</t>
        </is>
      </c>
      <c r="F26" s="256" t="n">
        <v>0.2</v>
      </c>
      <c r="G26" s="257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258">
        <f>IFERROR($G26*$F26,"")</f>
        <v>0.27999999999999997</v>
      </c>
      <c r="I26" s="258">
        <f>IFERROR($G26*(1-$F26),"")</f>
        <v>1.1199999999999999</v>
      </c>
    </row>
    <row r="27">
      <c r="B27" s="259" t="inlineStr">
        <is>
          <t>Platform Overhead</t>
        </is>
      </c>
      <c r="C27" s="260" t="n"/>
      <c r="D27" s="260" t="n"/>
      <c r="E27" s="260" t="n"/>
      <c r="F27" s="260" t="n"/>
      <c r="G27" s="260" t="n"/>
      <c r="H27" s="257">
        <f>'0.0 Data Config'!$J$16</f>
        <v>0.165</v>
      </c>
      <c r="I27" s="260" t="n"/>
    </row>
    <row r="28">
      <c r="B28" s="261" t="inlineStr">
        <is>
          <t>Distribution Total</t>
        </is>
      </c>
      <c r="C28" s="231" t="n"/>
      <c r="D28" s="231" t="n"/>
      <c r="E28" s="231" t="n"/>
      <c r="F28" s="231" t="n"/>
      <c r="G28" s="262">
        <f>SUM(G26:G26)</f>
        <v>1.4</v>
      </c>
      <c r="H28" s="262">
        <f>SUM(H26:H27)</f>
        <v>0.44499999999999995</v>
      </c>
      <c r="I28" s="262">
        <f>SUM(I26:I26)</f>
        <v>1.1199999999999999</v>
      </c>
    </row>
    <row r="30">
      <c r="B30" s="276" t="inlineStr">
        <is>
          <t>Platform: Manufacturing</t>
        </is>
      </c>
      <c r="C30" s="314" t="n"/>
      <c r="D30" s="314" t="n"/>
      <c r="E30" s="314" t="n"/>
      <c r="F30" s="314" t="n"/>
      <c r="G30" s="314" t="n"/>
      <c r="H30" s="314" t="n"/>
      <c r="I30" s="315" t="n"/>
    </row>
    <row r="31">
      <c r="B31" s="253" t="inlineStr">
        <is>
          <t>Squad</t>
        </is>
      </c>
      <c r="C31" s="253" t="inlineStr">
        <is>
          <t>Squad Type</t>
        </is>
      </c>
      <c r="D31" s="253" t="inlineStr">
        <is>
          <t>Size</t>
        </is>
      </c>
      <c r="E31" s="253" t="inlineStr">
        <is>
          <t>On/Off</t>
        </is>
      </c>
      <c r="F31" s="253" t="inlineStr">
        <is>
          <t>Support %</t>
        </is>
      </c>
      <c r="G31" s="253" t="inlineStr">
        <is>
          <t>Total Squad Cost ($m)</t>
        </is>
      </c>
      <c r="H31" s="253" t="inlineStr">
        <is>
          <t>TDD Cost ($m)</t>
        </is>
      </c>
      <c r="I31" s="253" t="inlineStr">
        <is>
          <t>Funded outside TDD ($m)</t>
        </is>
      </c>
    </row>
    <row r="32">
      <c r="B32" s="254" t="inlineStr">
        <is>
          <t>Manufacturing &amp; Group Projects</t>
        </is>
      </c>
      <c r="C32" s="255" t="inlineStr">
        <is>
          <t>Configuration / Integration</t>
        </is>
      </c>
      <c r="D32" s="255" t="inlineStr">
        <is>
          <t>M</t>
        </is>
      </c>
      <c r="E32" s="255" t="inlineStr">
        <is>
          <t>Onshore</t>
        </is>
      </c>
      <c r="F32" s="256" t="n">
        <v>0.2</v>
      </c>
      <c r="G32" s="257">
        <f>IFERROR(IF($E32="Onshore",INDEX('0.1 Squads'!$G$5:$G$23,MATCH($C32&amp;"|"&amp;$D32,'0.1 Squads'!$A$5:$A$23,0)),INDEX('0.1 Squads'!$H$5:$H$23,MATCH($C32&amp;"|"&amp;$D32,'0.1 Squads'!$A$5:$A$23,0))),"check size")</f>
        <v>1.4</v>
      </c>
      <c r="H32" s="258">
        <f>IFERROR($G32*$F32,"")</f>
        <v>0.27999999999999997</v>
      </c>
      <c r="I32" s="258">
        <f>IFERROR($G32*(1-$F32),"")</f>
        <v>1.1199999999999999</v>
      </c>
    </row>
    <row r="33">
      <c r="B33" s="254" t="inlineStr">
        <is>
          <t>Technology Support</t>
        </is>
      </c>
      <c r="C33" s="255" t="inlineStr">
        <is>
          <t>Operations</t>
        </is>
      </c>
      <c r="D33" s="255" t="inlineStr">
        <is>
          <t>S</t>
        </is>
      </c>
      <c r="E33" s="255" t="inlineStr">
        <is>
          <t>Onshore</t>
        </is>
      </c>
      <c r="F33" s="256" t="n">
        <v>0.2</v>
      </c>
      <c r="G33" s="257">
        <f>IFERROR(IF($E33="Onshore",INDEX('0.1 Squads'!$G$5:$G$23,MATCH($C33&amp;"|"&amp;$D33,'0.1 Squads'!$A$5:$A$23,0)),INDEX('0.1 Squads'!$H$5:$H$23,MATCH($C33&amp;"|"&amp;$D33,'0.1 Squads'!$A$5:$A$23,0))),"check size")</f>
        <v>0.8</v>
      </c>
      <c r="H33" s="258">
        <f>IFERROR($G33*$F33,"")</f>
        <v>0.16000000000000003</v>
      </c>
      <c r="I33" s="258">
        <f>IFERROR($G33*(1-$F33),"")</f>
        <v>0.6400000000000001</v>
      </c>
    </row>
    <row r="34">
      <c r="B34" s="259" t="inlineStr">
        <is>
          <t>Platform Overhead</t>
        </is>
      </c>
      <c r="C34" s="260" t="n"/>
      <c r="D34" s="260" t="n"/>
      <c r="E34" s="260" t="n"/>
      <c r="F34" s="260" t="n"/>
      <c r="G34" s="260" t="n"/>
      <c r="H34" s="257">
        <f>'0.0 Data Config'!$J$16</f>
        <v>0.165</v>
      </c>
      <c r="I34" s="260" t="n"/>
    </row>
    <row r="35">
      <c r="B35" s="261" t="inlineStr">
        <is>
          <t>Manufacturing Total</t>
        </is>
      </c>
      <c r="C35" s="231" t="n"/>
      <c r="D35" s="231" t="n"/>
      <c r="E35" s="231" t="n"/>
      <c r="F35" s="231" t="n"/>
      <c r="G35" s="262">
        <f>SUM(G32:G33)</f>
        <v>2.2</v>
      </c>
      <c r="H35" s="262">
        <f>SUM(H32:H34)</f>
        <v>0.605</v>
      </c>
      <c r="I35" s="262">
        <f>SUM(I32:I33)</f>
        <v>1.76</v>
      </c>
    </row>
    <row r="37">
      <c r="B37" s="276" t="inlineStr">
        <is>
          <t>Platform: Data &amp; Insights</t>
        </is>
      </c>
      <c r="C37" s="314" t="n"/>
      <c r="D37" s="314" t="n"/>
      <c r="E37" s="314" t="n"/>
      <c r="F37" s="314" t="n"/>
      <c r="G37" s="314" t="n"/>
      <c r="H37" s="314" t="n"/>
      <c r="I37" s="315" t="n"/>
    </row>
    <row r="38">
      <c r="B38" s="253" t="inlineStr">
        <is>
          <t>Squad</t>
        </is>
      </c>
      <c r="C38" s="253" t="inlineStr">
        <is>
          <t>Squad Type</t>
        </is>
      </c>
      <c r="D38" s="253" t="inlineStr">
        <is>
          <t>Size</t>
        </is>
      </c>
      <c r="E38" s="253" t="inlineStr">
        <is>
          <t>On/Off</t>
        </is>
      </c>
      <c r="F38" s="253" t="inlineStr">
        <is>
          <t>Support %</t>
        </is>
      </c>
      <c r="G38" s="253" t="inlineStr">
        <is>
          <t>Total Squad Cost ($m)</t>
        </is>
      </c>
      <c r="H38" s="253" t="inlineStr">
        <is>
          <t>TDD Cost ($m)</t>
        </is>
      </c>
      <c r="I38" s="253" t="inlineStr">
        <is>
          <t>Funded outside TDD ($m)</t>
        </is>
      </c>
    </row>
    <row r="39">
      <c r="B39" s="254" t="inlineStr">
        <is>
          <t>Data &amp; Insights</t>
        </is>
      </c>
      <c r="C39" s="255" t="inlineStr">
        <is>
          <t>Configuration / Integration</t>
        </is>
      </c>
      <c r="D39" s="255" t="inlineStr">
        <is>
          <t>S</t>
        </is>
      </c>
      <c r="E39" s="255" t="inlineStr">
        <is>
          <t>Onshore</t>
        </is>
      </c>
      <c r="F39" s="256" t="n">
        <v>0.2</v>
      </c>
      <c r="G39" s="257">
        <f>IFERROR(IF($E39="Onshore",INDEX('0.1 Squads'!$G$5:$G$23,MATCH($C39&amp;"|"&amp;$D39,'0.1 Squads'!$A$5:$A$23,0)),INDEX('0.1 Squads'!$H$5:$H$23,MATCH($C39&amp;"|"&amp;$D39,'0.1 Squads'!$A$5:$A$23,0))),"check size")</f>
        <v>0.4</v>
      </c>
      <c r="H39" s="258">
        <f>IFERROR($G39*$F39,"")</f>
        <v>0.08000000000000002</v>
      </c>
      <c r="I39" s="258">
        <f>IFERROR($G39*(1-$F39),"")</f>
        <v>0.32000000000000006</v>
      </c>
    </row>
    <row r="40">
      <c r="B40" s="259" t="inlineStr">
        <is>
          <t>Platform Overhead</t>
        </is>
      </c>
      <c r="C40" s="260" t="n"/>
      <c r="D40" s="260" t="n"/>
      <c r="E40" s="260" t="n"/>
      <c r="F40" s="260" t="n"/>
      <c r="G40" s="260" t="n"/>
      <c r="H40" s="257">
        <f>'0.0 Data Config'!$J$16</f>
        <v>0.165</v>
      </c>
      <c r="I40" s="260" t="n"/>
    </row>
    <row r="41">
      <c r="B41" s="261" t="inlineStr">
        <is>
          <t>Data &amp; Insights Total</t>
        </is>
      </c>
      <c r="C41" s="231" t="n"/>
      <c r="D41" s="231" t="n"/>
      <c r="E41" s="231" t="n"/>
      <c r="F41" s="231" t="n"/>
      <c r="G41" s="262">
        <f>SUM(G39:G39)</f>
        <v>0.4</v>
      </c>
      <c r="H41" s="262">
        <f>SUM(H39:H40)</f>
        <v>0.24500000000000002</v>
      </c>
      <c r="I41" s="262">
        <f>SUM(I39:I39)</f>
        <v>0.32000000000000006</v>
      </c>
    </row>
  </sheetData>
  <mergeCells count="7">
    <mergeCell ref="B30:I30"/>
    <mergeCell ref="B14:D14"/>
    <mergeCell ref="B24:I24"/>
    <mergeCell ref="B6:E6"/>
    <mergeCell ref="G12:J12"/>
    <mergeCell ref="B13:D13"/>
    <mergeCell ref="B37:I37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 C32:C33 C39" showDropDown="0" showInputMessage="0" showErrorMessage="0" allowBlank="1" type="list">
      <formula1>SquadTypes</formula1>
      <formula2>0</formula2>
    </dataValidation>
    <dataValidation sqref="D26 D32:D33 D39" showDropDown="0" showInputMessage="0" showErrorMessage="0" allowBlank="1" type="list">
      <formula1>SquadSizes</formula1>
      <formula2>0</formula2>
    </dataValidation>
    <dataValidation sqref="E26 E32:E33 E39" showDropDown="0" showInputMessage="0" showErrorMessage="0" allowBlank="1" type="list">
      <formula1>OnOff</formula1>
      <formula2>0</formula2>
    </dataValidation>
    <dataValidation sqref="F26 F32:F33 F39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J35"/>
  <sheetViews>
    <sheetView showGridLines="0" topLeftCell="A15" zoomScaleNormal="100" workbookViewId="0">
      <selection activeCell="C35" sqref="C35:F35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19.90625" bestFit="1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Energy Solutions &amp; B2B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219" t="inlineStr">
        <is>
          <t>Budget vs TDD cost</t>
        </is>
      </c>
      <c r="H6" s="219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ES &amp; B2B Cost ($m)</t>
        </is>
      </c>
      <c r="G7" s="220" t="inlineStr">
        <is>
          <t>TDD Lights On Budget</t>
        </is>
      </c>
      <c r="H7" s="221">
        <f>'0.0 Data Config'!$E$16</f>
        <v>2.5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2.5595</v>
      </c>
    </row>
    <row r="9">
      <c r="B9" s="20" t="inlineStr">
        <is>
          <t>Platform Overheads</t>
        </is>
      </c>
      <c r="C9" s="21">
        <f>SUM(H28,H34)</f>
        <v>0.33</v>
      </c>
      <c r="E9" s="21">
        <f>C9</f>
        <v>0.33</v>
      </c>
      <c r="G9" s="222" t="inlineStr">
        <is>
          <t>Variance (budget less cost)</t>
        </is>
      </c>
      <c r="H9" s="223">
        <f>H7-H8</f>
        <v>-0.059499999999999886</v>
      </c>
    </row>
    <row r="10">
      <c r="B10" s="20" t="inlineStr">
        <is>
          <t>Squad Support Costs</t>
        </is>
      </c>
      <c r="C10" s="21">
        <f>SUM(H26,H27,H33)</f>
        <v>1.48</v>
      </c>
      <c r="D10" s="21">
        <f>SUM(I26,I27,I33)</f>
        <v>5.92</v>
      </c>
      <c r="E10" s="21">
        <f>C10+D10</f>
        <v>7.4</v>
      </c>
    </row>
    <row r="11">
      <c r="B11" s="222" t="inlineStr">
        <is>
          <t>Total Cost</t>
        </is>
      </c>
      <c r="C11" s="223">
        <f>SUM(C8:C10)</f>
        <v>2.5595</v>
      </c>
      <c r="D11" s="223">
        <f>SUM(D8:D10)</f>
        <v>5.92</v>
      </c>
      <c r="E11" s="223">
        <f>C11+D11</f>
        <v>8.4795</v>
      </c>
    </row>
    <row r="12">
      <c r="G12" s="276" t="inlineStr">
        <is>
          <t xml:space="preserve">Other funding </t>
        </is>
      </c>
      <c r="H12" s="314" t="n"/>
      <c r="I12" s="314" t="n"/>
      <c r="J12" s="315" t="n"/>
    </row>
    <row r="13">
      <c r="B13" s="317" t="inlineStr">
        <is>
          <t xml:space="preserve">Total Energy Solutions budget </t>
        </is>
      </c>
      <c r="D13" s="318" t="n"/>
      <c r="E13" s="226">
        <f>SUM(H14:H18)</f>
        <v>7.2</v>
      </c>
      <c r="G13" s="253" t="inlineStr">
        <is>
          <t>Budget line</t>
        </is>
      </c>
      <c r="H13" s="253" t="inlineStr">
        <is>
          <t>Budget ($m)</t>
        </is>
      </c>
      <c r="I13" s="253" t="inlineStr">
        <is>
          <t>Amount that can be allocated to people</t>
        </is>
      </c>
      <c r="J13" s="253" t="inlineStr">
        <is>
          <t>Remaining for non-people ($m)</t>
        </is>
      </c>
    </row>
    <row r="14">
      <c r="B14" s="317" t="inlineStr">
        <is>
          <t xml:space="preserve">Reconciled to Finance </t>
        </is>
      </c>
      <c r="D14" s="318" t="n"/>
      <c r="E14" s="227">
        <f>'0.4 Budget Table (Fin)'!Q7</f>
        <v>7.2</v>
      </c>
      <c r="G14" s="254" t="inlineStr">
        <is>
          <t>Energy Solutions Lights On</t>
        </is>
      </c>
      <c r="H14" s="257">
        <f>'0.4 Budget Table (Fin)'!L7</f>
        <v>3.9</v>
      </c>
      <c r="I14" s="260">
        <f>'0.4 Budget Table (Fin)'!G7</f>
        <v>1.0</v>
      </c>
      <c r="J14" s="258">
        <f>IFERROR(H14-I14,0)</f>
        <v>2.9</v>
      </c>
    </row>
    <row r="15">
      <c r="G15" s="254" t="inlineStr">
        <is>
          <t>OpEx Initiatives</t>
        </is>
      </c>
      <c r="H15" s="257">
        <f>'0.4 Budget Table (Fin)'!N7</f>
        <v>1.0</v>
      </c>
      <c r="I15" s="277" t="n">
        <v>0</v>
      </c>
      <c r="J15" s="258">
        <f>IFERROR(H15-I15,0)</f>
        <v>1.0</v>
      </c>
    </row>
    <row r="16">
      <c r="G16" s="254" t="inlineStr">
        <is>
          <t>CapEx</t>
        </is>
      </c>
      <c r="H16" s="257">
        <f>'0.4 Budget Table (Fin)'!P7</f>
        <v>2.3</v>
      </c>
      <c r="I16" s="277" t="n">
        <v>0</v>
      </c>
      <c r="J16" s="258">
        <f>IFERROR(H16-I16,0)</f>
        <v>2.3</v>
      </c>
    </row>
    <row r="17">
      <c r="G17" s="254" t="inlineStr">
        <is>
          <t>Significant Items</t>
        </is>
      </c>
      <c r="H17" s="257">
        <f>'0.4 Budget Table (Fin)'!O7</f>
        <v>0.0</v>
      </c>
      <c r="I17" s="277" t="n">
        <v>0</v>
      </c>
      <c r="J17" s="258">
        <f>IFERROR(H17-I17,0)</f>
        <v>0.0</v>
      </c>
    </row>
    <row r="18">
      <c r="G18" s="254" t="inlineStr">
        <is>
          <t>Depreciation</t>
        </is>
      </c>
      <c r="H18" s="257">
        <f>'0.4 Budget Table (Fin)'!M7</f>
        <v>0.0</v>
      </c>
      <c r="I18" s="277" t="n">
        <v>0</v>
      </c>
      <c r="J18" s="258">
        <f>IFERROR(H18-I18,0)</f>
        <v>0.0</v>
      </c>
    </row>
    <row r="19">
      <c r="G19" s="278" t="inlineStr">
        <is>
          <t>Total applied</t>
        </is>
      </c>
      <c r="H19" s="260" t="n"/>
      <c r="I19" s="279">
        <f>SUM(I14:I18)</f>
        <v>1.0</v>
      </c>
      <c r="J19" s="260" t="n"/>
    </row>
    <row r="20">
      <c r="G20" s="254" t="inlineStr">
        <is>
          <t>Other cost (this model)</t>
        </is>
      </c>
      <c r="H20" s="260" t="n"/>
      <c r="I20" s="258">
        <f>D11</f>
        <v>5.92</v>
      </c>
      <c r="J20" s="260" t="n"/>
    </row>
    <row r="21">
      <c r="G21" s="261" t="inlineStr">
        <is>
          <t>Left to fund</t>
        </is>
      </c>
      <c r="H21" s="260" t="n"/>
      <c r="I21" s="262">
        <f>I20-I19</f>
        <v>4.92</v>
      </c>
      <c r="J21" s="260" t="n"/>
    </row>
    <row r="24">
      <c r="B24" s="276" t="inlineStr">
        <is>
          <t>Platform: Energy Solutions</t>
        </is>
      </c>
      <c r="C24" s="314" t="n"/>
      <c r="D24" s="314" t="n"/>
      <c r="E24" s="314" t="n"/>
      <c r="F24" s="314" t="n"/>
      <c r="G24" s="314" t="n"/>
      <c r="H24" s="314" t="n"/>
      <c r="I24" s="315" t="n"/>
    </row>
    <row r="25">
      <c r="B25" s="253" t="inlineStr">
        <is>
          <t>Squad</t>
        </is>
      </c>
      <c r="C25" s="253" t="inlineStr">
        <is>
          <t>Squad Type</t>
        </is>
      </c>
      <c r="D25" s="253" t="inlineStr">
        <is>
          <t>Size</t>
        </is>
      </c>
      <c r="E25" s="253" t="inlineStr">
        <is>
          <t>On/Off</t>
        </is>
      </c>
      <c r="F25" s="253" t="inlineStr">
        <is>
          <t>Support %</t>
        </is>
      </c>
      <c r="G25" s="253" t="inlineStr">
        <is>
          <t>Total Squad Cost ($m)</t>
        </is>
      </c>
      <c r="H25" s="253" t="inlineStr">
        <is>
          <t>TDD Cost ($m)</t>
        </is>
      </c>
      <c r="I25" s="253" t="inlineStr">
        <is>
          <t>Funded outside TDD ($m)</t>
        </is>
      </c>
    </row>
    <row r="26">
      <c r="B26" s="254" t="inlineStr">
        <is>
          <t>Energy</t>
        </is>
      </c>
      <c r="C26" s="255" t="inlineStr">
        <is>
          <t>Engineering</t>
        </is>
      </c>
      <c r="D26" s="255" t="inlineStr">
        <is>
          <t>L</t>
        </is>
      </c>
      <c r="E26" s="255" t="inlineStr">
        <is>
          <t>Onshore</t>
        </is>
      </c>
      <c r="F26" s="256" t="n">
        <v>0.2</v>
      </c>
      <c r="G26" s="257">
        <f>IFERROR(IF($E26="Onshore",INDEX('0.1 Squads'!$G$5:$G$23,MATCH($C26&amp;"|"&amp;$D26,'0.1 Squads'!$A$5:$A$23,0)),INDEX('0.1 Squads'!$H$5:$H$23,MATCH($C26&amp;"|"&amp;$D26,'0.1 Squads'!$A$5:$A$23,0))),"check size")</f>
        <v>2.7</v>
      </c>
      <c r="H26" s="258">
        <f>IFERROR($G26*$F26,"")</f>
        <v>0.54</v>
      </c>
      <c r="I26" s="258">
        <f>IFERROR($G26*(1-$F26),"")</f>
        <v>2.16</v>
      </c>
    </row>
    <row r="27">
      <c r="B27" s="254" t="inlineStr">
        <is>
          <t>EVCI</t>
        </is>
      </c>
      <c r="C27" s="255" t="inlineStr">
        <is>
          <t>Engineering</t>
        </is>
      </c>
      <c r="D27" s="255" t="inlineStr">
        <is>
          <t>M</t>
        </is>
      </c>
      <c r="E27" s="255" t="inlineStr">
        <is>
          <t>Onshore</t>
        </is>
      </c>
      <c r="F27" s="256" t="n">
        <v>0.2</v>
      </c>
      <c r="G27" s="257">
        <f>IFERROR(IF($E27="Onshore",INDEX('0.1 Squads'!$G$5:$G$23,MATCH($C27&amp;"|"&amp;$D27,'0.1 Squads'!$A$5:$A$23,0)),INDEX('0.1 Squads'!$H$5:$H$23,MATCH($C27&amp;"|"&amp;$D27,'0.1 Squads'!$A$5:$A$23,0))),"check size")</f>
        <v>2.0</v>
      </c>
      <c r="H27" s="258">
        <f>IFERROR($G27*$F27,"")</f>
        <v>0.4</v>
      </c>
      <c r="I27" s="258">
        <f>IFERROR($G27*(1-$F27),"")</f>
        <v>1.6</v>
      </c>
    </row>
    <row r="28">
      <c r="B28" s="259" t="inlineStr">
        <is>
          <t>Platform Overhead</t>
        </is>
      </c>
      <c r="C28" s="260" t="n"/>
      <c r="D28" s="260" t="n"/>
      <c r="E28" s="260" t="n"/>
      <c r="F28" s="260" t="n"/>
      <c r="G28" s="260" t="n"/>
      <c r="H28" s="257">
        <f>'0.0 Data Config'!$J$16</f>
        <v>0.165</v>
      </c>
      <c r="I28" s="260" t="n"/>
    </row>
    <row r="29">
      <c r="B29" s="261" t="inlineStr">
        <is>
          <t>Energy Solutions Total</t>
        </is>
      </c>
      <c r="C29" s="231" t="n"/>
      <c r="D29" s="231" t="n"/>
      <c r="E29" s="231" t="n"/>
      <c r="F29" s="231" t="n"/>
      <c r="G29" s="262">
        <f>SUM(G26:G27)</f>
        <v>4.7</v>
      </c>
      <c r="H29" s="262">
        <f>SUM(H26:H28)</f>
        <v>1.105</v>
      </c>
      <c r="I29" s="262">
        <f>SUM(I26:I27)</f>
        <v>3.7600000000000002</v>
      </c>
    </row>
    <row r="31">
      <c r="B31" s="276" t="inlineStr">
        <is>
          <t>Platform: B2B</t>
        </is>
      </c>
      <c r="C31" s="314" t="n"/>
      <c r="D31" s="314" t="n"/>
      <c r="E31" s="314" t="n"/>
      <c r="F31" s="314" t="n"/>
      <c r="G31" s="314" t="n"/>
      <c r="H31" s="314" t="n"/>
      <c r="I31" s="315" t="n"/>
    </row>
    <row r="32">
      <c r="B32" s="253" t="inlineStr">
        <is>
          <t>Squad</t>
        </is>
      </c>
      <c r="C32" s="253" t="inlineStr">
        <is>
          <t>Squad Type</t>
        </is>
      </c>
      <c r="D32" s="253" t="inlineStr">
        <is>
          <t>Size</t>
        </is>
      </c>
      <c r="E32" s="253" t="inlineStr">
        <is>
          <t>On/Off</t>
        </is>
      </c>
      <c r="F32" s="253" t="inlineStr">
        <is>
          <t>Support %</t>
        </is>
      </c>
      <c r="G32" s="253" t="inlineStr">
        <is>
          <t>Total Squad Cost ($m)</t>
        </is>
      </c>
      <c r="H32" s="253" t="inlineStr">
        <is>
          <t>TDD Cost ($m)</t>
        </is>
      </c>
      <c r="I32" s="253" t="inlineStr">
        <is>
          <t>Funded outside TDD ($m)</t>
        </is>
      </c>
    </row>
    <row r="33">
      <c r="B33" s="254" t="inlineStr">
        <is>
          <t>B2B</t>
        </is>
      </c>
      <c r="C33" s="255" t="inlineStr">
        <is>
          <t>Engineering</t>
        </is>
      </c>
      <c r="D33" s="255" t="inlineStr">
        <is>
          <t>L</t>
        </is>
      </c>
      <c r="E33" s="255" t="inlineStr">
        <is>
          <t>Onshore</t>
        </is>
      </c>
      <c r="F33" s="256" t="n">
        <v>0.2</v>
      </c>
      <c r="G33" s="257">
        <f>IFERROR(IF($E33="Onshore",INDEX('0.1 Squads'!$G$5:$G$23,MATCH($C33&amp;"|"&amp;$D33,'0.1 Squads'!$A$5:$A$23,0)),INDEX('0.1 Squads'!$H$5:$H$23,MATCH($C33&amp;"|"&amp;$D33,'0.1 Squads'!$A$5:$A$23,0))),"check size")</f>
        <v>2.7</v>
      </c>
      <c r="H33" s="258">
        <f>IFERROR($G33*$F33,"")</f>
        <v>0.54</v>
      </c>
      <c r="I33" s="258">
        <f>IFERROR($G33*(1-$F33),"")</f>
        <v>2.16</v>
      </c>
    </row>
    <row r="34">
      <c r="B34" s="259" t="inlineStr">
        <is>
          <t>Platform Overhead</t>
        </is>
      </c>
      <c r="C34" s="260" t="n"/>
      <c r="D34" s="260" t="n"/>
      <c r="E34" s="260" t="n"/>
      <c r="F34" s="260" t="n"/>
      <c r="G34" s="260" t="n"/>
      <c r="H34" s="257">
        <f>'0.0 Data Config'!$J$16</f>
        <v>0.165</v>
      </c>
      <c r="I34" s="260" t="n"/>
    </row>
    <row r="35">
      <c r="B35" s="261" t="inlineStr">
        <is>
          <t>B2B Total</t>
        </is>
      </c>
      <c r="C35" s="231" t="n"/>
      <c r="D35" s="231" t="n"/>
      <c r="E35" s="231" t="n"/>
      <c r="F35" s="231" t="n"/>
      <c r="G35" s="262">
        <f>SUM(G33:G33)</f>
        <v>2.7</v>
      </c>
      <c r="H35" s="262">
        <f>SUM(H33:H34)</f>
        <v>0.7050000000000001</v>
      </c>
      <c r="I35" s="262">
        <f>SUM(I33:I33)</f>
        <v>2.16</v>
      </c>
    </row>
  </sheetData>
  <mergeCells count="6">
    <mergeCell ref="B14:D14"/>
    <mergeCell ref="B24:I24"/>
    <mergeCell ref="B6:E6"/>
    <mergeCell ref="G12:J12"/>
    <mergeCell ref="B13:D13"/>
    <mergeCell ref="B31:I31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:C27 C33" showDropDown="0" showInputMessage="0" showErrorMessage="0" allowBlank="1" type="list">
      <formula1>SquadTypes</formula1>
      <formula2>0</formula2>
    </dataValidation>
    <dataValidation sqref="D26:D27 D33" showDropDown="0" showInputMessage="0" showErrorMessage="0" allowBlank="1" type="list">
      <formula1>SquadSizes</formula1>
      <formula2>0</formula2>
    </dataValidation>
    <dataValidation sqref="E26:E27 E33" showDropDown="0" showInputMessage="0" showErrorMessage="0" allowBlank="1" type="list">
      <formula1>OnOff</formula1>
      <formula2>0</formula2>
    </dataValidation>
    <dataValidation sqref="F26:F27 F33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opLeftCell="A21" zoomScaleNormal="100" workbookViewId="0">
      <selection activeCell="C29" sqref="C29:F29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Commercial Fuels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219" t="inlineStr">
        <is>
          <t>Budget vs TDD cost</t>
        </is>
      </c>
      <c r="H6" s="219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Commercial Fuels Cost ($m)</t>
        </is>
      </c>
      <c r="G7" s="220" t="inlineStr">
        <is>
          <t>TDD Lights On Budget</t>
        </is>
      </c>
      <c r="H7" s="221">
        <f>'0.0 Data Config'!$E$15</f>
        <v>2.5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2.4245</v>
      </c>
    </row>
    <row r="9">
      <c r="B9" s="20" t="inlineStr">
        <is>
          <t>Platform Overheads</t>
        </is>
      </c>
      <c r="C9" s="21">
        <f>SUM(H28,H34,H40)</f>
        <v>0.495</v>
      </c>
      <c r="E9" s="21">
        <f>C9</f>
        <v>0.495</v>
      </c>
      <c r="G9" s="222" t="inlineStr">
        <is>
          <t>Variance (budget less cost)</t>
        </is>
      </c>
      <c r="H9" s="223">
        <f>H7-H8</f>
        <v>0.0754999999999999</v>
      </c>
    </row>
    <row r="10">
      <c r="B10" s="20" t="inlineStr">
        <is>
          <t>Squad Support Costs</t>
        </is>
      </c>
      <c r="C10" s="21">
        <f>SUM(H26,H27,H33,H39)</f>
        <v>1.18</v>
      </c>
      <c r="D10" s="21">
        <f>SUM(I26,I27,I33,I39)</f>
        <v>4.72</v>
      </c>
      <c r="E10" s="21">
        <f>C10+D10</f>
        <v>5.8999999999999995</v>
      </c>
    </row>
    <row r="11">
      <c r="B11" s="222" t="inlineStr">
        <is>
          <t>Total Cost</t>
        </is>
      </c>
      <c r="C11" s="223">
        <f>SUM(C8:C10)</f>
        <v>2.4245</v>
      </c>
      <c r="D11" s="223">
        <f>SUM(D8:D10)</f>
        <v>4.72</v>
      </c>
      <c r="E11" s="223">
        <f>C11+D11</f>
        <v>7.1445</v>
      </c>
    </row>
    <row r="12">
      <c r="G12" s="247" t="inlineStr">
        <is>
          <t xml:space="preserve">Other funding </t>
        </is>
      </c>
    </row>
    <row r="13">
      <c r="B13" s="248" t="inlineStr">
        <is>
          <t xml:space="preserve">Total Commercial Fuels budget </t>
        </is>
      </c>
      <c r="E13" s="226">
        <f>SUM(H14:H18)</f>
        <v>40.5</v>
      </c>
      <c r="G13" s="17" t="inlineStr">
        <is>
          <t>Budget line</t>
        </is>
      </c>
      <c r="H13" s="17" t="inlineStr">
        <is>
          <t>Budget ($m)</t>
        </is>
      </c>
      <c r="I13" s="17" t="inlineStr">
        <is>
          <t>Amount that can be allocated to people</t>
        </is>
      </c>
      <c r="J13" s="17" t="inlineStr">
        <is>
          <t>Remaining for non-people ($m)</t>
        </is>
      </c>
    </row>
    <row r="14">
      <c r="B14" s="248" t="inlineStr">
        <is>
          <t xml:space="preserve">Reconciled to Finance </t>
        </is>
      </c>
      <c r="E14" s="227">
        <f>'0.4 Budget Table (Fin)'!Q8</f>
        <v>40.5</v>
      </c>
      <c r="G14" s="20" t="inlineStr">
        <is>
          <t>Commercial Fuels Lights On</t>
        </is>
      </c>
      <c r="H14" s="221">
        <f>'0.4 Budget Table (Fin)'!L8</f>
        <v>13.4</v>
      </c>
      <c r="I14">
        <f>'0.4 Budget Table (Fin)'!G8</f>
        <v>0.0</v>
      </c>
      <c r="J14" s="21">
        <f>IFERROR(H14-I14,0)</f>
        <v>13.4</v>
      </c>
    </row>
    <row r="15">
      <c r="G15" s="20" t="inlineStr">
        <is>
          <t>OpEx Initiatives</t>
        </is>
      </c>
      <c r="H15" s="221">
        <f>'0.4 Budget Table (Fin)'!N8</f>
        <v>6.1</v>
      </c>
      <c r="I15" s="229" t="n">
        <v>0</v>
      </c>
      <c r="J15" s="21">
        <f>IFERROR(H15-I15,0)</f>
        <v>6.1</v>
      </c>
    </row>
    <row r="16">
      <c r="G16" s="20" t="inlineStr">
        <is>
          <t>CapEx</t>
        </is>
      </c>
      <c r="H16" s="221">
        <f>'0.4 Budget Table (Fin)'!P8</f>
        <v>6.8</v>
      </c>
      <c r="I16" s="229" t="n">
        <v>0</v>
      </c>
      <c r="J16" s="21">
        <f>IFERROR(H16-I16,0)</f>
        <v>6.8</v>
      </c>
    </row>
    <row r="17">
      <c r="G17" s="20" t="inlineStr">
        <is>
          <t>Significant Items</t>
        </is>
      </c>
      <c r="H17" s="221">
        <f>'0.4 Budget Table (Fin)'!O8</f>
        <v>14.2</v>
      </c>
      <c r="I17" s="229" t="n">
        <v>0</v>
      </c>
      <c r="J17" s="21">
        <f>IFERROR(H17-I17,0)</f>
        <v>14.2</v>
      </c>
    </row>
    <row r="18">
      <c r="G18" s="20" t="inlineStr">
        <is>
          <t>Depreciation</t>
        </is>
      </c>
      <c r="H18" s="221">
        <f>'0.4 Budget Table (Fin)'!M8</f>
        <v>0.0</v>
      </c>
      <c r="I18" s="229" t="n">
        <v>0</v>
      </c>
      <c r="J18" s="21">
        <f>IFERROR(H18-I18,0)</f>
        <v>0.0</v>
      </c>
    </row>
    <row r="19">
      <c r="G19" s="230" t="inlineStr">
        <is>
          <t>Total applied</t>
        </is>
      </c>
      <c r="I19" s="26">
        <f>SUM(I14:I18)</f>
        <v>0.0</v>
      </c>
    </row>
    <row r="20">
      <c r="G20" s="20" t="inlineStr">
        <is>
          <t>Other cost (this model)</t>
        </is>
      </c>
      <c r="I20" s="21">
        <f>D11</f>
        <v>4.72</v>
      </c>
    </row>
    <row r="21">
      <c r="G21" s="222" t="inlineStr">
        <is>
          <t>Left to fund</t>
        </is>
      </c>
      <c r="I21" s="223">
        <f>I20-I19</f>
        <v>4.72</v>
      </c>
    </row>
    <row r="24">
      <c r="B24" s="249" t="inlineStr">
        <is>
          <t>Platform: Trading &amp; Shipping</t>
        </is>
      </c>
      <c r="C24" s="316" t="n"/>
      <c r="D24" s="316" t="n"/>
      <c r="E24" s="316" t="n"/>
      <c r="F24" s="316" t="n"/>
      <c r="G24" s="316" t="n"/>
      <c r="H24" s="316" t="n"/>
      <c r="I24" s="316" t="n"/>
    </row>
    <row r="25">
      <c r="B25" s="17" t="inlineStr">
        <is>
          <t>Squad</t>
        </is>
      </c>
      <c r="C25" s="17" t="inlineStr">
        <is>
          <t>Squad Type</t>
        </is>
      </c>
      <c r="D25" s="17" t="inlineStr">
        <is>
          <t>Size</t>
        </is>
      </c>
      <c r="E25" s="17" t="inlineStr">
        <is>
          <t>On/Off</t>
        </is>
      </c>
      <c r="F25" s="17" t="inlineStr">
        <is>
          <t>Support %</t>
        </is>
      </c>
      <c r="G25" s="17" t="inlineStr">
        <is>
          <t>Total Squad Cost ($m)</t>
        </is>
      </c>
      <c r="H25" s="17" t="inlineStr">
        <is>
          <t>TDD Cost ($m)</t>
        </is>
      </c>
      <c r="I25" s="17" t="inlineStr">
        <is>
          <t>Funded outside TDD ($m)</t>
        </is>
      </c>
    </row>
    <row r="26">
      <c r="B26" s="20" t="inlineStr">
        <is>
          <t>Trading &amp; Shipping</t>
        </is>
      </c>
      <c r="C26" s="232" t="inlineStr">
        <is>
          <t>Configuration / Integration</t>
        </is>
      </c>
      <c r="D26" s="232" t="inlineStr">
        <is>
          <t>M</t>
        </is>
      </c>
      <c r="E26" s="232" t="inlineStr">
        <is>
          <t>Onshore</t>
        </is>
      </c>
      <c r="F26" s="233" t="n">
        <v>0.2</v>
      </c>
      <c r="G26" s="221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21">
        <f>IFERROR($G26*$F26,"")</f>
        <v>0.27999999999999997</v>
      </c>
      <c r="I26" s="21">
        <f>IFERROR($G26*(1-$F26),"")</f>
        <v>1.1199999999999999</v>
      </c>
    </row>
    <row r="27">
      <c r="B27" s="20" t="inlineStr">
        <is>
          <t>Trading &amp; Shipping Data</t>
        </is>
      </c>
      <c r="C27" s="232" t="inlineStr">
        <is>
          <t>Enterprise Data and Insights</t>
        </is>
      </c>
      <c r="D27" s="232" t="inlineStr">
        <is>
          <t>M</t>
        </is>
      </c>
      <c r="E27" s="232" t="inlineStr">
        <is>
          <t>Onshore</t>
        </is>
      </c>
      <c r="F27" s="233" t="n">
        <v>0.2</v>
      </c>
      <c r="G27" s="221">
        <f>IFERROR(IF($E27="Onshore",INDEX('0.1 Squads'!$G$5:$G$23,MATCH($C27&amp;"|"&amp;$D27,'0.1 Squads'!$A$5:$A$23,0)),INDEX('0.1 Squads'!$H$5:$H$23,MATCH($C27&amp;"|"&amp;$D27,'0.1 Squads'!$A$5:$A$23,0))),"check size")</f>
        <v>1.7</v>
      </c>
      <c r="H27" s="21">
        <f>IFERROR($G27*$F27,"")</f>
        <v>0.34</v>
      </c>
      <c r="I27" s="21">
        <f>IFERROR($G27*(1-$F27),"")</f>
        <v>1.36</v>
      </c>
    </row>
    <row r="28">
      <c r="B28" s="234" t="inlineStr">
        <is>
          <t>Platform Overhead</t>
        </is>
      </c>
      <c r="H28" s="221">
        <f>'0.0 Data Config'!$J$16</f>
        <v>0.165</v>
      </c>
    </row>
    <row r="29">
      <c r="B29" s="222" t="inlineStr">
        <is>
          <t>Trading &amp; Shipping Total</t>
        </is>
      </c>
      <c r="C29" s="231" t="n"/>
      <c r="D29" s="231" t="n"/>
      <c r="E29" s="231" t="n"/>
      <c r="F29" s="231" t="n"/>
      <c r="G29" s="223">
        <f>SUM(G26:G27)</f>
        <v>3.0999999999999996</v>
      </c>
      <c r="H29" s="223">
        <f>SUM(H26:H28)</f>
        <v>0.785</v>
      </c>
      <c r="I29" s="223">
        <f>SUM(I26:I27)</f>
        <v>2.48</v>
      </c>
    </row>
    <row r="31">
      <c r="B31" s="249" t="inlineStr">
        <is>
          <t>Platform: Supply</t>
        </is>
      </c>
      <c r="C31" s="316" t="n"/>
      <c r="D31" s="316" t="n"/>
      <c r="E31" s="316" t="n"/>
      <c r="F31" s="316" t="n"/>
      <c r="G31" s="316" t="n"/>
      <c r="H31" s="316" t="n"/>
      <c r="I31" s="316" t="n"/>
    </row>
    <row r="32">
      <c r="B32" s="17" t="inlineStr">
        <is>
          <t>Squad</t>
        </is>
      </c>
      <c r="C32" s="17" t="inlineStr">
        <is>
          <t>Squad Type</t>
        </is>
      </c>
      <c r="D32" s="17" t="inlineStr">
        <is>
          <t>Size</t>
        </is>
      </c>
      <c r="E32" s="17" t="inlineStr">
        <is>
          <t>On/Off</t>
        </is>
      </c>
      <c r="F32" s="17" t="inlineStr">
        <is>
          <t>Support %</t>
        </is>
      </c>
      <c r="G32" s="17" t="inlineStr">
        <is>
          <t>Total Squad Cost ($m)</t>
        </is>
      </c>
      <c r="H32" s="17" t="inlineStr">
        <is>
          <t>TDD Cost ($m)</t>
        </is>
      </c>
      <c r="I32" s="17" t="inlineStr">
        <is>
          <t>Funded outside TDD ($m)</t>
        </is>
      </c>
    </row>
    <row r="33">
      <c r="B33" s="20" t="inlineStr">
        <is>
          <t>Supply</t>
        </is>
      </c>
      <c r="C33" s="232" t="inlineStr">
        <is>
          <t>Configuration / Integration</t>
        </is>
      </c>
      <c r="D33" s="232" t="inlineStr">
        <is>
          <t>M</t>
        </is>
      </c>
      <c r="E33" s="232" t="inlineStr">
        <is>
          <t>Onshore</t>
        </is>
      </c>
      <c r="F33" s="233" t="n">
        <v>0.2</v>
      </c>
      <c r="G33" s="221">
        <f>IFERROR(IF($E33="Onshore",INDEX('0.1 Squads'!$G$5:$G$23,MATCH($C33&amp;"|"&amp;$D33,'0.1 Squads'!$A$5:$A$23,0)),INDEX('0.1 Squads'!$H$5:$H$23,MATCH($C33&amp;"|"&amp;$D33,'0.1 Squads'!$A$5:$A$23,0))),"check size")</f>
        <v>1.4</v>
      </c>
      <c r="H33" s="21">
        <f>IFERROR($G33*$F33,"")</f>
        <v>0.27999999999999997</v>
      </c>
      <c r="I33" s="21">
        <f>IFERROR($G33*(1-$F33),"")</f>
        <v>1.1199999999999999</v>
      </c>
    </row>
    <row r="34">
      <c r="B34" s="234" t="inlineStr">
        <is>
          <t>Platform Overhead</t>
        </is>
      </c>
      <c r="H34" s="221">
        <f>'0.0 Data Config'!$J$16</f>
        <v>0.165</v>
      </c>
    </row>
    <row r="35">
      <c r="B35" s="222" t="inlineStr">
        <is>
          <t>Supply Total</t>
        </is>
      </c>
      <c r="C35" s="231" t="n"/>
      <c r="D35" s="231" t="n"/>
      <c r="E35" s="231" t="n"/>
      <c r="F35" s="231" t="n"/>
      <c r="G35" s="223">
        <f>SUM(G33:G33)</f>
        <v>1.4</v>
      </c>
      <c r="H35" s="223">
        <f>SUM(H33:H34)</f>
        <v>0.44499999999999995</v>
      </c>
      <c r="I35" s="223">
        <f>SUM(I33:I33)</f>
        <v>1.1199999999999999</v>
      </c>
    </row>
    <row r="37">
      <c r="B37" s="249" t="inlineStr">
        <is>
          <t>Platform: CTRM</t>
        </is>
      </c>
      <c r="C37" s="316" t="n"/>
      <c r="D37" s="316" t="n"/>
      <c r="E37" s="316" t="n"/>
      <c r="F37" s="316" t="n"/>
      <c r="G37" s="316" t="n"/>
      <c r="H37" s="316" t="n"/>
      <c r="I37" s="316" t="n"/>
    </row>
    <row r="38">
      <c r="B38" s="17" t="inlineStr">
        <is>
          <t>Squad</t>
        </is>
      </c>
      <c r="C38" s="17" t="inlineStr">
        <is>
          <t>Squad Type</t>
        </is>
      </c>
      <c r="D38" s="17" t="inlineStr">
        <is>
          <t>Size</t>
        </is>
      </c>
      <c r="E38" s="17" t="inlineStr">
        <is>
          <t>On/Off</t>
        </is>
      </c>
      <c r="F38" s="17" t="inlineStr">
        <is>
          <t>Support %</t>
        </is>
      </c>
      <c r="G38" s="17" t="inlineStr">
        <is>
          <t>Total Squad Cost ($m)</t>
        </is>
      </c>
      <c r="H38" s="17" t="inlineStr">
        <is>
          <t>TDD Cost ($m)</t>
        </is>
      </c>
      <c r="I38" s="17" t="inlineStr">
        <is>
          <t>Funded outside TDD ($m)</t>
        </is>
      </c>
    </row>
    <row r="39">
      <c r="B39" s="20" t="inlineStr">
        <is>
          <t>CTRM</t>
        </is>
      </c>
      <c r="C39" s="232" t="inlineStr">
        <is>
          <t>Configuration / Integration</t>
        </is>
      </c>
      <c r="D39" s="232" t="inlineStr">
        <is>
          <t>M</t>
        </is>
      </c>
      <c r="E39" s="232" t="inlineStr">
        <is>
          <t>Onshore</t>
        </is>
      </c>
      <c r="F39" s="233" t="n">
        <v>0.2</v>
      </c>
      <c r="G39" s="221">
        <f>IFERROR(IF($E39="Onshore",INDEX('0.1 Squads'!$G$5:$G$23,MATCH($C39&amp;"|"&amp;$D39,'0.1 Squads'!$A$5:$A$23,0)),INDEX('0.1 Squads'!$H$5:$H$23,MATCH($C39&amp;"|"&amp;$D39,'0.1 Squads'!$A$5:$A$23,0))),"check size")</f>
        <v>1.4</v>
      </c>
      <c r="H39" s="21">
        <f>IFERROR($G39*$F39,"")</f>
        <v>0.27999999999999997</v>
      </c>
      <c r="I39" s="21">
        <f>IFERROR($G39*(1-$F39),"")</f>
        <v>1.1199999999999999</v>
      </c>
    </row>
    <row r="40">
      <c r="B40" s="234" t="inlineStr">
        <is>
          <t>Platform Overhead</t>
        </is>
      </c>
      <c r="H40" s="221">
        <f>'0.0 Data Config'!$J$16</f>
        <v>0.165</v>
      </c>
    </row>
    <row r="41">
      <c r="B41" s="222" t="inlineStr">
        <is>
          <t>CTRM Total</t>
        </is>
      </c>
      <c r="C41" s="231" t="n"/>
      <c r="D41" s="231" t="n"/>
      <c r="E41" s="231" t="n"/>
      <c r="F41" s="231" t="n"/>
      <c r="G41" s="223">
        <f>SUM(G39:G39)</f>
        <v>1.4</v>
      </c>
      <c r="H41" s="223">
        <f>SUM(H39:H40)</f>
        <v>0.44499999999999995</v>
      </c>
      <c r="I41" s="223">
        <f>SUM(I39:I39)</f>
        <v>1.1199999999999999</v>
      </c>
    </row>
  </sheetData>
  <mergeCells count="3">
    <mergeCell ref="B24:I24"/>
    <mergeCell ref="B37:I37"/>
    <mergeCell ref="B31:I31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:C27 C33 C39" showDropDown="0" showInputMessage="0" showErrorMessage="0" allowBlank="1" type="list">
      <formula1>SquadTypes</formula1>
      <formula2>0</formula2>
    </dataValidation>
    <dataValidation sqref="D26:D27 D33 D39" showDropDown="0" showInputMessage="0" showErrorMessage="0" allowBlank="1" type="list">
      <formula1>SquadSizes</formula1>
      <formula2>0</formula2>
    </dataValidation>
    <dataValidation sqref="E26:E27 E33 E39" showDropDown="0" showInputMessage="0" showErrorMessage="0" allowBlank="1" type="list">
      <formula1>OnOff</formula1>
      <formula2>0</formula2>
    </dataValidation>
    <dataValidation sqref="F26:F27 F33 F39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35"/>
  <sheetViews>
    <sheetView showGridLines="0" topLeftCell="A18" zoomScaleNormal="100" workbookViewId="0">
      <selection activeCell="G47" sqref="G47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Z Retail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219" t="inlineStr">
        <is>
          <t>Budget vs TDD cost</t>
        </is>
      </c>
      <c r="H6" s="219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Z Retail Cost ($m)</t>
        </is>
      </c>
      <c r="G7" s="220" t="inlineStr">
        <is>
          <t>TDD Lights On Budget</t>
        </is>
      </c>
      <c r="H7" s="221">
        <f>'0.0 Data Config'!$E$12</f>
        <v>2.5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2.0395000000000003</v>
      </c>
    </row>
    <row r="9">
      <c r="B9" s="20" t="inlineStr">
        <is>
          <t>Platform Overheads</t>
        </is>
      </c>
      <c r="C9" s="21">
        <f>SUM(H27,H34)</f>
        <v>0.33</v>
      </c>
      <c r="E9" s="21">
        <f>C9</f>
        <v>0.33</v>
      </c>
      <c r="G9" s="222" t="inlineStr">
        <is>
          <t>Variance (budget less cost)</t>
        </is>
      </c>
      <c r="H9" s="223">
        <f>H7-H8</f>
        <v>0.4604999999999997</v>
      </c>
    </row>
    <row r="10">
      <c r="B10" s="20" t="inlineStr">
        <is>
          <t>Squad Support Costs</t>
        </is>
      </c>
      <c r="C10" s="21">
        <f>SUM(H26,H32,H33)</f>
        <v>0.96</v>
      </c>
      <c r="D10" s="21">
        <f>SUM(I26,I32,I33)</f>
        <v>3.84</v>
      </c>
      <c r="E10" s="21">
        <f>C10+D10</f>
        <v>4.8</v>
      </c>
    </row>
    <row r="11">
      <c r="B11" s="222" t="inlineStr">
        <is>
          <t>Total Cost</t>
        </is>
      </c>
      <c r="C11" s="223">
        <f>SUM(C8:C10)</f>
        <v>2.0395000000000003</v>
      </c>
      <c r="D11" s="223">
        <f>SUM(D8:D10)</f>
        <v>3.84</v>
      </c>
      <c r="E11" s="223">
        <f>C11+D11</f>
        <v>5.8795</v>
      </c>
    </row>
    <row r="12">
      <c r="G12" s="276" t="inlineStr">
        <is>
          <t xml:space="preserve">Other funding </t>
        </is>
      </c>
      <c r="H12" s="314" t="n"/>
      <c r="I12" s="314" t="n"/>
      <c r="J12" s="315" t="n"/>
    </row>
    <row r="13">
      <c r="B13" s="319" t="inlineStr">
        <is>
          <t xml:space="preserve">Total Z-Energy budget </t>
        </is>
      </c>
      <c r="D13" s="318" t="n"/>
      <c r="E13" s="226">
        <f>SUM(H14:H18)</f>
        <v>76.60000000000001</v>
      </c>
      <c r="G13" s="253" t="inlineStr">
        <is>
          <t>Budget line</t>
        </is>
      </c>
      <c r="H13" s="253" t="inlineStr">
        <is>
          <t>Budget ($m)</t>
        </is>
      </c>
      <c r="I13" s="253" t="inlineStr">
        <is>
          <t>Amount that can be allocated to people</t>
        </is>
      </c>
      <c r="J13" s="253" t="inlineStr">
        <is>
          <t>Remaining for non-people ($m)</t>
        </is>
      </c>
    </row>
    <row r="14">
      <c r="B14" s="319" t="inlineStr">
        <is>
          <t xml:space="preserve">Reconciled to Finance </t>
        </is>
      </c>
      <c r="D14" s="318" t="n"/>
      <c r="E14" s="227">
        <f>'0.4 Budget Table (Fin)'!Q6</f>
        <v>76.60000000000002</v>
      </c>
      <c r="G14" s="254" t="inlineStr">
        <is>
          <t>Z-Energy Lights On</t>
        </is>
      </c>
      <c r="H14" s="257">
        <f>'0.4 Budget Table (Fin)'!L6</f>
        <v>52.20000000000001</v>
      </c>
      <c r="I14" s="260">
        <f>'0.4 Budget Table (Fin)'!G6</f>
        <v>17.6</v>
      </c>
      <c r="J14" s="258">
        <f>IFERROR(H14-I14,0)</f>
        <v>34.60000000000001</v>
      </c>
    </row>
    <row r="15">
      <c r="G15" s="254" t="inlineStr">
        <is>
          <t>OpEx Initiatives</t>
        </is>
      </c>
      <c r="H15" s="257">
        <f>'0.4 Budget Table (Fin)'!N6</f>
        <v>1.4</v>
      </c>
      <c r="I15" s="277" t="n">
        <v>0</v>
      </c>
      <c r="J15" s="258">
        <f>IFERROR(H15-I15,0)</f>
        <v>1.4</v>
      </c>
    </row>
    <row r="16">
      <c r="G16" s="254" t="inlineStr">
        <is>
          <t>CapEx</t>
        </is>
      </c>
      <c r="H16" s="257">
        <f>'0.4 Budget Table (Fin)'!P6</f>
        <v>11.7</v>
      </c>
      <c r="I16" s="277" t="n">
        <v>0</v>
      </c>
      <c r="J16" s="258">
        <f>IFERROR(H16-I16,0)</f>
        <v>11.7</v>
      </c>
    </row>
    <row r="17">
      <c r="G17" s="254" t="inlineStr">
        <is>
          <t>Significant Items</t>
        </is>
      </c>
      <c r="H17" s="257" t="str">
        <f>'0.4 Budget Table (Fin)'!$O$6</f>
        <v>-</v>
      </c>
      <c r="I17" s="277" t="n">
        <v>0</v>
      </c>
      <c r="J17" s="258">
        <f>IFERROR(H17-I17,0)</f>
        <v>0.0</v>
      </c>
    </row>
    <row r="18">
      <c r="G18" s="254" t="inlineStr">
        <is>
          <t>Depreciation</t>
        </is>
      </c>
      <c r="H18" s="257">
        <f>'0.4 Budget Table (Fin)'!M6</f>
        <v>11.3</v>
      </c>
      <c r="I18" s="277" t="n">
        <v>0</v>
      </c>
      <c r="J18" s="258">
        <f>IFERROR(H18-I18,0)</f>
        <v>11.3</v>
      </c>
    </row>
    <row r="19">
      <c r="G19" s="278" t="inlineStr">
        <is>
          <t>Total applied</t>
        </is>
      </c>
      <c r="H19" s="260" t="n"/>
      <c r="I19" s="279">
        <f>SUM(I14:I18)</f>
        <v>17.6</v>
      </c>
      <c r="J19" s="260" t="n"/>
    </row>
    <row r="20">
      <c r="G20" s="254" t="inlineStr">
        <is>
          <t>Other cost (this model)</t>
        </is>
      </c>
      <c r="H20" s="260" t="n"/>
      <c r="I20" s="258">
        <f>D11</f>
        <v>3.84</v>
      </c>
      <c r="J20" s="260" t="n"/>
    </row>
    <row r="21">
      <c r="G21" s="261" t="inlineStr">
        <is>
          <t>Left to fund</t>
        </is>
      </c>
      <c r="H21" s="260" t="n"/>
      <c r="I21" s="262">
        <f>I20-I19</f>
        <v>-13.760000000000002</v>
      </c>
      <c r="J21" s="260" t="n"/>
    </row>
    <row r="24">
      <c r="B24" s="280" t="inlineStr">
        <is>
          <t>Platform: Z Supply</t>
        </is>
      </c>
      <c r="C24" s="314" t="n"/>
      <c r="D24" s="314" t="n"/>
      <c r="E24" s="314" t="n"/>
      <c r="F24" s="314" t="n"/>
      <c r="G24" s="314" t="n"/>
      <c r="H24" s="314" t="n"/>
      <c r="I24" s="315" t="n"/>
    </row>
    <row r="25">
      <c r="B25" s="253" t="inlineStr">
        <is>
          <t>Squad</t>
        </is>
      </c>
      <c r="C25" s="253" t="inlineStr">
        <is>
          <t>Squad Type</t>
        </is>
      </c>
      <c r="D25" s="253" t="inlineStr">
        <is>
          <t>Size</t>
        </is>
      </c>
      <c r="E25" s="253" t="inlineStr">
        <is>
          <t>On/Off</t>
        </is>
      </c>
      <c r="F25" s="253" t="inlineStr">
        <is>
          <t>Support %</t>
        </is>
      </c>
      <c r="G25" s="253" t="inlineStr">
        <is>
          <t>Total Squad Cost ($m)</t>
        </is>
      </c>
      <c r="H25" s="253" t="inlineStr">
        <is>
          <t>TDD Cost ($m)</t>
        </is>
      </c>
      <c r="I25" s="253" t="inlineStr">
        <is>
          <t>Funded outside TDD ($m)</t>
        </is>
      </c>
    </row>
    <row r="26">
      <c r="B26" s="254" t="inlineStr">
        <is>
          <t>Z Supply</t>
        </is>
      </c>
      <c r="C26" s="255" t="inlineStr">
        <is>
          <t>Configuration / Integration</t>
        </is>
      </c>
      <c r="D26" s="255" t="inlineStr">
        <is>
          <t>M</t>
        </is>
      </c>
      <c r="E26" s="255" t="inlineStr">
        <is>
          <t>Onshore</t>
        </is>
      </c>
      <c r="F26" s="256" t="n">
        <v>0.2</v>
      </c>
      <c r="G26" s="257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258">
        <f>IFERROR($G26*$F26,"")</f>
        <v>0.27999999999999997</v>
      </c>
      <c r="I26" s="258">
        <f>IFERROR($G26*(1-$F26),"")</f>
        <v>1.1199999999999999</v>
      </c>
    </row>
    <row r="27">
      <c r="B27" s="259" t="inlineStr">
        <is>
          <t>Platform Overhead</t>
        </is>
      </c>
      <c r="C27" s="260" t="n"/>
      <c r="D27" s="260" t="n"/>
      <c r="E27" s="260" t="n"/>
      <c r="F27" s="260" t="n"/>
      <c r="G27" s="260" t="n"/>
      <c r="H27" s="257">
        <f>'0.0 Data Config'!$J$16</f>
        <v>0.165</v>
      </c>
      <c r="I27" s="260" t="n"/>
    </row>
    <row r="28">
      <c r="B28" s="261" t="inlineStr">
        <is>
          <t>Z Supply Total</t>
        </is>
      </c>
      <c r="C28" s="231" t="n"/>
      <c r="D28" s="231" t="n"/>
      <c r="E28" s="231" t="n"/>
      <c r="F28" s="231" t="n"/>
      <c r="G28" s="290">
        <f>SUM(G26:G26)</f>
        <v>1.4</v>
      </c>
      <c r="H28" s="262">
        <f>SUM(H26:H27)</f>
        <v>0.44499999999999995</v>
      </c>
      <c r="I28" s="262">
        <f>SUM(I26:I26)</f>
        <v>1.1199999999999999</v>
      </c>
    </row>
    <row r="30">
      <c r="B30" s="276" t="inlineStr">
        <is>
          <t>Platform: Z Customer</t>
        </is>
      </c>
      <c r="C30" s="314" t="n"/>
      <c r="D30" s="314" t="n"/>
      <c r="E30" s="314" t="n"/>
      <c r="F30" s="314" t="n"/>
      <c r="G30" s="314" t="n"/>
      <c r="H30" s="314" t="n"/>
      <c r="I30" s="315" t="n"/>
    </row>
    <row r="31">
      <c r="B31" s="253" t="inlineStr">
        <is>
          <t>Squad</t>
        </is>
      </c>
      <c r="C31" s="253" t="inlineStr">
        <is>
          <t>Squad Type</t>
        </is>
      </c>
      <c r="D31" s="253" t="inlineStr">
        <is>
          <t>Size</t>
        </is>
      </c>
      <c r="E31" s="253" t="inlineStr">
        <is>
          <t>On/Off</t>
        </is>
      </c>
      <c r="F31" s="253" t="inlineStr">
        <is>
          <t>Support %</t>
        </is>
      </c>
      <c r="G31" s="253" t="inlineStr">
        <is>
          <t>Total Squad Cost ($m)</t>
        </is>
      </c>
      <c r="H31" s="253" t="inlineStr">
        <is>
          <t>TDD Cost ($m)</t>
        </is>
      </c>
      <c r="I31" s="253" t="inlineStr">
        <is>
          <t>Funded outside TDD ($m)</t>
        </is>
      </c>
    </row>
    <row r="32">
      <c r="B32" s="254" t="inlineStr">
        <is>
          <t>Site Systems</t>
        </is>
      </c>
      <c r="C32" s="255" t="inlineStr">
        <is>
          <t>Configuration / Integration</t>
        </is>
      </c>
      <c r="D32" s="255" t="inlineStr">
        <is>
          <t>M</t>
        </is>
      </c>
      <c r="E32" s="255" t="inlineStr">
        <is>
          <t>Onshore</t>
        </is>
      </c>
      <c r="F32" s="256" t="n">
        <v>0.2</v>
      </c>
      <c r="G32" s="257">
        <f>IFERROR(IF($E32="Onshore",INDEX('0.1 Squads'!$G$5:$G$23,MATCH($C32&amp;"|"&amp;$D32,'0.1 Squads'!$A$5:$A$23,0)),INDEX('0.1 Squads'!$H$5:$H$23,MATCH($C32&amp;"|"&amp;$D32,'0.1 Squads'!$A$5:$A$23,0))),"check size")</f>
        <v>1.4</v>
      </c>
      <c r="H32" s="258">
        <f>IFERROR($G32*$F32,"")</f>
        <v>0.27999999999999997</v>
      </c>
      <c r="I32" s="258">
        <f>IFERROR($G32*(1-$F32),"")</f>
        <v>1.1199999999999999</v>
      </c>
    </row>
    <row r="33">
      <c r="B33" s="254" t="inlineStr">
        <is>
          <t>Z Retail Backend</t>
        </is>
      </c>
      <c r="C33" s="255" t="inlineStr">
        <is>
          <t>Engineering</t>
        </is>
      </c>
      <c r="D33" s="255" t="inlineStr">
        <is>
          <t>M</t>
        </is>
      </c>
      <c r="E33" s="255" t="inlineStr">
        <is>
          <t>Onshore</t>
        </is>
      </c>
      <c r="F33" s="256" t="n">
        <v>0.2</v>
      </c>
      <c r="G33" s="257">
        <f>IFERROR(IF($E33="Onshore",INDEX('0.1 Squads'!$G$5:$G$23,MATCH($C33&amp;"|"&amp;$D33,'0.1 Squads'!$A$5:$A$23,0)),INDEX('0.1 Squads'!$H$5:$H$23,MATCH($C33&amp;"|"&amp;$D33,'0.1 Squads'!$A$5:$A$23,0))),"check size")</f>
        <v>2.0</v>
      </c>
      <c r="H33" s="258">
        <f>IFERROR($G33*$F33,"")</f>
        <v>0.4</v>
      </c>
      <c r="I33" s="258">
        <f>IFERROR($G33*(1-$F33),"")</f>
        <v>1.6</v>
      </c>
    </row>
    <row r="34">
      <c r="B34" s="259" t="inlineStr">
        <is>
          <t>Platform Overhead</t>
        </is>
      </c>
      <c r="C34" s="260" t="n"/>
      <c r="D34" s="260" t="n"/>
      <c r="E34" s="260" t="n"/>
      <c r="F34" s="260" t="n"/>
      <c r="G34" s="260" t="n"/>
      <c r="H34" s="257">
        <f>'0.0 Data Config'!$J$16</f>
        <v>0.165</v>
      </c>
      <c r="I34" s="260" t="n"/>
    </row>
    <row r="35">
      <c r="B35" s="261" t="inlineStr">
        <is>
          <t>Z Customer Total</t>
        </is>
      </c>
      <c r="C35" s="231" t="n"/>
      <c r="D35" s="231" t="n"/>
      <c r="E35" s="231" t="n"/>
      <c r="F35" s="231" t="n"/>
      <c r="G35" s="262">
        <f>SUM(G32:G33)</f>
        <v>3.4</v>
      </c>
      <c r="H35" s="262">
        <f>SUM(H32:H34)</f>
        <v>0.845</v>
      </c>
      <c r="I35" s="262">
        <f>SUM(I32:I33)</f>
        <v>2.7199999999999998</v>
      </c>
    </row>
  </sheetData>
  <mergeCells count="6">
    <mergeCell ref="B30:I30"/>
    <mergeCell ref="B14:D14"/>
    <mergeCell ref="B24:I24"/>
    <mergeCell ref="B6:E6"/>
    <mergeCell ref="G12:J12"/>
    <mergeCell ref="B13:D13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 C32:C33" showDropDown="0" showInputMessage="0" showErrorMessage="0" allowBlank="1" type="list">
      <formula1>SquadTypes</formula1>
      <formula2>0</formula2>
    </dataValidation>
    <dataValidation sqref="D26 D32:D33" showDropDown="0" showInputMessage="0" showErrorMessage="0" allowBlank="1" type="list">
      <formula1>SquadSizes</formula1>
      <formula2>0</formula2>
    </dataValidation>
    <dataValidation sqref="E26 E32:E33" showDropDown="0" showInputMessage="0" showErrorMessage="0" allowBlank="1" type="list">
      <formula1>OnOff</formula1>
      <formula2>0</formula2>
    </dataValidation>
    <dataValidation sqref="F26 F32:F33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28"/>
  <sheetViews>
    <sheetView showGridLines="0" tabSelected="1" zoomScaleNormal="100" workbookViewId="0">
      <selection activeCell="C17" sqref="C17"/>
    </sheetView>
  </sheetViews>
  <sheetFormatPr baseColWidth="8" defaultColWidth="8.6328125" defaultRowHeight="14.5"/>
  <cols>
    <col width="8.6328125" customWidth="1" min="1" max="1"/>
    <col width="28" customWidth="1" min="2" max="2"/>
    <col width="26" customWidth="1" min="3" max="3"/>
    <col width="9.6328125" customWidth="1" min="4" max="4"/>
    <col width="21.26953125" bestFit="1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</cols>
  <sheetData>
    <row r="2" ht="21" customHeight="1">
      <c r="B2" s="217" t="inlineStr">
        <is>
          <t>TDD Cyber</t>
        </is>
      </c>
    </row>
    <row r="4">
      <c r="B4" s="313" t="inlineStr">
        <is>
          <t>Yellow = your selection   |   Green text = pulled from another tab   |   Grey = calculated   |   Red / green = position</t>
        </is>
      </c>
    </row>
    <row r="6">
      <c r="B6" s="16" t="inlineStr">
        <is>
          <t>Portfolio Summary</t>
        </is>
      </c>
      <c r="C6" s="237" t="n"/>
      <c r="D6" s="237" t="n"/>
      <c r="E6" s="238" t="n"/>
      <c r="G6" s="320" t="inlineStr">
        <is>
          <t>Budget vs TDD cost</t>
        </is>
      </c>
      <c r="H6" s="238" t="n"/>
    </row>
    <row r="7">
      <c r="B7" s="17" t="inlineStr">
        <is>
          <t>Cost</t>
        </is>
      </c>
      <c r="C7" s="17" t="inlineStr">
        <is>
          <t>TDD ($m)</t>
        </is>
      </c>
      <c r="D7" s="17" t="inlineStr">
        <is>
          <t>Other ($m)</t>
        </is>
      </c>
      <c r="E7" s="17" t="inlineStr">
        <is>
          <t>Total TDD Cyber Cost ($m)</t>
        </is>
      </c>
      <c r="G7" s="220" t="inlineStr">
        <is>
          <t>TDD Lights On Budget</t>
        </is>
      </c>
      <c r="H7" s="221">
        <f>'0.0 Data Config'!$E$23</f>
        <v>1.5</v>
      </c>
    </row>
    <row r="8">
      <c r="B8" s="20" t="inlineStr">
        <is>
          <t>Portfolio Overhead</t>
        </is>
      </c>
      <c r="C8" s="221">
        <f>'0.0 Data Config'!$J$10</f>
        <v>0.7495</v>
      </c>
      <c r="E8" s="21">
        <f>C8</f>
        <v>0.7495</v>
      </c>
      <c r="G8" s="220" t="inlineStr">
        <is>
          <t>Overheads &amp; Support (this model)</t>
        </is>
      </c>
      <c r="H8" s="21">
        <f>C11</f>
        <v>1.1945000000000001</v>
      </c>
    </row>
    <row r="9">
      <c r="B9" s="20" t="inlineStr">
        <is>
          <t>Platform Overheads</t>
        </is>
      </c>
      <c r="C9" s="21">
        <f>SUM(H27)</f>
        <v>0.165</v>
      </c>
      <c r="E9" s="21">
        <f>C9</f>
        <v>0.165</v>
      </c>
      <c r="G9" s="222" t="inlineStr">
        <is>
          <t>Variance (budget less cost)</t>
        </is>
      </c>
      <c r="H9" s="223">
        <f>H7-H8</f>
        <v>0.3054999999999999</v>
      </c>
    </row>
    <row r="10">
      <c r="B10" s="20" t="inlineStr">
        <is>
          <t>Squad Support Costs</t>
        </is>
      </c>
      <c r="C10" s="21">
        <f>SUM(H26)</f>
        <v>0.27999999999999997</v>
      </c>
      <c r="D10" s="21">
        <f>SUM(I26)</f>
        <v>1.1199999999999999</v>
      </c>
      <c r="E10" s="21">
        <f>C10+D10</f>
        <v>1.4</v>
      </c>
    </row>
    <row r="11">
      <c r="B11" s="222" t="inlineStr">
        <is>
          <t>Total Cost</t>
        </is>
      </c>
      <c r="C11" s="223">
        <f>SUM(C8:C10)</f>
        <v>1.1945000000000001</v>
      </c>
      <c r="D11" s="223">
        <f>SUM(D8:D10)</f>
        <v>1.1199999999999999</v>
      </c>
      <c r="E11" s="223">
        <f>C11+D11</f>
        <v>2.3145</v>
      </c>
    </row>
    <row r="12">
      <c r="G12" s="276" t="inlineStr">
        <is>
          <t xml:space="preserve">Other funding </t>
        </is>
      </c>
      <c r="H12" s="314" t="n"/>
      <c r="I12" s="314" t="n"/>
      <c r="J12" s="315" t="n"/>
    </row>
    <row r="13">
      <c r="B13" s="317" t="inlineStr">
        <is>
          <t>Total TDD Cyber budget</t>
        </is>
      </c>
      <c r="D13" s="318" t="n"/>
      <c r="E13" s="226">
        <f>SUM(H14:H18)</f>
        <v>17.0</v>
      </c>
      <c r="G13" s="253" t="inlineStr">
        <is>
          <t>Budget line</t>
        </is>
      </c>
      <c r="H13" s="253" t="inlineStr">
        <is>
          <t>Budget ($m)</t>
        </is>
      </c>
      <c r="I13" s="253" t="inlineStr">
        <is>
          <t>Amount that can be allocated to people</t>
        </is>
      </c>
      <c r="J13" s="253" t="inlineStr">
        <is>
          <t>Remaining for non-people ($m)</t>
        </is>
      </c>
    </row>
    <row r="14">
      <c r="B14" s="317" t="inlineStr">
        <is>
          <t xml:space="preserve">Reconciled to Finance </t>
        </is>
      </c>
      <c r="D14" s="318" t="n"/>
      <c r="E14" s="227">
        <f>'0.4 Budget Table (Fin)'!$S$28</f>
        <v>17.0</v>
      </c>
      <c r="G14" s="254" t="inlineStr">
        <is>
          <t>TDD Cyber Lights On</t>
        </is>
      </c>
      <c r="H14" s="257">
        <f>'0.4 Budget Table (Fin)'!$N$28</f>
        <v>17.0</v>
      </c>
      <c r="I14" s="257">
        <f>'0.4 Budget Table (Fin)'!$I$28</f>
        <v>7.6</v>
      </c>
      <c r="J14" s="258">
        <f>IFERROR(H14-I14,0)</f>
        <v>9.4</v>
      </c>
    </row>
    <row r="15">
      <c r="G15" s="254" t="inlineStr">
        <is>
          <t>OpEx Initiatives</t>
        </is>
      </c>
      <c r="H15" s="257">
        <f>'0.4 Budget Table (Fin)'!$P$28</f>
        <v>0.0</v>
      </c>
      <c r="I15" s="277" t="n">
        <v>0</v>
      </c>
      <c r="J15" s="258">
        <f>IFERROR(H15-I15,0)</f>
        <v>0.0</v>
      </c>
    </row>
    <row r="16">
      <c r="G16" s="254" t="inlineStr">
        <is>
          <t>CapEx</t>
        </is>
      </c>
      <c r="H16" s="257">
        <f>'0.4 Budget Table (Fin)'!$R$28</f>
        <v>0.0</v>
      </c>
      <c r="I16" s="277" t="n">
        <v>0</v>
      </c>
      <c r="J16" s="258">
        <f>IFERROR(H16-I16,0)</f>
        <v>0.0</v>
      </c>
    </row>
    <row r="17">
      <c r="G17" s="254" t="inlineStr">
        <is>
          <t>Significant Items</t>
        </is>
      </c>
      <c r="H17" s="257">
        <f>'0.4 Budget Table (Fin)'!$Q$28</f>
        <v>0.0</v>
      </c>
      <c r="I17" s="277" t="n">
        <v>0</v>
      </c>
      <c r="J17" s="258">
        <f>IFERROR(H17-I17,0)</f>
        <v>0.0</v>
      </c>
    </row>
    <row r="18">
      <c r="G18" s="254" t="inlineStr">
        <is>
          <t>Depreciation</t>
        </is>
      </c>
      <c r="H18" s="257" t="str">
        <f>'0.4 Budget Table (Fin)'!$O$28</f>
        <v>-</v>
      </c>
      <c r="I18" s="277" t="n">
        <v>0</v>
      </c>
      <c r="J18" s="258">
        <f>IFERROR(H18-I18,0)</f>
        <v>0.0</v>
      </c>
    </row>
    <row r="19">
      <c r="G19" s="278" t="inlineStr">
        <is>
          <t>Total applied</t>
        </is>
      </c>
      <c r="H19" s="260" t="n"/>
      <c r="I19" s="279">
        <f>SUM(I14:I18)</f>
        <v>7.6</v>
      </c>
      <c r="J19" s="260" t="n"/>
    </row>
    <row r="20">
      <c r="G20" s="254" t="inlineStr">
        <is>
          <t>Other cost (this model)</t>
        </is>
      </c>
      <c r="H20" s="260" t="n"/>
      <c r="I20" s="258">
        <f>D11</f>
        <v>1.1199999999999999</v>
      </c>
      <c r="J20" s="260" t="n"/>
    </row>
    <row r="21">
      <c r="G21" s="261" t="inlineStr">
        <is>
          <t>Left to fund</t>
        </is>
      </c>
      <c r="H21" s="260" t="n"/>
      <c r="I21" s="262">
        <f>I20-I19</f>
        <v>-6.4799999999999995</v>
      </c>
      <c r="J21" s="260" t="n"/>
    </row>
    <row r="24">
      <c r="B24" s="276" t="inlineStr">
        <is>
          <t>Platform: TDD Cyber</t>
        </is>
      </c>
      <c r="C24" s="314" t="n"/>
      <c r="D24" s="314" t="n"/>
      <c r="E24" s="314" t="n"/>
      <c r="F24" s="314" t="n"/>
      <c r="G24" s="314" t="n"/>
      <c r="H24" s="314" t="n"/>
      <c r="I24" s="315" t="n"/>
    </row>
    <row r="25">
      <c r="B25" s="253" t="inlineStr">
        <is>
          <t>Squad</t>
        </is>
      </c>
      <c r="C25" s="253" t="inlineStr">
        <is>
          <t>Squad Type</t>
        </is>
      </c>
      <c r="D25" s="253" t="inlineStr">
        <is>
          <t>Size</t>
        </is>
      </c>
      <c r="E25" s="253" t="inlineStr">
        <is>
          <t>On/Off</t>
        </is>
      </c>
      <c r="F25" s="253" t="inlineStr">
        <is>
          <t>Support %</t>
        </is>
      </c>
      <c r="G25" s="253" t="inlineStr">
        <is>
          <t>Total Squad Cost ($m)</t>
        </is>
      </c>
      <c r="H25" s="253" t="inlineStr">
        <is>
          <t>TDD Cost ($m)</t>
        </is>
      </c>
      <c r="I25" s="253" t="inlineStr">
        <is>
          <t>Funded outside TDD ($m)</t>
        </is>
      </c>
    </row>
    <row r="26">
      <c r="B26" s="254" t="inlineStr">
        <is>
          <t>TDD Cyber</t>
        </is>
      </c>
      <c r="C26" s="255" t="inlineStr">
        <is>
          <t>Operations</t>
        </is>
      </c>
      <c r="D26" s="255" t="inlineStr">
        <is>
          <t>M</t>
        </is>
      </c>
      <c r="E26" s="255" t="inlineStr">
        <is>
          <t>Onshore</t>
        </is>
      </c>
      <c r="F26" s="256" t="n">
        <v>0.2</v>
      </c>
      <c r="G26" s="257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258">
        <f>IFERROR($G26*$F26,"")</f>
        <v>0.27999999999999997</v>
      </c>
      <c r="I26" s="258">
        <f>IFERROR($G26*(1-$F26),"")</f>
        <v>1.1199999999999999</v>
      </c>
    </row>
    <row r="27">
      <c r="B27" s="259" t="inlineStr">
        <is>
          <t>Platform Overhead</t>
        </is>
      </c>
      <c r="C27" s="260" t="n"/>
      <c r="D27" s="260" t="n"/>
      <c r="E27" s="260" t="n"/>
      <c r="F27" s="260" t="n"/>
      <c r="G27" s="260" t="n"/>
      <c r="H27" s="257">
        <f>'0.0 Data Config'!$J$16</f>
        <v>0.165</v>
      </c>
      <c r="I27" s="260" t="n"/>
    </row>
    <row r="28">
      <c r="B28" s="231" t="inlineStr">
        <is>
          <t>TDD Cyber Total</t>
        </is>
      </c>
      <c r="C28" s="231" t="n"/>
      <c r="D28" s="231" t="n"/>
      <c r="E28" s="231" t="n"/>
      <c r="F28" s="231" t="n"/>
      <c r="G28" s="262">
        <f>SUM(G26:G26)</f>
        <v>1.4</v>
      </c>
      <c r="H28" s="262">
        <f>SUM(H26:H27)</f>
        <v>0.44499999999999995</v>
      </c>
      <c r="I28" s="262">
        <f>SUM(I26:I26)</f>
        <v>1.1199999999999999</v>
      </c>
    </row>
  </sheetData>
  <mergeCells count="6">
    <mergeCell ref="B14:D14"/>
    <mergeCell ref="B24:I24"/>
    <mergeCell ref="B6:E6"/>
    <mergeCell ref="G12:J12"/>
    <mergeCell ref="B13:D13"/>
    <mergeCell ref="G6:H6"/>
  </mergeCells>
  <conditionalFormatting sqref="H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I21">
    <cfRule type="cellIs" priority="3" operator="greaterThan" dxfId="1">
      <formula>0</formula>
    </cfRule>
    <cfRule type="cellIs" priority="4" operator="lessThanOrEqual" dxfId="0">
      <formula>0</formula>
    </cfRule>
  </conditionalFormatting>
  <dataValidations count="4">
    <dataValidation sqref="C26" showDropDown="0" showInputMessage="0" showErrorMessage="0" allowBlank="1" type="list">
      <formula1>SquadTypes</formula1>
      <formula2>0</formula2>
    </dataValidation>
    <dataValidation sqref="D26" showDropDown="0" showInputMessage="0" showErrorMessage="0" allowBlank="1" type="list">
      <formula1>SquadSizes</formula1>
      <formula2>0</formula2>
    </dataValidation>
    <dataValidation sqref="E26" showDropDown="0" showInputMessage="0" showErrorMessage="0" allowBlank="1" type="list">
      <formula1>OnOff</formula1>
      <formula2>0</formula2>
    </dataValidation>
    <dataValidation sqref="F26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G25"/>
  <sheetViews>
    <sheetView showGridLines="0" workbookViewId="0">
      <selection activeCell="A1" sqref="A1"/>
    </sheetView>
  </sheetViews>
  <sheetFormatPr baseColWidth="8" defaultRowHeight="15"/>
  <cols>
    <col width="8.6" customWidth="1" min="1" max="1"/>
    <col width="32" customWidth="1" min="2" max="2"/>
    <col width="20" customWidth="1" min="3" max="3"/>
    <col width="16" customWidth="1" min="4" max="4"/>
    <col width="16" customWidth="1" min="5" max="5"/>
    <col width="20" customWidth="1" min="6" max="6"/>
    <col width="16" customWidth="1" min="7" max="7"/>
  </cols>
  <sheetData>
    <row r="2" ht="21" customHeight="1">
      <c r="B2" s="217" t="inlineStr">
        <is>
          <t>Group Summary - all portfolios</t>
        </is>
      </c>
    </row>
    <row r="4">
      <c r="B4" s="16" t="inlineStr">
        <is>
          <t>TDD cost vs TDD lights-on budget, by portfolio</t>
        </is>
      </c>
      <c r="C4" s="237" t="n"/>
      <c r="D4" s="237" t="n"/>
      <c r="E4" s="237" t="n"/>
      <c r="F4" s="237" t="n"/>
      <c r="G4" s="238" t="n"/>
    </row>
    <row r="5">
      <c r="B5" s="17" t="inlineStr">
        <is>
          <t>Portfolio</t>
        </is>
      </c>
      <c r="C5" s="17" t="inlineStr">
        <is>
          <t>TDD Lights On Budget ($m)</t>
        </is>
      </c>
      <c r="D5" s="17" t="inlineStr">
        <is>
          <t>TDD Cost ($m)</t>
        </is>
      </c>
      <c r="E5" s="17" t="inlineStr">
        <is>
          <t>Variance ($m)</t>
        </is>
      </c>
      <c r="F5" s="17" t="inlineStr">
        <is>
          <t>Funded outside TDD ($m)</t>
        </is>
      </c>
      <c r="G5" s="17" t="inlineStr">
        <is>
          <t>Total Cost ($m)</t>
        </is>
      </c>
    </row>
    <row r="6">
      <c r="B6" s="20" t="inlineStr">
        <is>
          <t>Ampol Retail</t>
        </is>
      </c>
      <c r="C6" s="21">
        <f>'1.1 Ampol Retail'!$H$7</f>
        <v>2.5</v>
      </c>
      <c r="D6" s="21">
        <f>'1.1 Ampol Retail'!$C$11</f>
        <v>3.8115</v>
      </c>
      <c r="E6" s="21">
        <f>'1.1 Ampol Retail'!$H$9</f>
        <v>-1.3115</v>
      </c>
      <c r="F6" s="21">
        <f>'1.1 Ampol Retail'!$D$11</f>
        <v>8.288</v>
      </c>
      <c r="G6" s="21">
        <f>'1.1 Ampol Retail'!$E$11</f>
        <v>12.0995</v>
      </c>
    </row>
    <row r="7">
      <c r="B7" s="20" t="inlineStr">
        <is>
          <t>Customer</t>
        </is>
      </c>
      <c r="C7" s="21">
        <f>'1.2 Customer'!$H$7</f>
        <v>5.0</v>
      </c>
      <c r="D7" s="21">
        <f>'1.2 Customer'!$C$11</f>
        <v>4.1045</v>
      </c>
      <c r="E7" s="21">
        <f>'1.2 Customer'!$H$9</f>
        <v>0.8955000000000002</v>
      </c>
      <c r="F7" s="21">
        <f>'1.2 Customer'!$D$11</f>
        <v>11.440000000000001</v>
      </c>
      <c r="G7" s="21">
        <f>'1.2 Customer'!$E$11</f>
        <v>15.544500000000001</v>
      </c>
    </row>
    <row r="8">
      <c r="B8" s="20" t="inlineStr">
        <is>
          <t>Enterprise Data</t>
        </is>
      </c>
      <c r="C8" s="21">
        <f>'1.3 Enterprise Data'!$H$7</f>
        <v>3.5</v>
      </c>
      <c r="D8" s="21">
        <f>'1.3 Enterprise Data'!$C$11</f>
        <v>2.5105000000000004</v>
      </c>
      <c r="E8" s="21">
        <f>'1.3 Enterprise Data'!$H$9</f>
        <v>0.9894999999999996</v>
      </c>
      <c r="F8" s="21">
        <f>'1.3 Enterprise Data'!$D$11</f>
        <v>6.384</v>
      </c>
      <c r="G8" s="21">
        <f>'1.3 Enterprise Data'!$E$11</f>
        <v>8.8945</v>
      </c>
    </row>
    <row r="9">
      <c r="B9" s="20" t="inlineStr">
        <is>
          <t>TDD Group Functions</t>
        </is>
      </c>
      <c r="C9" s="21">
        <f>'1.4 TDD Group Functions'!$H$7</f>
        <v>5.5</v>
      </c>
      <c r="D9" s="21">
        <f>'1.4 TDD Group Functions'!$C$11</f>
        <v>1.7145000000000001</v>
      </c>
      <c r="E9" s="21">
        <f>'1.4 TDD Group Functions'!$H$9</f>
        <v>3.7855</v>
      </c>
      <c r="F9" s="21">
        <f>'1.4 TDD Group Functions'!$D$11</f>
        <v>3.2</v>
      </c>
      <c r="G9" s="21">
        <f>'1.4 TDD Group Functions'!$E$11</f>
        <v>4.9145</v>
      </c>
    </row>
    <row r="10">
      <c r="B10" s="20" t="inlineStr">
        <is>
          <t>P&amp;C</t>
        </is>
      </c>
      <c r="C10" s="21">
        <f>'1.5 P&amp;C'!$H$7</f>
        <v>2.0</v>
      </c>
      <c r="D10" s="21">
        <f>'1.5 P&amp;C'!$C$11</f>
        <v>1.2745000000000002</v>
      </c>
      <c r="E10" s="21">
        <f>'1.5 P&amp;C'!$H$9</f>
        <v>0.7254999999999998</v>
      </c>
      <c r="F10" s="21">
        <f>'1.5 P&amp;C'!$D$11</f>
        <v>1.44</v>
      </c>
      <c r="G10" s="21">
        <f>'1.5 P&amp;C'!$E$11</f>
        <v>2.7145</v>
      </c>
    </row>
    <row r="11">
      <c r="B11" s="20" t="inlineStr">
        <is>
          <t>Finance</t>
        </is>
      </c>
      <c r="C11" s="21">
        <f>'1.6 Finance'!$H$7</f>
        <v>2.0</v>
      </c>
      <c r="D11" s="21">
        <f>'1.6 Finance'!$C$11</f>
        <v>1.7545000000000002</v>
      </c>
      <c r="E11" s="21">
        <f>'1.6 Finance'!$H$9</f>
        <v>0.24549999999999983</v>
      </c>
      <c r="F11" s="21">
        <f>'1.6 Finance'!$D$11</f>
        <v>3.3600000000000003</v>
      </c>
      <c r="G11" s="21">
        <f>'1.6 Finance'!$E$11</f>
        <v>5.1145000000000005</v>
      </c>
    </row>
    <row r="12">
      <c r="B12" s="20" t="inlineStr">
        <is>
          <t>Infrastructure</t>
        </is>
      </c>
      <c r="C12" s="21">
        <f>'1.7 Infrastructure'!$H$7</f>
        <v>2.5</v>
      </c>
      <c r="D12" s="21">
        <f>'1.7 Infrastructure'!$C$11</f>
        <v>2.0445</v>
      </c>
      <c r="E12" s="21">
        <f>'1.7 Infrastructure'!$H$9</f>
        <v>0.4554999999999998</v>
      </c>
      <c r="F12" s="21">
        <f>'1.7 Infrastructure'!$D$11</f>
        <v>3.2</v>
      </c>
      <c r="G12" s="21">
        <f>'1.7 Infrastructure'!$E$11</f>
        <v>5.2445</v>
      </c>
    </row>
    <row r="13">
      <c r="B13" s="20" t="inlineStr">
        <is>
          <t>Energy Solutions &amp; B2B</t>
        </is>
      </c>
      <c r="C13" s="21">
        <f>'1.8 Energy Solutions &amp; B2B'!$H$7</f>
        <v>2.5</v>
      </c>
      <c r="D13" s="21">
        <f>'1.8 Energy Solutions &amp; B2B'!$C$11</f>
        <v>2.5595</v>
      </c>
      <c r="E13" s="21">
        <f>'1.8 Energy Solutions &amp; B2B'!$H$9</f>
        <v>-0.059499999999999886</v>
      </c>
      <c r="F13" s="21">
        <f>'1.8 Energy Solutions &amp; B2B'!$D$11</f>
        <v>5.92</v>
      </c>
      <c r="G13" s="21">
        <f>'1.8 Energy Solutions &amp; B2B'!$E$11</f>
        <v>8.4795</v>
      </c>
    </row>
    <row r="14">
      <c r="B14" s="20" t="inlineStr">
        <is>
          <t>Commercial Fuels</t>
        </is>
      </c>
      <c r="C14" s="21">
        <f>'1.9 Commercial Fuels'!$H$7</f>
        <v>2.5</v>
      </c>
      <c r="D14" s="21">
        <f>'1.9 Commercial Fuels'!$C$11</f>
        <v>2.4245</v>
      </c>
      <c r="E14" s="21">
        <f>'1.9 Commercial Fuels'!$H$9</f>
        <v>0.0754999999999999</v>
      </c>
      <c r="F14" s="21">
        <f>'1.9 Commercial Fuels'!$D$11</f>
        <v>4.72</v>
      </c>
      <c r="G14" s="21">
        <f>'1.9 Commercial Fuels'!$E$11</f>
        <v>7.1445</v>
      </c>
    </row>
    <row r="15">
      <c r="B15" s="20" t="inlineStr">
        <is>
          <t>Z Retail</t>
        </is>
      </c>
      <c r="C15" s="21">
        <f>'1.10 Z Retail'!$H$7</f>
        <v>2.5</v>
      </c>
      <c r="D15" s="21">
        <f>'1.10 Z Retail'!$C$11</f>
        <v>2.0395000000000003</v>
      </c>
      <c r="E15" s="21">
        <f>'1.10 Z Retail'!$H$9</f>
        <v>0.4604999999999997</v>
      </c>
      <c r="F15" s="21">
        <f>'1.10 Z Retail'!$D$11</f>
        <v>3.84</v>
      </c>
      <c r="G15" s="21">
        <f>'1.10 Z Retail'!$E$11</f>
        <v>5.8795</v>
      </c>
    </row>
    <row r="16">
      <c r="B16" s="20" t="inlineStr">
        <is>
          <t>TDD Cyber</t>
        </is>
      </c>
      <c r="C16" s="21">
        <f>'1.11 TDD Cyber'!$H$7</f>
        <v>1.5</v>
      </c>
      <c r="D16" s="21">
        <f>'1.11 TDD Cyber'!$C$11</f>
        <v>1.1945000000000001</v>
      </c>
      <c r="E16" s="21">
        <f>'1.11 TDD Cyber'!$H$9</f>
        <v>0.3054999999999999</v>
      </c>
      <c r="F16" s="21">
        <f>'1.11 TDD Cyber'!$D$11</f>
        <v>1.1199999999999999</v>
      </c>
      <c r="G16" s="21">
        <f>'1.11 TDD Cyber'!$E$11</f>
        <v>2.3145</v>
      </c>
    </row>
    <row r="17">
      <c r="B17" s="222" t="inlineStr">
        <is>
          <t>Total - all portfolios</t>
        </is>
      </c>
      <c r="C17" s="223">
        <f>SUM(C6:C16)</f>
        <v>32.0</v>
      </c>
      <c r="D17" s="223">
        <f>SUM(D6:D16)</f>
        <v>25.432500000000005</v>
      </c>
      <c r="E17" s="223">
        <f>SUM(E6:E16)</f>
        <v>6.567499999999999</v>
      </c>
      <c r="F17" s="223">
        <f>SUM(F6:F16)</f>
        <v>52.912</v>
      </c>
      <c r="G17" s="223">
        <f>SUM(G6:G16)</f>
        <v>78.3445</v>
      </c>
    </row>
    <row r="20">
      <c r="B20" s="16" t="inlineStr">
        <is>
          <t>Reconciliation to Data Config TDD budget allocation</t>
        </is>
      </c>
      <c r="C20" s="237" t="n"/>
      <c r="D20" s="237" t="n"/>
      <c r="E20" s="237" t="n"/>
      <c r="F20" s="237" t="n"/>
      <c r="G20" s="238" t="n"/>
    </row>
    <row r="21">
      <c r="B21" s="20" t="inlineStr">
        <is>
          <t>Portfolio budgets (above)</t>
        </is>
      </c>
      <c r="C21" s="21">
        <f>C17</f>
        <v>32.0</v>
      </c>
    </row>
    <row r="22">
      <c r="B22" s="20" t="inlineStr">
        <is>
          <t>COE allocations (2.1 COE)</t>
        </is>
      </c>
      <c r="C22" s="221">
        <f>'2.1 COE'!$C$13</f>
        <v>10.0</v>
      </c>
    </row>
    <row r="23">
      <c r="B23" s="222" t="inlineStr">
        <is>
          <t>Total allocation accounted for</t>
        </is>
      </c>
      <c r="C23" s="223">
        <f>C21+C22</f>
        <v>42.0</v>
      </c>
    </row>
    <row r="24">
      <c r="B24" s="20" t="inlineStr">
        <is>
          <t>Data Config total allocation</t>
        </is>
      </c>
      <c r="C24" s="221">
        <f>'0.0 Data Config'!$E$26</f>
        <v>42.0</v>
      </c>
    </row>
    <row r="25">
      <c r="B25" s="222" t="inlineStr">
        <is>
          <t>Check (should be 0)</t>
        </is>
      </c>
      <c r="C25" s="223">
        <f>C23-C24</f>
        <v>0.0</v>
      </c>
    </row>
  </sheetData>
  <mergeCells count="2">
    <mergeCell ref="B20:G20"/>
    <mergeCell ref="B4:G4"/>
  </mergeCells>
  <conditionalFormatting sqref="E6:E1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C25">
    <cfRule type="cellIs" priority="3" operator="greaterThan" dxfId="1">
      <formula>0</formula>
    </cfRule>
    <cfRule type="cellIs" priority="4" operator="lessThanOrEqual" dxfId="0">
      <formula>0</formula>
    </cfRule>
  </conditionalFormatting>
  <pageMargins left="0.75" right="0.75" top="1" bottom="1" header="0.5" footer="0.5"/>
  <legacyDrawing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zoomScaleNormal="100" workbookViewId="0">
      <selection activeCell="I15" sqref="I15"/>
    </sheetView>
  </sheetViews>
  <sheetFormatPr baseColWidth="8" defaultColWidth="8.6328125" defaultRowHeight="14.5"/>
  <cols>
    <col width="8.6328125" customWidth="1" min="1" max="1"/>
    <col width="34" customWidth="1" min="2" max="2"/>
    <col width="22" customWidth="1" min="3" max="3"/>
    <col width="20" customWidth="1" min="4" max="4"/>
    <col width="16" customWidth="1" min="5" max="5"/>
  </cols>
  <sheetData>
    <row r="2" ht="21" customHeight="1">
      <c r="B2" s="217" t="inlineStr">
        <is>
          <t>COE Budget View</t>
        </is>
      </c>
    </row>
    <row r="6">
      <c r="B6" s="16" t="inlineStr">
        <is>
          <t>COE Budgets</t>
        </is>
      </c>
      <c r="C6" s="237" t="n"/>
      <c r="D6" s="237" t="n"/>
      <c r="E6" s="238" t="n"/>
    </row>
    <row r="7">
      <c r="B7" s="17" t="inlineStr">
        <is>
          <t>COE</t>
        </is>
      </c>
      <c r="C7" s="17" t="inlineStr">
        <is>
          <t>TDD Lights On Budget ($m)</t>
        </is>
      </c>
      <c r="D7" s="17" t="inlineStr">
        <is>
          <t>Planned spend ($m)</t>
        </is>
      </c>
      <c r="E7" s="17" t="inlineStr">
        <is>
          <t>Variance ($m)</t>
        </is>
      </c>
    </row>
    <row r="8">
      <c r="B8" s="20" t="inlineStr">
        <is>
          <t>COE - Strategy Architecture</t>
        </is>
      </c>
      <c r="C8" s="221">
        <f>'0.0 Data Config'!$E$6</f>
        <v>2.0</v>
      </c>
      <c r="D8" s="229" t="n">
        <v>0</v>
      </c>
      <c r="E8" s="223">
        <f>C8-D8</f>
        <v>2.0</v>
      </c>
    </row>
    <row r="9">
      <c r="B9" s="20" t="inlineStr">
        <is>
          <t>COE - Cyber, Risk &amp; Service Ops</t>
        </is>
      </c>
      <c r="C9" s="221">
        <f>'0.0 Data Config'!$E$7</f>
        <v>2.0</v>
      </c>
      <c r="D9" s="229" t="n">
        <v>0</v>
      </c>
      <c r="E9" s="223">
        <f>C9-D9</f>
        <v>2.0</v>
      </c>
    </row>
    <row r="10">
      <c r="B10" s="20" t="inlineStr">
        <is>
          <t>COE - Transformation</t>
        </is>
      </c>
      <c r="C10" s="221">
        <f>'0.0 Data Config'!$E$8</f>
        <v>2.0</v>
      </c>
      <c r="D10" s="229" t="n">
        <v>0</v>
      </c>
      <c r="E10" s="223">
        <f>C10-D10</f>
        <v>2.0</v>
      </c>
    </row>
    <row r="11">
      <c r="B11" s="20" t="inlineStr">
        <is>
          <t>COE - Business Partnering</t>
        </is>
      </c>
      <c r="C11" s="221">
        <f>'0.0 Data Config'!$E$9</f>
        <v>2.0</v>
      </c>
      <c r="D11" s="229" t="n">
        <v>0</v>
      </c>
      <c r="E11" s="223">
        <f>C11-D11</f>
        <v>2.0</v>
      </c>
    </row>
    <row r="12">
      <c r="B12" s="20" t="inlineStr">
        <is>
          <t>COE - Data</t>
        </is>
      </c>
      <c r="C12" s="221">
        <f>'0.0 Data Config'!$E$10</f>
        <v>2.0</v>
      </c>
      <c r="D12" s="229" t="n">
        <v>0</v>
      </c>
      <c r="E12" s="223">
        <f>C12-D12</f>
        <v>2.0</v>
      </c>
    </row>
    <row r="13">
      <c r="B13" s="222" t="inlineStr">
        <is>
          <t>Total</t>
        </is>
      </c>
      <c r="C13" s="223">
        <f>SUM(C8:C12)</f>
        <v>10.0</v>
      </c>
      <c r="D13" s="223">
        <f>SUM(D8:D12)</f>
        <v>0.0</v>
      </c>
      <c r="E13" s="223">
        <f>SUM(E8:E12)</f>
        <v>10.0</v>
      </c>
    </row>
  </sheetData>
  <mergeCells count="1">
    <mergeCell ref="B6:E6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7:I54"/>
  <sheetViews>
    <sheetView topLeftCell="A7" zoomScale="70" zoomScaleNormal="70" workbookViewId="0">
      <selection activeCell="H31" sqref="H31"/>
    </sheetView>
  </sheetViews>
  <sheetFormatPr baseColWidth="8" defaultColWidth="8.6328125" defaultRowHeight="14.5"/>
  <cols>
    <col width="37" customWidth="1" min="4" max="4"/>
    <col width="23.36328125" customWidth="1" min="5" max="5"/>
    <col width="28" customWidth="1" min="6" max="6"/>
    <col width="10.54296875" customWidth="1" min="7" max="7"/>
    <col width="12.81640625" customWidth="1" min="8" max="8"/>
  </cols>
  <sheetData>
    <row r="7">
      <c r="D7" t="inlineStr">
        <is>
          <t>Portfolio</t>
        </is>
      </c>
      <c r="E7" t="inlineStr">
        <is>
          <t>Platform</t>
        </is>
      </c>
      <c r="F7" t="inlineStr">
        <is>
          <t>Squad</t>
        </is>
      </c>
      <c r="G7" t="inlineStr">
        <is>
          <t>Type</t>
        </is>
      </c>
      <c r="H7" t="inlineStr">
        <is>
          <t>Size</t>
        </is>
      </c>
      <c r="I7" t="inlineStr">
        <is>
          <t>On/Off</t>
        </is>
      </c>
    </row>
    <row r="8">
      <c r="D8" t="inlineStr">
        <is>
          <t>Customer</t>
        </is>
      </c>
      <c r="E8" t="inlineStr">
        <is>
          <t>Ampol Digital</t>
        </is>
      </c>
      <c r="F8" t="inlineStr">
        <is>
          <t>Ampol App</t>
        </is>
      </c>
      <c r="G8" t="inlineStr">
        <is>
          <t>Engineering</t>
        </is>
      </c>
      <c r="H8" t="inlineStr">
        <is>
          <t>L</t>
        </is>
      </c>
      <c r="I8" s="235" t="inlineStr">
        <is>
          <t>Onshore</t>
        </is>
      </c>
    </row>
    <row r="9">
      <c r="F9" t="inlineStr">
        <is>
          <t>Ampol Web</t>
        </is>
      </c>
      <c r="G9" t="inlineStr">
        <is>
          <t>Engineering</t>
        </is>
      </c>
      <c r="H9" t="inlineStr">
        <is>
          <t>L</t>
        </is>
      </c>
      <c r="I9" s="235" t="inlineStr">
        <is>
          <t>Onshore</t>
        </is>
      </c>
    </row>
    <row r="10">
      <c r="F10" t="inlineStr">
        <is>
          <t>Digital Operations</t>
        </is>
      </c>
      <c r="G10" t="inlineStr">
        <is>
          <t>Operations</t>
        </is>
      </c>
      <c r="H10" t="inlineStr">
        <is>
          <t>M</t>
        </is>
      </c>
      <c r="I10" s="235" t="inlineStr">
        <is>
          <t>Onshore</t>
        </is>
      </c>
    </row>
    <row r="11">
      <c r="E11" t="inlineStr">
        <is>
          <t>Customer Z</t>
        </is>
      </c>
      <c r="F11" t="inlineStr">
        <is>
          <t>Z Energy Apps</t>
        </is>
      </c>
      <c r="G11" t="inlineStr">
        <is>
          <t>Product</t>
        </is>
      </c>
      <c r="H11" t="inlineStr">
        <is>
          <t>M</t>
        </is>
      </c>
      <c r="I11" s="235" t="inlineStr">
        <is>
          <t>Onshore</t>
        </is>
      </c>
    </row>
    <row r="12">
      <c r="F12" t="inlineStr">
        <is>
          <t>Z Energy Martech</t>
        </is>
      </c>
      <c r="G12" t="inlineStr">
        <is>
          <t>Product</t>
        </is>
      </c>
      <c r="H12" t="inlineStr">
        <is>
          <t>L</t>
        </is>
      </c>
      <c r="I12" s="235" t="inlineStr">
        <is>
          <t>Onshore</t>
        </is>
      </c>
    </row>
    <row r="13">
      <c r="E13" t="inlineStr">
        <is>
          <t>Group Customer Platforms</t>
        </is>
      </c>
      <c r="F13" t="inlineStr">
        <is>
          <t>Loyalty &amp; Martech</t>
        </is>
      </c>
      <c r="G13" t="inlineStr">
        <is>
          <t>Product</t>
        </is>
      </c>
      <c r="H13" t="inlineStr">
        <is>
          <t>L</t>
        </is>
      </c>
      <c r="I13" s="235" t="inlineStr">
        <is>
          <t>Onshore</t>
        </is>
      </c>
    </row>
    <row r="15">
      <c r="D15" t="inlineStr">
        <is>
          <t>Enterprise Data</t>
        </is>
      </c>
      <c r="E15" t="inlineStr">
        <is>
          <t>Group Data</t>
        </is>
      </c>
      <c r="F15" t="inlineStr">
        <is>
          <t>Data Science</t>
        </is>
      </c>
      <c r="G15" s="235" t="inlineStr">
        <is>
          <t>Enterprise Data and Insights</t>
        </is>
      </c>
      <c r="H15" t="inlineStr">
        <is>
          <t>M</t>
        </is>
      </c>
      <c r="I15" s="235" t="inlineStr">
        <is>
          <t>Onshore</t>
        </is>
      </c>
    </row>
    <row r="16">
      <c r="F16" t="inlineStr">
        <is>
          <t>Reporting &amp; Analytics</t>
        </is>
      </c>
      <c r="G16" s="235" t="inlineStr">
        <is>
          <t>Build and Run</t>
        </is>
      </c>
      <c r="H16" t="inlineStr">
        <is>
          <t>L</t>
        </is>
      </c>
      <c r="I16" s="235" t="inlineStr">
        <is>
          <t>Onshore</t>
        </is>
      </c>
    </row>
    <row r="17">
      <c r="F17" t="inlineStr">
        <is>
          <t>Data Platforms</t>
        </is>
      </c>
      <c r="G17" s="235" t="inlineStr">
        <is>
          <t>Build and Run</t>
        </is>
      </c>
      <c r="H17" t="inlineStr">
        <is>
          <t>L</t>
        </is>
      </c>
      <c r="I17" s="235" t="inlineStr">
        <is>
          <t>Onshore</t>
        </is>
      </c>
    </row>
    <row r="18">
      <c r="F18" t="inlineStr">
        <is>
          <t>Enterprise Data Delivery</t>
        </is>
      </c>
      <c r="G18" s="235" t="inlineStr">
        <is>
          <t>Enterprise Data and Insights</t>
        </is>
      </c>
      <c r="H18" s="235" t="inlineStr">
        <is>
          <t>M</t>
        </is>
      </c>
      <c r="I18" t="inlineStr">
        <is>
          <t>Offshore</t>
        </is>
      </c>
    </row>
    <row r="21">
      <c r="D21" t="inlineStr">
        <is>
          <t>TDD Group Functions</t>
        </is>
      </c>
      <c r="E21" t="inlineStr">
        <is>
          <t>TDD Group Functions</t>
        </is>
      </c>
      <c r="F21" t="inlineStr">
        <is>
          <t>Workplace &amp; Enterprise Tooling</t>
        </is>
      </c>
      <c r="G21" s="235" t="inlineStr">
        <is>
          <t>Configuration / Integration</t>
        </is>
      </c>
      <c r="H21" t="inlineStr">
        <is>
          <t>S</t>
        </is>
      </c>
      <c r="I21" s="235" t="inlineStr">
        <is>
          <t>Onshore</t>
        </is>
      </c>
    </row>
    <row r="22">
      <c r="F22" t="inlineStr">
        <is>
          <t>Network &amp; Infrastructure</t>
        </is>
      </c>
      <c r="G22" s="235" t="inlineStr">
        <is>
          <t>Operations</t>
        </is>
      </c>
      <c r="H22" s="235" t="inlineStr">
        <is>
          <t>M</t>
        </is>
      </c>
      <c r="I22" s="235" t="inlineStr">
        <is>
          <t>Onshore</t>
        </is>
      </c>
    </row>
    <row r="23">
      <c r="F23" t="inlineStr">
        <is>
          <t>DevOps &amp; Engineering</t>
        </is>
      </c>
      <c r="G23" t="inlineStr">
        <is>
          <t>Engineering</t>
        </is>
      </c>
      <c r="H23" t="inlineStr">
        <is>
          <t>S</t>
        </is>
      </c>
      <c r="I23" s="235" t="inlineStr">
        <is>
          <t>Onshore</t>
        </is>
      </c>
    </row>
    <row r="24">
      <c r="F24" t="inlineStr">
        <is>
          <t>Integration</t>
        </is>
      </c>
      <c r="G24" s="235" t="inlineStr">
        <is>
          <t>Configuration / Integration</t>
        </is>
      </c>
      <c r="H24" s="235" t="inlineStr">
        <is>
          <t>M</t>
        </is>
      </c>
      <c r="I24" s="235" t="inlineStr">
        <is>
          <t>Onshore</t>
        </is>
      </c>
    </row>
    <row r="26">
      <c r="D26" t="inlineStr">
        <is>
          <t>P&amp;C</t>
        </is>
      </c>
      <c r="E26" t="inlineStr">
        <is>
          <t>P&amp;C</t>
        </is>
      </c>
      <c r="F26" t="inlineStr">
        <is>
          <t>P&amp;C</t>
        </is>
      </c>
      <c r="G26" s="235" t="inlineStr">
        <is>
          <t>Configuration / Integration</t>
        </is>
      </c>
      <c r="H26" t="inlineStr">
        <is>
          <t>M</t>
        </is>
      </c>
      <c r="I26" s="235" t="inlineStr">
        <is>
          <t>Onshore</t>
        </is>
      </c>
    </row>
    <row r="27">
      <c r="F27" t="inlineStr">
        <is>
          <t>P&amp;C - RTA</t>
        </is>
      </c>
      <c r="G27" s="235" t="inlineStr">
        <is>
          <t>Configuration / Integration</t>
        </is>
      </c>
      <c r="H27" t="inlineStr">
        <is>
          <t>S</t>
        </is>
      </c>
      <c r="I27" s="235" t="inlineStr">
        <is>
          <t>Onshore</t>
        </is>
      </c>
    </row>
    <row r="29">
      <c r="D29" t="inlineStr">
        <is>
          <t>Finance</t>
        </is>
      </c>
      <c r="E29" t="inlineStr">
        <is>
          <t>Finance</t>
        </is>
      </c>
      <c r="F29" t="inlineStr">
        <is>
          <t xml:space="preserve">AU Finance </t>
        </is>
      </c>
      <c r="G29" s="235" t="inlineStr">
        <is>
          <t>Configuration / Integration</t>
        </is>
      </c>
      <c r="H29" t="inlineStr">
        <is>
          <t>L</t>
        </is>
      </c>
      <c r="I29" s="235" t="inlineStr">
        <is>
          <t>Onshore</t>
        </is>
      </c>
    </row>
    <row r="30">
      <c r="F30" t="inlineStr">
        <is>
          <t xml:space="preserve">NZ Finance </t>
        </is>
      </c>
      <c r="G30" s="235" t="inlineStr">
        <is>
          <t>Configuration / Integration</t>
        </is>
      </c>
      <c r="H30" t="inlineStr">
        <is>
          <t>L</t>
        </is>
      </c>
      <c r="I30" s="235" t="inlineStr">
        <is>
          <t>Onshore</t>
        </is>
      </c>
    </row>
    <row r="32">
      <c r="D32" t="inlineStr">
        <is>
          <t>Infrastructure</t>
        </is>
      </c>
      <c r="E32" t="inlineStr">
        <is>
          <t>Distribution</t>
        </is>
      </c>
      <c r="F32" t="inlineStr">
        <is>
          <t>Distribution, Sales &amp; Services</t>
        </is>
      </c>
      <c r="G32" s="235" t="inlineStr">
        <is>
          <t>Configuration / Integration</t>
        </is>
      </c>
      <c r="H32" t="inlineStr">
        <is>
          <t>M</t>
        </is>
      </c>
      <c r="I32" s="235" t="inlineStr">
        <is>
          <t>Onshore</t>
        </is>
      </c>
    </row>
    <row r="33">
      <c r="E33" t="inlineStr">
        <is>
          <t>Manufacturing</t>
        </is>
      </c>
      <c r="F33" t="inlineStr">
        <is>
          <t>Manufacturing &amp; Group Projects</t>
        </is>
      </c>
      <c r="G33" s="235" t="inlineStr">
        <is>
          <t>Configuration / Integration</t>
        </is>
      </c>
      <c r="H33" t="inlineStr">
        <is>
          <t>M</t>
        </is>
      </c>
      <c r="I33" s="235" t="inlineStr">
        <is>
          <t>Onshore</t>
        </is>
      </c>
    </row>
    <row r="34">
      <c r="F34" t="inlineStr">
        <is>
          <t>Technology Support</t>
        </is>
      </c>
      <c r="G34" s="235" t="inlineStr">
        <is>
          <t>Operations</t>
        </is>
      </c>
      <c r="H34" t="inlineStr">
        <is>
          <t>S</t>
        </is>
      </c>
      <c r="I34" s="235" t="inlineStr">
        <is>
          <t>Onshore</t>
        </is>
      </c>
    </row>
    <row r="35">
      <c r="E35" t="inlineStr">
        <is>
          <t>Data &amp; Insights</t>
        </is>
      </c>
      <c r="F35" t="inlineStr">
        <is>
          <t>Data &amp; Insights</t>
        </is>
      </c>
      <c r="G35" s="235" t="inlineStr">
        <is>
          <t>Configuration / Integration</t>
        </is>
      </c>
      <c r="H35" t="inlineStr">
        <is>
          <t>S</t>
        </is>
      </c>
      <c r="I35" s="235" t="inlineStr">
        <is>
          <t>Onshore</t>
        </is>
      </c>
    </row>
    <row r="37">
      <c r="D37" t="inlineStr">
        <is>
          <t>Energy Solutions &amp; B2B</t>
        </is>
      </c>
      <c r="E37" t="inlineStr">
        <is>
          <t>Energy Solutions</t>
        </is>
      </c>
      <c r="F37" t="inlineStr">
        <is>
          <t>Energy</t>
        </is>
      </c>
      <c r="G37" t="inlineStr">
        <is>
          <t>Engineering</t>
        </is>
      </c>
      <c r="H37" t="inlineStr">
        <is>
          <t>L</t>
        </is>
      </c>
      <c r="I37" s="235" t="inlineStr">
        <is>
          <t>Onshore</t>
        </is>
      </c>
    </row>
    <row r="38">
      <c r="F38" t="inlineStr">
        <is>
          <t>EVCI</t>
        </is>
      </c>
      <c r="G38" t="inlineStr">
        <is>
          <t>Engineering</t>
        </is>
      </c>
      <c r="H38" t="inlineStr">
        <is>
          <t>M</t>
        </is>
      </c>
      <c r="I38" s="235" t="inlineStr">
        <is>
          <t>Onshore</t>
        </is>
      </c>
    </row>
    <row r="39">
      <c r="E39" t="inlineStr">
        <is>
          <t>B2B</t>
        </is>
      </c>
      <c r="F39" t="inlineStr">
        <is>
          <t>B2B</t>
        </is>
      </c>
      <c r="G39" t="inlineStr">
        <is>
          <t>Engineering</t>
        </is>
      </c>
      <c r="H39" t="inlineStr">
        <is>
          <t>L</t>
        </is>
      </c>
      <c r="I39" s="235" t="inlineStr">
        <is>
          <t>Onshore</t>
        </is>
      </c>
    </row>
    <row r="41">
      <c r="D41" t="inlineStr">
        <is>
          <t>Commercial Fuels</t>
        </is>
      </c>
      <c r="E41" t="inlineStr">
        <is>
          <t xml:space="preserve">Trading &amp; Shipping </t>
        </is>
      </c>
      <c r="F41" t="inlineStr">
        <is>
          <t>Trading &amp; Shipping</t>
        </is>
      </c>
      <c r="G41" s="235" t="inlineStr">
        <is>
          <t>Configuration / Integration</t>
        </is>
      </c>
      <c r="H41" t="inlineStr">
        <is>
          <t>M</t>
        </is>
      </c>
      <c r="I41" s="235" t="inlineStr">
        <is>
          <t>Onshore</t>
        </is>
      </c>
    </row>
    <row r="42">
      <c r="F42" t="inlineStr">
        <is>
          <t>Trading &amp; Shipping Data</t>
        </is>
      </c>
      <c r="G42" s="235" t="inlineStr">
        <is>
          <t>Enterprise Data and Insights</t>
        </is>
      </c>
      <c r="H42" t="inlineStr">
        <is>
          <t>M</t>
        </is>
      </c>
      <c r="I42" s="235" t="inlineStr">
        <is>
          <t>Onshore</t>
        </is>
      </c>
    </row>
    <row r="43">
      <c r="E43" t="inlineStr">
        <is>
          <t>Supply</t>
        </is>
      </c>
      <c r="F43" t="inlineStr">
        <is>
          <t>Supply</t>
        </is>
      </c>
      <c r="G43" s="235" t="inlineStr">
        <is>
          <t>Configuration / Integration</t>
        </is>
      </c>
      <c r="H43" t="inlineStr">
        <is>
          <t>M</t>
        </is>
      </c>
      <c r="I43" s="235" t="inlineStr">
        <is>
          <t>Onshore</t>
        </is>
      </c>
    </row>
    <row r="44">
      <c r="E44" t="inlineStr">
        <is>
          <t>CTRM</t>
        </is>
      </c>
      <c r="F44" t="inlineStr">
        <is>
          <t>CTRM</t>
        </is>
      </c>
      <c r="G44" s="235" t="inlineStr">
        <is>
          <t>Configuration / Integration</t>
        </is>
      </c>
      <c r="H44" t="inlineStr">
        <is>
          <t>M</t>
        </is>
      </c>
      <c r="I44" s="235" t="inlineStr">
        <is>
          <t>Onshore</t>
        </is>
      </c>
    </row>
    <row r="46">
      <c r="D46" t="inlineStr">
        <is>
          <t>Z Retail</t>
        </is>
      </c>
      <c r="E46" t="inlineStr">
        <is>
          <t>Z Supply</t>
        </is>
      </c>
      <c r="F46" t="inlineStr">
        <is>
          <t>Z Supply</t>
        </is>
      </c>
      <c r="G46" s="235" t="inlineStr">
        <is>
          <t>Configuration / Integration</t>
        </is>
      </c>
      <c r="H46" s="235" t="inlineStr">
        <is>
          <t>M</t>
        </is>
      </c>
      <c r="I46" s="235" t="inlineStr">
        <is>
          <t>Onshore</t>
        </is>
      </c>
    </row>
    <row r="47">
      <c r="E47" t="inlineStr">
        <is>
          <t>Z Customer</t>
        </is>
      </c>
      <c r="F47" t="inlineStr">
        <is>
          <t>Site Systems</t>
        </is>
      </c>
      <c r="G47" s="235" t="inlineStr">
        <is>
          <t>Configuration / Integration</t>
        </is>
      </c>
      <c r="H47" s="235" t="inlineStr">
        <is>
          <t>M</t>
        </is>
      </c>
      <c r="I47" s="235" t="inlineStr">
        <is>
          <t>Onshore</t>
        </is>
      </c>
    </row>
    <row r="48">
      <c r="F48" t="inlineStr">
        <is>
          <t>Z Retail Backend</t>
        </is>
      </c>
      <c r="G48" s="235" t="inlineStr">
        <is>
          <t>Engineering</t>
        </is>
      </c>
      <c r="H48" s="235" t="inlineStr">
        <is>
          <t>M</t>
        </is>
      </c>
      <c r="I48" s="235" t="inlineStr">
        <is>
          <t>Onshore</t>
        </is>
      </c>
    </row>
    <row r="50">
      <c r="D50" t="inlineStr">
        <is>
          <t>TDD Cyber</t>
        </is>
      </c>
      <c r="E50" t="inlineStr">
        <is>
          <t>TDD Cyber</t>
        </is>
      </c>
      <c r="F50" t="inlineStr">
        <is>
          <t>TDD Cyber</t>
        </is>
      </c>
      <c r="G50" s="235" t="inlineStr">
        <is>
          <t>Operations</t>
        </is>
      </c>
      <c r="H50" s="235" t="inlineStr">
        <is>
          <t>M</t>
        </is>
      </c>
      <c r="I50" s="235" t="inlineStr">
        <is>
          <t>Onshore</t>
        </is>
      </c>
    </row>
    <row r="52">
      <c r="C52" t="inlineStr">
        <is>
          <t>COE</t>
        </is>
      </c>
      <c r="D52" t="inlineStr">
        <is>
          <t>Business Partnering</t>
        </is>
      </c>
    </row>
    <row r="53">
      <c r="D53" t="inlineStr">
        <is>
          <t>Strategy, Architecture, Enterprise Data &amp; AI</t>
        </is>
      </c>
    </row>
    <row r="54">
      <c r="D54" t="inlineStr">
        <is>
          <t>Cyber, Risk &amp; Service Operations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Normal="100" workbookViewId="0">
      <selection activeCell="A1" sqref="A1"/>
    </sheetView>
  </sheetViews>
  <sheetFormatPr baseColWidth="8" defaultColWidth="8.6328125" defaultRowHeight="14.5"/>
  <sheetData>
    <row r="1">
      <c r="A1" t="inlineStr">
        <is>
          <t>Squad Types</t>
        </is>
      </c>
      <c r="B1" t="inlineStr">
        <is>
          <t>Sizes</t>
        </is>
      </c>
      <c r="C1" t="inlineStr">
        <is>
          <t>On/Off</t>
        </is>
      </c>
      <c r="D1" t="inlineStr">
        <is>
          <t>Support %</t>
        </is>
      </c>
    </row>
    <row r="2">
      <c r="A2" t="inlineStr">
        <is>
          <t>Engineering</t>
        </is>
      </c>
      <c r="B2" t="inlineStr">
        <is>
          <t>XS</t>
        </is>
      </c>
      <c r="C2" t="inlineStr">
        <is>
          <t>Onshore</t>
        </is>
      </c>
      <c r="D2" s="236" t="n">
        <v>0</v>
      </c>
    </row>
    <row r="3">
      <c r="A3" t="inlineStr">
        <is>
          <t>Configuration / Integration</t>
        </is>
      </c>
      <c r="B3" t="inlineStr">
        <is>
          <t>S</t>
        </is>
      </c>
      <c r="C3" t="inlineStr">
        <is>
          <t>Offshore</t>
        </is>
      </c>
      <c r="D3" s="236" t="n">
        <v>0.2</v>
      </c>
    </row>
    <row r="4">
      <c r="A4" t="inlineStr">
        <is>
          <t>Product</t>
        </is>
      </c>
      <c r="B4" t="inlineStr">
        <is>
          <t>M</t>
        </is>
      </c>
      <c r="D4" s="236" t="n">
        <v>1</v>
      </c>
    </row>
    <row r="5">
      <c r="A5" t="inlineStr">
        <is>
          <t>Operations</t>
        </is>
      </c>
      <c r="B5" t="inlineStr">
        <is>
          <t>L</t>
        </is>
      </c>
    </row>
    <row r="6">
      <c r="A6" t="inlineStr">
        <is>
          <t>Enterprise Data and Insights</t>
        </is>
      </c>
    </row>
    <row r="7">
      <c r="A7" t="inlineStr">
        <is>
          <t>Build and Run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2026-07-20T10:52:13Z</dcterms:created>
  <dcterms:modified xsi:type="dcterms:W3CDTF">2026-07-20T14:07:33Z</dcterms:modified>
  <cp:lastModifiedBy>Leewaine Scott</cp:lastModifiedBy>
  <cp:revision>0</cp:revision>
</cp:coreProperties>
</file>