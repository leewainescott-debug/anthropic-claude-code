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hidden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visible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</fonts>
  <fills count="52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298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  <xf numFmtId="0" fontId="95" fillId="0" borderId="102" applyAlignment="1" pivotButton="0" quotePrefix="0" xfId="0">
      <alignment vertical="center"/>
    </xf>
    <xf numFmtId="0" fontId="94" fillId="43" borderId="99" pivotButton="0" quotePrefix="0" xfId="0"/>
    <xf numFmtId="0" fontId="95" fillId="0" borderId="99" applyAlignment="1" pivotButton="0" quotePrefix="0" xfId="0">
      <alignment horizontal="left" vertical="center"/>
    </xf>
    <xf numFmtId="187" fontId="67" fillId="0" borderId="102" pivotButton="0" quotePrefix="0" xfId="0"/>
    <xf numFmtId="187" fontId="60" fillId="0" borderId="102" pivotButton="0" quotePrefix="0" xfId="0"/>
    <xf numFmtId="187" fontId="48" fillId="0" borderId="102" pivotButton="0" quotePrefix="0" xfId="0"/>
    <xf numFmtId="188" fontId="48" fillId="0" borderId="102" pivotButton="0" quotePrefix="0" xfId="0"/>
    <xf numFmtId="0" fontId="95" fillId="51" borderId="102" applyAlignment="1" pivotButton="0" quotePrefix="0" xfId="0">
      <alignment vertical="bottom" wrapText="1"/>
    </xf>
    <xf numFmtId="0" fontId="95" fillId="45" borderId="101" pivotButton="0" quotePrefix="0" xfId="0"/>
    <xf numFmtId="3" fontId="94" fillId="51" borderId="102" applyAlignment="1" pivotButton="0" quotePrefix="0" xfId="0">
      <alignment vertical="bottom" wrapText="1"/>
    </xf>
    <xf numFmtId="187" fontId="47" fillId="0" borderId="102" pivotButton="0" quotePrefix="0" xfId="0"/>
    <xf numFmtId="187" fontId="61" fillId="0" borderId="102" pivotButton="0" quotePrefix="0" xfId="0"/>
    <xf numFmtId="187" fontId="67" fillId="47" borderId="101" applyAlignment="1" pivotButton="0" quotePrefix="0" xfId="0">
      <alignment horizontal="center" vertical="center"/>
    </xf>
    <xf numFmtId="187" fontId="94" fillId="51" borderId="101" applyAlignment="1" pivotButton="0" quotePrefix="0" xfId="0">
      <alignment vertical="bottom" wrapText="1"/>
    </xf>
    <xf numFmtId="187" fontId="94" fillId="51" borderId="102" applyAlignment="1" pivotButton="0" quotePrefix="0" xfId="0">
      <alignment vertical="bottom" wrapText="1"/>
    </xf>
    <xf numFmtId="3" fontId="94" fillId="51" borderId="102" applyAlignment="1" pivotButton="0" quotePrefix="0" xfId="10">
      <alignment vertical="bottom" wrapText="1"/>
    </xf>
    <xf numFmtId="3" fontId="57" fillId="0" borderId="101" pivotButton="0" quotePrefix="0" xfId="0"/>
    <xf numFmtId="0" fontId="95" fillId="42" borderId="101" pivotButton="0" quotePrefix="0" xfId="0"/>
    <xf numFmtId="0" fontId="95" fillId="51" borderId="101" applyAlignment="1" pivotButton="0" quotePrefix="0" xfId="0">
      <alignment vertical="bottom" wrapText="1"/>
    </xf>
    <xf numFmtId="0" fontId="94" fillId="47" borderId="101" applyAlignment="1" pivotButton="0" quotePrefix="0" xfId="0">
      <alignment horizontal="center" vertical="center"/>
    </xf>
    <xf numFmtId="3" fontId="94" fillId="51" borderId="0" applyAlignment="1" pivotButton="0" quotePrefix="0" xfId="0">
      <alignment vertical="bottom" wrapText="1"/>
    </xf>
    <xf numFmtId="3" fontId="67" fillId="0" borderId="102" pivotButton="0" quotePrefix="0" xfId="0"/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45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what the squad archetypes allow (roles)</t>
        </is>
      </c>
      <c r="C5" s="982">
        <f>'3.2 Total Cost'!$I$16</f>
        <v>319.5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(all 525)</t>
        </is>
      </c>
      <c r="C6" s="982">
        <f>'3.2 Total Cost'!$C$21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organisation costs today ($m)</t>
        </is>
      </c>
      <c r="C7" s="982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Delivery squads over the archetype by ($m)</t>
        </is>
      </c>
      <c r="C8" s="982">
        <f>'3.2 Total Cost'!$K$16</f>
        <v>3.3864702951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value on the table - cost of every vacancy ($m)</t>
        </is>
      </c>
      <c r="C9" s="983">
        <f>SUMIFS('REVIEW - Complete Role Mapping'!$AA$2:$AA$528,'REVIEW - Complete Role Mapping'!$AK$2:$AK$528,"Vacant")/1000000</f>
        <v>28.534492086</v>
      </c>
      <c r="D9" s="949" t="n"/>
      <c r="E9" s="949" t="n"/>
      <c r="F9" s="949" t="n"/>
      <c r="G9" s="949" t="n"/>
    </row>
    <row r="10">
      <c r="B10" s="289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Overhead is compared to its allowance, never added to a portfolio. The 8 GMs are the only overhead line with no role in the ledger.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carry no rate in 0.3, so they show no archetype comparison until one is set.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Delivery squads and overhead roles are separated on every 2.x tab, so archetype and actual always compare the same people.</t>
        </is>
      </c>
      <c r="C15" s="287" t="n"/>
      <c r="D15" s="287" t="n"/>
      <c r="E15" s="287" t="n"/>
      <c r="F15" s="287" t="n"/>
      <c r="G15" s="287" t="n"/>
    </row>
    <row r="17">
      <c r="B17" s="289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984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and COEs ($m)</t>
        </is>
      </c>
      <c r="C20" s="984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984">
        <f>'0.2 Data Config'!$E$27-'3.1 Group Summary'!$C$20</f>
        <v>3.3</v>
      </c>
      <c r="D21" s="949" t="n"/>
      <c r="E21" s="949" t="n"/>
      <c r="F21" s="949" t="n"/>
      <c r="G21" s="949" t="n"/>
    </row>
    <row r="22">
      <c r="B22" s="455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portfolios with an archetype ($m)</t>
        </is>
      </c>
      <c r="C23" s="984">
        <f>'3.2 Total Cost'!$J$16</f>
        <v>72.8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984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984">
        <f>'3.2 Total Cost'!$J$16+Lists!$AJ$8</f>
        <v>85.725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984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Delivery squads: actual over archetype ($m) - like for like</t>
        </is>
      </c>
      <c r="C27" s="984">
        <f>'3.2 Total Cost'!$K$16</f>
        <v>3.3864702951</v>
      </c>
      <c r="D27" s="949" t="n"/>
      <c r="E27" s="949" t="n"/>
      <c r="F27" s="949" t="n"/>
      <c r="G27" s="949" t="n"/>
    </row>
    <row r="28">
      <c r="B28" s="285" t="inlineStr">
        <is>
          <t>Overhead: actual over allowance ($m) - like for like</t>
        </is>
      </c>
      <c r="C28" s="984">
        <f>'3.2 Total Cost'!$H$36</f>
        <v>8.509633941</v>
      </c>
      <c r="D28" s="949" t="n"/>
      <c r="E28" s="949" t="n"/>
      <c r="F28" s="949" t="n"/>
      <c r="G28" s="949" t="n"/>
    </row>
    <row r="29">
      <c r="B29" s="455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plus vacant ($m)</t>
        </is>
      </c>
      <c r="C30" s="984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984">
        <f>SUMIFS('REVIEW - Complete Role Mapping'!$AA$2:$AA$528,'REVIEW - Complete Role Mapping'!$AK$2:$AK$528,"Filled")/1000000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984">
        <f>SUMIFS('REVIEW - Complete Role Mapping'!$AA$2:$AA$528,'REVIEW - Complete Role Mapping'!$AK$2:$AK$528,"Vacant")/1000000</f>
        <v>28.534492086</v>
      </c>
      <c r="D32" s="949" t="n"/>
      <c r="E32" s="949" t="n"/>
      <c r="F32" s="949" t="n"/>
      <c r="G32" s="949" t="n"/>
    </row>
    <row r="33">
      <c r="B33" s="285" t="inlineStr">
        <is>
          <t>Delivery squad cost ($m)</t>
        </is>
      </c>
      <c r="C33" s="984">
        <f>'3.2 Total Cost'!$H$21</f>
        <v>98.7786283271</v>
      </c>
      <c r="D33" s="949" t="n"/>
      <c r="E33" s="949" t="n"/>
      <c r="F33" s="949" t="n"/>
      <c r="G33" s="949" t="n"/>
    </row>
    <row r="35">
      <c r="B35" s="289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delivery squads</t>
        </is>
      </c>
      <c r="C36" s="458">
        <f>'3.2 Total Cost'!$I$16</f>
        <v>319.5</v>
      </c>
      <c r="D36" s="949" t="n"/>
      <c r="E36" s="949" t="n"/>
      <c r="F36" s="949" t="n"/>
      <c r="G36" s="949" t="n"/>
    </row>
    <row r="37">
      <c r="B37" s="285" t="inlineStr">
        <is>
          <t>Delivery squad roles actually raised</t>
        </is>
      </c>
      <c r="C37" s="458">
        <f>'3.2 Total Cost'!$G$16</f>
        <v>371</v>
      </c>
      <c r="D37" s="949" t="n"/>
      <c r="E37" s="949" t="n"/>
      <c r="F37" s="949" t="n"/>
      <c r="G37" s="949" t="n"/>
    </row>
    <row r="38">
      <c r="B38" s="285" t="inlineStr">
        <is>
          <t>Delivery squad roles beyond the archetype</t>
        </is>
      </c>
      <c r="C38" s="458">
        <f>'3.2 Total Cost'!$G$16-'3.2 Total Cost'!$I$16</f>
        <v>51.5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</t>
        </is>
      </c>
      <c r="C39" s="458">
        <f>'3.2 Total Cost'!$C$21-'3.2 Total Cost'!$C$16</f>
        <v>111</v>
      </c>
      <c r="D39" s="949" t="n"/>
      <c r="E39" s="949" t="n"/>
      <c r="F39" s="949" t="n"/>
      <c r="G39" s="949" t="n"/>
    </row>
    <row r="40">
      <c r="B40" s="285" t="inlineStr">
        <is>
          <t>All org roles</t>
        </is>
      </c>
      <c r="C40" s="458">
        <f>'3.3 FTE View'!$I$117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458">
        <f>'3.3 FTE View'!$G$117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458">
        <f>'3.3 FTE View'!$H$117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458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458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459">
        <f>'3.3 FTE View'!$L$117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289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984">
        <f>SUMIFS('REVIEW - Complete Role Mapping'!$AA$2:$AA$528,'REVIEW - Complete Role Mapping'!$AK$2:$AK$528,"Filled")/1000000</f>
        <v>86.5787701821</v>
      </c>
      <c r="D49" s="949" t="n"/>
      <c r="E49" s="949" t="n"/>
      <c r="F49" s="949" t="n"/>
      <c r="G49" s="949" t="n"/>
    </row>
    <row r="50">
      <c r="B50" s="285" t="inlineStr">
        <is>
          <t>Delivery squad cost over/(under) the archetype ($m)</t>
        </is>
      </c>
      <c r="C50" s="984">
        <f>'3.2 Total Cost'!$K$16</f>
        <v>3.3864702951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984">
        <f>SUMIFS('REVIEW - Complete Role Mapping'!$AA$2:$AA$528,'REVIEW - Complete Role Mapping'!$AK$2:$AK$528,"Vacant")/1000000</f>
        <v>28.534492086</v>
      </c>
      <c r="D51" s="949" t="n"/>
      <c r="E51" s="949" t="n"/>
      <c r="F51" s="949" t="n"/>
      <c r="G51" s="949" t="n"/>
    </row>
    <row r="52">
      <c r="B52" s="285" t="inlineStr">
        <is>
          <t>of which delivery squad roles ($m)</t>
        </is>
      </c>
      <c r="C52" s="984">
        <f>SUMIFS('REVIEW - Complete Role Mapping'!$AA$2:$AA$528,'REVIEW - Complete Role Mapping'!$AR$2:$AR$528,"Squad",'REVIEW - Complete Role Mapping'!$AK$2:$AK$528,"Vacant")/1000000</f>
        <v>23.602210198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Overhead roles inside the ledger ($m)</t>
        </is>
      </c>
      <c r="C54" s="984">
        <f>'3.2 Total Cost'!$M$21</f>
        <v>16.334633941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984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984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984">
        <f>'3.4 COE Summary'!$H$12</f>
        <v>11.672561818</v>
      </c>
      <c r="D59" s="949" t="n"/>
      <c r="E59" s="949" t="n"/>
      <c r="F59" s="949" t="n"/>
      <c r="G59" s="949" t="n"/>
    </row>
    <row r="61">
      <c r="B61" s="289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460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984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984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985">
        <f>IFERROR(INDEX('3.1 Group Summary'!$E$6:$E$19,MATCH($C$63,'3.1 Group Summary'!$B$6:$B$19,0)),"-")</f>
        <v>-8.505227457</v>
      </c>
    </row>
    <row r="67">
      <c r="B67" s="285" t="inlineStr">
        <is>
          <t>Delivery squad cost ($m)</t>
        </is>
      </c>
      <c r="C67" s="984">
        <f>IFERROR(INDEX('3.1 Group Summary'!$F$6:$F$19,MATCH($C$63,'3.1 Group Summary'!$B$6:$B$19,0)),"-")</f>
        <v>12.749611494</v>
      </c>
    </row>
    <row r="68">
      <c r="B68" s="285" t="inlineStr">
        <is>
          <t>Squad archetype cost ($m)</t>
        </is>
      </c>
      <c r="C68" s="984">
        <f>IFERROR(INDEX('3.1 Group Summary'!$G$6:$G$19,MATCH($C$63,'3.1 Group Summary'!$B$6:$B$19,0)),"-")</f>
        <v>10.9</v>
      </c>
    </row>
    <row r="69">
      <c r="B69" s="285" t="inlineStr">
        <is>
          <t>Variance to archetype ($m)</t>
        </is>
      </c>
      <c r="C69" s="984">
        <f>IFERROR(INDEX('3.1 Group Summary'!$H$6:$H$19,MATCH($C$63,'3.1 Group Summary'!$B$6:$B$19,0)),"-")</f>
        <v>1.849611494</v>
      </c>
    </row>
    <row r="70">
      <c r="B70" s="285" t="inlineStr">
        <is>
          <t>Overhead cost inside the portfolio ($m)</t>
        </is>
      </c>
      <c r="C70" s="984">
        <f>IFERROR(INDEX('3.1 Group Summary'!$I$6:$I$19,MATCH($C$63,'3.1 Group Summary'!$B$6:$B$19,0)),"-")</f>
        <v>1.255615963</v>
      </c>
    </row>
    <row r="71">
      <c r="B71" s="285" t="inlineStr">
        <is>
          <t>Roles</t>
        </is>
      </c>
      <c r="C71" s="986">
        <f>IFERROR(INDEX('3.1 Group Summary'!$J$6:$J$19,MATCH($C$63,'3.1 Group Summary'!$B$6:$B$19,0)),"-")</f>
        <v>70</v>
      </c>
    </row>
    <row r="72">
      <c r="B72" s="285" t="inlineStr">
        <is>
          <t>Org roles (excl leadership)</t>
        </is>
      </c>
      <c r="C72" s="458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458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458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458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Spend</t>
        </is>
      </c>
      <c r="G5" s="467" t="inlineStr">
        <is>
          <t>Variance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'3.4 COE Summary'!$F$8</f>
        <v>2.558617086</v>
      </c>
      <c r="G6" s="989">
        <f>SUM(E6-F6)</f>
        <v>-0.558617086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SUM(E7-F7)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'3.4 COE Summary'!$F$7</f>
        <v>3.10799923</v>
      </c>
      <c r="G8" s="989">
        <f>SUM(E8-F8)</f>
        <v>-1.10799923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>
        <f>'3.4 COE Summary'!$F$6</f>
        <v>1.092562592</v>
      </c>
      <c r="G9" s="989">
        <f>SUM(E9-F9)</f>
        <v>0.907437408</v>
      </c>
      <c r="H9" s="949" t="n"/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>
        <f>'3.4 COE Summary'!$F$9</f>
        <v>2.072105266</v>
      </c>
      <c r="G10" s="989">
        <f>SUM(E10-F10)</f>
        <v>-0.0721052659999999</v>
      </c>
      <c r="H10" s="949" t="n"/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('1.1 Ampol Retail'!$C$9+'1.1 Ampol Retail'!$D$9)</f>
        <v>6.0795</v>
      </c>
      <c r="G11" s="993">
        <f>SUM(E11-F11)</f>
        <v>-0.5795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('1.10 Z Retail'!$C$9+'1.10 Z Retail'!$D$9)</f>
        <v>6.6195</v>
      </c>
      <c r="G12" s="993">
        <f>SUM(E12-F12)</f>
        <v>-0.119500000000001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('1.2 Customer'!$C$9+'1.2 Customer'!$D$9)</f>
        <v>7.6495</v>
      </c>
      <c r="G13" s="988">
        <f>($E$13+$E$14)-$F$13</f>
        <v>-1.1495</v>
      </c>
      <c r="H13" s="994" t="inlineStr">
        <is>
          <t>Customer budget is rows 13+14 combined; F13 carries the whole portfolio</t>
        </is>
      </c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/>
      <c r="G14" s="988" t="str">
        <f>"see row 13"</f>
        <v>see row 13</v>
      </c>
      <c r="H14" s="949" t="n"/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'1.9 Commercial Fuels'!C9</f>
        <v>2.5525</v>
      </c>
      <c r="G15" s="993">
        <f>SUM(E15-F15)</f>
        <v>-0.0525000000000002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('1.8 Energy Solutions &amp; B2B'!$C$9+'1.8 Energy Solutions &amp; B2B'!$D$9)</f>
        <v>3.0275</v>
      </c>
      <c r="G16" s="993">
        <f>SUM(E16-F16)</f>
        <v>-0.5275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('1.7 Infrastructure'!$C$10+'1.7 Infrastructure'!$D$10)</f>
        <v>3.0525</v>
      </c>
      <c r="G17" s="993">
        <f>SUM(E17-F17)</f>
        <v>-0.5525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('1.5 P&amp;C'!$C$9+'1.5 P&amp;C'!$D$9)</f>
        <v>2.0125</v>
      </c>
      <c r="G18" s="993">
        <f>SUM(E18-F18)</f>
        <v>-0.0125000000000002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('1.6 Finance'!$C$9+'1.6 Finance'!$D$9)</f>
        <v>2.6425</v>
      </c>
      <c r="G19" s="993">
        <f>SUM(E19-F19)</f>
        <v>-0.6425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/>
      <c r="G20" s="988" t="n"/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('1.4 TDD Group Functions'!$C$9+'1.4 TDD Group Functions'!$D$9)</f>
        <v>5.4525</v>
      </c>
      <c r="G21" s="988">
        <f>SUM(E21-F21)</f>
        <v>0.0474999999999994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('1.3 Enterprise Data'!$C$9+'1.3 Enterprise Data'!$D$9)</f>
        <v>2.9785</v>
      </c>
      <c r="G22" s="988">
        <f>SUM(E22-F22)</f>
        <v>0.5215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'1.13 Cyber Roles'!$F$8</f>
        <v>9.897858294</v>
      </c>
      <c r="G23" s="993">
        <f>SUM(E23-F23)</f>
        <v>-6.397858294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/>
      <c r="G24" s="988" t="n"/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 t="n"/>
      <c r="G25" s="988" t="n"/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60.796142468</v>
      </c>
      <c r="G26" s="989">
        <f>SUM(G6:G25)</f>
        <v>-10.296142468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S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U2*(1+V2+X2+Z2)+Y2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IFERROR(INDEX(Lists!$U$1:$U$25,MATCH($I2,Lists!$T$1:$T$25,0)),"?")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technology",$C2)),"Head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U3*(1+V3+W3+X3+Y3+Z3)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IFERROR(INDEX(Lists!$U$1:$U$25,MATCH($I3,Lists!$T$1:$T$25,0)),"?")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technology",$C3)),"Head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/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S4*222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IFERROR(INDEX(Lists!$U$1:$U$25,MATCH($I4,Lists!$T$1:$T$25,0)),"?")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technology",$C4)),"Head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U5*(1+V5+X5+Z5)+Y5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IFERROR(INDEX(Lists!$U$1:$U$25,MATCH($I5,Lists!$T$1:$T$25,0)),"?")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technology",$C5)),"Head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U6*(1+V6+X6+Z6)+Y6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IFERROR(INDEX(Lists!$U$1:$U$25,MATCH($I6,Lists!$T$1:$T$25,0)),"?")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technology",$C6)),"Head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U7*(1+V7+W7+X7+Y7+Z7)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IFERROR(INDEX(Lists!$U$1:$U$25,MATCH($I7,Lists!$T$1:$T$25,0)),"?")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technology",$C7)),"Head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U8*(1+V8+W8+X8+Y8+Z8)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IFERROR(INDEX(Lists!$U$1:$U$25,MATCH($I8,Lists!$T$1:$T$25,0)),"?")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technology",$C8)),"Head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U9*(1+V9+X9+Z9)+Y9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IFERROR(INDEX(Lists!$U$1:$U$25,MATCH($I9,Lists!$T$1:$T$25,0)),"?")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technology",$C9)),"Head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U10*(1+V10+X10+Z10)+Y10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IFERROR(INDEX(Lists!$U$1:$U$25,MATCH($I10,Lists!$T$1:$T$25,0)),"?")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technology",$C10)),"Head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U11*(1+V11+W11+X11+Y11+Z11)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IFERROR(INDEX(Lists!$U$1:$U$25,MATCH($I11,Lists!$T$1:$T$25,0)),"?")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technology",$C11)),"Head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U12*(1+V12+X12+Z12)+Y12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IFERROR(INDEX(Lists!$U$1:$U$25,MATCH($I12,Lists!$T$1:$T$25,0)),"?")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technology",$C12)),"Head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U13*(1+V13+W13+X13+Y13+Z13)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IFERROR(INDEX(Lists!$U$1:$U$25,MATCH($I13,Lists!$T$1:$T$25,0)),"?")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technology",$C13)),"Head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U14*(1+V14+W14+X14+Y14+Z14)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IFERROR(INDEX(Lists!$U$1:$U$25,MATCH($I14,Lists!$T$1:$T$25,0)),"?")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technology",$C14)),"Head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U15*(1+V15+X15+Z15)+Y15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IFERROR(INDEX(Lists!$U$1:$U$25,MATCH($I15,Lists!$T$1:$T$25,0)),"?")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technology",$C15)),"Head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U16*(1+V16+X16+Z16)+Y16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IFERROR(INDEX(Lists!$U$1:$U$25,MATCH($I16,Lists!$T$1:$T$25,0)),"?")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technology",$C16)),"Head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U17*(1+V17+X17+Z17)+Y17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IFERROR(INDEX(Lists!$U$1:$U$25,MATCH($I17,Lists!$T$1:$T$25,0)),"?")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technology",$C17)),"Head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U18*(1+V18+X18+Z18)+Y18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IFERROR(INDEX(Lists!$U$1:$U$25,MATCH($I18,Lists!$T$1:$T$25,0)),"?")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technology",$C18)),"Head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U19*(1+V19+X19+Z19)+Y19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IFERROR(INDEX(Lists!$U$1:$U$25,MATCH($I19,Lists!$T$1:$T$25,0)),"?")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technology",$C19)),"Head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U20*(1+V20+X20+Z20)+Y20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IFERROR(INDEX(Lists!$U$1:$U$25,MATCH($I20,Lists!$T$1:$T$25,0)),"?")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technology",$C20)),"Head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U21*(1+V21+X21+Z21)+Y21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IFERROR(INDEX(Lists!$U$1:$U$25,MATCH($I21,Lists!$T$1:$T$25,0)),"?")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technology",$C21)),"Head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U22*(1+V22+W22+X22+Y22+Z22)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IFERROR(INDEX(Lists!$U$1:$U$25,MATCH($I22,Lists!$T$1:$T$25,0)),"?")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technology",$C22)),"Head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U23*(1+V23+W23+X23+Y23+Z23)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IFERROR(INDEX(Lists!$U$1:$U$25,MATCH($I23,Lists!$T$1:$T$25,0)),"?")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technology",$C23)),"Head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U24*(1+V24+X24+Z24)+Y24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IFERROR(INDEX(Lists!$U$1:$U$25,MATCH($I24,Lists!$T$1:$T$25,0)),"?")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technology",$C24)),"Head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U25*(1+V25+X25+Z25)+Y25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IFERROR(INDEX(Lists!$U$1:$U$25,MATCH($I25,Lists!$T$1:$T$25,0)),"?")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technology",$C25)),"Head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U26*(1+V26+W26+X26+Y26+Z26)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IFERROR(INDEX(Lists!$U$1:$U$25,MATCH($I26,Lists!$T$1:$T$25,0)),"?")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technology",$C26)),"Head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U27*(1+V27+W27+X27+Y27+Z27)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IFERROR(INDEX(Lists!$U$1:$U$25,MATCH($I27,Lists!$T$1:$T$25,0)),"?")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technology",$C27)),"Head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U28*(1+V28+X28+Z28)+Y28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IFERROR(INDEX(Lists!$U$1:$U$25,MATCH($I28,Lists!$T$1:$T$25,0)),"?")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technology",$C28)),"Head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U29*(1+V29+W29+X29+Y29+Z29)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IFERROR(INDEX(Lists!$U$1:$U$25,MATCH($I29,Lists!$T$1:$T$25,0)),"?")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technology",$C29)),"Head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U30*(1+V30+X30+Z30)+Y30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IFERROR(INDEX(Lists!$U$1:$U$25,MATCH($I30,Lists!$T$1:$T$25,0)),"?")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technology",$C30)),"Head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U31*(1+V31+W31+X31+Y31+Z31)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IFERROR(INDEX(Lists!$U$1:$U$25,MATCH($I31,Lists!$T$1:$T$25,0)),"?")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technology",$C31)),"Head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U32*(1+V32+X32+Z32)+Y32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IFERROR(INDEX(Lists!$U$1:$U$25,MATCH($I32,Lists!$T$1:$T$25,0)),"?")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technology",$C32)),"Head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/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U33*(1+V33+X33+Z33)+Y33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IFERROR(INDEX(Lists!$U$1:$U$25,MATCH($I33,Lists!$T$1:$T$25,0)),"?")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technology",$C33)),"Head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U34*(1+V34+X34+Z34)+Y34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IFERROR(INDEX(Lists!$U$1:$U$25,MATCH($I34,Lists!$T$1:$T$25,0)),"?")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technology",$C34)),"Head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U35*(1+V35+W35+X35+Y35+Z35)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IFERROR(INDEX(Lists!$U$1:$U$25,MATCH($I35,Lists!$T$1:$T$25,0)),"?")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technology",$C35)),"Head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U36*(1+V36+W36+X36+Y36+Z36)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IFERROR(INDEX(Lists!$U$1:$U$25,MATCH($I36,Lists!$T$1:$T$25,0)),"?")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technology",$C36)),"Head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U37*(1+V37+W37+X37+Y37+Z37)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IFERROR(INDEX(Lists!$U$1:$U$25,MATCH($I37,Lists!$T$1:$T$25,0)),"?")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technology",$C37)),"Head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U38*(1+V38+X38+Z38)+Y38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IFERROR(INDEX(Lists!$U$1:$U$25,MATCH($I38,Lists!$T$1:$T$25,0)),"?")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technology",$C38)),"Head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U39*(1+V39+X39+Z39)+Y39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IFERROR(INDEX(Lists!$U$1:$U$25,MATCH($I39,Lists!$T$1:$T$25,0)),"?")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technology",$C39)),"Head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U40*(1+V40+X40+Z40)+Y40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IFERROR(INDEX(Lists!$U$1:$U$25,MATCH($I40,Lists!$T$1:$T$25,0)),"?")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technology",$C40)),"Head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U41*(1+V41+W41+X41+Y41+Z41)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IFERROR(INDEX(Lists!$U$1:$U$25,MATCH($I41,Lists!$T$1:$T$25,0)),"?")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technology",$C41)),"Head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U42*(1+V42+W42+X42+Y42+Z42)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IFERROR(INDEX(Lists!$U$1:$U$25,MATCH($I42,Lists!$T$1:$T$25,0)),"?")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technology",$C42)),"Head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U43*(1+V43+X43+Z43)+Y43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IFERROR(INDEX(Lists!$U$1:$U$25,MATCH($I43,Lists!$T$1:$T$25,0)),"?")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technology",$C43)),"Head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U44*(1+V44+X44+Z44)+Y44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IFERROR(INDEX(Lists!$U$1:$U$25,MATCH($I44,Lists!$T$1:$T$25,0)),"?")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technology",$C44)),"Head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U45*(1+V45+W45+X45+Y45+Z45)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IFERROR(INDEX(Lists!$U$1:$U$25,MATCH($I45,Lists!$T$1:$T$25,0)),"?")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technology",$C45)),"Head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U46*(1+V46+W46+X46+Y46+Z46)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IFERROR(INDEX(Lists!$U$1:$U$25,MATCH($I46,Lists!$T$1:$T$25,0)),"?")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technology",$C46)),"Head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U47*(1+V47+W47+X47+Y47+Z47)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IFERROR(INDEX(Lists!$U$1:$U$25,MATCH($I47,Lists!$T$1:$T$25,0)),"?")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technology",$C47)),"Head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U48*(1+V48+X48+Z48)+Y48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IFERROR(INDEX(Lists!$U$1:$U$25,MATCH($I48,Lists!$T$1:$T$25,0)),"?")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technology",$C48)),"Head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U49*(1+V49+X49+Z49)+Y49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IFERROR(INDEX(Lists!$U$1:$U$25,MATCH($I49,Lists!$T$1:$T$25,0)),"?")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technology",$C49)),"Head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U50*(1+V50+W50+X50+Y50+Z50)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IFERROR(INDEX(Lists!$U$1:$U$25,MATCH($I50,Lists!$T$1:$T$25,0)),"?")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technology",$C50)),"Head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U51*(1+V51+W51+X51+Y51+Z51)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IFERROR(INDEX(Lists!$U$1:$U$25,MATCH($I51,Lists!$T$1:$T$25,0)),"?")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technology",$C51)),"Head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U52*(1+V52+W52+X52+Y52+Z52)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IFERROR(INDEX(Lists!$U$1:$U$25,MATCH($I52,Lists!$T$1:$T$25,0)),"?")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technology",$C52)),"Head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U53*(1+V53+W53+X53+Y53+Z53)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IFERROR(INDEX(Lists!$U$1:$U$25,MATCH($I53,Lists!$T$1:$T$25,0)),"?")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technology",$C53)),"Head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U54*(1+V54+W54+X54+Y54+Z54)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IFERROR(INDEX(Lists!$U$1:$U$25,MATCH($I54,Lists!$T$1:$T$25,0)),"?")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technology",$C54)),"Head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U55*(1+V55+X55+Z55)+Y55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IFERROR(INDEX(Lists!$U$1:$U$25,MATCH($I55,Lists!$T$1:$T$25,0)),"?")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technology",$C55)),"Head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U56*(1+V56+W56+X56+Y56+Z56)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IFERROR(INDEX(Lists!$U$1:$U$25,MATCH($I56,Lists!$T$1:$T$25,0)),"?")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technology",$C56)),"Head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U57*(1+V57+W57+X57+Y57+Z57)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IFERROR(INDEX(Lists!$U$1:$U$25,MATCH($I57,Lists!$T$1:$T$25,0)),"?")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technology",$C57)),"Head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/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U58*(1+V58+W58+X58+Y58+Z58)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IFERROR(INDEX(Lists!$U$1:$U$25,MATCH($I58,Lists!$T$1:$T$25,0)),"?")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technology",$C58)),"Head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U59*(1+V59+W59+X59+Y59+Z59)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IFERROR(INDEX(Lists!$U$1:$U$25,MATCH($I59,Lists!$T$1:$T$25,0)),"?")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technology",$C59)),"Head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U60*(1+V60+W60+X60+Y60+Z60)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IFERROR(INDEX(Lists!$U$1:$U$25,MATCH($I60,Lists!$T$1:$T$25,0)),"?")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technology",$C60)),"Head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U61*(1+V61+W61+X61+Y61+Z61)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IFERROR(INDEX(Lists!$U$1:$U$25,MATCH($I61,Lists!$T$1:$T$25,0)),"?")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technology",$C61)),"Head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U62*(1+V62+X62+Z62)+Y62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IFERROR(INDEX(Lists!$U$1:$U$25,MATCH($I62,Lists!$T$1:$T$25,0)),"?")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technology",$C62)),"Head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U63*(1+V63+W63+X63+Y63+Z63)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IFERROR(INDEX(Lists!$U$1:$U$25,MATCH($I63,Lists!$T$1:$T$25,0)),"?")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technology",$C63)),"Head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U64*(1+V64+X64+Z64)+Y64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IFERROR(INDEX(Lists!$U$1:$U$25,MATCH($I64,Lists!$T$1:$T$25,0)),"?")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technology",$C64)),"Head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U65*(1+V65+W65+X65+Y65+Z65)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IFERROR(INDEX(Lists!$U$1:$U$25,MATCH($I65,Lists!$T$1:$T$25,0)),"?")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technology",$C65)),"Head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U66*(1+V66+W66+X66+Y66+Z66)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IFERROR(INDEX(Lists!$U$1:$U$25,MATCH($I66,Lists!$T$1:$T$25,0)),"?")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technology",$C66)),"Head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U67*(1+V67+W67+X67+Y67+Z67)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IFERROR(INDEX(Lists!$U$1:$U$25,MATCH($I67,Lists!$T$1:$T$25,0)),"?")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technology",$C67)),"Head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U68*(1+V68+W68+X68+Y68+Z68)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IFERROR(INDEX(Lists!$U$1:$U$25,MATCH($I68,Lists!$T$1:$T$25,0)),"?")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technology",$C68)),"Head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/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U69*(1+V69+W69+X69+Y69+Z69)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IFERROR(INDEX(Lists!$U$1:$U$25,MATCH($I69,Lists!$T$1:$T$25,0)),"?")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technology",$C69)),"Head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U70*(1+V70+W70+X70+Y70+Z70)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IFERROR(INDEX(Lists!$U$1:$U$25,MATCH($I70,Lists!$T$1:$T$25,0)),"?")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technology",$C70)),"Head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U71*(1+V71+W71+X71+Y71+Z71)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IFERROR(INDEX(Lists!$U$1:$U$25,MATCH($I71,Lists!$T$1:$T$25,0)),"?")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technology",$C71)),"Head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U72*(1+V72+W72+X72+Y72+Z72)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IFERROR(INDEX(Lists!$U$1:$U$25,MATCH($I72,Lists!$T$1:$T$25,0)),"?")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technology",$C72)),"Head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U73*(1+V73+W73+X73+Y73+Z73)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IFERROR(INDEX(Lists!$U$1:$U$25,MATCH($I73,Lists!$T$1:$T$25,0)),"?")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technology",$C73)),"Head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U74*(1+V74+W74+X74+Y74+Z74)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IFERROR(INDEX(Lists!$U$1:$U$25,MATCH($I74,Lists!$T$1:$T$25,0)),"?")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technology",$C74)),"Head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U75*(1+V75+W75+X75+Y75+Z75)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IFERROR(INDEX(Lists!$U$1:$U$25,MATCH($I75,Lists!$T$1:$T$25,0)),"?")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technology",$C75)),"Head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U76*(1+V76+W76+X76+Y76+Z76)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IFERROR(INDEX(Lists!$U$1:$U$25,MATCH($I76,Lists!$T$1:$T$25,0)),"?")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technology",$C76)),"Head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U77*(1+V77+W77+X77+Y77+Z77)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IFERROR(INDEX(Lists!$U$1:$U$25,MATCH($I77,Lists!$T$1:$T$25,0)),"?")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technology",$C77)),"Head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U78*(1+V78+W78+X78+Y78+Z78)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IFERROR(INDEX(Lists!$U$1:$U$25,MATCH($I78,Lists!$T$1:$T$25,0)),"?")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technology",$C78)),"Head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U79*(1+V79+W79+X79+Y79+Z79)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IFERROR(INDEX(Lists!$U$1:$U$25,MATCH($I79,Lists!$T$1:$T$25,0)),"?")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technology",$C79)),"Head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U80*(1+V80+W80+X80+Y80+Z80)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IFERROR(INDEX(Lists!$U$1:$U$25,MATCH($I80,Lists!$T$1:$T$25,0)),"?")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technology",$C80)),"Head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U81*(1+V81+W81+X81+Y81+Z81)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IFERROR(INDEX(Lists!$U$1:$U$25,MATCH($I81,Lists!$T$1:$T$25,0)),"?")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technology",$C81)),"Head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U82*(1+V82+X82+Z82)+Y82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IFERROR(INDEX(Lists!$U$1:$U$25,MATCH($I82,Lists!$T$1:$T$25,0)),"?")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technology",$C82)),"Head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U83*(1+V83+W83+X83+Y83+Z83)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IFERROR(INDEX(Lists!$U$1:$U$25,MATCH($I83,Lists!$T$1:$T$25,0)),"?")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technology",$C83)),"Head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U84*(1+V84+W84+X84+Y84+Z84)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IFERROR(INDEX(Lists!$U$1:$U$25,MATCH($I84,Lists!$T$1:$T$25,0)),"?")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technology",$C84)),"Head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U85*(1+V85+W85+X85+Y85+Z85)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IFERROR(INDEX(Lists!$U$1:$U$25,MATCH($I85,Lists!$T$1:$T$25,0)),"?")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technology",$C85)),"Head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U86*(1+V86+W86+X86+Y86+Z86)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IFERROR(INDEX(Lists!$U$1:$U$25,MATCH($I86,Lists!$T$1:$T$25,0)),"?")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technology",$C86)),"Head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U87*(1+V87+W87+X87+Y87+Z87)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IFERROR(INDEX(Lists!$U$1:$U$25,MATCH($I87,Lists!$T$1:$T$25,0)),"?")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technology",$C87)),"Head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U88*(1+V88+W88+X88+Y88+Z88)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IFERROR(INDEX(Lists!$U$1:$U$25,MATCH($I88,Lists!$T$1:$T$25,0)),"?")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technology",$C88)),"Head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U89*(1+V89+W89+X89+Y89+Z89)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IFERROR(INDEX(Lists!$U$1:$U$25,MATCH($I89,Lists!$T$1:$T$25,0)),"?")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technology",$C89)),"Head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U90*(1+V90+W90+X90+Y90+Z90)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IFERROR(INDEX(Lists!$U$1:$U$25,MATCH($I90,Lists!$T$1:$T$25,0)),"?")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technology",$C90)),"Head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U91*(1+V91+W91+X91+Y91+Z91)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IFERROR(INDEX(Lists!$U$1:$U$25,MATCH($I91,Lists!$T$1:$T$25,0)),"?")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technology",$C91)),"Head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U92*(1+V92+W92+X92+Y92+Z92)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IFERROR(INDEX(Lists!$U$1:$U$25,MATCH($I92,Lists!$T$1:$T$25,0)),"?")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technology",$C92)),"Head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U93*(1+V93+W93+X93+Y93+Z93)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IFERROR(INDEX(Lists!$U$1:$U$25,MATCH($I93,Lists!$T$1:$T$25,0)),"?")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technology",$C93)),"Head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/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U94*(1+V94+W94+X94+Y94+Z94)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IFERROR(INDEX(Lists!$U$1:$U$25,MATCH($I94,Lists!$T$1:$T$25,0)),"?")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technology",$C94)),"Head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U95*(1+V95+W95+X95+Y95+Z95)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IFERROR(INDEX(Lists!$U$1:$U$25,MATCH($I95,Lists!$T$1:$T$25,0)),"?")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technology",$C95)),"Head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U96*(1+V96+W96+X96+Y96+Z96)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IFERROR(INDEX(Lists!$U$1:$U$25,MATCH($I96,Lists!$T$1:$T$25,0)),"?")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technology",$C96)),"Head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U97*(1+V97+W97+X97+Y97+Z97)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IFERROR(INDEX(Lists!$U$1:$U$25,MATCH($I97,Lists!$T$1:$T$25,0)),"?")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technology",$C97)),"Head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U98*(1+V98+X98+Z98)+Y98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IFERROR(INDEX(Lists!$U$1:$U$25,MATCH($I98,Lists!$T$1:$T$25,0)),"?")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technology",$C98)),"Head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U99*(1+V99+W99+X99+Y99+Z99)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IFERROR(INDEX(Lists!$U$1:$U$25,MATCH($I99,Lists!$T$1:$T$25,0)),"?")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technology",$C99)),"Head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/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U100*(1+V100+W100+X100+Y100+Z100)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IFERROR(INDEX(Lists!$U$1:$U$25,MATCH($I100,Lists!$T$1:$T$25,0)),"?")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technology",$C100)),"Head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U101*(1+V101+W101+X101+Y101+Z101)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IFERROR(INDEX(Lists!$U$1:$U$25,MATCH($I101,Lists!$T$1:$T$25,0)),"?")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technology",$C101)),"Head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U102*(1+V102+W102+X102+Y102+Z102)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IFERROR(INDEX(Lists!$U$1:$U$25,MATCH($I102,Lists!$T$1:$T$25,0)),"?")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technology",$C102)),"Head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U103*(1+V103+W103+X103+Y103+Z103)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IFERROR(INDEX(Lists!$U$1:$U$25,MATCH($I103,Lists!$T$1:$T$25,0)),"?")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technology",$C103)),"Head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S104*222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IFERROR(INDEX(Lists!$U$1:$U$25,MATCH($I104,Lists!$T$1:$T$25,0)),"?")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technology",$C104)),"Head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U105*(1+V105+X105+Z105)+Y105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IFERROR(INDEX(Lists!$U$1:$U$25,MATCH($I105,Lists!$T$1:$T$25,0)),"?")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technology",$C105)),"Head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U106*(1+V106+W106+X106+Y106+Z106)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IFERROR(INDEX(Lists!$U$1:$U$25,MATCH($I106,Lists!$T$1:$T$25,0)),"?")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technology",$C106)),"Head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U107*(1+V107+X107+Z107)+Y107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IFERROR(INDEX(Lists!$U$1:$U$25,MATCH($I107,Lists!$T$1:$T$25,0)),"?")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technology",$C107)),"Head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 t="n"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IFERROR(INDEX(Lists!$U$1:$U$25,MATCH($I108,Lists!$T$1:$T$25,0)),"?")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technology",$C108)),"Head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 t="n"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IFERROR(INDEX(Lists!$U$1:$U$25,MATCH($I109,Lists!$T$1:$T$25,0)),"?")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technology",$C109)),"Head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 t="n"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IFERROR(INDEX(Lists!$U$1:$U$25,MATCH($I110,Lists!$T$1:$T$25,0)),"?")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technology",$C110)),"Head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 t="n"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IFERROR(INDEX(Lists!$U$1:$U$25,MATCH($I111,Lists!$T$1:$T$25,0)),"?")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technology",$C111)),"Head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 t="n"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IFERROR(INDEX(Lists!$U$1:$U$25,MATCH($I112,Lists!$T$1:$T$25,0)),"?")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technology",$C112)),"Head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 t="n"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IFERROR(INDEX(Lists!$U$1:$U$25,MATCH($I113,Lists!$T$1:$T$25,0)),"?")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technology",$C113)),"Head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 t="n"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IFERROR(INDEX(Lists!$U$1:$U$25,MATCH($I114,Lists!$T$1:$T$25,0)),"?")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technology",$C114)),"Head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AU CRM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 t="n"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IFERROR(INDEX(Lists!$U$1:$U$25,MATCH($I115,Lists!$T$1:$T$25,0)),"?")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technology",$C115)),"Head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 t="n"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IFERROR(INDEX(Lists!$U$1:$U$25,MATCH($I116,Lists!$T$1:$T$25,0)),"?")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technology",$C116)),"Head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 t="n"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IFERROR(INDEX(Lists!$U$1:$U$25,MATCH($I117,Lists!$T$1:$T$25,0)),"?")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technology",$C117)),"Head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Energy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 t="n"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IFERROR(INDEX(Lists!$U$1:$U$25,MATCH($I118,Lists!$T$1:$T$25,0)),"?")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technology",$C118)),"Head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Energy Apps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 t="n"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IFERROR(INDEX(Lists!$U$1:$U$25,MATCH($I119,Lists!$T$1:$T$25,0)),"?")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technology",$C119)),"Head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 t="n"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IFERROR(INDEX(Lists!$U$1:$U$25,MATCH($I120,Lists!$T$1:$T$25,0)),"?")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technology",$C120)),"Head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 t="n"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IFERROR(INDEX(Lists!$U$1:$U$25,MATCH($I121,Lists!$T$1:$T$25,0)),"?")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technology",$C121)),"Head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Energy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 t="n"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IFERROR(INDEX(Lists!$U$1:$U$25,MATCH($I122,Lists!$T$1:$T$25,0)),"?")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technology",$C122)),"Head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 t="n"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IFERROR(INDEX(Lists!$U$1:$U$25,MATCH($I123,Lists!$T$1:$T$25,0)),"?")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technology",$C123)),"Head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 t="n"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IFERROR(INDEX(Lists!$U$1:$U$25,MATCH($I124,Lists!$T$1:$T$25,0)),"?")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technology",$C124)),"Head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Energy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 t="n"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IFERROR(INDEX(Lists!$U$1:$U$25,MATCH($I125,Lists!$T$1:$T$25,0)),"?")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technology",$C125)),"Head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Energy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 t="n"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IFERROR(INDEX(Lists!$U$1:$U$25,MATCH($I126,Lists!$T$1:$T$25,0)),"?")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technology",$C126)),"Head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 t="n"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IFERROR(INDEX(Lists!$U$1:$U$25,MATCH($I127,Lists!$T$1:$T$25,0)),"?")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technology",$C127)),"Head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 t="n"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IFERROR(INDEX(Lists!$U$1:$U$25,MATCH($I128,Lists!$T$1:$T$25,0)),"?")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technology",$C128)),"Head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 t="n"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IFERROR(INDEX(Lists!$U$1:$U$25,MATCH($I129,Lists!$T$1:$T$25,0)),"?")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technology",$C129)),"Head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 t="n"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IFERROR(INDEX(Lists!$U$1:$U$25,MATCH($I130,Lists!$T$1:$T$25,0)),"?")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Energy Martech</v>
      </c>
      <c r="AQ130" s="949" t="b">
        <f>IF(TRIM($B130)="","",--OR(TRIM($K130)="Leadership",TRIM($J130)="Leadership"))</f>
        <v>0</v>
      </c>
      <c r="AR130" t="str">
        <f>IF(TRIM($B130)="","",IF(ISNUMBER(SEARCH("head of technology",$C130)),"Head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Energy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 t="n"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IFERROR(INDEX(Lists!$U$1:$U$25,MATCH($I131,Lists!$T$1:$T$25,0)),"?")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technology",$C131)),"Head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 t="n"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IFERROR(INDEX(Lists!$U$1:$U$25,MATCH($I132,Lists!$T$1:$T$25,0)),"?")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technology",$C132)),"Head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 t="n"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IFERROR(INDEX(Lists!$U$1:$U$25,MATCH($I133,Lists!$T$1:$T$25,0)),"?")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technology",$C133)),"Head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 t="n"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IFERROR(INDEX(Lists!$U$1:$U$25,MATCH($I134,Lists!$T$1:$T$25,0)),"?")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technology",$C134)),"Head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 t="n"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IFERROR(INDEX(Lists!$U$1:$U$25,MATCH($I135,Lists!$T$1:$T$25,0)),"?")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technology",$C135)),"Head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Energy Apps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 t="n"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IFERROR(INDEX(Lists!$U$1:$U$25,MATCH($I136,Lists!$T$1:$T$25,0)),"?")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technology",$C136)),"Head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 t="n"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IFERROR(INDEX(Lists!$U$1:$U$25,MATCH($I137,Lists!$T$1:$T$25,0)),"?")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technology",$C137)),"Head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AU CRM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 t="n"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IFERROR(INDEX(Lists!$U$1:$U$25,MATCH($I138,Lists!$T$1:$T$25,0)),"?")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technology",$C138)),"Head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AU CRM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 t="n"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IFERROR(INDEX(Lists!$U$1:$U$25,MATCH($I139,Lists!$T$1:$T$25,0)),"?")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technology",$C139)),"Head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Energy Martech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 t="n"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IFERROR(INDEX(Lists!$U$1:$U$25,MATCH($I140,Lists!$T$1:$T$25,0)),"?")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technology",$C140)),"Head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 t="n"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IFERROR(INDEX(Lists!$U$1:$U$25,MATCH($I141,Lists!$T$1:$T$25,0)),"?")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technology",$C141)),"Head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 t="n"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IFERROR(INDEX(Lists!$U$1:$U$25,MATCH($I142,Lists!$T$1:$T$25,0)),"?")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technology",$C142)),"Head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Energy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 t="n"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IFERROR(INDEX(Lists!$U$1:$U$25,MATCH($I143,Lists!$T$1:$T$25,0)),"?")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technology",$C143)),"Head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Energy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 t="n"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IFERROR(INDEX(Lists!$U$1:$U$25,MATCH($I144,Lists!$T$1:$T$25,0)),"?")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technology",$C144)),"Head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Energy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 t="n"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IFERROR(INDEX(Lists!$U$1:$U$25,MATCH($I145,Lists!$T$1:$T$25,0)),"?")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technology",$C145)),"Head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 t="n"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IFERROR(INDEX(Lists!$U$1:$U$25,MATCH($I146,Lists!$T$1:$T$25,0)),"?")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technology",$C146)),"Head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Energy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 t="n"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IFERROR(INDEX(Lists!$U$1:$U$25,MATCH($I147,Lists!$T$1:$T$25,0)),"?")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technology",$C147)),"Head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 t="n"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IFERROR(INDEX(Lists!$U$1:$U$25,MATCH($I148,Lists!$T$1:$T$25,0)),"?")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technology",$C148)),"Head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 t="n"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IFERROR(INDEX(Lists!$U$1:$U$25,MATCH($I149,Lists!$T$1:$T$25,0)),"?")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technology",$C149)),"Head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 t="n"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IFERROR(INDEX(Lists!$U$1:$U$25,MATCH($I150,Lists!$T$1:$T$25,0)),"?")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technology",$C150)),"Head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 t="n"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IFERROR(INDEX(Lists!$U$1:$U$25,MATCH($I151,Lists!$T$1:$T$25,0)),"?")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technology",$C151)),"Head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Energy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 t="n"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IFERROR(INDEX(Lists!$U$1:$U$25,MATCH($I152,Lists!$T$1:$T$25,0)),"?")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technology",$C152)),"Head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 t="n"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IFERROR(INDEX(Lists!$U$1:$U$25,MATCH($I153,Lists!$T$1:$T$25,0)),"?")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technology",$C153)),"Head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Energy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 t="n"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IFERROR(INDEX(Lists!$U$1:$U$25,MATCH($I154,Lists!$T$1:$T$25,0)),"?")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technology",$C154)),"Head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 t="n"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IFERROR(INDEX(Lists!$U$1:$U$25,MATCH($I155,Lists!$T$1:$T$25,0)),"?")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technology",$C155)),"Head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 t="n"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IFERROR(INDEX(Lists!$U$1:$U$25,MATCH($I156,Lists!$T$1:$T$25,0)),"?")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technology",$C156)),"Head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 t="n"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IFERROR(INDEX(Lists!$U$1:$U$25,MATCH($I157,Lists!$T$1:$T$25,0)),"?")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technology",$C157)),"Head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 t="n"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IFERROR(INDEX(Lists!$U$1:$U$25,MATCH($I158,Lists!$T$1:$T$25,0)),"?")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technology",$C158)),"Head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 t="n"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IFERROR(INDEX(Lists!$U$1:$U$25,MATCH($I159,Lists!$T$1:$T$25,0)),"?")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technology",$C159)),"Head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 t="n"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IFERROR(INDEX(Lists!$U$1:$U$25,MATCH($I160,Lists!$T$1:$T$25,0)),"?")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technology",$C160)),"Head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 t="n"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IFERROR(INDEX(Lists!$U$1:$U$25,MATCH($I161,Lists!$T$1:$T$25,0)),"?")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technology",$C161)),"Head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 t="n"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IFERROR(INDEX(Lists!$U$1:$U$25,MATCH($I162,Lists!$T$1:$T$25,0)),"?")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technology",$C162)),"Head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Energy Apps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 t="n"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IFERROR(INDEX(Lists!$U$1:$U$25,MATCH($I163,Lists!$T$1:$T$25,0)),"?")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technology",$C163)),"Head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 t="n"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IFERROR(INDEX(Lists!$U$1:$U$25,MATCH($I164,Lists!$T$1:$T$25,0)),"?")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technology",$C164)),"Head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Energy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 t="n"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IFERROR(INDEX(Lists!$U$1:$U$25,MATCH($I165,Lists!$T$1:$T$25,0)),"?")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technology",$C165)),"Head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Energy Apps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 t="n"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IFERROR(INDEX(Lists!$U$1:$U$25,MATCH($I166,Lists!$T$1:$T$25,0)),"?")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technology",$C166)),"Head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 t="n"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IFERROR(INDEX(Lists!$U$1:$U$25,MATCH($I167,Lists!$T$1:$T$25,0)),"?")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technology",$C167)),"Head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Energy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 t="n"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IFERROR(INDEX(Lists!$U$1:$U$25,MATCH($I168,Lists!$T$1:$T$25,0)),"?")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technology",$C168)),"Head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 t="n"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IFERROR(INDEX(Lists!$U$1:$U$25,MATCH($I169,Lists!$T$1:$T$25,0)),"?")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technology",$C169)),"Head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 t="n"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IFERROR(INDEX(Lists!$U$1:$U$25,MATCH($I170,Lists!$T$1:$T$25,0)),"?")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technology",$C170)),"Head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 t="n"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IFERROR(INDEX(Lists!$U$1:$U$25,MATCH($I171,Lists!$T$1:$T$25,0)),"?")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technology",$C171)),"Head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 t="n"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IFERROR(INDEX(Lists!$U$1:$U$25,MATCH($I172,Lists!$T$1:$T$25,0)),"?")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technology",$C172)),"Head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Energy Apps</v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 t="n"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IFERROR(INDEX(Lists!$U$1:$U$25,MATCH($I173,Lists!$T$1:$T$25,0)),"?")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technology",$C173)),"Head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 t="n"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IFERROR(INDEX(Lists!$U$1:$U$25,MATCH($I174,Lists!$T$1:$T$25,0)),"?")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technology",$C174)),"Head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 t="n"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IFERROR(INDEX(Lists!$U$1:$U$25,MATCH($I175,Lists!$T$1:$T$25,0)),"?")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technology",$C175)),"Head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 t="n"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IFERROR(INDEX(Lists!$U$1:$U$25,MATCH($I176,Lists!$T$1:$T$25,0)),"?")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technology",$C176)),"Head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 t="n"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IFERROR(INDEX(Lists!$U$1:$U$25,MATCH($I177,Lists!$T$1:$T$25,0)),"?")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technology",$C177)),"Head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 t="n"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IFERROR(INDEX(Lists!$U$1:$U$25,MATCH($I178,Lists!$T$1:$T$25,0)),"?")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technology",$C178)),"Head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AU CRM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 t="n"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IFERROR(INDEX(Lists!$U$1:$U$25,MATCH($I179,Lists!$T$1:$T$25,0)),"?")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technology",$C179)),"Head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AU CRM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 t="n"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IFERROR(INDEX(Lists!$U$1:$U$25,MATCH($I180,Lists!$T$1:$T$25,0)),"?")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technology",$C180)),"Head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AU CRM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 t="n"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IFERROR(INDEX(Lists!$U$1:$U$25,MATCH($I181,Lists!$T$1:$T$25,0)),"?")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technology",$C181)),"Head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AU CRM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 t="n"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IFERROR(INDEX(Lists!$U$1:$U$25,MATCH($I182,Lists!$T$1:$T$25,0)),"?")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technology",$C182)),"Head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 t="n"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IFERROR(INDEX(Lists!$U$1:$U$25,MATCH($I183,Lists!$T$1:$T$25,0)),"?")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technology",$C183)),"Head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 t="n"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IFERROR(INDEX(Lists!$U$1:$U$25,MATCH($I184,Lists!$T$1:$T$25,0)),"?")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technology",$C184)),"Head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 t="n"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IFERROR(INDEX(Lists!$U$1:$U$25,MATCH($I185,Lists!$T$1:$T$25,0)),"?")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AU CRM &amp; Martech</v>
      </c>
      <c r="AQ185" s="949" t="b">
        <f>IF(TRIM($B185)="","",--OR(TRIM($K185)="Leadership",TRIM($J185)="Leadership"))</f>
        <v>0</v>
      </c>
      <c r="AR185" t="str">
        <f>IF(TRIM($B185)="","",IF(ISNUMBER(SEARCH("head of technology",$C185)),"Head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AU CRM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 t="n"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IFERROR(INDEX(Lists!$U$1:$U$25,MATCH($I186,Lists!$T$1:$T$25,0)),"?")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AU CRM &amp; Martech</v>
      </c>
      <c r="AQ186" s="949" t="b">
        <f>IF(TRIM($B186)="","",--OR(TRIM($K186)="Leadership",TRIM($J186)="Leadership"))</f>
        <v>0</v>
      </c>
      <c r="AR186" t="str">
        <f>IF(TRIM($B186)="","",IF(ISNUMBER(SEARCH("head of technology",$C186)),"Head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AU CRM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 t="n"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IFERROR(INDEX(Lists!$U$1:$U$25,MATCH($I187,Lists!$T$1:$T$25,0)),"?")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technology",$C187)),"Head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 t="n"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IFERROR(INDEX(Lists!$U$1:$U$25,MATCH($I188,Lists!$T$1:$T$25,0)),"?")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Energy Martech</v>
      </c>
      <c r="AQ188" s="949" t="b">
        <f>IF(TRIM($B188)="","",--OR(TRIM($K188)="Leadership",TRIM($J188)="Leadership"))</f>
        <v>0</v>
      </c>
      <c r="AR188" t="str">
        <f>IF(TRIM($B188)="","",IF(ISNUMBER(SEARCH("head of technology",$C188)),"Head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Energy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 t="n"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IFERROR(INDEX(Lists!$U$1:$U$25,MATCH($I189,Lists!$T$1:$T$25,0)),"?")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technology",$C189)),"Head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 t="n"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IFERROR(INDEX(Lists!$U$1:$U$25,MATCH($I190,Lists!$T$1:$T$25,0)),"?")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technology",$C190)),"Head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 t="n"/>
      <c r="AB191" s="699" t="n"/>
      <c r="AC191" s="1053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 t="n"/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technology",$C191)),"Head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 t="n"/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 t="n"/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technology",$C192)),"Head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 t="n"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IFERROR(INDEX(Lists!$U$1:$U$25,MATCH($I193,Lists!$T$1:$T$25,0)),"?")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technology",$C193)),"Head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 t="n"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IFERROR(INDEX(Lists!$U$1:$U$25,MATCH($I194,Lists!$T$1:$T$25,0)),"?")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technology",$C194)),"Head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 t="n"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IFERROR(INDEX(Lists!$U$1:$U$25,MATCH($I195,Lists!$T$1:$T$25,0)),"?")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technology",$C195)),"Head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 t="n"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IFERROR(INDEX(Lists!$U$1:$U$25,MATCH($I196,Lists!$T$1:$T$25,0)),"?")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technology",$C196)),"Head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 t="n"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IFERROR(INDEX(Lists!$U$1:$U$25,MATCH($I197,Lists!$T$1:$T$25,0)),"?")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technology",$C197)),"Head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 t="n"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IFERROR(INDEX(Lists!$U$1:$U$25,MATCH($I198,Lists!$T$1:$T$25,0)),"?")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technology",$C198)),"Head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 t="n"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IFERROR(INDEX(Lists!$U$1:$U$25,MATCH($I199,Lists!$T$1:$T$25,0)),"?")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technology",$C199)),"Head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 t="n"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IFERROR(INDEX(Lists!$U$1:$U$25,MATCH($I200,Lists!$T$1:$T$25,0)),"?")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technology",$C200)),"Head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 t="n"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IFERROR(INDEX(Lists!$U$1:$U$25,MATCH($I201,Lists!$T$1:$T$25,0)),"?")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technology",$C201)),"Head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 t="n"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IFERROR(INDEX(Lists!$U$1:$U$25,MATCH($I202,Lists!$T$1:$T$25,0)),"?")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technology",$C202)),"Head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 t="n"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IFERROR(INDEX(Lists!$U$1:$U$25,MATCH($I203,Lists!$T$1:$T$25,0)),"?")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technology",$C203)),"Head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 t="n"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IFERROR(INDEX(Lists!$U$1:$U$25,MATCH($I204,Lists!$T$1:$T$25,0)),"?")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technology",$C204)),"Head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 t="n">
        <v>89758.00000000001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IFERROR(INDEX(Lists!$U$1:$U$25,MATCH($I205,Lists!$T$1:$T$25,0)),"?")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technology",$C205)),"Head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 t="n"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IFERROR(INDEX(Lists!$U$1:$U$25,MATCH($I206,Lists!$T$1:$T$25,0)),"?")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technology",$C206)),"Head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 t="n"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IFERROR(INDEX(Lists!$U$1:$U$25,MATCH($I207,Lists!$T$1:$T$25,0)),"?")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technology",$C207)),"Head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 t="n"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IFERROR(INDEX(Lists!$U$1:$U$25,MATCH($I208,Lists!$T$1:$T$25,0)),"?")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technology",$C208)),"Head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Squad</v>
      </c>
      <c r="AS208" t="str">
        <f>IF(TRIM($B208)="","",IFERROR(INDEX(Lists!$AA:$AA,MATCH($AP208,Lists!$Z:$Z,0)),$AP208))</f>
        <v>Cyber Strat &amp; Tech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 t="n"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IFERROR(INDEX(Lists!$U$1:$U$25,MATCH($I209,Lists!$T$1:$T$25,0)),"?")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technology",$C209)),"Head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 t="n"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IFERROR(INDEX(Lists!$U$1:$U$25,MATCH($I210,Lists!$T$1:$T$25,0)),"?")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technology",$C210)),"Head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 t="n"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IFERROR(INDEX(Lists!$U$1:$U$25,MATCH($I211,Lists!$T$1:$T$25,0)),"?")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technology",$C211)),"Head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 t="n"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IFERROR(INDEX(Lists!$U$1:$U$25,MATCH($I212,Lists!$T$1:$T$25,0)),"?")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technology",$C212)),"Head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 t="n"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IFERROR(INDEX(Lists!$U$1:$U$25,MATCH($I213,Lists!$T$1:$T$25,0)),"?")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technology",$C213)),"Head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 t="n"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IFERROR(INDEX(Lists!$U$1:$U$25,MATCH($I214,Lists!$T$1:$T$25,0)),"?")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technology",$C214)),"Head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 t="n"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IFERROR(INDEX(Lists!$U$1:$U$25,MATCH($I215,Lists!$T$1:$T$25,0)),"?")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technology",$C215)),"Head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 t="n"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IFERROR(INDEX(Lists!$U$1:$U$25,MATCH($I216,Lists!$T$1:$T$25,0)),"?")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technology",$C216)),"Head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 t="n"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IFERROR(INDEX(Lists!$U$1:$U$25,MATCH($I217,Lists!$T$1:$T$25,0)),"?")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technology",$C217)),"Head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 t="n"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IFERROR(INDEX(Lists!$U$1:$U$25,MATCH($I218,Lists!$T$1:$T$25,0)),"?")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technology",$C218)),"Head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 t="n"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IFERROR(INDEX(Lists!$U$1:$U$25,MATCH($I219,Lists!$T$1:$T$25,0)),"?")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technology",$C219)),"Head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 t="n"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IFERROR(INDEX(Lists!$U$1:$U$25,MATCH($I220,Lists!$T$1:$T$25,0)),"?")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technology",$C220)),"Head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 t="n"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IFERROR(INDEX(Lists!$U$1:$U$25,MATCH($I221,Lists!$T$1:$T$25,0)),"?")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technology",$C221)),"Head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 t="n"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IFERROR(INDEX(Lists!$U$1:$U$25,MATCH($I222,Lists!$T$1:$T$25,0)),"?")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technology",$C222)),"Head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Squad</v>
      </c>
      <c r="AS222" t="str">
        <f>IF(TRIM($B222)="","",IFERROR(INDEX(Lists!$AA:$AA,MATCH($AP222,Lists!$Z:$Z,0)),$AP222))</f>
        <v>Service Op &amp; Assurance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 t="n"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IFERROR(INDEX(Lists!$U$1:$U$25,MATCH($I223,Lists!$T$1:$T$25,0)),"?")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technology",$C223)),"Head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 t="n"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IFERROR(INDEX(Lists!$U$1:$U$25,MATCH($I224,Lists!$T$1:$T$25,0)),"?")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technology",$C224)),"Head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 t="n"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IFERROR(INDEX(Lists!$U$1:$U$25,MATCH($I225,Lists!$T$1:$T$25,0)),"?")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technology",$C225)),"Head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 t="n"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IFERROR(INDEX(Lists!$U$1:$U$25,MATCH($I226,Lists!$T$1:$T$25,0)),"?")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technology",$C226)),"Head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 t="n"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IFERROR(INDEX(Lists!$U$1:$U$25,MATCH($I227,Lists!$T$1:$T$25,0)),"?")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technology",$C227)),"Head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 t="n"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IFERROR(INDEX(Lists!$U$1:$U$25,MATCH($I228,Lists!$T$1:$T$25,0)),"?")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technology",$C228)),"Head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 t="n">
        <v>97237.78400000001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IFERROR(INDEX(Lists!$U$1:$U$25,MATCH($I229,Lists!$T$1:$T$25,0)),"?")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technology",$C229)),"Head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 t="n"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IFERROR(INDEX(Lists!$U$1:$U$25,MATCH($I230,Lists!$T$1:$T$25,0)),"?")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technology",$C230)),"Head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 t="n"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IFERROR(INDEX(Lists!$U$1:$U$25,MATCH($I231,Lists!$T$1:$T$25,0)),"?")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technology",$C231)),"Head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 t="n"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IFERROR(INDEX(Lists!$U$1:$U$25,MATCH($I232,Lists!$T$1:$T$25,0)),"?")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technology",$C232)),"Head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 t="n"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IFERROR(INDEX(Lists!$U$1:$U$25,MATCH($I233,Lists!$T$1:$T$25,0)),"?")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technology",$C233)),"Head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 t="n"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IFERROR(INDEX(Lists!$U$1:$U$25,MATCH($I234,Lists!$T$1:$T$25,0)),"?")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technology",$C234)),"Head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 t="n"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IFERROR(INDEX(Lists!$U$1:$U$25,MATCH($I235,Lists!$T$1:$T$25,0)),"?")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technology",$C235)),"Head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 t="n"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IFERROR(INDEX(Lists!$U$1:$U$25,MATCH($I236,Lists!$T$1:$T$25,0)),"?")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technology",$C236)),"Head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 t="n"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IFERROR(INDEX(Lists!$U$1:$U$25,MATCH($I237,Lists!$T$1:$T$25,0)),"?")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technology",$C237)),"Head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 t="n"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IFERROR(INDEX(Lists!$U$1:$U$25,MATCH($I238,Lists!$T$1:$T$25,0)),"?")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technology",$C238)),"Head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S239*222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IFERROR(INDEX(Lists!$U$1:$U$25,MATCH($I239,Lists!$T$1:$T$25,0)),"?")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technology",$C239)),"Head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S240*222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IFERROR(INDEX(Lists!$U$1:$U$25,MATCH($I240,Lists!$T$1:$T$25,0)),"?")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technology",$C240)),"Head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S241*222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IFERROR(INDEX(Lists!$U$1:$U$25,MATCH($I241,Lists!$T$1:$T$25,0)),"?")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technology",$C241)),"Head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S242*222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IFERROR(INDEX(Lists!$U$1:$U$25,MATCH($I242,Lists!$T$1:$T$25,0)),"?")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technology",$C242)),"Head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S243*222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IFERROR(INDEX(Lists!$U$1:$U$25,MATCH($I243,Lists!$T$1:$T$25,0)),"?")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technology",$C243)),"Head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S244*222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IFERROR(INDEX(Lists!$U$1:$U$25,MATCH($I244,Lists!$T$1:$T$25,0)),"?")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technology",$C244)),"Head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S245*222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IFERROR(INDEX(Lists!$U$1:$U$25,MATCH($I245,Lists!$T$1:$T$25,0)),"?")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technology",$C245)),"Head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S246*222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IFERROR(INDEX(Lists!$U$1:$U$25,MATCH($I246,Lists!$T$1:$T$25,0)),"?")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technology",$C246)),"Head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S247*222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IFERROR(INDEX(Lists!$U$1:$U$25,MATCH($I247,Lists!$T$1:$T$25,0)),"?")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technology",$C247)),"Head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S248*222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IFERROR(INDEX(Lists!$U$1:$U$25,MATCH($I248,Lists!$T$1:$T$25,0)),"?")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technology",$C248)),"Head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S249*222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IFERROR(INDEX(Lists!$U$1:$U$25,MATCH($I249,Lists!$T$1:$T$25,0)),"?")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technology",$C249)),"Head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U250*(1+V250+W250+X250+Y250+Z250)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IFERROR(INDEX(Lists!$U$1:$U$25,MATCH($I250,Lists!$T$1:$T$25,0)),"?")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technology",$C250)),"Head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S251*222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IFERROR(INDEX(Lists!$U$1:$U$25,MATCH($I251,Lists!$T$1:$T$25,0)),"?")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technology",$C251)),"Head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S252*222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IFERROR(INDEX(Lists!$U$1:$U$25,MATCH($I252,Lists!$T$1:$T$25,0)),"?")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technology",$C252)),"Head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S253*222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IFERROR(INDEX(Lists!$U$1:$U$25,MATCH($I253,Lists!$T$1:$T$25,0)),"?")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technology",$C253)),"Head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S254*222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IFERROR(INDEX(Lists!$U$1:$U$25,MATCH($I254,Lists!$T$1:$T$25,0)),"?")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technology",$C254)),"Head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 t="n"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IFERROR(INDEX(Lists!$U$1:$U$25,MATCH($I255,Lists!$T$1:$T$25,0)),"?")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technology",$C255)),"Head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 t="n"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IFERROR(INDEX(Lists!$U$1:$U$25,MATCH($I256,Lists!$T$1:$T$25,0)),"?")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technology",$C256)),"Head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 t="n"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IFERROR(INDEX(Lists!$U$1:$U$25,MATCH($I257,Lists!$T$1:$T$25,0)),"?")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technology",$C257)),"Head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 t="n"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IFERROR(INDEX(Lists!$U$1:$U$25,MATCH($I258,Lists!$T$1:$T$25,0)),"?")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technology",$C258)),"Head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 t="n"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IFERROR(INDEX(Lists!$U$1:$U$25,MATCH($I259,Lists!$T$1:$T$25,0)),"?")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technology",$C259)),"Head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 t="n"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IFERROR(INDEX(Lists!$U$1:$U$25,MATCH($I260,Lists!$T$1:$T$25,0)),"?")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technology",$C260)),"Head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 t="n"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IFERROR(INDEX(Lists!$U$1:$U$25,MATCH($I261,Lists!$T$1:$T$25,0)),"?")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technology",$C261)),"Head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 t="n"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IFERROR(INDEX(Lists!$U$1:$U$25,MATCH($I262,Lists!$T$1:$T$25,0)),"?")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technology",$C262)),"Head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 t="n"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IFERROR(INDEX(Lists!$U$1:$U$25,MATCH($I263,Lists!$T$1:$T$25,0)),"?")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technology",$C263)),"Head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 t="n"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IFERROR(INDEX(Lists!$U$1:$U$25,MATCH($I264,Lists!$T$1:$T$25,0)),"?")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technology",$C264)),"Head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 t="n"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IFERROR(INDEX(Lists!$U$1:$U$25,MATCH($I265,Lists!$T$1:$T$25,0)),"?")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technology",$C265)),"Head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 t="n"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IFERROR(INDEX(Lists!$U$1:$U$25,MATCH($I266,Lists!$T$1:$T$25,0)),"?")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technology",$C266)),"Head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 t="n"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IFERROR(INDEX(Lists!$U$1:$U$25,MATCH($I267,Lists!$T$1:$T$25,0)),"?")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technology",$C267)),"Head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 t="n"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IFERROR(INDEX(Lists!$U$1:$U$25,MATCH($I268,Lists!$T$1:$T$25,0)),"?")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technology",$C268)),"Head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 t="n">
        <v>439499.9999999999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IFERROR(INDEX(Lists!$U$1:$U$25,MATCH($I269,Lists!$T$1:$T$25,0)),"?")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technology",$C269)),"Head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 t="n"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IFERROR(INDEX(Lists!$U$1:$U$25,MATCH($I270,Lists!$T$1:$T$25,0)),"?")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technology",$C270)),"Head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Squad</v>
      </c>
      <c r="AS270" t="str">
        <f>IF(TRIM($B270)="","",IFERROR(INDEX(Lists!$AA:$AA,MATCH($AP270,Lists!$Z:$Z,0)),$AP270))</f>
        <v>Transformation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 t="n"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IFERROR(INDEX(Lists!$U$1:$U$25,MATCH($I271,Lists!$T$1:$T$25,0)),"?")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technology",$C271)),"Head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 t="n"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IFERROR(INDEX(Lists!$U$1:$U$25,MATCH($I272,Lists!$T$1:$T$25,0)),"?")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technology",$C272)),"Head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 t="n"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IFERROR(INDEX(Lists!$U$1:$U$25,MATCH($I273,Lists!$T$1:$T$25,0)),"?")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technology",$C273)),"Head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 t="n"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IFERROR(INDEX(Lists!$U$1:$U$25,MATCH($I274,Lists!$T$1:$T$25,0)),"?")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technology",$C274)),"Head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 t="n"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IFERROR(INDEX(Lists!$U$1:$U$25,MATCH($I275,Lists!$T$1:$T$25,0)),"?")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technology",$C275)),"Head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 t="n"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IFERROR(INDEX(Lists!$U$1:$U$25,MATCH($I276,Lists!$T$1:$T$25,0)),"?")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technology",$C276)),"Head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 t="n"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IFERROR(INDEX(Lists!$U$1:$U$25,MATCH($I277,Lists!$T$1:$T$25,0)),"?")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technology",$C277)),"Head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 t="n"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IFERROR(INDEX(Lists!$U$1:$U$25,MATCH($I278,Lists!$T$1:$T$25,0)),"?")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technology",$C278)),"Head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U279*(1+V279+W279+X279+Y279+Z279)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IFERROR(INDEX(Lists!$U$1:$U$25,MATCH($I279,Lists!$T$1:$T$25,0)),"?")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technology",$C279)),"Head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U280*(1+V280+W280+X280+Y280+Z280)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IFERROR(INDEX(Lists!$U$1:$U$25,MATCH($I280,Lists!$T$1:$T$25,0)),"?")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technology",$C280)),"Head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U281*(1+V281+X281+Z281)+Y281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IFERROR(INDEX(Lists!$U$1:$U$25,MATCH($I281,Lists!$T$1:$T$25,0)),"?")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technology",$C281)),"Head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U282*(1+V282+X282+Z282)+Y282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IFERROR(INDEX(Lists!$U$1:$U$25,MATCH($I282,Lists!$T$1:$T$25,0)),"?")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technology",$C282)),"Head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U283*(1+V283+W283+X283+Y283+Z283)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IFERROR(INDEX(Lists!$U$1:$U$25,MATCH($I283,Lists!$T$1:$T$25,0)),"?")</f>
        <v>Enterprise Data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4</v>
      </c>
      <c r="AN283" s="949" t="str">
        <f>$AJ283&amp;"|"&amp;$AM283</f>
        <v>Enterprise Data|4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technology",$C283)),"Head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U284*(1+V284+W284+X284+Y284+Z284)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IFERROR(INDEX(Lists!$U$1:$U$25,MATCH($I284,Lists!$T$1:$T$25,0)),"?")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5</v>
      </c>
      <c r="AN284" s="949" t="str">
        <f>$AJ284&amp;"|"&amp;$AM284</f>
        <v>Enterprise Data|5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technology",$C284)),"Head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U285*(1+V285+W285+X285+Y285+Z285)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IFERROR(INDEX(Lists!$U$1:$U$25,MATCH($I285,Lists!$T$1:$T$25,0)),"?")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6</v>
      </c>
      <c r="AN285" s="949" t="str">
        <f>$AJ285&amp;"|"&amp;$AM285</f>
        <v>Enterprise Data|6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technology",$C285)),"Head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U286*(1+V286+X286+Z286)+Y286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IFERROR(INDEX(Lists!$U$1:$U$25,MATCH($I286,Lists!$T$1:$T$25,0)),"?")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7</v>
      </c>
      <c r="AN286" s="949" t="str">
        <f>$AJ286&amp;"|"&amp;$AM286</f>
        <v>Enterprise Data|7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technology",$C286)),"Head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U287*(1+V287+W287+X287+Y287+Z287)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IFERROR(INDEX(Lists!$U$1:$U$25,MATCH($I287,Lists!$T$1:$T$25,0)),"?")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2</v>
      </c>
      <c r="AN287" s="949" t="str">
        <f>$AJ287&amp;"|"&amp;$AM287</f>
        <v>COE SA&amp;D|2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technology",$C287)),"Head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U288*(1+V288+X288+Z288)+Y288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IFERROR(INDEX(Lists!$U$1:$U$25,MATCH($I288,Lists!$T$1:$T$25,0)),"?")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3</v>
      </c>
      <c r="AN288" s="949" t="str">
        <f>$AJ288&amp;"|"&amp;$AM288</f>
        <v>COE SA&amp;D|3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technology",$C288)),"Head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U289*(1+V289+W289+X289+Y289+Z289)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IFERROR(INDEX(Lists!$U$1:$U$25,MATCH($I289,Lists!$T$1:$T$25,0)),"?")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8</v>
      </c>
      <c r="AN289" s="949" t="str">
        <f>$AJ289&amp;"|"&amp;$AM289</f>
        <v>Enterprise Data|8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technology",$C289)),"Head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U290*(1+V290+W290+X290+Y290+Z290)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IFERROR(INDEX(Lists!$U$1:$U$25,MATCH($I290,Lists!$T$1:$T$25,0)),"?")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9</v>
      </c>
      <c r="AN290" s="949" t="str">
        <f>$AJ290&amp;"|"&amp;$AM290</f>
        <v>Enterprise Data|9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technology",$C290)),"Head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U291*(1+V291+X291+Z291)+Y291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IFERROR(INDEX(Lists!$U$1:$U$25,MATCH($I291,Lists!$T$1:$T$25,0)),"?")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4</v>
      </c>
      <c r="AN291" s="949" t="str">
        <f>$AJ291&amp;"|"&amp;$AM291</f>
        <v>COE SA&amp;D|4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technology",$C291)),"Head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U292*(1+V292+X292+Z292)+Y292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IFERROR(INDEX(Lists!$U$1:$U$25,MATCH($I292,Lists!$T$1:$T$25,0)),"?")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5</v>
      </c>
      <c r="AN292" s="949" t="str">
        <f>$AJ292&amp;"|"&amp;$AM292</f>
        <v>COE SA&amp;D|5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technology",$C292)),"Head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U293*(1+V293+W293+X293+Y293+Z293)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IFERROR(INDEX(Lists!$U$1:$U$25,MATCH($I293,Lists!$T$1:$T$25,0)),"?")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6</v>
      </c>
      <c r="AN293" s="949" t="str">
        <f>$AJ293&amp;"|"&amp;$AM293</f>
        <v>COE SA&amp;D|6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technology",$C293)),"Head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U294*(1+V294+W294+X294+Y294+Z294)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IFERROR(INDEX(Lists!$U$1:$U$25,MATCH($I294,Lists!$T$1:$T$25,0)),"?")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7</v>
      </c>
      <c r="AN294" s="949" t="str">
        <f>$AJ294&amp;"|"&amp;$AM294</f>
        <v>COE SA&amp;D|7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technology",$C294)),"Head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U295*(1+V295+W295+X295+Y295+Z295)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IFERROR(INDEX(Lists!$U$1:$U$25,MATCH($I295,Lists!$T$1:$T$25,0)),"?")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10</v>
      </c>
      <c r="AN295" s="949" t="str">
        <f>$AJ295&amp;"|"&amp;$AM295</f>
        <v>Enterprise Data|10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technology",$C295)),"Head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U296*(1+V296+W296+X296+Y296+Z296)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IFERROR(INDEX(Lists!$U$1:$U$25,MATCH($I296,Lists!$T$1:$T$25,0)),"?")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11</v>
      </c>
      <c r="AN296" s="949" t="str">
        <f>$AJ296&amp;"|"&amp;$AM296</f>
        <v>Enterprise Data|11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technology",$C296)),"Head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U297*(1+V297+W297+X297+Y297+Z297)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IFERROR(INDEX(Lists!$U$1:$U$25,MATCH($I297,Lists!$T$1:$T$25,0)),"?")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12</v>
      </c>
      <c r="AN297" s="949" t="str">
        <f>$AJ297&amp;"|"&amp;$AM297</f>
        <v>Enterprise Data|12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technology",$C297)),"Head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U298*(1+V298+W298+X298+Y298+Z298)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IFERROR(INDEX(Lists!$U$1:$U$25,MATCH($I298,Lists!$T$1:$T$25,0)),"?")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13</v>
      </c>
      <c r="AN298" s="949" t="str">
        <f>$AJ298&amp;"|"&amp;$AM298</f>
        <v>Enterprise Data|13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technology",$C298)),"Head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U299*(1+V299+W299+X299+Y299+Z299)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IFERROR(INDEX(Lists!$U$1:$U$25,MATCH($I299,Lists!$T$1:$T$25,0)),"?")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8</v>
      </c>
      <c r="AN299" s="949" t="str">
        <f>$AJ299&amp;"|"&amp;$AM299</f>
        <v>COE SA&amp;D|8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technology",$C299)),"Head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U300*(1+V300+W300+X300+Y300+Z300)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IFERROR(INDEX(Lists!$U$1:$U$25,MATCH($I300,Lists!$T$1:$T$25,0)),"?")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9</v>
      </c>
      <c r="AN300" s="949" t="str">
        <f>$AJ300&amp;"|"&amp;$AM300</f>
        <v>COE SA&amp;D|9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technology",$C300)),"Head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U301*(1+V301+W301+X301+Y301+Z301)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IFERROR(INDEX(Lists!$U$1:$U$25,MATCH($I301,Lists!$T$1:$T$25,0)),"?")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10</v>
      </c>
      <c r="AN301" s="949" t="str">
        <f>$AJ301&amp;"|"&amp;$AM301</f>
        <v>COE SA&amp;D|10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technology",$C301)),"Head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U302*(1+V302+W302+X302+Y302+Z302)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IFERROR(INDEX(Lists!$U$1:$U$25,MATCH($I302,Lists!$T$1:$T$25,0)),"?")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11</v>
      </c>
      <c r="AN302" s="949" t="str">
        <f>$AJ302&amp;"|"&amp;$AM302</f>
        <v>COE SA&amp;D|11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technology",$C302)),"Head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U303*(1+V303+W303+X303+Y303+Z303)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IFERROR(INDEX(Lists!$U$1:$U$25,MATCH($I303,Lists!$T$1:$T$25,0)),"?")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12</v>
      </c>
      <c r="AN303" s="949" t="str">
        <f>$AJ303&amp;"|"&amp;$AM303</f>
        <v>COE SA&amp;D|12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technology",$C303)),"Head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U304*(1+V304+W304+X304+Y304+Z304)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IFERROR(INDEX(Lists!$U$1:$U$25,MATCH($I304,Lists!$T$1:$T$25,0)),"?")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13</v>
      </c>
      <c r="AN304" s="949" t="str">
        <f>$AJ304&amp;"|"&amp;$AM304</f>
        <v>COE SA&amp;D|13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technology",$C304)),"Head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U305*(1+V305+W305+X305+Y305+Z305)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IFERROR(INDEX(Lists!$U$1:$U$25,MATCH($I305,Lists!$T$1:$T$25,0)),"?")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14</v>
      </c>
      <c r="AN305" s="949" t="str">
        <f>$AJ305&amp;"|"&amp;$AM305</f>
        <v>COE SA&amp;D|14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technology",$C305)),"Head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U306*(1+V306+W306+X306+Y306+Z306)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IFERROR(INDEX(Lists!$U$1:$U$25,MATCH($I306,Lists!$T$1:$T$25,0)),"?")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15</v>
      </c>
      <c r="AN306" s="949" t="str">
        <f>$AJ306&amp;"|"&amp;$AM306</f>
        <v>COE SA&amp;D|15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technology",$C306)),"Head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U307*(1+V307+X307+Z307)+Y307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IFERROR(INDEX(Lists!$U$1:$U$25,MATCH($I307,Lists!$T$1:$T$25,0)),"?")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14</v>
      </c>
      <c r="AN307" s="949" t="str">
        <f>$AJ307&amp;"|"&amp;$AM307</f>
        <v>Enterprise Data|14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technology",$C307)),"Head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U308*(1+V308+W308+X308+Y308+Z308)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IFERROR(INDEX(Lists!$U$1:$U$25,MATCH($I308,Lists!$T$1:$T$25,0)),"?")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15</v>
      </c>
      <c r="AN308" s="949" t="str">
        <f>$AJ308&amp;"|"&amp;$AM308</f>
        <v>Enterprise Data|15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technology",$C308)),"Head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U309*(1+V309+W309+X309+Y309+Z309)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IFERROR(INDEX(Lists!$U$1:$U$25,MATCH($I309,Lists!$T$1:$T$25,0)),"?")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16</v>
      </c>
      <c r="AN309" s="949" t="str">
        <f>$AJ309&amp;"|"&amp;$AM309</f>
        <v>COE SA&amp;D|16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technology",$C309)),"Head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U310*(1+V310+W310+X310+Y310+Z310)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IFERROR(INDEX(Lists!$U$1:$U$25,MATCH($I310,Lists!$T$1:$T$25,0)),"?")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16</v>
      </c>
      <c r="AN310" s="949" t="str">
        <f>$AJ310&amp;"|"&amp;$AM310</f>
        <v>Enterprise Data|16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technology",$C310)),"Head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U311*(1+V311+W311+X311+Y311+Z311)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IFERROR(INDEX(Lists!$U$1:$U$25,MATCH($I311,Lists!$T$1:$T$25,0)),"?")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17</v>
      </c>
      <c r="AN311" s="949" t="str">
        <f>$AJ311&amp;"|"&amp;$AM311</f>
        <v>Enterprise Data|17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technology",$C311)),"Head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U312*(1+V312+X312+Z312)+Y312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IFERROR(INDEX(Lists!$U$1:$U$25,MATCH($I312,Lists!$T$1:$T$25,0)),"?")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18</v>
      </c>
      <c r="AN312" s="949" t="str">
        <f>$AJ312&amp;"|"&amp;$AM312</f>
        <v>Enterprise Data|18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technology",$C312)),"Head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U313*(1+V313+W313+X313+Y313+Z313)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IFERROR(INDEX(Lists!$U$1:$U$25,MATCH($I313,Lists!$T$1:$T$25,0)),"?")</f>
        <v>Enterprise Data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19</v>
      </c>
      <c r="AN313" s="949" t="str">
        <f>$AJ313&amp;"|"&amp;$AM313</f>
        <v>Enterprise Data|19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technology",$C313)),"Head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U314*(1+V314+W314+X314+Y314+Z314)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IFERROR(INDEX(Lists!$U$1:$U$25,MATCH($I314,Lists!$T$1:$T$25,0)),"?")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20</v>
      </c>
      <c r="AN314" s="949" t="str">
        <f>$AJ314&amp;"|"&amp;$AM314</f>
        <v>Enterprise Data|20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technology",$C314)),"Head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U315*(1+V315+W315+X315+Y315+Z315)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IFERROR(INDEX(Lists!$U$1:$U$25,MATCH($I315,Lists!$T$1:$T$25,0)),"?")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21</v>
      </c>
      <c r="AN315" s="949" t="str">
        <f>$AJ315&amp;"|"&amp;$AM315</f>
        <v>Enterprise Data|21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technology",$C315)),"Head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U316*(1+V316+W316+X316+Y316+Z316)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IFERROR(INDEX(Lists!$U$1:$U$25,MATCH($I316,Lists!$T$1:$T$25,0)),"?")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22</v>
      </c>
      <c r="AN316" s="949" t="str">
        <f>$AJ316&amp;"|"&amp;$AM316</f>
        <v>Enterprise Data|22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technology",$C316)),"Head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U317*(1+V317+W317+X317+Y317+Z317)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IFERROR(INDEX(Lists!$U$1:$U$25,MATCH($I317,Lists!$T$1:$T$25,0)),"?")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23</v>
      </c>
      <c r="AN317" s="949" t="str">
        <f>$AJ317&amp;"|"&amp;$AM317</f>
        <v>Enterprise Data|23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technology",$C317)),"Head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U318*(1+V318+W318+X318+Y318+Z318)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IFERROR(INDEX(Lists!$U$1:$U$25,MATCH($I318,Lists!$T$1:$T$25,0)),"?")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24</v>
      </c>
      <c r="AN318" s="949" t="str">
        <f>$AJ318&amp;"|"&amp;$AM318</f>
        <v>Enterprise Data|24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technology",$C318)),"Head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U319*(1+V319+W319+X319+Y319+Z319)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IFERROR(INDEX(Lists!$U$1:$U$25,MATCH($I319,Lists!$T$1:$T$25,0)),"?")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25</v>
      </c>
      <c r="AN319" s="949" t="str">
        <f>$AJ319&amp;"|"&amp;$AM319</f>
        <v>Enterprise Data|25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technology",$C319)),"Head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U320*(1+V320+W320+X320+Y320+Z320)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IFERROR(INDEX(Lists!$U$1:$U$25,MATCH($I320,Lists!$T$1:$T$25,0)),"?")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26</v>
      </c>
      <c r="AN320" s="949" t="str">
        <f>$AJ320&amp;"|"&amp;$AM320</f>
        <v>Enterprise Data|26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technology",$C320)),"Head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U321*(1+V321+W321+X321+Y321+Z321)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IFERROR(INDEX(Lists!$U$1:$U$25,MATCH($I321,Lists!$T$1:$T$25,0)),"?")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17</v>
      </c>
      <c r="AN321" s="949" t="str">
        <f>$AJ321&amp;"|"&amp;$AM321</f>
        <v>COE SA&amp;D|17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technology",$C321)),"Head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U322*(1+V322+W322+X322+Y322+Z322)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IFERROR(INDEX(Lists!$U$1:$U$25,MATCH($I322,Lists!$T$1:$T$25,0)),"?")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18</v>
      </c>
      <c r="AN322" s="949" t="str">
        <f>$AJ322&amp;"|"&amp;$AM322</f>
        <v>COE SA&amp;D|18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technology",$C322)),"Head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Squad</v>
      </c>
      <c r="AS322" t="str">
        <f>IF(TRIM($B322)="","",IFERROR(INDEX(Lists!$AA:$AA,MATCH($AP322,Lists!$Z:$Z,0)),$AP322))</f>
        <v>Leadership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U323*(1+V323+W323+X323+Y323+Z323)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IFERROR(INDEX(Lists!$U$1:$U$25,MATCH($I323,Lists!$T$1:$T$25,0)),"?")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19</v>
      </c>
      <c r="AN323" s="949" t="str">
        <f>$AJ323&amp;"|"&amp;$AM323</f>
        <v>COE SA&amp;D|19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technology",$C323)),"Head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U324*(1+V324+W324+X324+Y324+Z324)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IFERROR(INDEX(Lists!$U$1:$U$25,MATCH($I324,Lists!$T$1:$T$25,0)),"?")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20</v>
      </c>
      <c r="AN324" s="949" t="str">
        <f>$AJ324&amp;"|"&amp;$AM324</f>
        <v>COE SA&amp;D|20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technology",$C324)),"Head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U325*(1+V325+W325+X325+Y325+Z325)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IFERROR(INDEX(Lists!$U$1:$U$25,MATCH($I325,Lists!$T$1:$T$25,0)),"?")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21</v>
      </c>
      <c r="AN325" s="949" t="str">
        <f>$AJ325&amp;"|"&amp;$AM325</f>
        <v>COE SA&amp;D|21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technology",$C325)),"Head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U326*(1+V326+W326+X326+Y326+Z326)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IFERROR(INDEX(Lists!$U$1:$U$25,MATCH($I326,Lists!$T$1:$T$25,0)),"?")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22</v>
      </c>
      <c r="AN326" s="949" t="str">
        <f>$AJ326&amp;"|"&amp;$AM326</f>
        <v>COE SA&amp;D|22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technology",$C326)),"Head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U327*(1+V327+W327+X327+Y327+Z327)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IFERROR(INDEX(Lists!$U$1:$U$25,MATCH($I327,Lists!$T$1:$T$25,0)),"?")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23</v>
      </c>
      <c r="AN327" s="949" t="str">
        <f>$AJ327&amp;"|"&amp;$AM327</f>
        <v>COE SA&amp;D|23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technology",$C327)),"Head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U328*(1+V328+W328+X328+Y328+Z328)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IFERROR(INDEX(Lists!$U$1:$U$25,MATCH($I328,Lists!$T$1:$T$25,0)),"?")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24</v>
      </c>
      <c r="AN328" s="949" t="str">
        <f>$AJ328&amp;"|"&amp;$AM328</f>
        <v>COE SA&amp;D|24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technology",$C328)),"Head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U329*(1+V329+W329+X329+Y329+Z329)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IFERROR(INDEX(Lists!$U$1:$U$25,MATCH($I329,Lists!$T$1:$T$25,0)),"?")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27</v>
      </c>
      <c r="AN329" s="949" t="str">
        <f>$AJ329&amp;"|"&amp;$AM329</f>
        <v>Enterprise Data|27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technology",$C329)),"Head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U330*(1+V330+W330+X330+Y330+Z330)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IFERROR(INDEX(Lists!$U$1:$U$25,MATCH($I330,Lists!$T$1:$T$25,0)),"?")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28</v>
      </c>
      <c r="AN330" s="949" t="str">
        <f>$AJ330&amp;"|"&amp;$AM330</f>
        <v>Enterprise Data|28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technology",$C330)),"Head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U331*(1+V331+W331+X331+Y331+Z331)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IFERROR(INDEX(Lists!$U$1:$U$25,MATCH($I331,Lists!$T$1:$T$25,0)),"?")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29</v>
      </c>
      <c r="AN331" s="949" t="str">
        <f>$AJ331&amp;"|"&amp;$AM331</f>
        <v>Enterprise Data|29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technology",$C331)),"Head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U332*(1+V332+W332+X332+Y332+Z332)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IFERROR(INDEX(Lists!$U$1:$U$25,MATCH($I332,Lists!$T$1:$T$25,0)),"?")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30</v>
      </c>
      <c r="AN332" s="949" t="str">
        <f>$AJ332&amp;"|"&amp;$AM332</f>
        <v>Enterprise Data|30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technology",$C332)),"Head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 t="n"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IFERROR(INDEX(Lists!$U$1:$U$25,MATCH($I333,Lists!$T$1:$T$25,0)),"?")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technology",$C333)),"Head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&amp;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 t="n">
        <v>87044.00000000001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IFERROR(INDEX(Lists!$U$1:$U$25,MATCH($I334,Lists!$T$1:$T$25,0)),"?")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technology",$C334)),"Head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 t="n"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IFERROR(INDEX(Lists!$U$1:$U$25,MATCH($I335,Lists!$T$1:$T$25,0)),"?")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technology",$C335)),"Head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 t="n"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IFERROR(INDEX(Lists!$U$1:$U$25,MATCH($I336,Lists!$T$1:$T$25,0)),"?")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technology",$C336)),"Head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 t="n"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IFERROR(INDEX(Lists!$U$1:$U$25,MATCH($I337,Lists!$T$1:$T$25,0)),"?")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technology",$C337)),"Head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 t="n"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IFERROR(INDEX(Lists!$U$1:$U$25,MATCH($I338,Lists!$T$1:$T$25,0)),"?")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technology",$C338)),"Head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 t="n"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IFERROR(INDEX(Lists!$U$1:$U$25,MATCH($I339,Lists!$T$1:$T$25,0)),"?")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technology",$C339)),"Head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 t="n"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IFERROR(INDEX(Lists!$U$1:$U$25,MATCH($I340,Lists!$T$1:$T$25,0)),"?")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technology",$C340)),"Head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 t="n"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IFERROR(INDEX(Lists!$U$1:$U$25,MATCH($I341,Lists!$T$1:$T$25,0)),"?")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technology",$C341)),"Head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 t="n"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IFERROR(INDEX(Lists!$U$1:$U$25,MATCH($I342,Lists!$T$1:$T$25,0)),"?")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technology",$C342)),"Head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 t="n"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IFERROR(INDEX(Lists!$U$1:$U$25,MATCH($I343,Lists!$T$1:$T$25,0)),"?")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technology",$C343)),"Head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 t="n"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IFERROR(INDEX(Lists!$U$1:$U$25,MATCH($I344,Lists!$T$1:$T$25,0)),"?")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technology",$C344)),"Head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 t="n"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IFERROR(INDEX(Lists!$U$1:$U$25,MATCH($I345,Lists!$T$1:$T$25,0)),"?")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technology",$C345)),"Head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 t="n"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IFERROR(INDEX(Lists!$U$1:$U$25,MATCH($I346,Lists!$T$1:$T$25,0)),"?")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technology",$C346)),"Head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 t="n"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IFERROR(INDEX(Lists!$U$1:$U$25,MATCH($I347,Lists!$T$1:$T$25,0)),"?")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technology",$C347)),"Head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 t="n"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IFERROR(INDEX(Lists!$U$1:$U$25,MATCH($I348,Lists!$T$1:$T$25,0)),"?")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technology",$C348)),"Head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 t="n"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IFERROR(INDEX(Lists!$U$1:$U$25,MATCH($I349,Lists!$T$1:$T$25,0)),"?")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technology",$C349)),"Head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 t="n"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IFERROR(INDEX(Lists!$U$1:$U$25,MATCH($I350,Lists!$T$1:$T$25,0)),"?")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technology",$C350)),"Head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 t="n"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IFERROR(INDEX(Lists!$U$1:$U$25,MATCH($I351,Lists!$T$1:$T$25,0)),"?")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technology",$C351)),"Head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 t="n">
        <v>87434.81600000001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IFERROR(INDEX(Lists!$U$1:$U$25,MATCH($I352,Lists!$T$1:$T$25,0)),"?")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technology",$C352)),"Head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 t="n"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IFERROR(INDEX(Lists!$U$1:$U$25,MATCH($I353,Lists!$T$1:$T$25,0)),"?")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technology",$C353)),"Head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 t="n"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IFERROR(INDEX(Lists!$U$1:$U$25,MATCH($I354,Lists!$T$1:$T$25,0)),"?")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technology",$C354)),"Head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 t="n">
        <v>346651.0331999999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IFERROR(INDEX(Lists!$U$1:$U$25,MATCH($I355,Lists!$T$1:$T$25,0)),"?")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technology",$C355)),"Head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 t="n"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IFERROR(INDEX(Lists!$U$1:$U$25,MATCH($I356,Lists!$T$1:$T$25,0)),"?")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technology",$C356)),"Head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&amp;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 t="n"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IFERROR(INDEX(Lists!$U$1:$U$25,MATCH($I357,Lists!$T$1:$T$25,0)),"?")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technology",$C357)),"Head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 t="n"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IFERROR(INDEX(Lists!$U$1:$U$25,MATCH($I358,Lists!$T$1:$T$25,0)),"?")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technology",$C358)),"Head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 t="n"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IFERROR(INDEX(Lists!$U$1:$U$25,MATCH($I359,Lists!$T$1:$T$25,0)),"?")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technology",$C359)),"Head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 t="n"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IFERROR(INDEX(Lists!$U$1:$U$25,MATCH($I360,Lists!$T$1:$T$25,0)),"?")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technology",$C360)),"Head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 t="n"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IFERROR(INDEX(Lists!$U$1:$U$25,MATCH($I361,Lists!$T$1:$T$25,0)),"?")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technology",$C361)),"Head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&amp;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 t="n"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IFERROR(INDEX(Lists!$U$1:$U$25,MATCH($I362,Lists!$T$1:$T$25,0)),"?")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technology",$C362)),"Head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 t="n"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IFERROR(INDEX(Lists!$U$1:$U$25,MATCH($I363,Lists!$T$1:$T$25,0)),"?")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technology",$C363)),"Head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 t="n"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IFERROR(INDEX(Lists!$U$1:$U$25,MATCH($I364,Lists!$T$1:$T$25,0)),"?")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technology",$C364)),"Head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 t="n"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IFERROR(INDEX(Lists!$U$1:$U$25,MATCH($I365,Lists!$T$1:$T$25,0)),"?")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technology",$C365)),"Head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 t="n"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IFERROR(INDEX(Lists!$U$1:$U$25,MATCH($I366,Lists!$T$1:$T$25,0)),"?")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technology",$C366)),"Head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 t="n"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IFERROR(INDEX(Lists!$U$1:$U$25,MATCH($I367,Lists!$T$1:$T$25,0)),"?")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technology",$C367)),"Head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 t="n"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IFERROR(INDEX(Lists!$U$1:$U$25,MATCH($I368,Lists!$T$1:$T$25,0)),"?")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technology",$C368)),"Head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 t="n"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IFERROR(INDEX(Lists!$U$1:$U$25,MATCH($I369,Lists!$T$1:$T$25,0)),"?")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technology",$C369)),"Head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 t="n"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IFERROR(INDEX(Lists!$U$1:$U$25,MATCH($I370,Lists!$T$1:$T$25,0)),"?")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technology",$C370)),"Head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 t="n"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IFERROR(INDEX(Lists!$U$1:$U$25,MATCH($I371,Lists!$T$1:$T$25,0)),"?")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technology",$C371)),"Head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 t="n"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IFERROR(INDEX(Lists!$U$1:$U$25,MATCH($I372,Lists!$T$1:$T$25,0)),"?")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technology",$C372)),"Head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&amp;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 t="n"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IFERROR(INDEX(Lists!$U$1:$U$25,MATCH($I373,Lists!$T$1:$T$25,0)),"?")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technology",$C373)),"Head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 t="n"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IFERROR(INDEX(Lists!$U$1:$U$25,MATCH($I374,Lists!$T$1:$T$25,0)),"?")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technology",$C374)),"Head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 t="n"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IFERROR(INDEX(Lists!$U$1:$U$25,MATCH($I375,Lists!$T$1:$T$25,0)),"?")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technology",$C375)),"Head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 t="n">
        <v>322386.9999999999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IFERROR(INDEX(Lists!$U$1:$U$25,MATCH($I376,Lists!$T$1:$T$25,0)),"?")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technology",$C376)),"Head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 t="n"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IFERROR(INDEX(Lists!$U$1:$U$25,MATCH($I377,Lists!$T$1:$T$25,0)),"?")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technology",$C377)),"Head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 t="n"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IFERROR(INDEX(Lists!$U$1:$U$25,MATCH($I378,Lists!$T$1:$T$25,0)),"?")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technology",$C378)),"Head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 t="n"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IFERROR(INDEX(Lists!$U$1:$U$25,MATCH($I379,Lists!$T$1:$T$25,0)),"?")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technology",$C379)),"Head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 t="n"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IFERROR(INDEX(Lists!$U$1:$U$25,MATCH($I380,Lists!$T$1:$T$25,0)),"?")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technology",$C380)),"Head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 t="n">
        <v>375566.4999999999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IFERROR(INDEX(Lists!$U$1:$U$25,MATCH($I381,Lists!$T$1:$T$25,0)),"?")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technology",$C381)),"Head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 t="n"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IFERROR(INDEX(Lists!$U$1:$U$25,MATCH($I382,Lists!$T$1:$T$25,0)),"?")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technology",$C382)),"Head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 t="n"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IFERROR(INDEX(Lists!$U$1:$U$25,MATCH($I383,Lists!$T$1:$T$25,0)),"?")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technology",$C383)),"Head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 t="n"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IFERROR(INDEX(Lists!$U$1:$U$25,MATCH($I384,Lists!$T$1:$T$25,0)),"?")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technology",$C384)),"Head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 t="n"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IFERROR(INDEX(Lists!$U$1:$U$25,MATCH($I385,Lists!$T$1:$T$25,0)),"?")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technology",$C385)),"Head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 t="n"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IFERROR(INDEX(Lists!$U$1:$U$25,MATCH($I386,Lists!$T$1:$T$25,0)),"?")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technology",$C386)),"Head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 t="n"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IFERROR(INDEX(Lists!$U$1:$U$25,MATCH($I387,Lists!$T$1:$T$25,0)),"?")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technology",$C387)),"Head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&amp;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 t="n"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IFERROR(INDEX(Lists!$U$1:$U$25,MATCH($I388,Lists!$T$1:$T$25,0)),"?")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technology",$C388)),"Head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 t="n"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IFERROR(INDEX(Lists!$U$1:$U$25,MATCH($I389,Lists!$T$1:$T$25,0)),"?")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technology",$C389)),"Head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 t="n"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IFERROR(INDEX(Lists!$U$1:$U$25,MATCH($I390,Lists!$T$1:$T$25,0)),"?")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technology",$C390)),"Head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 t="n"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IFERROR(INDEX(Lists!$U$1:$U$25,MATCH($I391,Lists!$T$1:$T$25,0)),"?")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technology",$C391)),"Head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 t="n"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IFERROR(INDEX(Lists!$U$1:$U$25,MATCH($I392,Lists!$T$1:$T$25,0)),"?")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technology",$C392)),"Head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 t="n">
        <v>84514.55200000003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IFERROR(INDEX(Lists!$U$1:$U$25,MATCH($I393,Lists!$T$1:$T$25,0)),"?")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technology",$C393)),"Head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 t="n"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IFERROR(INDEX(Lists!$U$1:$U$25,MATCH($I394,Lists!$T$1:$T$25,0)),"?")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technology",$C394)),"Head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 t="n"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IFERROR(INDEX(Lists!$U$1:$U$25,MATCH($I395,Lists!$T$1:$T$25,0)),"?")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technology",$C395)),"Head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 t="n"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IFERROR(INDEX(Lists!$U$1:$U$25,MATCH($I396,Lists!$T$1:$T$25,0)),"?")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technology",$C396)),"Head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 t="n"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IFERROR(INDEX(Lists!$U$1:$U$25,MATCH($I397,Lists!$T$1:$T$25,0)),"?")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technology",$C397)),"Head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 t="n">
        <v>366703.2499999999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IFERROR(INDEX(Lists!$U$1:$U$25,MATCH($I398,Lists!$T$1:$T$25,0)),"?")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technology",$C398)),"Head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 t="n"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IFERROR(INDEX(Lists!$U$1:$U$25,MATCH($I399,Lists!$T$1:$T$25,0)),"?")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technology",$C399)),"Head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 t="n"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IFERROR(INDEX(Lists!$U$1:$U$25,MATCH($I400,Lists!$T$1:$T$25,0)),"?")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technology",$C400)),"Head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 t="n"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IFERROR(INDEX(Lists!$U$1:$U$25,MATCH($I401,Lists!$T$1:$T$25,0)),"?")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technology",$C401)),"Head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 t="n"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IFERROR(INDEX(Lists!$U$1:$U$25,MATCH($I402,Lists!$T$1:$T$25,0)),"?")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technology",$C402)),"Head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 t="n"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IFERROR(INDEX(Lists!$U$1:$U$25,MATCH($I403,Lists!$T$1:$T$25,0)),"?")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technology",$C403)),"Head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 t="n"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IFERROR(INDEX(Lists!$U$1:$U$25,MATCH($I404,Lists!$T$1:$T$25,0)),"?")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technology",$C404)),"Head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 t="n"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IFERROR(INDEX(Lists!$U$1:$U$25,MATCH($I405,Lists!$T$1:$T$25,0)),"?")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technology",$C405)),"Head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 t="n"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IFERROR(INDEX(Lists!$U$1:$U$25,MATCH($I406,Lists!$T$1:$T$25,0)),"?")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technology",$C406)),"Head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 t="n"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IFERROR(INDEX(Lists!$U$1:$U$25,MATCH($I407,Lists!$T$1:$T$25,0)),"?")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technology",$C407)),"Head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 t="n">
        <v>352114.3404999999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IFERROR(INDEX(Lists!$U$1:$U$25,MATCH($I408,Lists!$T$1:$T$25,0)),"?")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technology",$C408)),"Head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 t="n"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IFERROR(INDEX(Lists!$U$1:$U$25,MATCH($I409,Lists!$T$1:$T$25,0)),"?")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technology",$C409)),"Head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 t="n">
        <v>304660.4999999999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IFERROR(INDEX(Lists!$U$1:$U$25,MATCH($I410,Lists!$T$1:$T$25,0)),"?")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technology",$C410)),"Head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 t="n"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IFERROR(INDEX(Lists!$U$1:$U$25,MATCH($I411,Lists!$T$1:$T$25,0)),"?")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technology",$C411)),"Head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&amp;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 t="n"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IFERROR(INDEX(Lists!$U$1:$U$25,MATCH($I412,Lists!$T$1:$T$25,0)),"?")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technology",$C412)),"Head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 t="n"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IFERROR(INDEX(Lists!$U$1:$U$25,MATCH($I413,Lists!$T$1:$T$25,0)),"?")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technology",$C413)),"Head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 t="n"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IFERROR(INDEX(Lists!$U$1:$U$25,MATCH($I414,Lists!$T$1:$T$25,0)),"?")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technology",$C414)),"Head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 t="n"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IFERROR(INDEX(Lists!$U$1:$U$25,MATCH($I415,Lists!$T$1:$T$25,0)),"?")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technology",$C415)),"Head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 t="n"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IFERROR(INDEX(Lists!$U$1:$U$25,MATCH($I416,Lists!$T$1:$T$25,0)),"?")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technology",$C416)),"Head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 t="n"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IFERROR(INDEX(Lists!$U$1:$U$25,MATCH($I417,Lists!$T$1:$T$25,0)),"?")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technology",$C417)),"Head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 t="n"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IFERROR(INDEX(Lists!$U$1:$U$25,MATCH($I418,Lists!$T$1:$T$25,0)),"?")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technology",$C418)),"Head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 t="n"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IFERROR(INDEX(Lists!$U$1:$U$25,MATCH($I419,Lists!$T$1:$T$25,0)),"?")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technology",$C419)),"Head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 t="n"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IFERROR(INDEX(Lists!$U$1:$U$25,MATCH($I420,Lists!$T$1:$T$25,0)),"?")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technology",$C420)),"Head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 t="n"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IFERROR(INDEX(Lists!$U$1:$U$25,MATCH($I421,Lists!$T$1:$T$25,0)),"?")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technology",$C421)),"Head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 t="n"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IFERROR(INDEX(Lists!$U$1:$U$25,MATCH($I422,Lists!$T$1:$T$25,0)),"?")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technology",$C422)),"Head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 t="n"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IFERROR(INDEX(Lists!$U$1:$U$25,MATCH($I423,Lists!$T$1:$T$25,0)),"?")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technology",$C423)),"Head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 t="n"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IFERROR(INDEX(Lists!$U$1:$U$25,MATCH($I424,Lists!$T$1:$T$25,0)),"?")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technology",$C424)),"Head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 t="n"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IFERROR(INDEX(Lists!$U$1:$U$25,MATCH($I425,Lists!$T$1:$T$25,0)),"?")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technology",$C425)),"Head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 t="n"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IFERROR(INDEX(Lists!$U$1:$U$25,MATCH($I426,Lists!$T$1:$T$25,0)),"?")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technology",$C426)),"Head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 t="n"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IFERROR(INDEX(Lists!$U$1:$U$25,MATCH($I427,Lists!$T$1:$T$25,0)),"?")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technology",$C427)),"Head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 t="n"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IFERROR(INDEX(Lists!$U$1:$U$25,MATCH($I428,Lists!$T$1:$T$25,0)),"?")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technology",$C428)),"Head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 t="n"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IFERROR(INDEX(Lists!$U$1:$U$25,MATCH($I429,Lists!$T$1:$T$25,0)),"?")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technology",$C429)),"Head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&amp;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 t="n"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IFERROR(INDEX(Lists!$U$1:$U$25,MATCH($I430,Lists!$T$1:$T$25,0)),"?")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technology",$C430)),"Head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&amp;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 t="n"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IFERROR(INDEX(Lists!$U$1:$U$25,MATCH($I431,Lists!$T$1:$T$25,0)),"?")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technology",$C431)),"Head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 t="n"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IFERROR(INDEX(Lists!$U$1:$U$25,MATCH($I432,Lists!$T$1:$T$25,0)),"?")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technology",$C432)),"Head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 t="n"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IFERROR(INDEX(Lists!$U$1:$U$25,MATCH($I433,Lists!$T$1:$T$25,0)),"?")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technology",$C433)),"Head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 t="n"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IFERROR(INDEX(Lists!$U$1:$U$25,MATCH($I434,Lists!$T$1:$T$25,0)),"?")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technology",$C434)),"Head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 t="n"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IFERROR(INDEX(Lists!$U$1:$U$25,MATCH($I435,Lists!$T$1:$T$25,0)),"?")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technology",$C435)),"Head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 t="n"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IFERROR(INDEX(Lists!$U$1:$U$25,MATCH($I436,Lists!$T$1:$T$25,0)),"?")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technology",$C436)),"Head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 t="n"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IFERROR(INDEX(Lists!$U$1:$U$25,MATCH($I437,Lists!$T$1:$T$25,0)),"?")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technology",$C437)),"Head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 t="n"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IFERROR(INDEX(Lists!$U$1:$U$25,MATCH($I438,Lists!$T$1:$T$25,0)),"?")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technology",$C438)),"Head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 t="n"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IFERROR(INDEX(Lists!$U$1:$U$25,MATCH($I439,Lists!$T$1:$T$25,0)),"?")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technology",$C439)),"Head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 t="n"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IFERROR(INDEX(Lists!$U$1:$U$25,MATCH($I440,Lists!$T$1:$T$25,0)),"?")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technology",$C440)),"Head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 t="n"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IFERROR(INDEX(Lists!$U$1:$U$25,MATCH($I441,Lists!$T$1:$T$25,0)),"?")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technology",$C441)),"Head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 t="n"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IFERROR(INDEX(Lists!$U$1:$U$25,MATCH($I442,Lists!$T$1:$T$25,0)),"?")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technology",$C442)),"Head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 t="n"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IFERROR(INDEX(Lists!$U$1:$U$25,MATCH($I443,Lists!$T$1:$T$25,0)),"?")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technology",$C443)),"Head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&amp;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 t="n"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IFERROR(INDEX(Lists!$U$1:$U$25,MATCH($I444,Lists!$T$1:$T$25,0)),"?")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technology",$C444)),"Head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 t="n"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IFERROR(INDEX(Lists!$U$1:$U$25,MATCH($I445,Lists!$T$1:$T$25,0)),"?")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technology",$C445)),"Head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S446*222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IFERROR(INDEX(Lists!$U$1:$U$25,MATCH($I446,Lists!$T$1:$T$25,0)),"?")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technology",$C446)),"Head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 t="n"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IFERROR(INDEX(Lists!$U$1:$U$25,MATCH($I447,Lists!$T$1:$T$25,0)),"?")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technology",$C447)),"Head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 t="n"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IFERROR(INDEX(Lists!$U$1:$U$25,MATCH($I448,Lists!$T$1:$T$25,0)),"?")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technology",$C448)),"Head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 t="n"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IFERROR(INDEX(Lists!$U$1:$U$25,MATCH($I449,Lists!$T$1:$T$25,0)),"?")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technology",$C449)),"Head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 t="n"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IFERROR(INDEX(Lists!$U$1:$U$25,MATCH($I450,Lists!$T$1:$T$25,0)),"?")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technology",$C450)),"Head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 t="n"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IFERROR(INDEX(Lists!$U$1:$U$25,MATCH($I451,Lists!$T$1:$T$25,0)),"?")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technology",$C451)),"Head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 t="n"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IFERROR(INDEX(Lists!$U$1:$U$25,MATCH($I452,Lists!$T$1:$T$25,0)),"?")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technology",$C452)),"Head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 t="n"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IFERROR(INDEX(Lists!$U$1:$U$25,MATCH($I453,Lists!$T$1:$T$25,0)),"?")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technology",$C453)),"Head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AU Finance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 t="n"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IFERROR(INDEX(Lists!$U$1:$U$25,MATCH($I454,Lists!$T$1:$T$25,0)),"?")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technology",$C454)),"Head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AU Finance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 t="n"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IFERROR(INDEX(Lists!$U$1:$U$25,MATCH($I455,Lists!$T$1:$T$25,0)),"?")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technology",$C455)),"Head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 t="n"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IFERROR(INDEX(Lists!$U$1:$U$25,MATCH($I456,Lists!$T$1:$T$25,0)),"?")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technology",$C456)),"Head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 t="n"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IFERROR(INDEX(Lists!$U$1:$U$25,MATCH($I457,Lists!$T$1:$T$25,0)),"?")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technology",$C457)),"Head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 t="n"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IFERROR(INDEX(Lists!$U$1:$U$25,MATCH($I458,Lists!$T$1:$T$25,0)),"?")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technology",$C458)),"Head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 t="n"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IFERROR(INDEX(Lists!$U$1:$U$25,MATCH($I459,Lists!$T$1:$T$25,0)),"?")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technology",$C459)),"Head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 t="n"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IFERROR(INDEX(Lists!$U$1:$U$25,MATCH($I460,Lists!$T$1:$T$25,0)),"?")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technology",$C460)),"Head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 t="n"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IFERROR(INDEX(Lists!$U$1:$U$25,MATCH($I461,Lists!$T$1:$T$25,0)),"?")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technology",$C461)),"Head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 t="n"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IFERROR(INDEX(Lists!$U$1:$U$25,MATCH($I462,Lists!$T$1:$T$25,0)),"?")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technology",$C462)),"Head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 t="n"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IFERROR(INDEX(Lists!$U$1:$U$25,MATCH($I463,Lists!$T$1:$T$25,0)),"?")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technology",$C463)),"Head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 t="n"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IFERROR(INDEX(Lists!$U$1:$U$25,MATCH($I464,Lists!$T$1:$T$25,0)),"?")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technology",$C464)),"Head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 t="n"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IFERROR(INDEX(Lists!$U$1:$U$25,MATCH($I465,Lists!$T$1:$T$25,0)),"?")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technology",$C465)),"Head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-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 t="n"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IFERROR(INDEX(Lists!$U$1:$U$25,MATCH($I466,Lists!$T$1:$T$25,0)),"?")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technology",$C466)),"Head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 t="n"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IFERROR(INDEX(Lists!$U$1:$U$25,MATCH($I467,Lists!$T$1:$T$25,0)),"?")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technology",$C467)),"Head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 t="n"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IFERROR(INDEX(Lists!$U$1:$U$25,MATCH($I468,Lists!$T$1:$T$25,0)),"?")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technology",$C468)),"Head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Network &amp; Infrastructure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 t="n"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IFERROR(INDEX(Lists!$U$1:$U$25,MATCH($I469,Lists!$T$1:$T$25,0)),"?")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technology",$C469)),"Head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Network &amp; Infrastructure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 t="n"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IFERROR(INDEX(Lists!$U$1:$U$25,MATCH($I470,Lists!$T$1:$T$25,0)),"?")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technology",$C470)),"Head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Network &amp; Infrastructure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 t="n"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IFERROR(INDEX(Lists!$U$1:$U$25,MATCH($I471,Lists!$T$1:$T$25,0)),"?")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technology",$C471)),"Head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Network &amp; Infrastructure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 t="n"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IFERROR(INDEX(Lists!$U$1:$U$25,MATCH($I472,Lists!$T$1:$T$25,0)),"?")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technology",$C472)),"Head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Network &amp; Infrastructure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 t="n"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IFERROR(INDEX(Lists!$U$1:$U$25,MATCH($I473,Lists!$T$1:$T$25,0)),"?")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technology",$C473)),"Head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Network &amp; Infrastructure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 t="n"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IFERROR(INDEX(Lists!$U$1:$U$25,MATCH($I474,Lists!$T$1:$T$25,0)),"?")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technology",$C474)),"Head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Network &amp; Infrastructure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 t="n"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IFERROR(INDEX(Lists!$U$1:$U$25,MATCH($I475,Lists!$T$1:$T$25,0)),"?")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technology",$C475)),"Head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Network &amp; Infrastructure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 t="n"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IFERROR(INDEX(Lists!$U$1:$U$25,MATCH($I476,Lists!$T$1:$T$25,0)),"?")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technology",$C476)),"Head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Network &amp; Infrastructure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 t="n"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IFERROR(INDEX(Lists!$U$1:$U$25,MATCH($I477,Lists!$T$1:$T$25,0)),"?")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technology",$C477)),"Head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Network &amp; Infrastructure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 t="n"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IFERROR(INDEX(Lists!$U$1:$U$25,MATCH($I478,Lists!$T$1:$T$25,0)),"?")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technology",$C478)),"Head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Network &amp; Infrastructure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 t="n"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IFERROR(INDEX(Lists!$U$1:$U$25,MATCH($I479,Lists!$T$1:$T$25,0)),"?")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technology",$C479)),"Head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Engineering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 t="n"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IFERROR(INDEX(Lists!$U$1:$U$25,MATCH($I480,Lists!$T$1:$T$25,0)),"?")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technology",$C480)),"Head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Engineering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 t="n"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IFERROR(INDEX(Lists!$U$1:$U$25,MATCH($I481,Lists!$T$1:$T$25,0)),"?")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technology",$C481)),"Head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Engineering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 t="n"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IFERROR(INDEX(Lists!$U$1:$U$25,MATCH($I482,Lists!$T$1:$T$25,0)),"?")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technology",$C482)),"Head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Engineering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 t="n"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IFERROR(INDEX(Lists!$U$1:$U$25,MATCH($I483,Lists!$T$1:$T$25,0)),"?")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technology",$C483)),"Head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 t="n"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IFERROR(INDEX(Lists!$U$1:$U$25,MATCH($I484,Lists!$T$1:$T$25,0)),"?")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technology",$C484)),"Head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 t="n"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IFERROR(INDEX(Lists!$U$1:$U$25,MATCH($I485,Lists!$T$1:$T$25,0)),"?")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technology",$C485)),"Head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 t="n"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IFERROR(INDEX(Lists!$U$1:$U$25,MATCH($I486,Lists!$T$1:$T$25,0)),"?")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technology",$C486)),"Head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 t="n"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IFERROR(INDEX(Lists!$U$1:$U$25,MATCH($I487,Lists!$T$1:$T$25,0)),"?")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technology",$C487)),"Head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 t="n"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IFERROR(INDEX(Lists!$U$1:$U$25,MATCH($I488,Lists!$T$1:$T$25,0)),"?")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technology",$C488)),"Head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 t="n"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IFERROR(INDEX(Lists!$U$1:$U$25,MATCH($I489,Lists!$T$1:$T$25,0)),"?")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technology",$C489)),"Head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 t="n"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IFERROR(INDEX(Lists!$U$1:$U$25,MATCH($I490,Lists!$T$1:$T$25,0)),"?")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technology",$C490)),"Head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 t="n"/>
      <c r="AB491" s="423" t="n"/>
      <c r="AC491" s="1275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IFERROR(INDEX(Lists!$U$1:$U$25,MATCH($I491,Lists!$T$1:$T$25,0)),"?")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technology",$C491)),"Head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 t="n"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IFERROR(INDEX(Lists!$U$1:$U$25,MATCH($I492,Lists!$T$1:$T$25,0)),"?")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technology",$C492)),"Head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 t="n"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IFERROR(INDEX(Lists!$U$1:$U$25,MATCH($I493,Lists!$T$1:$T$25,0)),"?")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technology",$C493)),"Head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 t="n"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IFERROR(INDEX(Lists!$U$1:$U$25,MATCH($I494,Lists!$T$1:$T$25,0)),"?")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technology",$C494)),"Head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 t="n"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IFERROR(INDEX(Lists!$U$1:$U$25,MATCH($I495,Lists!$T$1:$T$25,0)),"?")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technology",$C495)),"Head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AU Finance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 t="n"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IFERROR(INDEX(Lists!$U$1:$U$25,MATCH($I496,Lists!$T$1:$T$25,0)),"?")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technology",$C496)),"Head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AU Finance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 t="n"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IFERROR(INDEX(Lists!$U$1:$U$25,MATCH($I497,Lists!$T$1:$T$25,0)),"?")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technology",$C497)),"Head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AU Finance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 t="n"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IFERROR(INDEX(Lists!$U$1:$U$25,MATCH($I498,Lists!$T$1:$T$25,0)),"?")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technology",$C498)),"Head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AU Finance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 t="n"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IFERROR(INDEX(Lists!$U$1:$U$25,MATCH($I499,Lists!$T$1:$T$25,0)),"?")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technology",$C499)),"Head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AU Finance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 t="n"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IFERROR(INDEX(Lists!$U$1:$U$25,MATCH($I500,Lists!$T$1:$T$25,0)),"?")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technology",$C500)),"Head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 t="n"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IFERROR(INDEX(Lists!$U$1:$U$25,MATCH($I501,Lists!$T$1:$T$25,0)),"?")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technology",$C501)),"Head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AU Finance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 t="n"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IFERROR(INDEX(Lists!$U$1:$U$25,MATCH($I502,Lists!$T$1:$T$25,0)),"?")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technology",$C502)),"Head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-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 t="n"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IFERROR(INDEX(Lists!$U$1:$U$25,MATCH($I503,Lists!$T$1:$T$25,0)),"?")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technology",$C503)),"Head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-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 t="n"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IFERROR(INDEX(Lists!$U$1:$U$25,MATCH($I504,Lists!$T$1:$T$25,0)),"?")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technology",$C504)),"Head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 t="n"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IFERROR(INDEX(Lists!$U$1:$U$25,MATCH($I505,Lists!$T$1:$T$25,0)),"?")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technology",$C505)),"Head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 t="n"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IFERROR(INDEX(Lists!$U$1:$U$25,MATCH($I506,Lists!$T$1:$T$25,0)),"?")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technology",$C506)),"Head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-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 t="n"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IFERROR(INDEX(Lists!$U$1:$U$25,MATCH($I507,Lists!$T$1:$T$25,0)),"?")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technology",$C507)),"Head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 t="n"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IFERROR(INDEX(Lists!$U$1:$U$25,MATCH($I508,Lists!$T$1:$T$25,0)),"?")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technology",$C508)),"Head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-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 t="n"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IFERROR(INDEX(Lists!$U$1:$U$25,MATCH($I509,Lists!$T$1:$T$25,0)),"?")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technology",$C509)),"Head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-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 t="n"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IFERROR(INDEX(Lists!$U$1:$U$25,MATCH($I510,Lists!$T$1:$T$25,0)),"?")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technology",$C510)),"Head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 t="n"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IFERROR(INDEX(Lists!$U$1:$U$25,MATCH($I511,Lists!$T$1:$T$25,0)),"?")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technology",$C511)),"Head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 t="n"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IFERROR(INDEX(Lists!$U$1:$U$25,MATCH($I512,Lists!$T$1:$T$25,0)),"?")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technology",$C512)),"Head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 t="n"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IFERROR(INDEX(Lists!$U$1:$U$25,MATCH($I513,Lists!$T$1:$T$25,0)),"?")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technology",$C513)),"Head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Network &amp; Infrastructure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 t="n"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IFERROR(INDEX(Lists!$U$1:$U$25,MATCH($I514,Lists!$T$1:$T$25,0)),"?")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technology",$C514)),"Head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 t="n"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IFERROR(INDEX(Lists!$U$1:$U$25,MATCH($I515,Lists!$T$1:$T$25,0)),"?")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technology",$C515)),"Head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Engineering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 t="n"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IFERROR(INDEX(Lists!$U$1:$U$25,MATCH($I516,Lists!$T$1:$T$25,0)),"?")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technology",$C516)),"Head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 t="n"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IFERROR(INDEX(Lists!$U$1:$U$25,MATCH($I517,Lists!$T$1:$T$25,0)),"?")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technology",$C517)),"Head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 t="n"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IFERROR(INDEX(Lists!$U$1:$U$25,MATCH($I518,Lists!$T$1:$T$25,0)),"?")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technology",$C518)),"Head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 t="n"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IFERROR(INDEX(Lists!$U$1:$U$25,MATCH($I519,Lists!$T$1:$T$25,0)),"?")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technology",$C519)),"Head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 t="n"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IFERROR(INDEX(Lists!$U$1:$U$25,MATCH($I520,Lists!$T$1:$T$25,0)),"?")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technology",$C520)),"Head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Engineering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 t="n"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IFERROR(INDEX(Lists!$U$1:$U$25,MATCH($I521,Lists!$T$1:$T$25,0)),"?")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technology",$C521)),"Head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Engineering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 t="n"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IFERROR(INDEX(Lists!$U$1:$U$25,MATCH($I522,Lists!$T$1:$T$25,0)),"?")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technology",$C522)),"Head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Engineering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 t="n"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IFERROR(INDEX(Lists!$U$1:$U$25,MATCH($I523,Lists!$T$1:$T$25,0)),"?")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technology",$C523)),"Head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 t="n"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IFERROR(INDEX(Lists!$U$1:$U$25,MATCH($I524,Lists!$T$1:$T$25,0)),"?")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technology",$C524)),"Head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 t="n"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IFERROR(INDEX(Lists!$U$1:$U$25,MATCH($I525,Lists!$T$1:$T$25,0)),"?")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technology",$C525)),"Head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 t="n"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IFERROR(INDEX(Lists!$U$1:$U$25,MATCH($I526,Lists!$T$1:$T$25,0)),"?")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technology",$C526)),"Head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AU Finance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 t="n"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IFERROR(INDEX(Lists!$U$1:$U$25,MATCH($I527,Lists!$T$1:$T$25,0)),"?")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technology",$C527)),"Head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 t="n"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IFERROR(INDEX(Lists!$U$1:$U$25,MATCH($I528,Lists!$T$1:$T$25,0)),"?")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technology",$C528)),"Head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1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521" t="inlineStr">
        <is>
          <t>Total to fund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TDD Variance (positive = over budget)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Other Variance (positive = still to fund)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524" t="inlineStr">
        <is>
          <t>Total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'0.1 Budget Table (Fin)'!L9</f>
        <v>13.9</v>
      </c>
      <c r="J14" s="1084">
        <f>'0.1 Budget Table (Fin)'!$I$20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'0.1 Budget Table (Fin)'!N9</f>
        <v>1.3</v>
      </c>
      <c r="J15" s="1086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'0.1 Budget Table (Fin)'!P9</f>
        <v>11.8</v>
      </c>
      <c r="J16" s="1086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'0.1 Budget Table (Fin)'!O9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'0.1 Budget Table (Fin)'!Q9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092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/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092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1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(Fin)'!Q6</f>
        <v>76.6</v>
      </c>
      <c r="F14" s="504" t="n"/>
      <c r="G14" s="442" t="n"/>
      <c r="H14" s="175" t="inlineStr">
        <is>
          <t>Z-Energy Lights On</t>
        </is>
      </c>
      <c r="I14" s="1094">
        <f>'0.1 Budget Table (Fin)'!L6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(Fin)'!N6</f>
        <v>1.4</v>
      </c>
      <c r="J15" s="1096" t="n">
        <v>0</v>
      </c>
      <c r="K15" s="1095">
        <f>IFERROR(I15-J15,0)</f>
        <v>1.4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'0.1 Budget Table (Fin)'!P6</f>
        <v>11.7</v>
      </c>
      <c r="J16" s="1096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TDD Variance (positive = over budget)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 t="str">
        <f>'0.1 Budget Table (Fin)'!$O$6</f>
        <v>-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 (positive = still to fund)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(Fin)'!M6</f>
        <v>11.3</v>
      </c>
      <c r="J18" s="1096" t="n">
        <v>0</v>
      </c>
      <c r="K18" s="1095">
        <f>IFERROR(I18-J18,0)</f>
        <v>11.3</v>
      </c>
      <c r="L18" s="442" t="n"/>
      <c r="M18" s="442" t="n"/>
    </row>
    <row r="19">
      <c r="B19" s="524" t="inlineStr">
        <is>
          <t>Total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94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59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4.317</v>
      </c>
      <c r="E8" s="510">
        <f>SUM($J$31:$J$33)+SUM($J$39:$J$41)+SUM($J$47:$J$48)+SUM($J$54:$J$54)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5.6095</v>
      </c>
      <c r="E9" s="518">
        <f>SUM(E6:E8)</f>
        <v>5.92</v>
      </c>
      <c r="F9" s="518">
        <f>SUM(F6:F8)</f>
        <v>13.5695</v>
      </c>
      <c r="G9" s="949" t="n"/>
      <c r="H9" s="549" t="inlineStr">
        <is>
          <t>NZ over/(under) budget ($m)</t>
        </is>
      </c>
      <c r="I9" s="1102">
        <f>D9-I7</f>
        <v>1.6095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1.1495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'0.1 Budget Table (Fin)'!Q13</f>
        <v>11.7</v>
      </c>
      <c r="F14" s="504" t="n"/>
      <c r="G14" s="442" t="n"/>
      <c r="H14" s="473" t="inlineStr">
        <is>
          <t>Customer Lights On</t>
        </is>
      </c>
      <c r="I14" s="1085">
        <f>'0.1 Budget Table (Fin)'!L13</f>
        <v>1.7</v>
      </c>
      <c r="J14" s="1084">
        <f>'0.1 Budget Table (Fin)'!$I$24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'0.1 Budget Table (Fin)'!N13</f>
        <v>0</v>
      </c>
      <c r="J15" s="1086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'0.1 Budget Table (Fin)'!P13</f>
        <v>5</v>
      </c>
      <c r="J16" s="1086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TDD Variance (positive = over budget)</t>
        </is>
      </c>
      <c r="C17" s="1081">
        <f>$I$8+$I$9</f>
        <v>1.1495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Other Variance (positive = still to fund)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'0.1 Budget Table (Fin)'!O13</f>
        <v>5</v>
      </c>
      <c r="J18" s="1086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524" t="inlineStr">
        <is>
          <t>Total</t>
        </is>
      </c>
      <c r="C19" s="1082">
        <f>$C17+$C18</f>
        <v>-2.4305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'0.1 Budget Table (Fin)'!M13</f>
        <v>0</v>
      </c>
      <c r="J23" s="1086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Energy Apps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Energy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085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AU CRM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106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0.136</v>
      </c>
      <c r="E8" s="510">
        <f>SUM($J$27:$J$30)+SUM($J$36:$J$36)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521" t="inlineStr">
        <is>
          <t>Total to fund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092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TDD Variance (positive = over budget)</t>
        </is>
      </c>
      <c r="C17" s="1081">
        <f>$I$8+$I$9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Other Variance (positive = still to fund)</t>
        </is>
      </c>
      <c r="C18" s="1081">
        <f>$J17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524" t="inlineStr">
        <is>
          <t>Total</t>
        </is>
      </c>
      <c r="C19" s="1082">
        <f>$C17+$C18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521" t="inlineStr">
        <is>
          <t>Total to fund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TDD Variance (positive = over budget)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Other Variance (positive = still to fund)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524" t="inlineStr">
        <is>
          <t xml:space="preserve">Total over budget 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Network &amp; Infrastructure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Engineering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092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6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994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'0.1 Budget Table (Fin)'!Q12</f>
        <v>5.8</v>
      </c>
      <c r="F13" s="504" t="n"/>
      <c r="G13" s="442" t="n"/>
      <c r="H13" s="175" t="inlineStr">
        <is>
          <t>P&amp;C Lights On</t>
        </is>
      </c>
      <c r="I13" s="1094">
        <f>'0.1 Budget Table (Fin)'!L12</f>
        <v>2.1</v>
      </c>
      <c r="J13" s="1110">
        <f>'0.1 Budget Table (Fin)'!$I$23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'0.1 Budget Table (Fin)'!N12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'0.1 Budget Table (Fin)'!P12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TDD Variance (positive = over budget)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'0.1 Budget Table (Fin)'!O12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Other Variance (positive = still to fund)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524" t="inlineStr">
        <is>
          <t>Total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(Fin)'!M12</f>
        <v>0</v>
      </c>
      <c r="J18" s="1096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-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7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(Fin)'!Q11</f>
        <v>3.5</v>
      </c>
      <c r="F14" s="504" t="n"/>
      <c r="G14" s="442" t="n"/>
      <c r="H14" s="175" t="inlineStr">
        <is>
          <t>Corporate Finance Lights On</t>
        </is>
      </c>
      <c r="I14" s="1094">
        <f>'0.1 Budget Table (Fin)'!L11</f>
        <v>2.6</v>
      </c>
      <c r="J14" s="1110">
        <f>'0.1 Budget Table (Fin)'!$I$22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(Fin)'!N11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521" t="inlineStr">
        <is>
          <t xml:space="preserve">Total off budget 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(Fin)'!P11</f>
        <v>0</v>
      </c>
      <c r="J16" s="1096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TDD Variance (positive = over budget)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(Fin)'!O11</f>
        <v>0</v>
      </c>
      <c r="J17" s="1096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Other Variance (positive = still to fund)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524" t="inlineStr">
        <is>
          <t>Total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'0.1 Budget Table (Fin)'!M11</f>
        <v>0</v>
      </c>
      <c r="J19" s="1096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AU Finance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955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955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92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4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IF('0.2 Data Config'!$D$17&gt;'0.2 Data Config'!$C$17,0,'0.2 Data Config'!$L$10)</f>
        <v>0.7975</v>
      </c>
      <c r="D7" s="510">
        <f>IF('0.2 Data Config'!$D$17&gt;'0.2 Data Config'!$C$17,'0.2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IF('0.2 Data Config'!$D$17&gt;'0.2 Data Config'!$C$17,0,SUM(I27,I34,I40))</f>
        <v>0.495</v>
      </c>
      <c r="D8" s="510">
        <f>IF('0.2 Data Config'!$D$17&gt;'0.2 Data Config'!$C$17,SUM(I27,I34,I40),0)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SUMIF($F$26:$F$26,"AU",$I$26:$I$26)+SUMIF($F$32:$F$33,"AU",$I$32:$I$33)+SUMIF($F$39:$F$39,"AU",$I$39:$I$39)</f>
        <v>1.76</v>
      </c>
      <c r="D9" s="510">
        <f>SUMIF($F$26:$F$26,"NZ",$I$26:$I$26)+SUMIF($F$32:$F$33,"NZ",$I$32:$I$33)+SUMIF($F$39:$F$39,"NZ",$I$39:$I$39)</f>
        <v>0</v>
      </c>
      <c r="E9" s="510">
        <f>SUM($J$26:$J$26)+SUM($J$32:$J$33)+SUM($J$39:$J$39)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'0.1 Budget Table (Fin)'!Q10</f>
        <v>9.3</v>
      </c>
      <c r="F14" s="504" t="n"/>
      <c r="G14" s="442" t="n"/>
      <c r="H14" s="175" t="inlineStr">
        <is>
          <t>Infrastructure Lights On</t>
        </is>
      </c>
      <c r="I14" s="1094">
        <f>'0.1 Budget Table (Fin)'!L10</f>
        <v>3.9</v>
      </c>
      <c r="J14" s="334">
        <f>'0.1 Budget Table (Fin)'!$I$21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(Fin)'!N10</f>
        <v>0.4</v>
      </c>
      <c r="J15" s="1096" t="n">
        <v>0</v>
      </c>
      <c r="K15" s="1095">
        <f>IFERROR(I15-J15,0)</f>
        <v>0.4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(Fin)'!P10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TDD Variance (positive = over budget)</t>
        </is>
      </c>
      <c r="C17" s="1081">
        <f>$I$9+$I$10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(Fin)'!O10</f>
        <v>0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 (positive = still to fund)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(Fin)'!M10</f>
        <v>0</v>
      </c>
      <c r="J18" s="1096" t="n">
        <v>0</v>
      </c>
      <c r="K18" s="1095">
        <f>IFERROR(I18-J18,0)</f>
        <v>0</v>
      </c>
      <c r="L18" s="442" t="n"/>
      <c r="M18" s="442" t="n"/>
    </row>
    <row r="19">
      <c r="B19" s="524" t="inlineStr">
        <is>
          <t>Total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&amp;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0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'0.1 Budget Table (Fin)'!Q7</f>
        <v>7.2</v>
      </c>
      <c r="F13" s="504" t="n"/>
      <c r="G13" s="442" t="n"/>
      <c r="H13" s="175" t="inlineStr">
        <is>
          <t>Energy Solutions Lights On</t>
        </is>
      </c>
      <c r="I13" s="1094">
        <f>'0.1 Budget Table (Fin)'!L7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094" t="n">
        <v>2.5</v>
      </c>
      <c r="J14" s="1096" t="n">
        <v>2.5</v>
      </c>
      <c r="K14" s="1095">
        <f>IFERROR(I14-J14,0)</f>
        <v>0</v>
      </c>
      <c r="L14" s="554" t="n"/>
      <c r="M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094" t="n">
        <v>2.5</v>
      </c>
      <c r="J15" s="1096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TDD Variance (positive = over budget)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Other Variance (positive = still to fund)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524" t="inlineStr">
        <is>
          <t>Total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096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'0.1 Budget Table (Fin)'!O7</f>
        <v>0</v>
      </c>
      <c r="J19" s="1096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'0.1 Budget Table (Fin)'!M7</f>
        <v>0</v>
      </c>
      <c r="J20" s="1096" t="n">
        <v>0</v>
      </c>
      <c r="K20" s="1095">
        <f>IFERROR(I20-J20,0)</f>
        <v>0</v>
      </c>
      <c r="L20" s="554" t="n"/>
      <c r="M20" s="442" t="n"/>
    </row>
    <row r="21">
      <c r="B21" s="994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4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'0.1 Budget Table (Fin)'!Q8</f>
        <v>40.5</v>
      </c>
      <c r="F13" s="504" t="n"/>
      <c r="G13" s="442" t="n"/>
      <c r="H13" s="473" t="inlineStr">
        <is>
          <t>Commercial Fuels Lights On</t>
        </is>
      </c>
      <c r="I13" s="1085">
        <f>'0.1 Budget Table (Fin)'!L8</f>
        <v>13.4</v>
      </c>
      <c r="J13" s="1084">
        <f>'0.1 Budget Table (Fin)'!$I$19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'0.1 Budget Table (Fin)'!N8</f>
        <v>6.1</v>
      </c>
      <c r="J14" s="1086" t="n">
        <v>1.7</v>
      </c>
      <c r="K14" s="990">
        <f>IFERROR(I14-J14,0)</f>
        <v>4.4</v>
      </c>
      <c r="L14" s="554" t="n"/>
      <c r="M14" s="442" t="n"/>
      <c r="N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'0.1 Budget Table (Fin)'!P8</f>
        <v>6.8</v>
      </c>
      <c r="J15" s="1086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TDD Variance (positive = over budget)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'0.1 Budget Table (Fin)'!P5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Other Variance (positive = still to fund)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'0.1 Budget Table (Fin)'!O8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524" t="inlineStr">
        <is>
          <t>Total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'0.1 Budget Table (Fin)'!M8</f>
        <v>0</v>
      </c>
      <c r="J18" s="1086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092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10" t="inlineStr">
        <is>
          <t>Portfolio</t>
        </is>
      </c>
      <c r="C5" s="1211" t="inlineStr">
        <is>
          <t>Budget ($m)</t>
        </is>
      </c>
      <c r="D5" s="1211" t="inlineStr">
        <is>
          <t>Actual cost ($m)</t>
        </is>
      </c>
      <c r="E5" s="1211" t="inlineStr">
        <is>
          <t>Variance to budget ($m)</t>
        </is>
      </c>
      <c r="F5" s="1210" t="inlineStr">
        <is>
          <t>Squad cost ($m)</t>
        </is>
      </c>
      <c r="G5" s="1210" t="inlineStr">
        <is>
          <t>Archetype cost ($m)</t>
        </is>
      </c>
      <c r="H5" s="1210" t="inlineStr">
        <is>
          <t>Variance to archetype ($m)</t>
        </is>
      </c>
      <c r="I5" s="1211" t="inlineStr">
        <is>
          <t>Overhead cost ($m)</t>
        </is>
      </c>
      <c r="J5" s="1211" t="inlineStr">
        <is>
          <t>Roles</t>
        </is>
      </c>
      <c r="K5" s="1211" t="inlineStr">
        <is>
          <t>Vacant</t>
        </is>
      </c>
      <c r="L5" s="1211" t="inlineStr">
        <is>
          <t>Cost after decisions ($m)</t>
        </is>
      </c>
      <c r="M5" s="507" t="n"/>
      <c r="N5" s="572" t="n"/>
    </row>
    <row r="6">
      <c r="B6" s="473" t="str">
        <f>'3.2 Total Cost'!$B$6</f>
        <v>Ampol Retail</v>
      </c>
      <c r="C6" s="990">
        <f>SUMPRODUCT(('0.2 Data Config'!$B$6:$B$25&lt;&gt;"")*(IFERROR(INDEX(Lists!$AL$2:$AL$19,MATCH('0.2 Data Config'!$B$6:$B$25,Lists!$AK$2:$AK$19,0)),"")=$B6)*'0.2 Data Config'!$E$6:$E$25)</f>
        <v>5.5</v>
      </c>
      <c r="D6" s="990">
        <f>'3.2 Total Cost'!$F$6</f>
        <v>14.005227457</v>
      </c>
      <c r="E6" s="1115">
        <f>$C6-$D6</f>
        <v>-8.505227457</v>
      </c>
      <c r="F6" s="1091">
        <f>'3.2 Total Cost'!$H$6</f>
        <v>12.749611494</v>
      </c>
      <c r="G6" s="1091">
        <f>'3.2 Total Cost'!$J$6</f>
        <v>10.9</v>
      </c>
      <c r="H6" s="1091">
        <f>'3.2 Total Cost'!$K$6</f>
        <v>1.849611494</v>
      </c>
      <c r="I6" s="990">
        <f>'3.2 Total Cost'!$M$6</f>
        <v>1.255615963</v>
      </c>
      <c r="J6" s="990">
        <f>'3.2 Total Cost'!$C$6</f>
        <v>70</v>
      </c>
      <c r="K6" s="990">
        <f>'3.2 Total Cost'!$E$6</f>
        <v>22</v>
      </c>
      <c r="L6" s="1116">
        <f>'3.2 Total Cost'!$N$6</f>
        <v>9.695704767</v>
      </c>
      <c r="M6" s="510" t="n"/>
      <c r="N6" s="949" t="n"/>
    </row>
    <row r="7">
      <c r="B7" s="473" t="str">
        <f>'3.2 Total Cost'!$B$7</f>
        <v>Customer</v>
      </c>
      <c r="C7" s="990">
        <f>SUMPRODUCT(('0.2 Data Config'!$B$6:$B$25&lt;&gt;"")*(IFERROR(INDEX(Lists!$AL$2:$AL$19,MATCH('0.2 Data Config'!$B$6:$B$25,Lists!$AK$2:$AK$19,0)),"")=$B7)*'0.2 Data Config'!$E$6:$E$25)</f>
        <v>6.5</v>
      </c>
      <c r="D7" s="990">
        <f>'3.2 Total Cost'!$F$7</f>
        <v>17.12686714</v>
      </c>
      <c r="E7" s="1115">
        <f>$C7-$D7</f>
        <v>-10.62686714</v>
      </c>
      <c r="F7" s="1091">
        <f>'3.2 Total Cost'!$H$7</f>
        <v>15.353894302</v>
      </c>
      <c r="G7" s="1091">
        <f>'3.2 Total Cost'!$J$7</f>
        <v>17.6</v>
      </c>
      <c r="H7" s="1091">
        <f>'3.2 Total Cost'!$K$7</f>
        <v>-2.246105698</v>
      </c>
      <c r="I7" s="990">
        <f>'3.2 Total Cost'!$M$7</f>
        <v>1.772972838</v>
      </c>
      <c r="J7" s="990">
        <f>'3.2 Total Cost'!$C$7</f>
        <v>83</v>
      </c>
      <c r="K7" s="990">
        <f>'3.2 Total Cost'!$E$7</f>
        <v>13</v>
      </c>
      <c r="L7" s="1116">
        <f>'3.2 Total Cost'!$N$7</f>
        <v>15.474726044</v>
      </c>
      <c r="M7" s="510" t="n"/>
      <c r="N7" s="949" t="n"/>
    </row>
    <row r="8">
      <c r="B8" s="473" t="str">
        <f>'3.2 Total Cost'!$B$8</f>
        <v>Enterprise Data</v>
      </c>
      <c r="C8" s="990">
        <f>SUMPRODUCT(('0.2 Data Config'!$B$6:$B$25&lt;&gt;"")*(IFERROR(INDEX(Lists!$AL$2:$AL$19,MATCH('0.2 Data Config'!$B$6:$B$25,Lists!$AK$2:$AK$19,0)),"")=$B8)*'0.2 Data Config'!$E$6:$E$25)</f>
        <v>3.5</v>
      </c>
      <c r="D8" s="990">
        <f>'3.2 Total Cost'!$F$8</f>
        <v>6.917175476</v>
      </c>
      <c r="E8" s="1115">
        <f>$C8-$D8</f>
        <v>-3.417175476</v>
      </c>
      <c r="F8" s="1091">
        <f>'3.2 Total Cost'!$H$8</f>
        <v>5.856141026</v>
      </c>
      <c r="G8" s="1091">
        <f>'3.2 Total Cost'!$J$8</f>
        <v>4.3</v>
      </c>
      <c r="H8" s="1091">
        <f>'3.2 Total Cost'!$K$8</f>
        <v>1.556141026</v>
      </c>
      <c r="I8" s="990">
        <f>'3.2 Total Cost'!$M$8</f>
        <v>1.06103445</v>
      </c>
      <c r="J8" s="990">
        <f>'3.2 Total Cost'!$C$8</f>
        <v>30</v>
      </c>
      <c r="K8" s="990">
        <f>'3.2 Total Cost'!$E$8</f>
        <v>10</v>
      </c>
      <c r="L8" s="1116">
        <f>'3.2 Total Cost'!$N$8</f>
        <v>4.953369976</v>
      </c>
      <c r="M8" s="510" t="n"/>
      <c r="N8" s="949" t="n"/>
    </row>
    <row r="9">
      <c r="B9" s="473" t="str">
        <f>'3.2 Total Cost'!$B$9</f>
        <v>TDD Group Functions</v>
      </c>
      <c r="C9" s="990">
        <f>SUMPRODUCT(('0.2 Data Config'!$B$6:$B$25&lt;&gt;"")*(IFERROR(INDEX(Lists!$AL$2:$AL$19,MATCH('0.2 Data Config'!$B$6:$B$25,Lists!$AK$2:$AK$19,0)),"")=$B9)*'0.2 Data Config'!$E$6:$E$25)</f>
        <v>5.5</v>
      </c>
      <c r="D9" s="990">
        <f>'3.2 Total Cost'!$F$9</f>
        <v>10.0312294824</v>
      </c>
      <c r="E9" s="1115">
        <f>$C9-$D9</f>
        <v>-4.5312294824</v>
      </c>
      <c r="F9" s="1091">
        <f>'3.2 Total Cost'!$H$9</f>
        <v>8.3657382324</v>
      </c>
      <c r="G9" s="1091">
        <f>'3.2 Total Cost'!$J$9</f>
        <v>5.7</v>
      </c>
      <c r="H9" s="1091">
        <f>'3.2 Total Cost'!$K$9</f>
        <v>2.6657382324</v>
      </c>
      <c r="I9" s="990">
        <f>'3.2 Total Cost'!$M$9</f>
        <v>1.66549125</v>
      </c>
      <c r="J9" s="990">
        <f>'3.2 Total Cost'!$C$9</f>
        <v>46</v>
      </c>
      <c r="K9" s="990">
        <f>'3.2 Total Cost'!$E$9</f>
        <v>14</v>
      </c>
      <c r="L9" s="1116">
        <f>'3.2 Total Cost'!$N$9</f>
        <v>6.6853174824</v>
      </c>
      <c r="M9" s="510" t="n"/>
      <c r="N9" s="949" t="n"/>
    </row>
    <row r="10">
      <c r="B10" s="473" t="str">
        <f>'3.2 Total Cost'!$B$10</f>
        <v>P&amp;C</v>
      </c>
      <c r="C10" s="990">
        <f>SUMPRODUCT(('0.2 Data Config'!$B$6:$B$25&lt;&gt;"")*(IFERROR(INDEX(Lists!$AL$2:$AL$19,MATCH('0.2 Data Config'!$B$6:$B$25,Lists!$AK$2:$AK$19,0)),"")=$B10)*'0.2 Data Config'!$E$6:$E$25)</f>
        <v>2</v>
      </c>
      <c r="D10" s="990">
        <f>'3.2 Total Cost'!$F$10</f>
        <v>4.18444088</v>
      </c>
      <c r="E10" s="1115">
        <f>$C10-$D10</f>
        <v>-2.18444088</v>
      </c>
      <c r="F10" s="1091">
        <f>'3.2 Total Cost'!$H$10</f>
        <v>3.26857108</v>
      </c>
      <c r="G10" s="1091">
        <f>'3.2 Total Cost'!$J$10</f>
        <v>3.5</v>
      </c>
      <c r="H10" s="1091">
        <f>'3.2 Total Cost'!$K$10</f>
        <v>-0.23142892</v>
      </c>
      <c r="I10" s="990">
        <f>'3.2 Total Cost'!$M$10</f>
        <v>0.9158698</v>
      </c>
      <c r="J10" s="990">
        <f>'3.2 Total Cost'!$C$10</f>
        <v>18</v>
      </c>
      <c r="K10" s="990">
        <f>'3.2 Total Cost'!$E$10</f>
        <v>10</v>
      </c>
      <c r="L10" s="1116">
        <f>'3.2 Total Cost'!$N$10</f>
        <v>2.07003598</v>
      </c>
      <c r="M10" s="510" t="n"/>
      <c r="N10" s="949" t="n"/>
    </row>
    <row r="11">
      <c r="B11" s="473" t="str">
        <f>'3.2 Total Cost'!$B$11</f>
        <v>Finance</v>
      </c>
      <c r="C11" s="990">
        <f>SUMPRODUCT(('0.2 Data Config'!$B$6:$B$25&lt;&gt;"")*(IFERROR(INDEX(Lists!$AL$2:$AL$19,MATCH('0.2 Data Config'!$B$6:$B$25,Lists!$AK$2:$AK$19,0)),"")=$B11)*'0.2 Data Config'!$E$6:$E$25)</f>
        <v>2</v>
      </c>
      <c r="D11" s="990">
        <f>'3.2 Total Cost'!$F$11</f>
        <v>3.844616116</v>
      </c>
      <c r="E11" s="1115">
        <f>$C11-$D11</f>
        <v>-1.844616116</v>
      </c>
      <c r="F11" s="1091">
        <f>'3.2 Total Cost'!$H$11</f>
        <v>3.521055666</v>
      </c>
      <c r="G11" s="1091">
        <f>'3.2 Total Cost'!$J$11</f>
        <v>2.8</v>
      </c>
      <c r="H11" s="1091">
        <f>'3.2 Total Cost'!$K$11</f>
        <v>0.721055666</v>
      </c>
      <c r="I11" s="990">
        <f>'3.2 Total Cost'!$M$11</f>
        <v>0.32356045</v>
      </c>
      <c r="J11" s="990">
        <f>'3.2 Total Cost'!$C$11</f>
        <v>17</v>
      </c>
      <c r="K11" s="990">
        <f>'3.2 Total Cost'!$E$11</f>
        <v>8</v>
      </c>
      <c r="L11" s="1116">
        <f>'3.2 Total Cost'!$N$11</f>
        <v>2.047934746</v>
      </c>
      <c r="M11" s="510" t="n"/>
      <c r="N11" s="949" t="n"/>
    </row>
    <row r="12">
      <c r="B12" s="473" t="str">
        <f>'3.2 Total Cost'!$B$12</f>
        <v>Infrastructure</v>
      </c>
      <c r="C12" s="990">
        <f>SUMPRODUCT(('0.2 Data Config'!$B$6:$B$25&lt;&gt;"")*(IFERROR(INDEX(Lists!$AL$2:$AL$19,MATCH('0.2 Data Config'!$B$6:$B$25,Lists!$AK$2:$AK$19,0)),"")=$B12)*'0.2 Data Config'!$E$6:$E$25)</f>
        <v>2.5</v>
      </c>
      <c r="D12" s="990">
        <f>'3.2 Total Cost'!$F$12</f>
        <v>7.74836354</v>
      </c>
      <c r="E12" s="1115">
        <f>$C12-$D12</f>
        <v>-5.24836354</v>
      </c>
      <c r="F12" s="1091">
        <f>'3.2 Total Cost'!$H$12</f>
        <v>6.55730609</v>
      </c>
      <c r="G12" s="1091">
        <f>'3.2 Total Cost'!$J$12</f>
        <v>6.4</v>
      </c>
      <c r="H12" s="1091">
        <f>'3.2 Total Cost'!$K$12</f>
        <v>0.15730609</v>
      </c>
      <c r="I12" s="990">
        <f>'3.2 Total Cost'!$M$12</f>
        <v>1.19105745</v>
      </c>
      <c r="J12" s="990">
        <f>'3.2 Total Cost'!$C$12</f>
        <v>36</v>
      </c>
      <c r="K12" s="990">
        <f>'3.2 Total Cost'!$E$12</f>
        <v>12</v>
      </c>
      <c r="L12" s="1116">
        <f>'3.2 Total Cost'!$N$12</f>
        <v>5.10357679</v>
      </c>
      <c r="M12" s="510" t="n"/>
      <c r="N12" s="949" t="n"/>
    </row>
    <row r="13">
      <c r="B13" s="473" t="str">
        <f>'3.2 Total Cost'!$B$13</f>
        <v>Energy Solutions &amp; B2B</v>
      </c>
      <c r="C13" s="990">
        <f>SUMPRODUCT(('0.2 Data Config'!$B$6:$B$25&lt;&gt;"")*(IFERROR(INDEX(Lists!$AL$2:$AL$19,MATCH('0.2 Data Config'!$B$6:$B$25,Lists!$AK$2:$AK$19,0)),"")=$B13)*'0.2 Data Config'!$E$6:$E$25)</f>
        <v>2.5</v>
      </c>
      <c r="D13" s="990">
        <f>'3.2 Total Cost'!$F$13</f>
        <v>6.447816278</v>
      </c>
      <c r="E13" s="1115">
        <f>$C13-$D13</f>
        <v>-3.947816278</v>
      </c>
      <c r="F13" s="1091">
        <f>'3.2 Total Cost'!$H$13</f>
        <v>5.327874328</v>
      </c>
      <c r="G13" s="1091">
        <f>'3.2 Total Cost'!$J$13</f>
        <v>7.9</v>
      </c>
      <c r="H13" s="1091">
        <f>'3.2 Total Cost'!$K$13</f>
        <v>-2.572125672</v>
      </c>
      <c r="I13" s="990">
        <f>'3.2 Total Cost'!$M$13</f>
        <v>1.11994195</v>
      </c>
      <c r="J13" s="990">
        <f>'3.2 Total Cost'!$C$13</f>
        <v>33</v>
      </c>
      <c r="K13" s="990">
        <f>'3.2 Total Cost'!$E$13</f>
        <v>9</v>
      </c>
      <c r="L13" s="1116">
        <f>'3.2 Total Cost'!$N$13</f>
        <v>4.418551028</v>
      </c>
      <c r="M13" s="510" t="n"/>
      <c r="N13" s="949" t="n"/>
    </row>
    <row r="14">
      <c r="B14" s="473" t="str">
        <f>'3.2 Total Cost'!$B$14</f>
        <v>Commercial Fuels</v>
      </c>
      <c r="C14" s="990">
        <f>SUMPRODUCT(('0.2 Data Config'!$B$6:$B$25&lt;&gt;"")*(IFERROR(INDEX(Lists!$AL$2:$AL$19,MATCH('0.2 Data Config'!$B$6:$B$25,Lists!$AK$2:$AK$19,0)),"")=$B14)*'0.2 Data Config'!$E$6:$E$25)</f>
        <v>2.5</v>
      </c>
      <c r="D14" s="990">
        <f>'3.2 Total Cost'!$F$14</f>
        <v>10.1976697287</v>
      </c>
      <c r="E14" s="1115">
        <f>$C14-$D14</f>
        <v>-7.6976697287</v>
      </c>
      <c r="F14" s="1091">
        <f>'3.2 Total Cost'!$H$14</f>
        <v>9.0663273927</v>
      </c>
      <c r="G14" s="1091">
        <f>'3.2 Total Cost'!$J$14</f>
        <v>5.9</v>
      </c>
      <c r="H14" s="1091">
        <f>'3.2 Total Cost'!$K$14</f>
        <v>3.1663273927</v>
      </c>
      <c r="I14" s="990">
        <f>'3.2 Total Cost'!$M$14</f>
        <v>1.131342336</v>
      </c>
      <c r="J14" s="990">
        <f>'3.2 Total Cost'!$C$14</f>
        <v>42</v>
      </c>
      <c r="K14" s="990">
        <f>'3.2 Total Cost'!$E$14</f>
        <v>9</v>
      </c>
      <c r="L14" s="1116">
        <f>'3.2 Total Cost'!$N$14</f>
        <v>8.2810494787</v>
      </c>
      <c r="M14" s="510" t="n"/>
      <c r="N14" s="949" t="n"/>
    </row>
    <row r="15">
      <c r="B15" s="473" t="str">
        <f>'3.2 Total Cost'!$B$15</f>
        <v>Z Retail</v>
      </c>
      <c r="C15" s="990">
        <f>SUMPRODUCT(('0.2 Data Config'!$B$6:$B$25&lt;&gt;"")*(IFERROR(INDEX(Lists!$AL$2:$AL$19,MATCH('0.2 Data Config'!$B$6:$B$25,Lists!$AK$2:$AK$19,0)),"")=$B15)*'0.2 Data Config'!$E$6:$E$25)</f>
        <v>6.5</v>
      </c>
      <c r="D15" s="990">
        <f>'3.2 Total Cost'!$F$15</f>
        <v>7.337294352</v>
      </c>
      <c r="E15" s="1115">
        <f>$C15-$D15</f>
        <v>-0.837294352</v>
      </c>
      <c r="F15" s="1091">
        <f>'3.2 Total Cost'!$H$15</f>
        <v>6.119950684</v>
      </c>
      <c r="G15" s="1091">
        <f>'3.2 Total Cost'!$J$15</f>
        <v>7.8</v>
      </c>
      <c r="H15" s="1091">
        <f>'3.2 Total Cost'!$K$15</f>
        <v>-1.680049316</v>
      </c>
      <c r="I15" s="990">
        <f>'3.2 Total Cost'!$M$15</f>
        <v>1.217343668</v>
      </c>
      <c r="J15" s="990">
        <f>'3.2 Total Cost'!$C$15</f>
        <v>39</v>
      </c>
      <c r="K15" s="990">
        <f>'3.2 Total Cost'!$E$15</f>
        <v>7</v>
      </c>
      <c r="L15" s="1116">
        <f>'3.2 Total Cost'!$N$15</f>
        <v>5.686366352</v>
      </c>
      <c r="M15" s="510" t="n"/>
      <c r="N15" s="949" t="n"/>
    </row>
    <row r="16">
      <c r="B16" s="504" t="str">
        <f>'3.2 Total Cost'!$B$17</f>
        <v>COE Cyber</v>
      </c>
      <c r="C16" s="1117">
        <f>SUMPRODUCT(('0.2 Data Config'!$B$6:$B$25&lt;&gt;"")*(IFERROR(INDEX(Lists!$AL$2:$AL$19,MATCH('0.2 Data Config'!$B$6:$B$25,Lists!$AK$2:$AK$19,0)),"")=$B16)*'0.2 Data Config'!$E$6:$E$25)</f>
        <v>3.5</v>
      </c>
      <c r="D16" s="1117">
        <f>'3.2 Total Cost'!$F$17</f>
        <v>9.897858294</v>
      </c>
      <c r="E16" s="1118">
        <f>$C16-$D16</f>
        <v>-6.397858294</v>
      </c>
      <c r="F16" s="1117">
        <f>'3.2 Total Cost'!$H$17</f>
        <v>9.897858294</v>
      </c>
      <c r="G16" s="1117" t="str">
        <f>'3.2 Total Cost'!$J$17</f>
        <v>-</v>
      </c>
      <c r="H16" s="1117" t="str">
        <f>'3.2 Total Cost'!$K$17</f>
        <v>-</v>
      </c>
      <c r="I16" s="1117">
        <f>'3.2 Total Cost'!$M$17</f>
        <v>0</v>
      </c>
      <c r="J16" s="1117">
        <f>'3.2 Total Cost'!$C$17</f>
        <v>46</v>
      </c>
      <c r="K16" s="1117">
        <f>'3.2 Total Cost'!$E$17</f>
        <v>4</v>
      </c>
      <c r="L16" s="1119">
        <f>'3.2 Total Cost'!$N$17</f>
        <v>9.199090294</v>
      </c>
      <c r="M16" s="545" t="n"/>
      <c r="N16" s="504" t="n"/>
    </row>
    <row r="17">
      <c r="B17" s="517" t="str">
        <f>'3.2 Total Cost'!$B$18</f>
        <v>COE BP&amp;T</v>
      </c>
      <c r="C17" s="1091">
        <f>SUMPRODUCT(('0.2 Data Config'!$B$6:$B$25&lt;&gt;"")*(IFERROR(INDEX(Lists!$AL$2:$AL$19,MATCH('0.2 Data Config'!$B$6:$B$25,Lists!$AK$2:$AK$19,0)),"")=$B17)*'0.2 Data Config'!$E$6:$E$25)</f>
        <v>4</v>
      </c>
      <c r="D17" s="1091">
        <f>'3.2 Total Cost'!$F$18</f>
        <v>6.400561822</v>
      </c>
      <c r="E17" s="1120">
        <f>$C17-$D17</f>
        <v>-2.400561822</v>
      </c>
      <c r="F17" s="1091">
        <f>'3.2 Total Cost'!$H$18</f>
        <v>4.087013422</v>
      </c>
      <c r="G17" s="1091" t="str">
        <f>'3.2 Total Cost'!$J$18</f>
        <v>-</v>
      </c>
      <c r="H17" s="1091" t="str">
        <f>'3.2 Total Cost'!$K$18</f>
        <v>-</v>
      </c>
      <c r="I17" s="1091">
        <f>'3.2 Total Cost'!$M$18</f>
        <v>2.3135484</v>
      </c>
      <c r="J17" s="1091">
        <f>'3.2 Total Cost'!$C$18</f>
        <v>24</v>
      </c>
      <c r="K17" s="1091">
        <f>'3.2 Total Cost'!$E$18</f>
        <v>9</v>
      </c>
      <c r="L17" s="1121">
        <f>'3.2 Total Cost'!$N$18</f>
        <v>4.053047842</v>
      </c>
      <c r="M17" s="1121" t="n"/>
    </row>
    <row r="18">
      <c r="B18" s="473" t="str">
        <f>'3.2 Total Cost'!$B$19</f>
        <v>COE SA&amp;D</v>
      </c>
      <c r="C18" s="990">
        <f>SUMPRODUCT(('0.2 Data Config'!$B$6:$B$25&lt;&gt;"")*(IFERROR(INDEX(Lists!$AL$2:$AL$19,MATCH('0.2 Data Config'!$B$6:$B$25,Lists!$AK$2:$AK$19,0)),"")=$B18)*'0.2 Data Config'!$E$6:$E$25)</f>
        <v>4</v>
      </c>
      <c r="D18" s="990">
        <f>'3.2 Total Cost'!$F$19</f>
        <v>6.030722352</v>
      </c>
      <c r="E18" s="1115">
        <f>$C18-$D18</f>
        <v>-2.030722352</v>
      </c>
      <c r="F18" s="1091">
        <f>'3.2 Total Cost'!$H$19</f>
        <v>3.663866966</v>
      </c>
      <c r="G18" s="1091" t="str">
        <f>'3.2 Total Cost'!$J$19</f>
        <v>-</v>
      </c>
      <c r="H18" s="1091" t="str">
        <f>'3.2 Total Cost'!$K$19</f>
        <v>-</v>
      </c>
      <c r="I18" s="990">
        <f>'3.2 Total Cost'!$M$19</f>
        <v>2.366855386</v>
      </c>
      <c r="J18" s="990">
        <f>'3.2 Total Cost'!$C$19</f>
        <v>24</v>
      </c>
      <c r="K18" s="990">
        <f>'3.2 Total Cost'!$E$19</f>
        <v>8</v>
      </c>
      <c r="L18" s="1116">
        <f>'3.2 Total Cost'!$N$19</f>
        <v>3.966580052</v>
      </c>
      <c r="M18" s="510" t="n"/>
    </row>
    <row r="19">
      <c r="B19" s="473" t="str">
        <f>'3.2 Total Cost'!$B$20</f>
        <v>EGI</v>
      </c>
      <c r="C19" s="990">
        <f>SUMPRODUCT(('0.2 Data Config'!$B$6:$B$25&lt;&gt;"")*(IFERROR(INDEX(Lists!$AL$2:$AL$19,MATCH('0.2 Data Config'!$B$6:$B$25,Lists!$AK$2:$AK$19,0)),"")=$B19)*'0.2 Data Config'!$E$6:$E$25)</f>
        <v>0</v>
      </c>
      <c r="D19" s="990">
        <f>'3.2 Total Cost'!$F$20</f>
        <v>4.94341935</v>
      </c>
      <c r="E19" s="1115">
        <f>$C19-$D19</f>
        <v>-4.94341935</v>
      </c>
      <c r="F19" s="1091">
        <f>'3.2 Total Cost'!$H$20</f>
        <v>4.94341935</v>
      </c>
      <c r="G19" s="1091" t="str">
        <f>'3.2 Total Cost'!$J$20</f>
        <v>-</v>
      </c>
      <c r="H19" s="1091" t="str">
        <f>'3.2 Total Cost'!$K$20</f>
        <v>-</v>
      </c>
      <c r="I19" s="990">
        <f>'3.2 Total Cost'!$M$20</f>
        <v>0</v>
      </c>
      <c r="J19" s="990">
        <f>'3.2 Total Cost'!$C$20</f>
        <v>17</v>
      </c>
      <c r="K19" s="990">
        <f>'3.2 Total Cost'!$E$20</f>
        <v>0</v>
      </c>
      <c r="L19" s="1116">
        <f>'3.2 Total Cost'!$N$20</f>
        <v>4.94341935</v>
      </c>
      <c r="M19" s="510" t="n"/>
    </row>
    <row r="20">
      <c r="B20" s="1212" t="inlineStr">
        <is>
          <t>Total</t>
        </is>
      </c>
      <c r="C20" s="990">
        <f>SUM(C6:C19)</f>
        <v>50.5</v>
      </c>
      <c r="D20" s="990">
        <f>SUM(D6:D19)</f>
        <v>115.1132622681</v>
      </c>
      <c r="E20" s="1115">
        <f>SUM(E6:E19)</f>
        <v>-64.6132622681</v>
      </c>
      <c r="F20" s="1091">
        <f>SUM(F6:F19)</f>
        <v>98.7786283271</v>
      </c>
      <c r="G20" s="1091">
        <f>'3.2 Total Cost'!$J$21</f>
        <v>72.8</v>
      </c>
      <c r="H20" s="1091">
        <f>'3.2 Total Cost'!$K$21</f>
        <v>3.3864702951</v>
      </c>
      <c r="I20" s="990">
        <f>SUM(I6:I19)</f>
        <v>16.334633941</v>
      </c>
      <c r="J20" s="990">
        <f>SUM(J6:J19)</f>
        <v>525</v>
      </c>
      <c r="K20" s="990">
        <f>SUM(K6:K19)</f>
        <v>135</v>
      </c>
      <c r="L20" s="1116">
        <f>SUM(L6:L19)</f>
        <v>86.5787701821</v>
      </c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Delivery squads are compared to the squad archetype; overhead is compared to the allowance. Both together are the ledger.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14" t="inlineStr">
        <is>
          <t>Portfolio</t>
        </is>
      </c>
      <c r="C5" s="1215" t="inlineStr">
        <is>
          <t>Roles</t>
        </is>
      </c>
      <c r="D5" s="1215" t="inlineStr">
        <is>
          <t>Filled</t>
        </is>
      </c>
      <c r="E5" s="1215" t="inlineStr">
        <is>
          <t>Vacant</t>
        </is>
      </c>
      <c r="F5" s="1215" t="inlineStr">
        <is>
          <t>Actual cost ($m)</t>
        </is>
      </c>
      <c r="G5" s="1215" t="inlineStr">
        <is>
          <t>Squad roles</t>
        </is>
      </c>
      <c r="H5" s="1216" t="inlineStr">
        <is>
          <t>Squad cost ($m)</t>
        </is>
      </c>
      <c r="I5" s="1216" t="inlineStr">
        <is>
          <t>Archetype roles</t>
        </is>
      </c>
      <c r="J5" s="1216" t="inlineStr">
        <is>
          <t>Archetype cost ($m)</t>
        </is>
      </c>
      <c r="K5" s="1215" t="inlineStr">
        <is>
          <t>Variance to archetype ($m)</t>
        </is>
      </c>
      <c r="L5" s="1215" t="inlineStr">
        <is>
          <t>Overhead roles</t>
        </is>
      </c>
      <c r="M5" s="1217" t="inlineStr">
        <is>
          <t>Overhead cost ($m)</t>
        </is>
      </c>
      <c r="N5" s="1217" t="inlineStr">
        <is>
          <t>Cost after decisions ($m)</t>
        </is>
      </c>
    </row>
    <row r="6">
      <c r="B6" s="549" t="inlineStr">
        <is>
          <t>Ampol Retail</t>
        </is>
      </c>
      <c r="C6" s="1126">
        <f>COUNTIFS('REVIEW - Complete Role Mapping'!$AJ$2:$AJ$528,$B6)</f>
        <v>70</v>
      </c>
      <c r="D6" s="1126">
        <f>COUNTIFS('REVIEW - Complete Role Mapping'!$AJ$2:$AJ$528,$B6,'REVIEW - Complete Role Mapping'!$AK$2:$AK$528,"Filled")</f>
        <v>48</v>
      </c>
      <c r="E6" s="1126">
        <f>COUNTIFS('REVIEW - Complete Role Mapping'!$AJ$2:$AJ$528,$B6,'REVIEW - Complete Role Mapping'!$AK$2:$AK$528,"Vacant")</f>
        <v>22</v>
      </c>
      <c r="F6" s="1126">
        <f>SUMIFS('REVIEW - Complete Role Mapping'!$AA$2:$AA$528,'REVIEW - Complete Role Mapping'!$AJ$2:$AJ$528,$B6)/1000000</f>
        <v>14.005227457</v>
      </c>
      <c r="G6" s="1126">
        <f>'2.1 Ampol Retail'!$E$16</f>
        <v>65</v>
      </c>
      <c r="H6" s="1127">
        <f>'2.1 Ampol Retail'!$M$16</f>
        <v>12.749611494</v>
      </c>
      <c r="I6" s="1127">
        <f>'2.1 Ampol Retail'!$D$16</f>
        <v>47.5</v>
      </c>
      <c r="J6" s="1127">
        <f>'2.1 Ampol Retail'!$L$16</f>
        <v>10.9</v>
      </c>
      <c r="K6" s="1126">
        <f>$H6-$J6</f>
        <v>1.849611494</v>
      </c>
      <c r="L6" s="1126">
        <f>'2.1 Ampol Retail'!$E$21</f>
        <v>5</v>
      </c>
      <c r="M6" s="1128">
        <f>'2.1 Ampol Retail'!$M$21</f>
        <v>1.255615963</v>
      </c>
      <c r="N6" s="1129">
        <f>'2.1 Ampol Retail'!$O$23</f>
        <v>9.695704767</v>
      </c>
    </row>
    <row r="7">
      <c r="B7" s="549" t="inlineStr">
        <is>
          <t>Customer</t>
        </is>
      </c>
      <c r="C7" s="1126">
        <f>COUNTIFS('REVIEW - Complete Role Mapping'!$AJ$2:$AJ$528,$B7)</f>
        <v>83</v>
      </c>
      <c r="D7" s="1126">
        <f>COUNTIFS('REVIEW - Complete Role Mapping'!$AJ$2:$AJ$528,$B7,'REVIEW - Complete Role Mapping'!$AK$2:$AK$528,"Filled")</f>
        <v>70</v>
      </c>
      <c r="E7" s="1126">
        <f>COUNTIFS('REVIEW - Complete Role Mapping'!$AJ$2:$AJ$528,$B7,'REVIEW - Complete Role Mapping'!$AK$2:$AK$528,"Vacant")</f>
        <v>13</v>
      </c>
      <c r="F7" s="1126">
        <f>SUMIFS('REVIEW - Complete Role Mapping'!$AA$2:$AA$528,'REVIEW - Complete Role Mapping'!$AJ$2:$AJ$528,$B7)/1000000</f>
        <v>17.12686714</v>
      </c>
      <c r="G7" s="1126">
        <f>'2.2 Customer'!$E$18</f>
        <v>75</v>
      </c>
      <c r="H7" s="1127">
        <f>'2.2 Customer'!$M$18</f>
        <v>15.353894302</v>
      </c>
      <c r="I7" s="1127">
        <f>'2.2 Customer'!$D$18</f>
        <v>77.5</v>
      </c>
      <c r="J7" s="1127">
        <f>'2.2 Customer'!$L$18</f>
        <v>17.6</v>
      </c>
      <c r="K7" s="1126">
        <f>$H7-$J7</f>
        <v>-2.246105698</v>
      </c>
      <c r="L7" s="1126">
        <f>'2.2 Customer'!$E$23</f>
        <v>8</v>
      </c>
      <c r="M7" s="1128">
        <f>'2.2 Customer'!$M$23</f>
        <v>1.772972838</v>
      </c>
      <c r="N7" s="1129">
        <f>'2.2 Customer'!$O$25</f>
        <v>15.474726044</v>
      </c>
    </row>
    <row r="8">
      <c r="B8" s="549" t="inlineStr">
        <is>
          <t>Enterprise Data</t>
        </is>
      </c>
      <c r="C8" s="1126">
        <f>COUNTIFS('REVIEW - Complete Role Mapping'!$AJ$2:$AJ$528,$B8)</f>
        <v>30</v>
      </c>
      <c r="D8" s="1126">
        <f>COUNTIFS('REVIEW - Complete Role Mapping'!$AJ$2:$AJ$528,$B8,'REVIEW - Complete Role Mapping'!$AK$2:$AK$528,"Filled")</f>
        <v>20</v>
      </c>
      <c r="E8" s="1126">
        <f>COUNTIFS('REVIEW - Complete Role Mapping'!$AJ$2:$AJ$528,$B8,'REVIEW - Complete Role Mapping'!$AK$2:$AK$528,"Vacant")</f>
        <v>10</v>
      </c>
      <c r="F8" s="1126">
        <f>SUMIFS('REVIEW - Complete Role Mapping'!$AA$2:$AA$528,'REVIEW - Complete Role Mapping'!$AJ$2:$AJ$528,$B8)/1000000</f>
        <v>6.917175476</v>
      </c>
      <c r="G8" s="1126">
        <f>'2.3 Enterprise Data'!$E$10</f>
        <v>27</v>
      </c>
      <c r="H8" s="1127">
        <f>'2.3 Enterprise Data'!$M$10</f>
        <v>5.856141026</v>
      </c>
      <c r="I8" s="1127">
        <f>'2.3 Enterprise Data'!$D$10</f>
        <v>19</v>
      </c>
      <c r="J8" s="1127">
        <f>'2.3 Enterprise Data'!$L$10</f>
        <v>4.3</v>
      </c>
      <c r="K8" s="1126">
        <f>$H8-$J8</f>
        <v>1.556141026</v>
      </c>
      <c r="L8" s="1126">
        <f>'2.3 Enterprise Data'!$E$14</f>
        <v>3</v>
      </c>
      <c r="M8" s="1128">
        <f>'2.3 Enterprise Data'!$M$14</f>
        <v>1.06103445</v>
      </c>
      <c r="N8" s="1129">
        <f>'2.3 Enterprise Data'!$O$16</f>
        <v>4.953369976</v>
      </c>
    </row>
    <row r="9">
      <c r="B9" s="549" t="inlineStr">
        <is>
          <t>TDD Group Functions</t>
        </is>
      </c>
      <c r="C9" s="1126">
        <f>COUNTIFS('REVIEW - Complete Role Mapping'!$AJ$2:$AJ$528,$B9)</f>
        <v>46</v>
      </c>
      <c r="D9" s="1126">
        <f>COUNTIFS('REVIEW - Complete Role Mapping'!$AJ$2:$AJ$528,$B9,'REVIEW - Complete Role Mapping'!$AK$2:$AK$528,"Filled")</f>
        <v>32</v>
      </c>
      <c r="E9" s="1126">
        <f>COUNTIFS('REVIEW - Complete Role Mapping'!$AJ$2:$AJ$528,$B9,'REVIEW - Complete Role Mapping'!$AK$2:$AK$528,"Vacant")</f>
        <v>14</v>
      </c>
      <c r="F9" s="1126">
        <f>SUMIFS('REVIEW - Complete Role Mapping'!$AA$2:$AA$528,'REVIEW - Complete Role Mapping'!$AJ$2:$AJ$528,$B9)/1000000</f>
        <v>10.0312294824</v>
      </c>
      <c r="G9" s="1126">
        <f>'2.4 TDD Group Functions'!$E$11</f>
        <v>40</v>
      </c>
      <c r="H9" s="1127">
        <f>'2.4 TDD Group Functions'!$M$11</f>
        <v>8.3657382324</v>
      </c>
      <c r="I9" s="1127">
        <f>'2.4 TDD Group Functions'!$D$11</f>
        <v>25.5</v>
      </c>
      <c r="J9" s="1127">
        <f>'2.4 TDD Group Functions'!$L$11</f>
        <v>5.7</v>
      </c>
      <c r="K9" s="1126">
        <f>$H9-$J9</f>
        <v>2.6657382324</v>
      </c>
      <c r="L9" s="1126">
        <f>'2.4 TDD Group Functions'!$E$16</f>
        <v>6</v>
      </c>
      <c r="M9" s="1128">
        <f>'2.4 TDD Group Functions'!$M$16</f>
        <v>1.66549125</v>
      </c>
      <c r="N9" s="1129">
        <f>'2.4 TDD Group Functions'!$O$18</f>
        <v>6.6853174824</v>
      </c>
    </row>
    <row r="10">
      <c r="B10" s="549" t="inlineStr">
        <is>
          <t>P&amp;C</t>
        </is>
      </c>
      <c r="C10" s="1126">
        <f>COUNTIFS('REVIEW - Complete Role Mapping'!$AJ$2:$AJ$528,$B10)</f>
        <v>18</v>
      </c>
      <c r="D10" s="1126">
        <f>COUNTIFS('REVIEW - Complete Role Mapping'!$AJ$2:$AJ$528,$B10,'REVIEW - Complete Role Mapping'!$AK$2:$AK$528,"Filled")</f>
        <v>8</v>
      </c>
      <c r="E10" s="1126">
        <f>COUNTIFS('REVIEW - Complete Role Mapping'!$AJ$2:$AJ$528,$B10,'REVIEW - Complete Role Mapping'!$AK$2:$AK$528,"Vacant")</f>
        <v>10</v>
      </c>
      <c r="F10" s="1126">
        <f>SUMIFS('REVIEW - Complete Role Mapping'!$AA$2:$AA$528,'REVIEW - Complete Role Mapping'!$AJ$2:$AJ$528,$B10)/1000000</f>
        <v>4.18444088</v>
      </c>
      <c r="G10" s="1126">
        <f>'2.5 P&amp;C'!$E$9</f>
        <v>15</v>
      </c>
      <c r="H10" s="1127">
        <f>'2.5 P&amp;C'!$M$9</f>
        <v>3.26857108</v>
      </c>
      <c r="I10" s="1127">
        <f>'2.5 P&amp;C'!$D$9</f>
        <v>15</v>
      </c>
      <c r="J10" s="1127">
        <f>'2.5 P&amp;C'!$L$9</f>
        <v>3.5</v>
      </c>
      <c r="K10" s="1126">
        <f>$H10-$J10</f>
        <v>-0.23142892</v>
      </c>
      <c r="L10" s="1126">
        <f>'2.5 P&amp;C'!$E$14</f>
        <v>3</v>
      </c>
      <c r="M10" s="1128">
        <f>'2.5 P&amp;C'!$M$14</f>
        <v>0.9158698</v>
      </c>
      <c r="N10" s="1129">
        <f>'2.5 P&amp;C'!$O$16</f>
        <v>2.07003598</v>
      </c>
    </row>
    <row r="11">
      <c r="B11" s="549" t="inlineStr">
        <is>
          <t>Finance</t>
        </is>
      </c>
      <c r="C11" s="1126">
        <f>COUNTIFS('REVIEW - Complete Role Mapping'!$AJ$2:$AJ$528,$B11)</f>
        <v>17</v>
      </c>
      <c r="D11" s="1126">
        <f>COUNTIFS('REVIEW - Complete Role Mapping'!$AJ$2:$AJ$528,$B11,'REVIEW - Complete Role Mapping'!$AK$2:$AK$528,"Filled")</f>
        <v>9</v>
      </c>
      <c r="E11" s="1126">
        <f>COUNTIFS('REVIEW - Complete Role Mapping'!$AJ$2:$AJ$528,$B11,'REVIEW - Complete Role Mapping'!$AK$2:$AK$528,"Vacant")</f>
        <v>8</v>
      </c>
      <c r="F11" s="1126">
        <f>SUMIFS('REVIEW - Complete Role Mapping'!$AA$2:$AA$528,'REVIEW - Complete Role Mapping'!$AJ$2:$AJ$528,$B11)/1000000</f>
        <v>3.844616116</v>
      </c>
      <c r="G11" s="1126">
        <f>'2.6 Finance'!$E$10</f>
        <v>16</v>
      </c>
      <c r="H11" s="1127">
        <f>'2.6 Finance'!$M$10</f>
        <v>3.521055666</v>
      </c>
      <c r="I11" s="1127">
        <f>'2.6 Finance'!$D$10</f>
        <v>12</v>
      </c>
      <c r="J11" s="1127">
        <f>'2.6 Finance'!$L$10</f>
        <v>2.8</v>
      </c>
      <c r="K11" s="1126">
        <f>$H11-$J11</f>
        <v>0.721055666</v>
      </c>
      <c r="L11" s="1126">
        <f>'2.6 Finance'!$E$13</f>
        <v>1</v>
      </c>
      <c r="M11" s="1128">
        <f>'2.6 Finance'!$M$13</f>
        <v>0.32356045</v>
      </c>
      <c r="N11" s="1129">
        <f>'2.6 Finance'!$O$15</f>
        <v>2.047934746</v>
      </c>
    </row>
    <row r="12">
      <c r="B12" s="549" t="inlineStr">
        <is>
          <t>Infrastructure</t>
        </is>
      </c>
      <c r="C12" s="1126">
        <f>COUNTIFS('REVIEW - Complete Role Mapping'!$AJ$2:$AJ$528,$B12)</f>
        <v>36</v>
      </c>
      <c r="D12" s="1126">
        <f>COUNTIFS('REVIEW - Complete Role Mapping'!$AJ$2:$AJ$528,$B12,'REVIEW - Complete Role Mapping'!$AK$2:$AK$528,"Filled")</f>
        <v>24</v>
      </c>
      <c r="E12" s="1126">
        <f>COUNTIFS('REVIEW - Complete Role Mapping'!$AJ$2:$AJ$528,$B12,'REVIEW - Complete Role Mapping'!$AK$2:$AK$528,"Vacant")</f>
        <v>12</v>
      </c>
      <c r="F12" s="1126">
        <f>SUMIFS('REVIEW - Complete Role Mapping'!$AA$2:$AA$528,'REVIEW - Complete Role Mapping'!$AJ$2:$AJ$528,$B12)/1000000</f>
        <v>7.74836354</v>
      </c>
      <c r="G12" s="1126">
        <f>'2.7 Infrastructure'!$E$11</f>
        <v>32</v>
      </c>
      <c r="H12" s="1127">
        <f>'2.7 Infrastructure'!$M$11</f>
        <v>6.55730609</v>
      </c>
      <c r="I12" s="1127">
        <f>'2.7 Infrastructure'!$D$11</f>
        <v>28</v>
      </c>
      <c r="J12" s="1127">
        <f>'2.7 Infrastructure'!$L$11</f>
        <v>6.4</v>
      </c>
      <c r="K12" s="1126">
        <f>$H12-$J12</f>
        <v>0.15730609</v>
      </c>
      <c r="L12" s="1126">
        <f>'2.7 Infrastructure'!$E$16</f>
        <v>4</v>
      </c>
      <c r="M12" s="1128">
        <f>'2.7 Infrastructure'!$M$16</f>
        <v>1.19105745</v>
      </c>
      <c r="N12" s="1129">
        <f>'2.7 Infrastructure'!$O$18</f>
        <v>5.10357679</v>
      </c>
    </row>
    <row r="13">
      <c r="B13" s="549" t="inlineStr">
        <is>
          <t>Energy Solutions &amp; B2B</t>
        </is>
      </c>
      <c r="C13" s="1126">
        <f>COUNTIFS('REVIEW - Complete Role Mapping'!$AJ$2:$AJ$528,$B13)</f>
        <v>33</v>
      </c>
      <c r="D13" s="1126">
        <f>COUNTIFS('REVIEW - Complete Role Mapping'!$AJ$2:$AJ$528,$B13,'REVIEW - Complete Role Mapping'!$AK$2:$AK$528,"Filled")</f>
        <v>24</v>
      </c>
      <c r="E13" s="1126">
        <f>COUNTIFS('REVIEW - Complete Role Mapping'!$AJ$2:$AJ$528,$B13,'REVIEW - Complete Role Mapping'!$AK$2:$AK$528,"Vacant")</f>
        <v>9</v>
      </c>
      <c r="F13" s="1126">
        <f>SUMIFS('REVIEW - Complete Role Mapping'!$AA$2:$AA$528,'REVIEW - Complete Role Mapping'!$AJ$2:$AJ$528,$B13)/1000000</f>
        <v>6.447816278</v>
      </c>
      <c r="G13" s="1126">
        <f>'2.8 Energy Solutions &amp; B2B'!$E$9</f>
        <v>29</v>
      </c>
      <c r="H13" s="1127">
        <f>'2.8 Energy Solutions &amp; B2B'!$M$9</f>
        <v>5.327874328</v>
      </c>
      <c r="I13" s="1127">
        <f>'2.8 Energy Solutions &amp; B2B'!$D$9</f>
        <v>35</v>
      </c>
      <c r="J13" s="1127">
        <f>'2.8 Energy Solutions &amp; B2B'!$L$9</f>
        <v>7.9</v>
      </c>
      <c r="K13" s="1126">
        <f>$H13-$J13</f>
        <v>-2.572125672</v>
      </c>
      <c r="L13" s="1126">
        <f>'2.8 Energy Solutions &amp; B2B'!$E$14</f>
        <v>4</v>
      </c>
      <c r="M13" s="1128">
        <f>'2.8 Energy Solutions &amp; B2B'!$M$14</f>
        <v>1.11994195</v>
      </c>
      <c r="N13" s="1129">
        <f>'2.8 Energy Solutions &amp; B2B'!$O$16</f>
        <v>4.418551028</v>
      </c>
    </row>
    <row r="14">
      <c r="B14" s="549" t="inlineStr">
        <is>
          <t>Commercial Fuels</t>
        </is>
      </c>
      <c r="C14" s="1126">
        <f>COUNTIFS('REVIEW - Complete Role Mapping'!$AJ$2:$AJ$528,$B14)</f>
        <v>42</v>
      </c>
      <c r="D14" s="1126">
        <f>COUNTIFS('REVIEW - Complete Role Mapping'!$AJ$2:$AJ$528,$B14,'REVIEW - Complete Role Mapping'!$AK$2:$AK$528,"Filled")</f>
        <v>33</v>
      </c>
      <c r="E14" s="1126">
        <f>COUNTIFS('REVIEW - Complete Role Mapping'!$AJ$2:$AJ$528,$B14,'REVIEW - Complete Role Mapping'!$AK$2:$AK$528,"Vacant")</f>
        <v>9</v>
      </c>
      <c r="F14" s="1126">
        <f>SUMIFS('REVIEW - Complete Role Mapping'!$AA$2:$AA$528,'REVIEW - Complete Role Mapping'!$AJ$2:$AJ$528,$B14)/1000000</f>
        <v>10.1976697287</v>
      </c>
      <c r="G14" s="1126">
        <f>'2.9 Commercial Fuels'!$E$10</f>
        <v>38</v>
      </c>
      <c r="H14" s="1127">
        <f>'2.9 Commercial Fuels'!$M$10</f>
        <v>9.0663273927</v>
      </c>
      <c r="I14" s="1127">
        <f>'2.9 Commercial Fuels'!$D$10</f>
        <v>25.5</v>
      </c>
      <c r="J14" s="1127">
        <f>'2.9 Commercial Fuels'!$L$10</f>
        <v>5.9</v>
      </c>
      <c r="K14" s="1126">
        <f>$H14-$J14</f>
        <v>3.1663273927</v>
      </c>
      <c r="L14" s="1126">
        <f>'2.9 Commercial Fuels'!$E$15</f>
        <v>4</v>
      </c>
      <c r="M14" s="1128">
        <f>'2.9 Commercial Fuels'!$M$15</f>
        <v>1.131342336</v>
      </c>
      <c r="N14" s="1129">
        <f>'2.9 Commercial Fuels'!$O$17</f>
        <v>8.2810494787</v>
      </c>
    </row>
    <row r="15">
      <c r="B15" s="549" t="inlineStr">
        <is>
          <t>Z Retail</t>
        </is>
      </c>
      <c r="C15" s="1126">
        <f>COUNTIFS('REVIEW - Complete Role Mapping'!$AJ$2:$AJ$528,$B15)</f>
        <v>39</v>
      </c>
      <c r="D15" s="1126">
        <f>COUNTIFS('REVIEW - Complete Role Mapping'!$AJ$2:$AJ$528,$B15,'REVIEW - Complete Role Mapping'!$AK$2:$AK$528,"Filled")</f>
        <v>32</v>
      </c>
      <c r="E15" s="1126">
        <f>COUNTIFS('REVIEW - Complete Role Mapping'!$AJ$2:$AJ$528,$B15,'REVIEW - Complete Role Mapping'!$AK$2:$AK$528,"Vacant")</f>
        <v>7</v>
      </c>
      <c r="F15" s="1126">
        <f>SUMIFS('REVIEW - Complete Role Mapping'!$AA$2:$AA$528,'REVIEW - Complete Role Mapping'!$AJ$2:$AJ$528,$B15)/1000000</f>
        <v>7.337294352</v>
      </c>
      <c r="G15" s="1126">
        <f>'2.10 Z Retail'!$E$10</f>
        <v>34</v>
      </c>
      <c r="H15" s="1127">
        <f>'2.10 Z Retail'!$M$10</f>
        <v>6.119950684</v>
      </c>
      <c r="I15" s="1127">
        <f>'2.10 Z Retail'!$D$10</f>
        <v>34.5</v>
      </c>
      <c r="J15" s="1127">
        <f>'2.10 Z Retail'!$L$10</f>
        <v>7.8</v>
      </c>
      <c r="K15" s="1126">
        <f>$H15-$J15</f>
        <v>-1.680049316</v>
      </c>
      <c r="L15" s="1126">
        <f>'2.10 Z Retail'!$E$15</f>
        <v>5</v>
      </c>
      <c r="M15" s="1128">
        <f>'2.10 Z Retail'!$M$15</f>
        <v>1.217343668</v>
      </c>
      <c r="N15" s="1129">
        <f>'2.10 Z Retail'!$O$17</f>
        <v>5.686366352</v>
      </c>
    </row>
    <row r="16">
      <c r="B16" s="1218" t="inlineStr">
        <is>
          <t>Portfolios with a squad archetype</t>
        </is>
      </c>
      <c r="C16" s="1126">
        <f>SUM(C6:C15)</f>
        <v>414</v>
      </c>
      <c r="D16" s="1126">
        <f>SUM(D6:D15)</f>
        <v>300</v>
      </c>
      <c r="E16" s="1126">
        <f>SUM(E6:E15)</f>
        <v>114</v>
      </c>
      <c r="F16" s="1126">
        <f>SUM(F6:F15)</f>
        <v>87.8407004501</v>
      </c>
      <c r="G16" s="1126">
        <f>SUM(G6:G15)</f>
        <v>371</v>
      </c>
      <c r="H16" s="1127">
        <f>SUM(H6:H15)</f>
        <v>76.1864702951</v>
      </c>
      <c r="I16" s="1127">
        <f>SUM(I6:I15)</f>
        <v>319.5</v>
      </c>
      <c r="J16" s="1127">
        <f>SUM(J6:J15)</f>
        <v>72.8</v>
      </c>
      <c r="K16" s="1126">
        <f>SUM(K6:K15)</f>
        <v>3.3864702951</v>
      </c>
      <c r="L16" s="1126">
        <f>SUM(L6:L15)</f>
        <v>43</v>
      </c>
      <c r="M16" s="1128">
        <f>SUM(M6:M15)</f>
        <v>11.654230155</v>
      </c>
      <c r="N16" s="1129">
        <f>SUM(N6:N15)</f>
        <v>64.4166326441</v>
      </c>
    </row>
    <row r="17">
      <c r="B17" s="549" t="inlineStr">
        <is>
          <t>COE Cyber</t>
        </is>
      </c>
      <c r="C17" s="1126">
        <f>COUNTIFS('REVIEW - Complete Role Mapping'!$AJ$2:$AJ$528,$B17)</f>
        <v>46</v>
      </c>
      <c r="D17" s="1126">
        <f>COUNTIFS('REVIEW - Complete Role Mapping'!$AJ$2:$AJ$528,$B17,'REVIEW - Complete Role Mapping'!$AK$2:$AK$528,"Filled")</f>
        <v>42</v>
      </c>
      <c r="E17" s="1126">
        <f>COUNTIFS('REVIEW - Complete Role Mapping'!$AJ$2:$AJ$528,$B17,'REVIEW - Complete Role Mapping'!$AK$2:$AK$528,"Vacant")</f>
        <v>4</v>
      </c>
      <c r="F17" s="1126">
        <f>SUMIFS('REVIEW - Complete Role Mapping'!$AA$2:$AA$528,'REVIEW - Complete Role Mapping'!$AJ$2:$AJ$528,$B17)/1000000</f>
        <v>9.897858294</v>
      </c>
      <c r="G17" s="1126">
        <f>'2.11 TDD Cyber'!$E$11</f>
        <v>46</v>
      </c>
      <c r="H17" s="1127">
        <f>'2.11 TDD Cyber'!$M$11</f>
        <v>9.897858294</v>
      </c>
      <c r="I17" s="1127" t="str">
        <f>"-"</f>
        <v>-</v>
      </c>
      <c r="J17" s="1127" t="str">
        <f>"-"</f>
        <v>-</v>
      </c>
      <c r="K17" s="1126" t="str">
        <f>"-"</f>
        <v>-</v>
      </c>
      <c r="L17" s="1126">
        <f>'2.11 TDD Cyber'!$E$13</f>
        <v>0</v>
      </c>
      <c r="M17" s="1128">
        <f>'2.11 TDD Cyber'!$M$13</f>
        <v>0</v>
      </c>
      <c r="N17" s="1219">
        <f>'2.11 TDD Cyber'!$O$15</f>
        <v>9.199090294</v>
      </c>
    </row>
    <row r="18">
      <c r="B18" s="549" t="inlineStr">
        <is>
          <t>COE BP&amp;T</t>
        </is>
      </c>
      <c r="C18" s="1126">
        <f>COUNTIFS('REVIEW - Complete Role Mapping'!$AJ$2:$AJ$528,$B18)</f>
        <v>24</v>
      </c>
      <c r="D18" s="1126">
        <f>COUNTIFS('REVIEW - Complete Role Mapping'!$AJ$2:$AJ$528,$B18,'REVIEW - Complete Role Mapping'!$AK$2:$AK$528,"Filled")</f>
        <v>15</v>
      </c>
      <c r="E18" s="1126">
        <f>COUNTIFS('REVIEW - Complete Role Mapping'!$AJ$2:$AJ$528,$B18,'REVIEW - Complete Role Mapping'!$AK$2:$AK$528,"Vacant")</f>
        <v>9</v>
      </c>
      <c r="F18" s="1126">
        <f>SUMIFS('REVIEW - Complete Role Mapping'!$AA$2:$AA$528,'REVIEW - Complete Role Mapping'!$AJ$2:$AJ$528,$B18)/1000000</f>
        <v>6.400561822</v>
      </c>
      <c r="G18" s="1126">
        <f>'2.12 BP&amp;T'!$E$8</f>
        <v>18</v>
      </c>
      <c r="H18" s="1127">
        <f>'2.12 BP&amp;T'!$M$8</f>
        <v>4.087013422</v>
      </c>
      <c r="I18" s="1127" t="str">
        <f>"-"</f>
        <v>-</v>
      </c>
      <c r="J18" s="1127" t="str">
        <f>"-"</f>
        <v>-</v>
      </c>
      <c r="K18" s="1126" t="str">
        <f>"-"</f>
        <v>-</v>
      </c>
      <c r="L18" s="1126">
        <f>'2.12 BP&amp;T'!$E$11</f>
        <v>6</v>
      </c>
      <c r="M18" s="1128">
        <f>'2.12 BP&amp;T'!$M$11</f>
        <v>2.3135484</v>
      </c>
      <c r="N18" s="1219">
        <f>'2.12 BP&amp;T'!$O$13</f>
        <v>4.053047842</v>
      </c>
    </row>
    <row r="19">
      <c r="B19" s="549" t="inlineStr">
        <is>
          <t>COE SA&amp;D</t>
        </is>
      </c>
      <c r="C19" s="1126">
        <f>COUNTIFS('REVIEW - Complete Role Mapping'!$AJ$2:$AJ$528,$B19)</f>
        <v>24</v>
      </c>
      <c r="D19" s="1126">
        <f>COUNTIFS('REVIEW - Complete Role Mapping'!$AJ$2:$AJ$528,$B19,'REVIEW - Complete Role Mapping'!$AK$2:$AK$528,"Filled")</f>
        <v>16</v>
      </c>
      <c r="E19" s="1126">
        <f>COUNTIFS('REVIEW - Complete Role Mapping'!$AJ$2:$AJ$528,$B19,'REVIEW - Complete Role Mapping'!$AK$2:$AK$528,"Vacant")</f>
        <v>8</v>
      </c>
      <c r="F19" s="1126">
        <f>SUMIFS('REVIEW - Complete Role Mapping'!$AA$2:$AA$528,'REVIEW - Complete Role Mapping'!$AJ$2:$AJ$528,$B19)/1000000</f>
        <v>6.030722352</v>
      </c>
      <c r="G19" s="1126">
        <f>'2.13 SA&amp;D'!$E$10</f>
        <v>15</v>
      </c>
      <c r="H19" s="1127">
        <f>'2.13 SA&amp;D'!$M$10</f>
        <v>3.663866966</v>
      </c>
      <c r="I19" s="1127" t="str">
        <f>"-"</f>
        <v>-</v>
      </c>
      <c r="J19" s="1127" t="str">
        <f>"-"</f>
        <v>-</v>
      </c>
      <c r="K19" s="1126" t="str">
        <f>"-"</f>
        <v>-</v>
      </c>
      <c r="L19" s="1126">
        <f>'2.13 SA&amp;D'!$E$15</f>
        <v>9</v>
      </c>
      <c r="M19" s="1128">
        <f>'2.13 SA&amp;D'!$M$15</f>
        <v>2.366855386</v>
      </c>
      <c r="N19" s="1219">
        <f>'2.13 SA&amp;D'!$O$17</f>
        <v>3.966580052</v>
      </c>
    </row>
    <row r="20">
      <c r="B20" s="549" t="inlineStr">
        <is>
          <t>EGI</t>
        </is>
      </c>
      <c r="C20" s="1126">
        <f>COUNTIFS('REVIEW - Complete Role Mapping'!$AJ$2:$AJ$528,$B20)</f>
        <v>17</v>
      </c>
      <c r="D20" s="1126">
        <f>COUNTIFS('REVIEW - Complete Role Mapping'!$AJ$2:$AJ$528,$B20,'REVIEW - Complete Role Mapping'!$AK$2:$AK$528,"Filled")</f>
        <v>17</v>
      </c>
      <c r="E20" s="1126">
        <f>COUNTIFS('REVIEW - Complete Role Mapping'!$AJ$2:$AJ$528,$B20,'REVIEW - Complete Role Mapping'!$AK$2:$AK$528,"Vacant")</f>
        <v>0</v>
      </c>
      <c r="F20" s="1126">
        <f>SUMIFS('REVIEW - Complete Role Mapping'!$AA$2:$AA$528,'REVIEW - Complete Role Mapping'!$AJ$2:$AJ$528,$B20)/1000000</f>
        <v>4.94341935</v>
      </c>
      <c r="G20" s="1126">
        <f>'2.14 EGI'!$E$7</f>
        <v>17</v>
      </c>
      <c r="H20" s="1127">
        <f>'2.14 EGI'!$M$7</f>
        <v>4.94341935</v>
      </c>
      <c r="I20" s="1127" t="str">
        <f>"-"</f>
        <v>-</v>
      </c>
      <c r="J20" s="1127" t="str">
        <f>"-"</f>
        <v>-</v>
      </c>
      <c r="K20" s="1126" t="str">
        <f>"-"</f>
        <v>-</v>
      </c>
      <c r="L20" s="1126">
        <f>'2.14 EGI'!$E$9</f>
        <v>0</v>
      </c>
      <c r="M20" s="1128">
        <f>'2.14 EGI'!$M$9</f>
        <v>0</v>
      </c>
      <c r="N20" s="1219">
        <f>'2.14 EGI'!$O$11</f>
        <v>4.94341935</v>
      </c>
    </row>
    <row r="21">
      <c r="B21" s="1218" t="inlineStr">
        <is>
          <t>Total</t>
        </is>
      </c>
      <c r="C21" s="1126">
        <f>$C16+SUM(C17:C20)</f>
        <v>525</v>
      </c>
      <c r="D21" s="1126">
        <f>$D16+SUM(D17:D20)</f>
        <v>390</v>
      </c>
      <c r="E21" s="1126">
        <f>$E16+SUM(E17:E20)</f>
        <v>135</v>
      </c>
      <c r="F21" s="1126">
        <f>$F16+SUM(F17:F20)</f>
        <v>115.1132622681</v>
      </c>
      <c r="G21" s="1126">
        <f>$G16+SUM(G17:G20)</f>
        <v>467</v>
      </c>
      <c r="H21" s="1127">
        <f>$H16+SUM(H17:H20)</f>
        <v>98.7786283271</v>
      </c>
      <c r="I21" s="1127">
        <f>$I16</f>
        <v>319.5</v>
      </c>
      <c r="J21" s="1127">
        <f>$J16</f>
        <v>72.8</v>
      </c>
      <c r="K21" s="1126">
        <f>$K16</f>
        <v>3.3864702951</v>
      </c>
      <c r="L21" s="1126">
        <f>$L16+SUM(L17:L20)</f>
        <v>58</v>
      </c>
      <c r="M21" s="1128">
        <f>$M16+SUM(M17:M20)</f>
        <v>16.334633941</v>
      </c>
      <c r="N21" s="1129">
        <f>$N16+SUM(N17:N20)</f>
        <v>86.5787701821</v>
      </c>
    </row>
    <row r="22">
      <c r="B22" s="1220" t="inlineStr">
        <is>
          <t>Archetype columns cover the ten portfolios with a squad archetype; the COEs and EGI are measured against budget on 3.1.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n"/>
      <c r="C23" s="1130" t="n"/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Control - roles vs the ledger, must be 0</t>
        </is>
      </c>
      <c r="C24" s="1132">
        <f>COUNTA('REVIEW - Complete Role Mapping'!$B$2:$B$528)-$C$21</f>
        <v>0</v>
      </c>
      <c r="D24" s="1132" t="n"/>
      <c r="E24" s="1132" t="n"/>
      <c r="F24" s="1132" t="n"/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1276" t="inlineStr">
        <is>
          <t>Control - cost vs the ledger ($m), must be 0</t>
        </is>
      </c>
      <c r="C25" s="1132" t="n"/>
      <c r="D25" s="545" t="n"/>
      <c r="E25" s="1132" t="n"/>
      <c r="F25" s="1132">
        <f>ROUND(SUMIFS('REVIEW - Complete Role Mapping'!$AA$2:$AA$528,'REVIEW - Complete Role Mapping'!$B$2:$B$528,"&lt;&gt;")/1000000-$F$21,6)</f>
        <v>0</v>
      </c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Control - squad + overhead vs total ($m), must be 0</t>
        </is>
      </c>
      <c r="C26" s="1132" t="n"/>
      <c r="D26" s="1132" t="n"/>
      <c r="E26" s="1132" t="n"/>
      <c r="F26" s="1132">
        <f>ROUND($H$21+$M$21-$F$21,6)</f>
        <v>0</v>
      </c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n"/>
      <c r="C27" s="1224" t="n"/>
      <c r="D27" s="1245" t="n"/>
      <c r="E27" s="1245" t="n"/>
      <c r="F27" s="1224" t="n"/>
      <c r="G27" s="1224" t="n"/>
      <c r="H27" s="1029" t="n"/>
      <c r="I27" s="504" t="n"/>
      <c r="J27" s="504" t="n"/>
      <c r="K27" s="504" t="n"/>
      <c r="L27" s="504" t="n"/>
      <c r="M27" s="504" t="n"/>
      <c r="N27" s="949" t="n"/>
    </row>
    <row r="28">
      <c r="B28" s="1222" t="inlineStr">
        <is>
          <t>Overhead - allowance against actual. The 8 GMs are the only line with no role in the ledger, so their cost sits above the 525.</t>
        </is>
      </c>
      <c r="C28" s="1132" t="n"/>
      <c r="D28" s="1132" t="n"/>
      <c r="E28" s="1132" t="n"/>
      <c r="F28" s="1132" t="n"/>
      <c r="G28" s="1132" t="n"/>
      <c r="H28" s="504" t="n"/>
      <c r="I28" s="504" t="n"/>
      <c r="J28" s="504" t="n"/>
      <c r="K28" s="504" t="n"/>
      <c r="L28" s="504" t="n"/>
      <c r="M28" s="504" t="n"/>
      <c r="N28" s="949" t="n"/>
    </row>
    <row r="29">
      <c r="B29" s="1029" t="inlineStr">
        <is>
          <t>Overhead line</t>
        </is>
      </c>
      <c r="C29" s="1224" t="inlineStr">
        <is>
          <t>Roles</t>
        </is>
      </c>
      <c r="D29" s="1224" t="inlineStr">
        <is>
          <t>Rate ($m)</t>
        </is>
      </c>
      <c r="E29" s="1224" t="inlineStr">
        <is>
          <t>Units</t>
        </is>
      </c>
      <c r="F29" s="1224" t="inlineStr">
        <is>
          <t>Actual ($m)</t>
        </is>
      </c>
      <c r="G29" s="1224" t="inlineStr">
        <is>
          <t>Allowance ($m)</t>
        </is>
      </c>
      <c r="H29" s="1029" t="inlineStr">
        <is>
          <t>Variance ($m)</t>
        </is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Lists!$AF$2</f>
        <v>Head of Technology</v>
      </c>
      <c r="C30" s="1132">
        <f>COUNTIFS('REVIEW - Complete Role Mapping'!$AR$2:$AR$528,$B30)</f>
        <v>11</v>
      </c>
      <c r="D30" s="1132">
        <f>Lists!$AG$2</f>
        <v>0.1375</v>
      </c>
      <c r="E30" s="1132">
        <f>Lists!$AH$2</f>
        <v>10</v>
      </c>
      <c r="F30" s="1132">
        <f>SUMIFS('REVIEW - Complete Role Mapping'!$AA$2:$AA$528,'REVIEW - Complete Role Mapping'!$AR$2:$AR$528,$B30)/1000000</f>
        <v>3.383334286</v>
      </c>
      <c r="G30" s="1132">
        <f>Lists!$AJ$2</f>
        <v>1.375</v>
      </c>
      <c r="H30" s="504">
        <f>$F30-$G30</f>
        <v>2.008334286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Lists!$AF$3</f>
        <v>Business Partner</v>
      </c>
      <c r="C31" s="1132">
        <f>COUNTIFS('REVIEW - Complete Role Mapping'!$AR$2:$AR$528,$B31)</f>
        <v>6</v>
      </c>
      <c r="D31" s="1132">
        <f>Lists!$AG$3</f>
        <v>0.22</v>
      </c>
      <c r="E31" s="1132">
        <f>Lists!$AH$3</f>
        <v>10</v>
      </c>
      <c r="F31" s="1132">
        <f>SUMIFS('REVIEW - Complete Role Mapping'!$AA$2:$AA$528,'REVIEW - Complete Role Mapping'!$AR$2:$AR$528,$B31)/1000000</f>
        <v>2.3135484</v>
      </c>
      <c r="G31" s="1132">
        <f>Lists!$AJ$3</f>
        <v>2.2</v>
      </c>
      <c r="H31" s="504">
        <f>$F31-$G31</f>
        <v>0.1135484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Lists!$AF$4</f>
        <v>Domain Architect</v>
      </c>
      <c r="C32" s="1132">
        <f>COUNTIFS('REVIEW - Complete Role Mapping'!$AR$2:$AR$528,$B32)</f>
        <v>7</v>
      </c>
      <c r="D32" s="1132">
        <f>Lists!$AG$4</f>
        <v>0.14</v>
      </c>
      <c r="E32" s="1132">
        <f>Lists!$AH$4</f>
        <v>10</v>
      </c>
      <c r="F32" s="1132">
        <f>SUMIFS('REVIEW - Complete Role Mapping'!$AA$2:$AA$528,'REVIEW - Complete Role Mapping'!$AR$2:$AR$528,$B32)/1000000</f>
        <v>1.664746536</v>
      </c>
      <c r="G32" s="1132">
        <f>Lists!$AJ$4</f>
        <v>1.4</v>
      </c>
      <c r="H32" s="504">
        <f>$F32-$G32</f>
        <v>0.264746536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Lists!$AF$5</f>
        <v>Delivery Manager</v>
      </c>
      <c r="C33" s="1132">
        <f>COUNTIFS('REVIEW - Complete Role Mapping'!$AR$2:$AR$528,$B33)</f>
        <v>10</v>
      </c>
      <c r="D33" s="1132">
        <f>Lists!$AG$5</f>
        <v>0.084</v>
      </c>
      <c r="E33" s="1132">
        <f>Lists!$AH$5</f>
        <v>30</v>
      </c>
      <c r="F33" s="1132">
        <f>SUMIFS('REVIEW - Complete Role Mapping'!$AA$2:$AA$528,'REVIEW - Complete Role Mapping'!$AR$2:$AR$528,$B33)/1000000</f>
        <v>2.67480255</v>
      </c>
      <c r="G33" s="1132">
        <f>Lists!$AJ$5</f>
        <v>2.52</v>
      </c>
      <c r="H33" s="504">
        <f>$F33-$G33</f>
        <v>0.15480255</v>
      </c>
      <c r="I33" s="504" t="n"/>
      <c r="J33" s="504" t="n"/>
      <c r="K33" s="504" t="n"/>
      <c r="L33" s="504" t="n"/>
      <c r="M33" s="504" t="n"/>
    </row>
    <row r="34">
      <c r="B34" s="1226" t="str">
        <f>Lists!$AF$6</f>
        <v>Technology Manager</v>
      </c>
      <c r="C34" s="504">
        <f>COUNTIFS('REVIEW - Complete Role Mapping'!$AR$2:$AR$528,$B34)</f>
        <v>24</v>
      </c>
      <c r="D34" s="504">
        <f>Lists!$AG$6</f>
        <v>0.081</v>
      </c>
      <c r="E34" s="504">
        <f>Lists!$AH$6</f>
        <v>30</v>
      </c>
      <c r="F34" s="504">
        <f>SUMIFS('REVIEW - Complete Role Mapping'!$AA$2:$AA$528,'REVIEW - Complete Role Mapping'!$AR$2:$AR$528,$B34)/1000000</f>
        <v>6.298202169</v>
      </c>
      <c r="G34" s="504">
        <f>Lists!$AJ$6</f>
        <v>2.43</v>
      </c>
      <c r="H34" s="504">
        <f>$F34-$G34</f>
        <v>3.868202169</v>
      </c>
      <c r="I34" s="504" t="n"/>
      <c r="J34" s="504" t="n"/>
      <c r="K34" s="504" t="n"/>
      <c r="L34" s="504" t="n"/>
      <c r="M34" s="504" t="n"/>
    </row>
    <row r="35">
      <c r="B35" s="596" t="str">
        <f>Lists!$AF$7</f>
        <v>Leadership - 8 GMs</v>
      </c>
      <c r="C35" s="504">
        <f>Lists!$AG$11</f>
        <v>8</v>
      </c>
      <c r="D35" s="504">
        <f>Lists!$AG$7</f>
        <v>0.3</v>
      </c>
      <c r="E35" s="504">
        <f>Lists!$AH$7</f>
        <v>10</v>
      </c>
      <c r="F35" s="504">
        <f>Lists!$AG$12</f>
        <v>5.1</v>
      </c>
      <c r="G35" s="504">
        <f>Lists!$AJ$7</f>
        <v>3</v>
      </c>
      <c r="H35" s="504">
        <f>$F35-$G35</f>
        <v>2.1</v>
      </c>
      <c r="I35" s="504" t="n"/>
      <c r="J35" s="504" t="n"/>
      <c r="K35" s="504" t="n"/>
      <c r="L35" s="504" t="n"/>
      <c r="M35" s="504" t="n"/>
    </row>
    <row r="36">
      <c r="B36" s="1246" t="inlineStr">
        <is>
          <t>Overhead total</t>
        </is>
      </c>
      <c r="C36" s="981">
        <f>SUM(C30:C35)</f>
        <v>66</v>
      </c>
      <c r="D36" s="981" t="n"/>
      <c r="E36" s="981" t="n"/>
      <c r="F36" s="981">
        <f>SUM(F30:F35)</f>
        <v>21.434633941</v>
      </c>
      <c r="G36" s="981">
        <f>SUM(G30:G35)</f>
        <v>12.925</v>
      </c>
      <c r="H36" s="504">
        <f>SUM(H30:H35)</f>
        <v>8.509633941</v>
      </c>
      <c r="I36" s="504" t="n"/>
      <c r="J36" s="504" t="n"/>
      <c r="K36" s="504" t="n"/>
      <c r="L36" s="504" t="n"/>
      <c r="M36" s="504" t="n"/>
    </row>
    <row r="37">
      <c r="B37" s="1225" t="inlineStr">
        <is>
          <t>Total organisation including the GM layer ($m)</t>
        </is>
      </c>
      <c r="C37" s="1132" t="n"/>
      <c r="D37" s="1132" t="n"/>
      <c r="E37" s="1132" t="n"/>
      <c r="F37" s="1132">
        <f>$F$21+Lists!$AG$12</f>
        <v>120.2132622681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statement. Every squad and every overhead line, counts only.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030" t="inlineStr">
        <is>
          <t>Portfolio</t>
        </is>
      </c>
      <c r="C5" s="1030" t="inlineStr">
        <is>
          <t>Squad or overhead line</t>
        </is>
      </c>
      <c r="D5" s="1030" t="inlineStr">
        <is>
          <t>Archetype type</t>
        </is>
      </c>
      <c r="E5" s="1030" t="inlineStr">
        <is>
          <t>Archetype size</t>
        </is>
      </c>
      <c r="F5" s="1030" t="inlineStr">
        <is>
          <t>Archetype roles</t>
        </is>
      </c>
      <c r="G5" s="1030" t="inlineStr">
        <is>
          <t>Filled</t>
        </is>
      </c>
      <c r="H5" s="1030" t="inlineStr">
        <is>
          <t>Vacant</t>
        </is>
      </c>
      <c r="I5" s="1030" t="inlineStr">
        <is>
          <t>Total roles</t>
        </is>
      </c>
      <c r="J5" s="1030" t="inlineStr">
        <is>
          <t>Variance to archetype</t>
        </is>
      </c>
      <c r="K5" s="1030" t="inlineStr">
        <is>
          <t>Roles after decisions</t>
        </is>
      </c>
      <c r="L5" s="1030" t="inlineStr">
        <is>
          <t>Vacancy %</t>
        </is>
      </c>
    </row>
    <row r="6" ht="43.5" customHeight="1">
      <c r="B6" s="486" t="inlineStr">
        <is>
          <t>Ampol Retail</t>
        </is>
      </c>
      <c r="C6" s="486" t="str">
        <f>'2.1 Ampol Retail'!$B$6</f>
        <v>Above Store</v>
      </c>
      <c r="D6" s="486" t="str">
        <f>'2.1 Ampol Retail'!$C$6</f>
        <v>Configuration / Integration</v>
      </c>
      <c r="E6" s="486" t="str">
        <f>'2.1 Ampol Retail'!$R$6</f>
        <v>M</v>
      </c>
      <c r="F6" s="486">
        <f>'2.1 Ampol Retail'!$D$6</f>
        <v>9</v>
      </c>
      <c r="G6" s="486">
        <f>'2.1 Ampol Retail'!$E$6-'2.1 Ampol Retail'!$G$6</f>
        <v>7</v>
      </c>
      <c r="H6" s="486">
        <f>'2.1 Ampol Retail'!$G$6</f>
        <v>4</v>
      </c>
      <c r="I6" s="486">
        <f>'2.1 Ampol Retail'!$E$6</f>
        <v>11</v>
      </c>
      <c r="J6" s="486">
        <f>IFERROR($I6-$F6,"-")</f>
        <v>2</v>
      </c>
      <c r="K6" s="486">
        <f>'2.1 Ampol Retail'!$J$6</f>
        <v>7</v>
      </c>
      <c r="L6" s="486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285" t="str">
        <f>'2.1 Ampol Retail'!$B$7</f>
        <v>AmPOS</v>
      </c>
      <c r="D7" s="285" t="str">
        <f>'2.1 Ampol Retail'!$C$7</f>
        <v>Strategic Programs</v>
      </c>
      <c r="E7" s="285" t="str">
        <f>'2.1 Ampol Retail'!$R$7</f>
        <v>-</v>
      </c>
      <c r="F7" s="288" t="str">
        <f>'2.1 Ampol Retail'!$D$7</f>
        <v>-</v>
      </c>
      <c r="G7" s="288">
        <f>'2.1 Ampol Retail'!$E$7-'2.1 Ampol Retail'!$G$7</f>
        <v>10</v>
      </c>
      <c r="H7" s="288">
        <f>'2.1 Ampol Retail'!$G$7</f>
        <v>0</v>
      </c>
      <c r="I7" s="288">
        <f>'2.1 Ampol Retail'!$E$7</f>
        <v>10</v>
      </c>
      <c r="J7" s="288" t="str">
        <f>IFERROR($I7-$F7,"-")</f>
        <v>-</v>
      </c>
      <c r="K7" s="288">
        <f>'2.1 Ampol Retail'!$J$7</f>
        <v>10</v>
      </c>
      <c r="L7" s="291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285" t="str">
        <f>'2.1 Ampol Retail'!$B$8</f>
        <v>POS</v>
      </c>
      <c r="D8" s="285" t="str">
        <f>'2.1 Ampol Retail'!$C$8</f>
        <v>Configuration / Integration</v>
      </c>
      <c r="E8" s="285" t="str">
        <f>'2.1 Ampol Retail'!$R$8</f>
        <v>M</v>
      </c>
      <c r="F8" s="288">
        <f>'2.1 Ampol Retail'!$D$8</f>
        <v>9</v>
      </c>
      <c r="G8" s="288">
        <f>'2.1 Ampol Retail'!$E$8-'2.1 Ampol Retail'!$G$8</f>
        <v>0</v>
      </c>
      <c r="H8" s="288">
        <f>'2.1 Ampol Retail'!$G$8</f>
        <v>8</v>
      </c>
      <c r="I8" s="288">
        <f>'2.1 Ampol Retail'!$E$8</f>
        <v>8</v>
      </c>
      <c r="J8" s="288">
        <f>IFERROR($I8-$F8,"-")</f>
        <v>-1</v>
      </c>
      <c r="K8" s="288">
        <f>'2.1 Ampol Retail'!$J$8</f>
        <v>0</v>
      </c>
      <c r="L8" s="291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285" t="str">
        <f>'2.1 Ampol Retail'!$B$9</f>
        <v>Store Operations</v>
      </c>
      <c r="D9" s="285" t="str">
        <f>'2.1 Ampol Retail'!$C$9</f>
        <v>Operations</v>
      </c>
      <c r="E9" s="285" t="str">
        <f>'2.1 Ampol Retail'!$R$9</f>
        <v>M</v>
      </c>
      <c r="F9" s="288">
        <f>'2.1 Ampol Retail'!$D$9</f>
        <v>6</v>
      </c>
      <c r="G9" s="288">
        <f>'2.1 Ampol Retail'!$E$9-'2.1 Ampol Retail'!$G$9</f>
        <v>7</v>
      </c>
      <c r="H9" s="288">
        <f>'2.1 Ampol Retail'!$G$9</f>
        <v>1</v>
      </c>
      <c r="I9" s="288">
        <f>'2.1 Ampol Retail'!$E$9</f>
        <v>8</v>
      </c>
      <c r="J9" s="288">
        <f>IFERROR($I9-$F9,"-")</f>
        <v>2</v>
      </c>
      <c r="K9" s="288">
        <f>'2.1 Ampol Retail'!$J$9</f>
        <v>7</v>
      </c>
      <c r="L9" s="291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285" t="str">
        <f>'2.1 Ampol Retail'!$B$10</f>
        <v>Data AU</v>
      </c>
      <c r="D10" s="285" t="str">
        <f>'2.1 Ampol Retail'!$C$10</f>
        <v>Enterprise Data and Insights</v>
      </c>
      <c r="E10" s="285" t="str">
        <f>'2.1 Ampol Retail'!$R$10</f>
        <v>M</v>
      </c>
      <c r="F10" s="288">
        <f>'2.1 Ampol Retail'!$D$10</f>
        <v>7.5</v>
      </c>
      <c r="G10" s="288">
        <f>'2.1 Ampol Retail'!$E$10-'2.1 Ampol Retail'!$G$10</f>
        <v>0</v>
      </c>
      <c r="H10" s="288">
        <f>'2.1 Ampol Retail'!$G$10</f>
        <v>6</v>
      </c>
      <c r="I10" s="288">
        <f>'2.1 Ampol Retail'!$E$10</f>
        <v>6</v>
      </c>
      <c r="J10" s="288">
        <f>IFERROR($I10-$F10,"-")</f>
        <v>-1.5</v>
      </c>
      <c r="K10" s="288">
        <f>'2.1 Ampol Retail'!$J$10</f>
        <v>0</v>
      </c>
      <c r="L10" s="291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455" t="str">
        <f>'2.1 Ampol Retail'!$B$11</f>
        <v>EGI Retail</v>
      </c>
      <c r="D11" s="456" t="str">
        <f>'2.1 Ampol Retail'!$C$11</f>
        <v>Strategic Programs</v>
      </c>
      <c r="E11" s="456" t="str">
        <f>'2.1 Ampol Retail'!$R$11</f>
        <v>-</v>
      </c>
      <c r="F11" s="456" t="str">
        <f>'2.1 Ampol Retail'!$D$11</f>
        <v>-</v>
      </c>
      <c r="G11" s="309">
        <f>'2.1 Ampol Retail'!$E$11-'2.1 Ampol Retail'!$G$11</f>
        <v>6</v>
      </c>
      <c r="H11" s="309">
        <f>'2.1 Ampol Retail'!$G$11</f>
        <v>0</v>
      </c>
      <c r="I11" s="309">
        <f>'2.1 Ampol Retail'!$E$11</f>
        <v>6</v>
      </c>
      <c r="J11" s="309" t="str">
        <f>IFERROR($I11-$F11,"-")</f>
        <v>-</v>
      </c>
      <c r="K11" s="309">
        <f>'2.1 Ampol Retail'!$J$11</f>
        <v>6</v>
      </c>
      <c r="L11" s="605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285" t="str">
        <f>'2.1 Ampol Retail'!$B$12</f>
        <v>Network &amp; QSR</v>
      </c>
      <c r="D12" s="285" t="str">
        <f>'2.1 Ampol Retail'!$C$12</f>
        <v>Configuration / Integration</v>
      </c>
      <c r="E12" s="285" t="str">
        <f>'2.1 Ampol Retail'!$R$12</f>
        <v>S</v>
      </c>
      <c r="F12" s="288">
        <f>'2.1 Ampol Retail'!$D$12</f>
        <v>6</v>
      </c>
      <c r="G12" s="288">
        <f>'2.1 Ampol Retail'!$E$12-'2.1 Ampol Retail'!$G$12</f>
        <v>4</v>
      </c>
      <c r="H12" s="288">
        <f>'2.1 Ampol Retail'!$G$12</f>
        <v>2</v>
      </c>
      <c r="I12" s="288">
        <f>'2.1 Ampol Retail'!$E$12</f>
        <v>6</v>
      </c>
      <c r="J12" s="288">
        <f>IFERROR($I12-$F12,"-")</f>
        <v>0</v>
      </c>
      <c r="K12" s="288">
        <f>'2.1 Ampol Retail'!$J$12</f>
        <v>4</v>
      </c>
      <c r="L12" s="291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455" t="str">
        <f>'2.1 Ampol Retail'!$B$13</f>
        <v>Deployment</v>
      </c>
      <c r="D13" s="456" t="str">
        <f>'2.1 Ampol Retail'!$C$13</f>
        <v>Operations</v>
      </c>
      <c r="E13" s="456" t="str">
        <f>'2.1 Ampol Retail'!$R$13</f>
        <v>S</v>
      </c>
      <c r="F13" s="456">
        <f>'2.1 Ampol Retail'!$D$13</f>
        <v>4</v>
      </c>
      <c r="G13" s="309">
        <f>'2.1 Ampol Retail'!$E$13-'2.1 Ampol Retail'!$G$13</f>
        <v>5</v>
      </c>
      <c r="H13" s="309">
        <f>'2.1 Ampol Retail'!$G$13</f>
        <v>0</v>
      </c>
      <c r="I13" s="309">
        <f>'2.1 Ampol Retail'!$E$13</f>
        <v>5</v>
      </c>
      <c r="J13" s="309">
        <f>IFERROR($I13-$F13,"-")</f>
        <v>1</v>
      </c>
      <c r="K13" s="309">
        <f>'2.1 Ampol Retail'!$J$13</f>
        <v>5</v>
      </c>
      <c r="L13" s="605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285" t="str">
        <f>'2.1 Ampol Retail'!$B$14</f>
        <v>Payments</v>
      </c>
      <c r="D14" s="285" t="str">
        <f>'2.1 Ampol Retail'!$C$14</f>
        <v>Configuration / Integration</v>
      </c>
      <c r="E14" s="285" t="str">
        <f>'2.1 Ampol Retail'!$R$14</f>
        <v>S</v>
      </c>
      <c r="F14" s="288">
        <f>'2.1 Ampol Retail'!$D$14</f>
        <v>6</v>
      </c>
      <c r="G14" s="288">
        <f>'2.1 Ampol Retail'!$E$14-'2.1 Ampol Retail'!$G$14</f>
        <v>3</v>
      </c>
      <c r="H14" s="288">
        <f>'2.1 Ampol Retail'!$G$14</f>
        <v>1</v>
      </c>
      <c r="I14" s="288">
        <f>'2.1 Ampol Retail'!$E$14</f>
        <v>4</v>
      </c>
      <c r="J14" s="288">
        <f>IFERROR($I14-$F14,"-")</f>
        <v>-2</v>
      </c>
      <c r="K14" s="288">
        <f>'2.1 Ampol Retail'!$J$14</f>
        <v>3</v>
      </c>
      <c r="L14" s="291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455" t="str">
        <f>'2.1 Ampol Retail'!$B$15</f>
        <v>EGI TDD</v>
      </c>
      <c r="D15" s="456" t="str">
        <f>'2.1 Ampol Retail'!$C$15</f>
        <v>No archetype for this squad</v>
      </c>
      <c r="E15" s="456" t="str">
        <f>'2.1 Ampol Retail'!$R$15</f>
        <v>-</v>
      </c>
      <c r="F15" s="456" t="str">
        <f>'2.1 Ampol Retail'!$D$15</f>
        <v>-</v>
      </c>
      <c r="G15" s="309">
        <f>'2.1 Ampol Retail'!$E$15-'2.1 Ampol Retail'!$G$15</f>
        <v>1</v>
      </c>
      <c r="H15" s="309">
        <f>'2.1 Ampol Retail'!$G$15</f>
        <v>0</v>
      </c>
      <c r="I15" s="309">
        <f>'2.1 Ampol Retail'!$E$15</f>
        <v>1</v>
      </c>
      <c r="J15" s="309" t="str">
        <f>IFERROR($I15-$F15,"-")</f>
        <v>-</v>
      </c>
      <c r="K15" s="309">
        <f>'2.1 Ampol Retail'!$J$15</f>
        <v>1</v>
      </c>
      <c r="L15" s="605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285" t="str">
        <f>'2.1 Ampol Retail'!$B$18</f>
        <v>Head of Technology</v>
      </c>
      <c r="D16" s="285" t="str">
        <f>'2.1 Ampol Retail'!$C$18</f>
        <v>Overhead - see 3.2</v>
      </c>
      <c r="E16" s="285" t="str">
        <f>'2.1 Ampol Retail'!$R$18</f>
        <v>-</v>
      </c>
      <c r="F16" s="288" t="str">
        <f>'2.1 Ampol Retail'!$D$18</f>
        <v>-</v>
      </c>
      <c r="G16" s="288">
        <f>'2.1 Ampol Retail'!$E$18-'2.1 Ampol Retail'!$G$18</f>
        <v>1</v>
      </c>
      <c r="H16" s="288">
        <f>'2.1 Ampol Retail'!$G$18</f>
        <v>0</v>
      </c>
      <c r="I16" s="288">
        <f>'2.1 Ampol Retail'!$E$18</f>
        <v>1</v>
      </c>
      <c r="J16" s="288" t="str">
        <f>IFERROR($I16-$F16,"-")</f>
        <v>-</v>
      </c>
      <c r="K16" s="288">
        <f>'2.1 Ampol Retail'!$J$18</f>
        <v>1</v>
      </c>
      <c r="L16" s="291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227" t="str">
        <f>'2.1 Ampol Retail'!$B$19</f>
        <v>Delivery Manager</v>
      </c>
      <c r="D17" s="456" t="str">
        <f>'2.1 Ampol Retail'!$C$19</f>
        <v>Overhead - see 3.2</v>
      </c>
      <c r="E17" s="456" t="str">
        <f>'2.1 Ampol Retail'!$R$19</f>
        <v>-</v>
      </c>
      <c r="F17" s="456" t="str">
        <f>'2.1 Ampol Retail'!$D$19</f>
        <v>-</v>
      </c>
      <c r="G17" s="309">
        <f>'2.1 Ampol Retail'!$E$19-'2.1 Ampol Retail'!$G$19</f>
        <v>1</v>
      </c>
      <c r="H17" s="309">
        <f>'2.1 Ampol Retail'!$G$19</f>
        <v>0</v>
      </c>
      <c r="I17" s="309">
        <f>'2.1 Ampol Retail'!$E$19</f>
        <v>1</v>
      </c>
      <c r="J17" s="309" t="str">
        <f>IFERROR($I17-$F17,"-")</f>
        <v>-</v>
      </c>
      <c r="K17" s="309">
        <f>'2.1 Ampol Retail'!$J$19</f>
        <v>1</v>
      </c>
      <c r="L17" s="605">
        <f>IFERROR($H17/$I17,"-")</f>
        <v>0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Ampol Retail</t>
        </is>
      </c>
      <c r="C18" s="285" t="str">
        <f>'2.1 Ampol Retail'!$B$20</f>
        <v>Technology Manager</v>
      </c>
      <c r="D18" s="285" t="str">
        <f>'2.1 Ampol Retail'!$C$20</f>
        <v>Overhead - see 3.2</v>
      </c>
      <c r="E18" s="285" t="str">
        <f>'2.1 Ampol Retail'!$R$20</f>
        <v>-</v>
      </c>
      <c r="F18" s="288" t="str">
        <f>'2.1 Ampol Retail'!$D$20</f>
        <v>-</v>
      </c>
      <c r="G18" s="288">
        <f>'2.1 Ampol Retail'!$E$20-'2.1 Ampol Retail'!$G$20</f>
        <v>3</v>
      </c>
      <c r="H18" s="288">
        <f>'2.1 Ampol Retail'!$G$20</f>
        <v>0</v>
      </c>
      <c r="I18" s="288">
        <f>'2.1 Ampol Retail'!$E$20</f>
        <v>3</v>
      </c>
      <c r="J18" s="288" t="str">
        <f>IFERROR($I18-$F18,"-")</f>
        <v>-</v>
      </c>
      <c r="K18" s="288">
        <f>'2.1 Ampol Retail'!$J$20</f>
        <v>3</v>
      </c>
      <c r="L18" s="291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Ampol Retail</t>
        </is>
      </c>
      <c r="C19" s="1227" t="inlineStr">
        <is>
          <t>Portfolio total</t>
        </is>
      </c>
      <c r="D19" s="456" t="n"/>
      <c r="E19" s="456" t="n"/>
      <c r="F19" s="456">
        <f>IF(COUNT(F6:F18)=0,"-",SUM(F6:F18))</f>
        <v>47.5</v>
      </c>
      <c r="G19" s="309">
        <f>SUM(G6:G18)</f>
        <v>48</v>
      </c>
      <c r="H19" s="309">
        <f>SUM(H6:H18)</f>
        <v>22</v>
      </c>
      <c r="I19" s="309">
        <f>SUM(I6:I18)</f>
        <v>70</v>
      </c>
      <c r="J19" s="309">
        <f>IF(COUNT(F6:F18)=0,"-",SUM(J6:J18))</f>
        <v>0.5</v>
      </c>
      <c r="K19" s="309">
        <f>SUM(K6:K18)</f>
        <v>48</v>
      </c>
      <c r="L19" s="605">
        <f>IFERROR($H19/$I19,"-")</f>
        <v>0.314285714285714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285" t="str">
        <f>'2.2 Customer'!$B$6</f>
        <v>Ampol App</v>
      </c>
      <c r="D20" s="285" t="str">
        <f>'2.2 Customer'!$C$6</f>
        <v>Product</v>
      </c>
      <c r="E20" s="285" t="str">
        <f>'2.2 Customer'!$R$6</f>
        <v>L</v>
      </c>
      <c r="F20" s="288">
        <f>'2.2 Customer'!$D$6</f>
        <v>12</v>
      </c>
      <c r="G20" s="288">
        <f>'2.2 Customer'!$E$6-'2.2 Customer'!$G$6</f>
        <v>14</v>
      </c>
      <c r="H20" s="288">
        <f>'2.2 Customer'!$G$6</f>
        <v>0</v>
      </c>
      <c r="I20" s="288">
        <f>'2.2 Customer'!$E$6</f>
        <v>14</v>
      </c>
      <c r="J20" s="288">
        <f>IFERROR($I20-$F20,"-")</f>
        <v>2</v>
      </c>
      <c r="K20" s="288">
        <f>'2.2 Customer'!$J$6</f>
        <v>14</v>
      </c>
      <c r="L20" s="291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455" t="str">
        <f>'2.2 Customer'!$B$7</f>
        <v>Z Loyalty &amp; Martech</v>
      </c>
      <c r="D21" s="456" t="str">
        <f>'2.2 Customer'!$C$7</f>
        <v>Product</v>
      </c>
      <c r="E21" s="456" t="str">
        <f>'2.2 Customer'!$R$7</f>
        <v>L</v>
      </c>
      <c r="F21" s="456">
        <f>'2.2 Customer'!$D$7</f>
        <v>12</v>
      </c>
      <c r="G21" s="309">
        <f>'2.2 Customer'!$E$7-'2.2 Customer'!$G$7</f>
        <v>12</v>
      </c>
      <c r="H21" s="309">
        <f>'2.2 Customer'!$G$7</f>
        <v>0</v>
      </c>
      <c r="I21" s="309">
        <f>'2.2 Customer'!$E$7</f>
        <v>12</v>
      </c>
      <c r="J21" s="309">
        <f>IFERROR($I21-$F21,"-")</f>
        <v>0</v>
      </c>
      <c r="K21" s="309">
        <f>'2.2 Customer'!$J$7</f>
        <v>12</v>
      </c>
      <c r="L21" s="605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607" t="str">
        <f>'2.2 Customer'!$B$8</f>
        <v>EGI Customer</v>
      </c>
      <c r="D22" s="607" t="str">
        <f>'2.2 Customer'!$C$8</f>
        <v>Strategic Programs</v>
      </c>
      <c r="E22" s="607" t="str">
        <f>'2.2 Customer'!$R$8</f>
        <v>-</v>
      </c>
      <c r="F22" s="607" t="str">
        <f>'2.2 Customer'!$D$8</f>
        <v>-</v>
      </c>
      <c r="G22" s="601">
        <f>'2.2 Customer'!$E$8-'2.2 Customer'!$G$8</f>
        <v>10</v>
      </c>
      <c r="H22" s="601">
        <f>'2.2 Customer'!$G$8</f>
        <v>0</v>
      </c>
      <c r="I22" s="601">
        <f>'2.2 Customer'!$E$8</f>
        <v>10</v>
      </c>
      <c r="J22" s="601" t="str">
        <f>IFERROR($I22-$F22,"-")</f>
        <v>-</v>
      </c>
      <c r="K22" s="601">
        <f>'2.2 Customer'!$J$8</f>
        <v>10</v>
      </c>
      <c r="L22" s="602">
        <f>IFERROR($H22/$I22,"-")</f>
        <v>0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285" t="str">
        <f>'2.2 Customer'!$B$9</f>
        <v>Ampol Web</v>
      </c>
      <c r="D23" s="285" t="str">
        <f>'2.2 Customer'!$C$9</f>
        <v>Product</v>
      </c>
      <c r="E23" s="285" t="str">
        <f>'2.2 Customer'!$R$9</f>
        <v>M</v>
      </c>
      <c r="F23" s="288">
        <f>'2.2 Customer'!$D$9</f>
        <v>8.5</v>
      </c>
      <c r="G23" s="288">
        <f>'2.2 Customer'!$E$9-'2.2 Customer'!$G$9</f>
        <v>8</v>
      </c>
      <c r="H23" s="288">
        <f>'2.2 Customer'!$G$9</f>
        <v>0</v>
      </c>
      <c r="I23" s="288">
        <f>'2.2 Customer'!$E$9</f>
        <v>8</v>
      </c>
      <c r="J23" s="288">
        <f>IFERROR($I23-$F23,"-")</f>
        <v>-0.5</v>
      </c>
      <c r="K23" s="288">
        <f>'2.2 Customer'!$J$9</f>
        <v>8</v>
      </c>
      <c r="L23" s="291">
        <f>IFERROR($H23/$I23,"-")</f>
        <v>0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285" t="str">
        <f>'2.2 Customer'!$B$10</f>
        <v>Ampol Loyalty &amp; Martech</v>
      </c>
      <c r="D24" s="285" t="str">
        <f>'2.2 Customer'!$C$10</f>
        <v>Product</v>
      </c>
      <c r="E24" s="285" t="str">
        <f>'2.2 Customer'!$R$10</f>
        <v>M</v>
      </c>
      <c r="F24" s="288">
        <f>'2.2 Customer'!$D$10</f>
        <v>8.5</v>
      </c>
      <c r="G24" s="288">
        <f>'2.2 Customer'!$E$10-'2.2 Customer'!$G$10</f>
        <v>3</v>
      </c>
      <c r="H24" s="288">
        <f>'2.2 Customer'!$G$10</f>
        <v>4</v>
      </c>
      <c r="I24" s="288">
        <f>'2.2 Customer'!$E$10</f>
        <v>7</v>
      </c>
      <c r="J24" s="288">
        <f>IFERROR($I24-$F24,"-")</f>
        <v>-1.5</v>
      </c>
      <c r="K24" s="288">
        <f>'2.2 Customer'!$J$10</f>
        <v>3</v>
      </c>
      <c r="L24" s="291">
        <f>IFERROR($H24/$I24,"-")</f>
        <v>0.571428571428571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285" t="str">
        <f>'2.2 Customer'!$B$11</f>
        <v>Digital Operations</v>
      </c>
      <c r="D25" s="285" t="str">
        <f>'2.2 Customer'!$C$11</f>
        <v>Operations</v>
      </c>
      <c r="E25" s="285" t="str">
        <f>'2.2 Customer'!$R$11</f>
        <v>M</v>
      </c>
      <c r="F25" s="288">
        <f>'2.2 Customer'!$D$11</f>
        <v>6</v>
      </c>
      <c r="G25" s="288">
        <f>'2.2 Customer'!$E$11-'2.2 Customer'!$G$11</f>
        <v>4</v>
      </c>
      <c r="H25" s="288">
        <f>'2.2 Customer'!$G$11</f>
        <v>3</v>
      </c>
      <c r="I25" s="288">
        <f>'2.2 Customer'!$E$11</f>
        <v>7</v>
      </c>
      <c r="J25" s="288">
        <f>IFERROR($I25-$F25,"-")</f>
        <v>1</v>
      </c>
      <c r="K25" s="288">
        <f>'2.2 Customer'!$J$11</f>
        <v>4</v>
      </c>
      <c r="L25" s="291">
        <f>IFERROR($H25/$I25,"-")</f>
        <v>0.428571428571429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455" t="str">
        <f>'2.2 Customer'!$B$12</f>
        <v>Leadership</v>
      </c>
      <c r="D26" s="456" t="str">
        <f>'2.2 Customer'!$C$12</f>
        <v>No archetype for this squad</v>
      </c>
      <c r="E26" s="456" t="str">
        <f>'2.2 Customer'!$R$12</f>
        <v>-</v>
      </c>
      <c r="F26" s="456" t="str">
        <f>'2.2 Customer'!$D$12</f>
        <v>-</v>
      </c>
      <c r="G26" s="309">
        <f>'2.2 Customer'!$E$12-'2.2 Customer'!$G$12</f>
        <v>4</v>
      </c>
      <c r="H26" s="309">
        <f>'2.2 Customer'!$G$12</f>
        <v>1</v>
      </c>
      <c r="I26" s="309">
        <f>'2.2 Customer'!$E$12</f>
        <v>5</v>
      </c>
      <c r="J26" s="309" t="str">
        <f>IFERROR($I26-$F26,"-")</f>
        <v>-</v>
      </c>
      <c r="K26" s="309">
        <f>'2.2 Customer'!$J$12</f>
        <v>4</v>
      </c>
      <c r="L26" s="605">
        <f>IFERROR($H26/$I26,"-")</f>
        <v>0.2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285" t="str">
        <f>'2.2 Customer'!$B$13</f>
        <v>Z App and Web</v>
      </c>
      <c r="D27" s="285" t="str">
        <f>'2.2 Customer'!$C$13</f>
        <v>Product</v>
      </c>
      <c r="E27" s="285" t="str">
        <f>'2.2 Customer'!$R$13</f>
        <v>S</v>
      </c>
      <c r="F27" s="288">
        <f>'2.2 Customer'!$D$13</f>
        <v>5.5</v>
      </c>
      <c r="G27" s="288">
        <f>'2.2 Customer'!$E$13-'2.2 Customer'!$G$13</f>
        <v>5</v>
      </c>
      <c r="H27" s="288">
        <f>'2.2 Customer'!$G$13</f>
        <v>0</v>
      </c>
      <c r="I27" s="288">
        <f>'2.2 Customer'!$E$13</f>
        <v>5</v>
      </c>
      <c r="J27" s="288">
        <f>IFERROR($I27-$F27,"-")</f>
        <v>-0.5</v>
      </c>
      <c r="K27" s="288">
        <f>'2.2 Customer'!$J$13</f>
        <v>5</v>
      </c>
      <c r="L27" s="291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285" t="str">
        <f>'2.2 Customer'!$B$14</f>
        <v>AU CRM &amp; Martech</v>
      </c>
      <c r="D28" s="285" t="str">
        <f>'2.2 Customer'!$C$14</f>
        <v>Product</v>
      </c>
      <c r="E28" s="285" t="str">
        <f>'2.2 Customer'!$R$14</f>
        <v>M</v>
      </c>
      <c r="F28" s="288">
        <f>'2.2 Customer'!$D$14</f>
        <v>8.5</v>
      </c>
      <c r="G28" s="288">
        <f>'2.2 Customer'!$E$14-'2.2 Customer'!$G$14</f>
        <v>0</v>
      </c>
      <c r="H28" s="288">
        <f>'2.2 Customer'!$G$14</f>
        <v>2</v>
      </c>
      <c r="I28" s="288">
        <f>'2.2 Customer'!$E$14</f>
        <v>2</v>
      </c>
      <c r="J28" s="288">
        <f>IFERROR($I28-$F28,"-")</f>
        <v>-6.5</v>
      </c>
      <c r="K28" s="288">
        <f>'2.2 Customer'!$J$14</f>
        <v>0</v>
      </c>
      <c r="L28" s="291">
        <f>IFERROR($H28/$I28,"-")</f>
        <v>1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285" t="str">
        <f>'2.2 Customer'!$B$15</f>
        <v>Customer AI</v>
      </c>
      <c r="D29" s="285" t="str">
        <f>'2.2 Customer'!$C$15</f>
        <v>Engineering</v>
      </c>
      <c r="E29" s="285" t="str">
        <f>'2.2 Customer'!$R$15</f>
        <v>S</v>
      </c>
      <c r="F29" s="288">
        <f>'2.2 Customer'!$D$15</f>
        <v>4.5</v>
      </c>
      <c r="G29" s="288">
        <f>'2.2 Customer'!$E$15-'2.2 Customer'!$G$15</f>
        <v>0</v>
      </c>
      <c r="H29" s="288">
        <f>'2.2 Customer'!$G$15</f>
        <v>2</v>
      </c>
      <c r="I29" s="288">
        <f>'2.2 Customer'!$E$15</f>
        <v>2</v>
      </c>
      <c r="J29" s="288">
        <f>IFERROR($I29-$F29,"-")</f>
        <v>-2.5</v>
      </c>
      <c r="K29" s="288">
        <f>'2.2 Customer'!$J$15</f>
        <v>0</v>
      </c>
      <c r="L29" s="291">
        <f>IFERROR($H29/$I29,"-")</f>
        <v>1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227" t="str">
        <f>'2.2 Customer'!$B$16</f>
        <v>Z Energy Martech</v>
      </c>
      <c r="D30" s="456" t="str">
        <f>'2.2 Customer'!$C$16</f>
        <v>Product</v>
      </c>
      <c r="E30" s="456" t="str">
        <f>'2.2 Customer'!$R$16</f>
        <v>L</v>
      </c>
      <c r="F30" s="456">
        <f>'2.2 Customer'!$D$16</f>
        <v>12</v>
      </c>
      <c r="G30" s="309">
        <f>'2.2 Customer'!$E$16-'2.2 Customer'!$G$16</f>
        <v>2</v>
      </c>
      <c r="H30" s="309">
        <f>'2.2 Customer'!$G$16</f>
        <v>0</v>
      </c>
      <c r="I30" s="309">
        <f>'2.2 Customer'!$E$16</f>
        <v>2</v>
      </c>
      <c r="J30" s="309">
        <f>IFERROR($I30-$F30,"-")</f>
        <v>-10</v>
      </c>
      <c r="K30" s="309">
        <f>'2.2 Customer'!$J$16</f>
        <v>2</v>
      </c>
      <c r="L30" s="605">
        <f>IFERROR($H30/$I30,"-")</f>
        <v>0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Customer</t>
        </is>
      </c>
      <c r="C31" s="285" t="str">
        <f>'2.2 Customer'!$B$17</f>
        <v>Energy</v>
      </c>
      <c r="D31" s="285" t="str">
        <f>'2.2 Customer'!$C$17</f>
        <v>No archetype for this squad</v>
      </c>
      <c r="E31" s="285" t="str">
        <f>'2.2 Customer'!$R$17</f>
        <v>-</v>
      </c>
      <c r="F31" s="288" t="str">
        <f>'2.2 Customer'!$D$17</f>
        <v>-</v>
      </c>
      <c r="G31" s="288">
        <f>'2.2 Customer'!$E$17-'2.2 Customer'!$G$17</f>
        <v>1</v>
      </c>
      <c r="H31" s="288">
        <f>'2.2 Customer'!$G$17</f>
        <v>0</v>
      </c>
      <c r="I31" s="288">
        <f>'2.2 Customer'!$E$17</f>
        <v>1</v>
      </c>
      <c r="J31" s="288" t="str">
        <f>IFERROR($I31-$F31,"-")</f>
        <v>-</v>
      </c>
      <c r="K31" s="288">
        <f>'2.2 Customer'!$J$17</f>
        <v>1</v>
      </c>
      <c r="L31" s="291">
        <f>IFERROR($H31/$I31,"-")</f>
        <v>0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Customer</t>
        </is>
      </c>
      <c r="C32" s="285" t="str">
        <f>'2.2 Customer'!$B$20</f>
        <v>Head of Technology</v>
      </c>
      <c r="D32" s="285" t="str">
        <f>'2.2 Customer'!$C$20</f>
        <v>Overhead - see 3.2</v>
      </c>
      <c r="E32" s="285" t="str">
        <f>'2.2 Customer'!$R$20</f>
        <v>-</v>
      </c>
      <c r="F32" s="288" t="str">
        <f>'2.2 Customer'!$D$20</f>
        <v>-</v>
      </c>
      <c r="G32" s="288">
        <f>'2.2 Customer'!$E$20-'2.2 Customer'!$G$20</f>
        <v>2</v>
      </c>
      <c r="H32" s="288">
        <f>'2.2 Customer'!$G$20</f>
        <v>0</v>
      </c>
      <c r="I32" s="288">
        <f>'2.2 Customer'!$E$20</f>
        <v>2</v>
      </c>
      <c r="J32" s="288" t="str">
        <f>IFERROR($I32-$F32,"-")</f>
        <v>-</v>
      </c>
      <c r="K32" s="288">
        <f>'2.2 Customer'!$J$20</f>
        <v>2</v>
      </c>
      <c r="L32" s="291">
        <f>IFERROR($H32/$I32,"-")</f>
        <v>0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Customer</t>
        </is>
      </c>
      <c r="C33" s="455" t="str">
        <f>'2.2 Customer'!$B$21</f>
        <v>Delivery Manager</v>
      </c>
      <c r="D33" s="456" t="str">
        <f>'2.2 Customer'!$C$21</f>
        <v>Overhead - see 3.2</v>
      </c>
      <c r="E33" s="456" t="str">
        <f>'2.2 Customer'!$R$21</f>
        <v>-</v>
      </c>
      <c r="F33" s="456" t="str">
        <f>'2.2 Customer'!$D$21</f>
        <v>-</v>
      </c>
      <c r="G33" s="309">
        <f>'2.2 Customer'!$E$21-'2.2 Customer'!$G$21</f>
        <v>2</v>
      </c>
      <c r="H33" s="309">
        <f>'2.2 Customer'!$G$21</f>
        <v>0</v>
      </c>
      <c r="I33" s="309">
        <f>'2.2 Customer'!$E$21</f>
        <v>2</v>
      </c>
      <c r="J33" s="309" t="str">
        <f>IFERROR($I33-$F33,"-")</f>
        <v>-</v>
      </c>
      <c r="K33" s="309">
        <f>'2.2 Customer'!$J$21</f>
        <v>2</v>
      </c>
      <c r="L33" s="605">
        <f>IFERROR($H33/$I33,"-")</f>
        <v>0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Customer</t>
        </is>
      </c>
      <c r="C34" s="285" t="str">
        <f>'2.2 Customer'!$B$22</f>
        <v>Technology Manager</v>
      </c>
      <c r="D34" s="285" t="str">
        <f>'2.2 Customer'!$C$22</f>
        <v>Overhead - see 3.2</v>
      </c>
      <c r="E34" s="285" t="str">
        <f>'2.2 Customer'!$R$22</f>
        <v>-</v>
      </c>
      <c r="F34" s="288" t="str">
        <f>'2.2 Customer'!$D$22</f>
        <v>-</v>
      </c>
      <c r="G34" s="288">
        <f>'2.2 Customer'!$E$22-'2.2 Customer'!$G$22</f>
        <v>3</v>
      </c>
      <c r="H34" s="288">
        <f>'2.2 Customer'!$G$22</f>
        <v>1</v>
      </c>
      <c r="I34" s="288">
        <f>'2.2 Customer'!$E$22</f>
        <v>4</v>
      </c>
      <c r="J34" s="288" t="str">
        <f>IFERROR($I34-$F34,"-")</f>
        <v>-</v>
      </c>
      <c r="K34" s="288">
        <f>'2.2 Customer'!$J$22</f>
        <v>3</v>
      </c>
      <c r="L34" s="291">
        <f>IFERROR($H34/$I34,"-")</f>
        <v>0.25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Customer</t>
        </is>
      </c>
      <c r="C35" s="1227" t="inlineStr">
        <is>
          <t>Portfolio total</t>
        </is>
      </c>
      <c r="D35" s="456" t="n"/>
      <c r="E35" s="456" t="n"/>
      <c r="F35" s="456">
        <f>IF(COUNT(F20:F34)=0,"-",SUM(F20:F34))</f>
        <v>77.5</v>
      </c>
      <c r="G35" s="309">
        <f>SUM(G20:G34)</f>
        <v>70</v>
      </c>
      <c r="H35" s="309">
        <f>SUM(H20:H34)</f>
        <v>13</v>
      </c>
      <c r="I35" s="309">
        <f>SUM(I20:I34)</f>
        <v>83</v>
      </c>
      <c r="J35" s="309">
        <f>IF(COUNT(F20:F34)=0,"-",SUM(J20:J34))</f>
        <v>-18.5</v>
      </c>
      <c r="K35" s="309">
        <f>SUM(K20:K34)</f>
        <v>70</v>
      </c>
      <c r="L35" s="605">
        <f>IFERROR($H35/$I35,"-")</f>
        <v>0.156626506024096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Enterprise Data</t>
        </is>
      </c>
      <c r="C36" s="607" t="str">
        <f>'2.3 Enterprise Data'!$B$6</f>
        <v>Reporting &amp; Analytics</v>
      </c>
      <c r="D36" s="607" t="str">
        <f>'2.3 Enterprise Data'!$C$6</f>
        <v>Enterprise Data and Insights</v>
      </c>
      <c r="E36" s="607" t="str">
        <f>'2.3 Enterprise Data'!$R$6</f>
        <v>M</v>
      </c>
      <c r="F36" s="607">
        <f>'2.3 Enterprise Data'!$D$6</f>
        <v>7.5</v>
      </c>
      <c r="G36" s="601">
        <f>'2.3 Enterprise Data'!$E$6-'2.3 Enterprise Data'!$G$6</f>
        <v>9</v>
      </c>
      <c r="H36" s="601">
        <f>'2.3 Enterprise Data'!$G$6</f>
        <v>3</v>
      </c>
      <c r="I36" s="601">
        <f>'2.3 Enterprise Data'!$E$6</f>
        <v>12</v>
      </c>
      <c r="J36" s="601">
        <f>IFERROR($I36-$F36,"-")</f>
        <v>4.5</v>
      </c>
      <c r="K36" s="601">
        <f>'2.3 Enterprise Data'!$J$6</f>
        <v>9</v>
      </c>
      <c r="L36" s="602">
        <f>IFERROR($H36/$I36,"-")</f>
        <v>0.25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Enterprise Data</t>
        </is>
      </c>
      <c r="C37" s="285" t="str">
        <f>'2.3 Enterprise Data'!$B$7</f>
        <v>Data Platforms</v>
      </c>
      <c r="D37" s="285" t="str">
        <f>'2.3 Enterprise Data'!$C$7</f>
        <v>Enterprise Data and Insights</v>
      </c>
      <c r="E37" s="285" t="str">
        <f>'2.3 Enterprise Data'!$R$7</f>
        <v>M</v>
      </c>
      <c r="F37" s="288">
        <f>'2.3 Enterprise Data'!$D$7</f>
        <v>7.5</v>
      </c>
      <c r="G37" s="288">
        <f>'2.3 Enterprise Data'!$E$7-'2.3 Enterprise Data'!$G$7</f>
        <v>3</v>
      </c>
      <c r="H37" s="288">
        <f>'2.3 Enterprise Data'!$G$7</f>
        <v>6</v>
      </c>
      <c r="I37" s="288">
        <f>'2.3 Enterprise Data'!$E$7</f>
        <v>9</v>
      </c>
      <c r="J37" s="288">
        <f>IFERROR($I37-$F37,"-")</f>
        <v>1.5</v>
      </c>
      <c r="K37" s="288">
        <f>'2.3 Enterprise Data'!$J$7</f>
        <v>3</v>
      </c>
      <c r="L37" s="291">
        <f>IFERROR($H37/$I37,"-")</f>
        <v>0.666666666666667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Enterprise Data</t>
        </is>
      </c>
      <c r="C38" s="285" t="str">
        <f>'2.3 Enterprise Data'!$B$8</f>
        <v>Data Science</v>
      </c>
      <c r="D38" s="285" t="str">
        <f>'2.3 Enterprise Data'!$C$8</f>
        <v>Enterprise Data and Insights</v>
      </c>
      <c r="E38" s="285" t="str">
        <f>'2.3 Enterprise Data'!$R$8</f>
        <v>S</v>
      </c>
      <c r="F38" s="288">
        <f>'2.3 Enterprise Data'!$D$8</f>
        <v>4</v>
      </c>
      <c r="G38" s="288">
        <f>'2.3 Enterprise Data'!$E$8-'2.3 Enterprise Data'!$G$8</f>
        <v>4</v>
      </c>
      <c r="H38" s="288">
        <f>'2.3 Enterprise Data'!$G$8</f>
        <v>0</v>
      </c>
      <c r="I38" s="288">
        <f>'2.3 Enterprise Data'!$E$8</f>
        <v>4</v>
      </c>
      <c r="J38" s="288">
        <f>IFERROR($I38-$F38,"-")</f>
        <v>0</v>
      </c>
      <c r="K38" s="288">
        <f>'2.3 Enterprise Data'!$J$8</f>
        <v>4</v>
      </c>
      <c r="L38" s="291">
        <f>IFERROR($H38/$I38,"-")</f>
        <v>0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Enterprise Data</t>
        </is>
      </c>
      <c r="C39" s="285" t="str">
        <f>'2.3 Enterprise Data'!$B$9</f>
        <v>Leadership</v>
      </c>
      <c r="D39" s="285" t="str">
        <f>'2.3 Enterprise Data'!$C$9</f>
        <v>No archetype for this squad</v>
      </c>
      <c r="E39" s="285" t="str">
        <f>'2.3 Enterprise Data'!$R$9</f>
        <v>-</v>
      </c>
      <c r="F39" s="288" t="str">
        <f>'2.3 Enterprise Data'!$D$9</f>
        <v>-</v>
      </c>
      <c r="G39" s="288">
        <f>'2.3 Enterprise Data'!$E$9-'2.3 Enterprise Data'!$G$9</f>
        <v>1</v>
      </c>
      <c r="H39" s="288">
        <f>'2.3 Enterprise Data'!$G$9</f>
        <v>1</v>
      </c>
      <c r="I39" s="288">
        <f>'2.3 Enterprise Data'!$E$9</f>
        <v>2</v>
      </c>
      <c r="J39" s="288" t="str">
        <f>IFERROR($I39-$F39,"-")</f>
        <v>-</v>
      </c>
      <c r="K39" s="288">
        <f>'2.3 Enterprise Data'!$J$9</f>
        <v>1</v>
      </c>
      <c r="L39" s="291">
        <f>IFERROR($H39/$I39,"-")</f>
        <v>0.5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Enterprise Data</t>
        </is>
      </c>
      <c r="C40" s="285" t="str">
        <f>'2.3 Enterprise Data'!$B$12</f>
        <v>Head of Technology</v>
      </c>
      <c r="D40" s="285" t="str">
        <f>'2.3 Enterprise Data'!$C$12</f>
        <v>Overhead - see 3.2</v>
      </c>
      <c r="E40" s="285" t="str">
        <f>'2.3 Enterprise Data'!$R$12</f>
        <v>-</v>
      </c>
      <c r="F40" s="288" t="str">
        <f>'2.3 Enterprise Data'!$D$12</f>
        <v>-</v>
      </c>
      <c r="G40" s="288">
        <f>'2.3 Enterprise Data'!$E$12-'2.3 Enterprise Data'!$G$12</f>
        <v>1</v>
      </c>
      <c r="H40" s="288">
        <f>'2.3 Enterprise Data'!$G$12</f>
        <v>0</v>
      </c>
      <c r="I40" s="288">
        <f>'2.3 Enterprise Data'!$E$12</f>
        <v>1</v>
      </c>
      <c r="J40" s="288" t="str">
        <f>IFERROR($I40-$F40,"-")</f>
        <v>-</v>
      </c>
      <c r="K40" s="288">
        <f>'2.3 Enterprise Data'!$J$12</f>
        <v>1</v>
      </c>
      <c r="L40" s="291">
        <f>IFERROR($H40/$I40,"-")</f>
        <v>0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Enterprise Data</t>
        </is>
      </c>
      <c r="C41" s="285" t="str">
        <f>'2.3 Enterprise Data'!$B$13</f>
        <v>Technology Manager</v>
      </c>
      <c r="D41" s="285" t="str">
        <f>'2.3 Enterprise Data'!$C$13</f>
        <v>Overhead - see 3.2</v>
      </c>
      <c r="E41" s="285" t="str">
        <f>'2.3 Enterprise Data'!$R$13</f>
        <v>-</v>
      </c>
      <c r="F41" s="288" t="str">
        <f>'2.3 Enterprise Data'!$D$13</f>
        <v>-</v>
      </c>
      <c r="G41" s="288">
        <f>'2.3 Enterprise Data'!$E$13-'2.3 Enterprise Data'!$G$13</f>
        <v>2</v>
      </c>
      <c r="H41" s="288">
        <f>'2.3 Enterprise Data'!$G$13</f>
        <v>0</v>
      </c>
      <c r="I41" s="288">
        <f>'2.3 Enterprise Data'!$E$13</f>
        <v>2</v>
      </c>
      <c r="J41" s="288" t="str">
        <f>IFERROR($I41-$F41,"-")</f>
        <v>-</v>
      </c>
      <c r="K41" s="288">
        <f>'2.3 Enterprise Data'!$J$13</f>
        <v>2</v>
      </c>
      <c r="L41" s="291">
        <f>IFERROR($H41/$I41,"-")</f>
        <v>0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Enterprise Data</t>
        </is>
      </c>
      <c r="C42" s="1227" t="inlineStr">
        <is>
          <t>Portfolio total</t>
        </is>
      </c>
      <c r="D42" s="456" t="n"/>
      <c r="E42" s="456" t="n"/>
      <c r="F42" s="456">
        <f>IF(COUNT(F36:F41)=0,"-",SUM(F36:F41))</f>
        <v>19</v>
      </c>
      <c r="G42" s="309">
        <f>SUM(G36:G41)</f>
        <v>20</v>
      </c>
      <c r="H42" s="309">
        <f>SUM(H36:H41)</f>
        <v>10</v>
      </c>
      <c r="I42" s="309">
        <f>SUM(I36:I41)</f>
        <v>30</v>
      </c>
      <c r="J42" s="309">
        <f>IF(COUNT(F36:F41)=0,"-",SUM(J36:J41))</f>
        <v>6</v>
      </c>
      <c r="K42" s="309">
        <f>SUM(K36:K41)</f>
        <v>20</v>
      </c>
      <c r="L42" s="605">
        <f>IFERROR($H42/$I42,"-")</f>
        <v>0.333333333333333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TDD Group Functions</t>
        </is>
      </c>
      <c r="C43" s="607" t="str">
        <f>'2.4 TDD Group Functions'!$B$6</f>
        <v>Cloud, Network &amp; Infra Ops</v>
      </c>
      <c r="D43" s="607" t="str">
        <f>'2.4 TDD Group Functions'!$C$6</f>
        <v>Operations</v>
      </c>
      <c r="E43" s="607" t="str">
        <f>'2.4 TDD Group Functions'!$R$6</f>
        <v>M</v>
      </c>
      <c r="F43" s="607">
        <f>'2.4 TDD Group Functions'!$D$6</f>
        <v>6</v>
      </c>
      <c r="G43" s="601">
        <f>'2.4 TDD Group Functions'!$E$6-'2.4 TDD Group Functions'!$G$6</f>
        <v>11</v>
      </c>
      <c r="H43" s="601">
        <f>'2.4 TDD Group Functions'!$G$6</f>
        <v>1</v>
      </c>
      <c r="I43" s="601">
        <f>'2.4 TDD Group Functions'!$E$6</f>
        <v>12</v>
      </c>
      <c r="J43" s="601">
        <f>IFERROR($I43-$F43,"-")</f>
        <v>6</v>
      </c>
      <c r="K43" s="601">
        <f>'2.4 TDD Group Functions'!$J$6</f>
        <v>11</v>
      </c>
      <c r="L43" s="602">
        <f>IFERROR($H43/$I43,"-")</f>
        <v>0.0833333333333333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TDD Group Functions</t>
        </is>
      </c>
      <c r="C44" s="285" t="str">
        <f>'2.4 TDD Group Functions'!$B$7</f>
        <v>Integration &amp; Process Automation</v>
      </c>
      <c r="D44" s="285" t="str">
        <f>'2.4 TDD Group Functions'!$C$7</f>
        <v>Configuration / Integration</v>
      </c>
      <c r="E44" s="285" t="str">
        <f>'2.4 TDD Group Functions'!$R$7</f>
        <v>M</v>
      </c>
      <c r="F44" s="288">
        <f>'2.4 TDD Group Functions'!$D$7</f>
        <v>9</v>
      </c>
      <c r="G44" s="288">
        <f>'2.4 TDD Group Functions'!$E$7-'2.4 TDD Group Functions'!$G$7</f>
        <v>8</v>
      </c>
      <c r="H44" s="288">
        <f>'2.4 TDD Group Functions'!$G$7</f>
        <v>2</v>
      </c>
      <c r="I44" s="288">
        <f>'2.4 TDD Group Functions'!$E$7</f>
        <v>10</v>
      </c>
      <c r="J44" s="288">
        <f>IFERROR($I44-$F44,"-")</f>
        <v>1</v>
      </c>
      <c r="K44" s="288">
        <f>'2.4 TDD Group Functions'!$J$7</f>
        <v>8</v>
      </c>
      <c r="L44" s="291">
        <f>IFERROR($H44/$I44,"-")</f>
        <v>0.2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TDD Group Functions</t>
        </is>
      </c>
      <c r="C45" s="285" t="str">
        <f>'2.4 TDD Group Functions'!$B$8</f>
        <v>DevOps &amp; QE</v>
      </c>
      <c r="D45" s="285" t="str">
        <f>'2.4 TDD Group Functions'!$C$8</f>
        <v>Engineering</v>
      </c>
      <c r="E45" s="285" t="str">
        <f>'2.4 TDD Group Functions'!$R$8</f>
        <v>S</v>
      </c>
      <c r="F45" s="288">
        <f>'2.4 TDD Group Functions'!$D$8</f>
        <v>4.5</v>
      </c>
      <c r="G45" s="288">
        <f>'2.4 TDD Group Functions'!$E$8-'2.4 TDD Group Functions'!$G$8</f>
        <v>4</v>
      </c>
      <c r="H45" s="288">
        <f>'2.4 TDD Group Functions'!$G$8</f>
        <v>4</v>
      </c>
      <c r="I45" s="288">
        <f>'2.4 TDD Group Functions'!$E$8</f>
        <v>8</v>
      </c>
      <c r="J45" s="288">
        <f>IFERROR($I45-$F45,"-")</f>
        <v>3.5</v>
      </c>
      <c r="K45" s="288">
        <f>'2.4 TDD Group Functions'!$J$8</f>
        <v>4</v>
      </c>
      <c r="L45" s="291">
        <f>IFERROR($H45/$I45,"-")</f>
        <v>0.5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TDD Group Functions</t>
        </is>
      </c>
      <c r="C46" s="285" t="str">
        <f>'2.4 TDD Group Functions'!$B$9</f>
        <v>Workplace &amp; Enterprise Tooling</v>
      </c>
      <c r="D46" s="285" t="str">
        <f>'2.4 TDD Group Functions'!$C$9</f>
        <v>Configuration / Integration</v>
      </c>
      <c r="E46" s="285" t="str">
        <f>'2.4 TDD Group Functions'!$R$9</f>
        <v>S</v>
      </c>
      <c r="F46" s="288">
        <f>'2.4 TDD Group Functions'!$D$9</f>
        <v>6</v>
      </c>
      <c r="G46" s="288">
        <f>'2.4 TDD Group Functions'!$E$9-'2.4 TDD Group Functions'!$G$9</f>
        <v>4</v>
      </c>
      <c r="H46" s="288">
        <f>'2.4 TDD Group Functions'!$G$9</f>
        <v>2</v>
      </c>
      <c r="I46" s="288">
        <f>'2.4 TDD Group Functions'!$E$9</f>
        <v>6</v>
      </c>
      <c r="J46" s="288">
        <f>IFERROR($I46-$F46,"-")</f>
        <v>0</v>
      </c>
      <c r="K46" s="288">
        <f>'2.4 TDD Group Functions'!$J$9</f>
        <v>4</v>
      </c>
      <c r="L46" s="291">
        <f>IFERROR($H46/$I46,"-")</f>
        <v>0.333333333333333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TDD Group Functions</t>
        </is>
      </c>
      <c r="C47" s="1228" t="str">
        <f>'2.4 TDD Group Functions'!$B$10</f>
        <v>EGI TDD</v>
      </c>
      <c r="D47" s="285" t="str">
        <f>'2.4 TDD Group Functions'!$C$10</f>
        <v>Strategic Programs</v>
      </c>
      <c r="E47" s="285" t="str">
        <f>'2.4 TDD Group Functions'!$R$10</f>
        <v>-</v>
      </c>
      <c r="F47" s="288" t="str">
        <f>'2.4 TDD Group Functions'!$D$10</f>
        <v>-</v>
      </c>
      <c r="G47" s="288">
        <f>'2.4 TDD Group Functions'!$E$10-'2.4 TDD Group Functions'!$G$10</f>
        <v>4</v>
      </c>
      <c r="H47" s="288">
        <f>'2.4 TDD Group Functions'!$G$10</f>
        <v>0</v>
      </c>
      <c r="I47" s="288">
        <f>'2.4 TDD Group Functions'!$E$10</f>
        <v>4</v>
      </c>
      <c r="J47" s="288" t="str">
        <f>IFERROR($I47-$F47,"-")</f>
        <v>-</v>
      </c>
      <c r="K47" s="288">
        <f>'2.4 TDD Group Functions'!$J$10</f>
        <v>4</v>
      </c>
      <c r="L47" s="291">
        <f>IFERROR($H47/$I47,"-")</f>
        <v>0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TDD Group Functions</t>
        </is>
      </c>
      <c r="C48" s="455" t="str">
        <f>'2.4 TDD Group Functions'!$B$13</f>
        <v>Head of Technology</v>
      </c>
      <c r="D48" s="456" t="str">
        <f>'2.4 TDD Group Functions'!$C$13</f>
        <v>Overhead - see 3.2</v>
      </c>
      <c r="E48" s="456" t="str">
        <f>'2.4 TDD Group Functions'!$R$13</f>
        <v>-</v>
      </c>
      <c r="F48" s="456" t="str">
        <f>'2.4 TDD Group Functions'!$D$13</f>
        <v>-</v>
      </c>
      <c r="G48" s="309">
        <f>'2.4 TDD Group Functions'!$E$13-'2.4 TDD Group Functions'!$G$13</f>
        <v>0</v>
      </c>
      <c r="H48" s="309">
        <f>'2.4 TDD Group Functions'!$G$13</f>
        <v>1</v>
      </c>
      <c r="I48" s="309">
        <f>'2.4 TDD Group Functions'!$E$13</f>
        <v>1</v>
      </c>
      <c r="J48" s="309" t="str">
        <f>IFERROR($I48-$F48,"-")</f>
        <v>-</v>
      </c>
      <c r="K48" s="309">
        <f>'2.4 TDD Group Functions'!$J$13</f>
        <v>0</v>
      </c>
      <c r="L48" s="605">
        <f>IFERROR($H48/$I48,"-")</f>
        <v>1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TDD Group Functions</t>
        </is>
      </c>
      <c r="C49" s="285" t="str">
        <f>'2.4 TDD Group Functions'!$B$14</f>
        <v>Delivery Manager</v>
      </c>
      <c r="D49" s="285" t="str">
        <f>'2.4 TDD Group Functions'!$C$14</f>
        <v>Overhead - see 3.2</v>
      </c>
      <c r="E49" s="285" t="str">
        <f>'2.4 TDD Group Functions'!$R$14</f>
        <v>-</v>
      </c>
      <c r="F49" s="288" t="str">
        <f>'2.4 TDD Group Functions'!$D$14</f>
        <v>-</v>
      </c>
      <c r="G49" s="288">
        <f>'2.4 TDD Group Functions'!$E$14-'2.4 TDD Group Functions'!$G$14</f>
        <v>0</v>
      </c>
      <c r="H49" s="288">
        <f>'2.4 TDD Group Functions'!$G$14</f>
        <v>1</v>
      </c>
      <c r="I49" s="288">
        <f>'2.4 TDD Group Functions'!$E$14</f>
        <v>1</v>
      </c>
      <c r="J49" s="288" t="str">
        <f>IFERROR($I49-$F49,"-")</f>
        <v>-</v>
      </c>
      <c r="K49" s="288">
        <f>'2.4 TDD Group Functions'!$J$14</f>
        <v>0</v>
      </c>
      <c r="L49" s="291">
        <f>IFERROR($H49/$I49,"-")</f>
        <v>1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TDD Group Functions</t>
        </is>
      </c>
      <c r="C50" s="455" t="str">
        <f>'2.4 TDD Group Functions'!$B$15</f>
        <v>Technology Manager</v>
      </c>
      <c r="D50" s="456" t="str">
        <f>'2.4 TDD Group Functions'!$C$15</f>
        <v>Overhead - see 3.2</v>
      </c>
      <c r="E50" s="456" t="str">
        <f>'2.4 TDD Group Functions'!$R$15</f>
        <v>-</v>
      </c>
      <c r="F50" s="456" t="str">
        <f>'2.4 TDD Group Functions'!$D$15</f>
        <v>-</v>
      </c>
      <c r="G50" s="309">
        <f>'2.4 TDD Group Functions'!$E$15-'2.4 TDD Group Functions'!$G$15</f>
        <v>1</v>
      </c>
      <c r="H50" s="309">
        <f>'2.4 TDD Group Functions'!$G$15</f>
        <v>3</v>
      </c>
      <c r="I50" s="309">
        <f>'2.4 TDD Group Functions'!$E$15</f>
        <v>4</v>
      </c>
      <c r="J50" s="309" t="str">
        <f>IFERROR($I50-$F50,"-")</f>
        <v>-</v>
      </c>
      <c r="K50" s="309">
        <f>'2.4 TDD Group Functions'!$J$15</f>
        <v>1</v>
      </c>
      <c r="L50" s="605">
        <f>IFERROR($H50/$I50,"-")</f>
        <v>0.75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TDD Group Functions</t>
        </is>
      </c>
      <c r="C51" s="1277" t="inlineStr">
        <is>
          <t>Portfolio total</t>
        </is>
      </c>
      <c r="D51" s="607" t="n"/>
      <c r="E51" s="607" t="n"/>
      <c r="F51" s="607">
        <f>IF(COUNT(F43:F50)=0,"-",SUM(F43:F50))</f>
        <v>25.5</v>
      </c>
      <c r="G51" s="601">
        <f>SUM(G43:G50)</f>
        <v>32</v>
      </c>
      <c r="H51" s="601">
        <f>SUM(H43:H50)</f>
        <v>14</v>
      </c>
      <c r="I51" s="601">
        <f>SUM(I43:I50)</f>
        <v>46</v>
      </c>
      <c r="J51" s="601">
        <f>IF(COUNT(F43:F50)=0,"-",SUM(J43:J50))</f>
        <v>10.5</v>
      </c>
      <c r="K51" s="601">
        <f>SUM(K43:K50)</f>
        <v>32</v>
      </c>
      <c r="L51" s="602">
        <f>IFERROR($H51/$I51,"-")</f>
        <v>0.304347826086957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P&amp;C</t>
        </is>
      </c>
      <c r="C52" s="285" t="str">
        <f>'2.5 P&amp;C'!$B$6</f>
        <v>P&amp;C</v>
      </c>
      <c r="D52" s="285" t="str">
        <f>'2.5 P&amp;C'!$C$6</f>
        <v>Configuration / Integration</v>
      </c>
      <c r="E52" s="285" t="str">
        <f>'2.5 P&amp;C'!$R$6</f>
        <v>M</v>
      </c>
      <c r="F52" s="288">
        <f>'2.5 P&amp;C'!$D$6</f>
        <v>9</v>
      </c>
      <c r="G52" s="288">
        <f>'2.5 P&amp;C'!$E$6-'2.5 P&amp;C'!$G$6</f>
        <v>5</v>
      </c>
      <c r="H52" s="288">
        <f>'2.5 P&amp;C'!$G$6</f>
        <v>3</v>
      </c>
      <c r="I52" s="288">
        <f>'2.5 P&amp;C'!$E$6</f>
        <v>8</v>
      </c>
      <c r="J52" s="288">
        <f>IFERROR($I52-$F52,"-")</f>
        <v>-1</v>
      </c>
      <c r="K52" s="288">
        <f>'2.5 P&amp;C'!$J$6</f>
        <v>5</v>
      </c>
      <c r="L52" s="291">
        <f>IFERROR($H52/$I52,"-")</f>
        <v>0.375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P&amp;C</t>
        </is>
      </c>
      <c r="C53" s="1228" t="str">
        <f>'2.5 P&amp;C'!$B$7</f>
        <v>P&amp;C RTA</v>
      </c>
      <c r="D53" s="285" t="str">
        <f>'2.5 P&amp;C'!$C$7</f>
        <v>Configuration / Integration</v>
      </c>
      <c r="E53" s="285" t="str">
        <f>'2.5 P&amp;C'!$R$7</f>
        <v>S</v>
      </c>
      <c r="F53" s="288">
        <f>'2.5 P&amp;C'!$D$7</f>
        <v>6</v>
      </c>
      <c r="G53" s="288">
        <f>'2.5 P&amp;C'!$E$7-'2.5 P&amp;C'!$G$7</f>
        <v>1</v>
      </c>
      <c r="H53" s="288">
        <f>'2.5 P&amp;C'!$G$7</f>
        <v>5</v>
      </c>
      <c r="I53" s="288">
        <f>'2.5 P&amp;C'!$E$7</f>
        <v>6</v>
      </c>
      <c r="J53" s="288">
        <f>IFERROR($I53-$F53,"-")</f>
        <v>0</v>
      </c>
      <c r="K53" s="288">
        <f>'2.5 P&amp;C'!$J$7</f>
        <v>1</v>
      </c>
      <c r="L53" s="291">
        <f>IFERROR($H53/$I53,"-")</f>
        <v>0.833333333333333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P&amp;C</t>
        </is>
      </c>
      <c r="C54" s="455" t="str">
        <f>'2.5 P&amp;C'!$B$8</f>
        <v>EGI P&amp;C</v>
      </c>
      <c r="D54" s="456" t="str">
        <f>'2.5 P&amp;C'!$C$8</f>
        <v>Strategic Programs</v>
      </c>
      <c r="E54" s="456" t="str">
        <f>'2.5 P&amp;C'!$R$8</f>
        <v>-</v>
      </c>
      <c r="F54" s="456" t="str">
        <f>'2.5 P&amp;C'!$D$8</f>
        <v>-</v>
      </c>
      <c r="G54" s="309">
        <f>'2.5 P&amp;C'!$E$8-'2.5 P&amp;C'!$G$8</f>
        <v>1</v>
      </c>
      <c r="H54" s="309">
        <f>'2.5 P&amp;C'!$G$8</f>
        <v>0</v>
      </c>
      <c r="I54" s="309">
        <f>'2.5 P&amp;C'!$E$8</f>
        <v>1</v>
      </c>
      <c r="J54" s="309" t="str">
        <f>IFERROR($I54-$F54,"-")</f>
        <v>-</v>
      </c>
      <c r="K54" s="309">
        <f>'2.5 P&amp;C'!$J$8</f>
        <v>1</v>
      </c>
      <c r="L54" s="605">
        <f>IFERROR($H54/$I54,"-")</f>
        <v>0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P&amp;C</t>
        </is>
      </c>
      <c r="C55" s="285" t="str">
        <f>'2.5 P&amp;C'!$B$11</f>
        <v>Head of Technology</v>
      </c>
      <c r="D55" s="285" t="str">
        <f>'2.5 P&amp;C'!$C$11</f>
        <v>Overhead - see 3.2</v>
      </c>
      <c r="E55" s="285" t="str">
        <f>'2.5 P&amp;C'!$R$11</f>
        <v>-</v>
      </c>
      <c r="F55" s="288" t="str">
        <f>'2.5 P&amp;C'!$D$11</f>
        <v>-</v>
      </c>
      <c r="G55" s="288">
        <f>'2.5 P&amp;C'!$E$11-'2.5 P&amp;C'!$G$11</f>
        <v>1</v>
      </c>
      <c r="H55" s="288">
        <f>'2.5 P&amp;C'!$G$11</f>
        <v>0</v>
      </c>
      <c r="I55" s="288">
        <f>'2.5 P&amp;C'!$E$11</f>
        <v>1</v>
      </c>
      <c r="J55" s="288" t="str">
        <f>IFERROR($I55-$F55,"-")</f>
        <v>-</v>
      </c>
      <c r="K55" s="288">
        <f>'2.5 P&amp;C'!$J$11</f>
        <v>1</v>
      </c>
      <c r="L55" s="291">
        <f>IFERROR($H55/$I55,"-")</f>
        <v>0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P&amp;C</t>
        </is>
      </c>
      <c r="C56" s="455" t="str">
        <f>'2.5 P&amp;C'!$B$12</f>
        <v>Delivery Manager</v>
      </c>
      <c r="D56" s="456" t="str">
        <f>'2.5 P&amp;C'!$C$12</f>
        <v>Overhead - see 3.2</v>
      </c>
      <c r="E56" s="456" t="str">
        <f>'2.5 P&amp;C'!$R$12</f>
        <v>-</v>
      </c>
      <c r="F56" s="456" t="str">
        <f>'2.5 P&amp;C'!$D$12</f>
        <v>-</v>
      </c>
      <c r="G56" s="309">
        <f>'2.5 P&amp;C'!$E$12-'2.5 P&amp;C'!$G$12</f>
        <v>0</v>
      </c>
      <c r="H56" s="309">
        <f>'2.5 P&amp;C'!$G$12</f>
        <v>1</v>
      </c>
      <c r="I56" s="309">
        <f>'2.5 P&amp;C'!$E$12</f>
        <v>1</v>
      </c>
      <c r="J56" s="309" t="str">
        <f>IFERROR($I56-$F56,"-")</f>
        <v>-</v>
      </c>
      <c r="K56" s="309">
        <f>'2.5 P&amp;C'!$J$12</f>
        <v>0</v>
      </c>
      <c r="L56" s="605">
        <f>IFERROR($H56/$I56,"-")</f>
        <v>1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P&amp;C</t>
        </is>
      </c>
      <c r="C57" s="607" t="str">
        <f>'2.5 P&amp;C'!$B$13</f>
        <v>Technology Manager</v>
      </c>
      <c r="D57" s="607" t="str">
        <f>'2.5 P&amp;C'!$C$13</f>
        <v>Overhead - see 3.2</v>
      </c>
      <c r="E57" s="607" t="str">
        <f>'2.5 P&amp;C'!$R$13</f>
        <v>-</v>
      </c>
      <c r="F57" s="607" t="str">
        <f>'2.5 P&amp;C'!$D$13</f>
        <v>-</v>
      </c>
      <c r="G57" s="601">
        <f>'2.5 P&amp;C'!$E$13-'2.5 P&amp;C'!$G$13</f>
        <v>0</v>
      </c>
      <c r="H57" s="601">
        <f>'2.5 P&amp;C'!$G$13</f>
        <v>1</v>
      </c>
      <c r="I57" s="601">
        <f>'2.5 P&amp;C'!$E$13</f>
        <v>1</v>
      </c>
      <c r="J57" s="601" t="str">
        <f>IFERROR($I57-$F57,"-")</f>
        <v>-</v>
      </c>
      <c r="K57" s="601">
        <f>'2.5 P&amp;C'!$J$13</f>
        <v>0</v>
      </c>
      <c r="L57" s="602">
        <f>IFERROR($H57/$I57,"-")</f>
        <v>1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P&amp;C</t>
        </is>
      </c>
      <c r="C58" s="1228" t="inlineStr">
        <is>
          <t>Portfolio total</t>
        </is>
      </c>
      <c r="D58" s="285" t="n"/>
      <c r="E58" s="285" t="n"/>
      <c r="F58" s="288">
        <f>IF(COUNT(F52:F57)=0,"-",SUM(F52:F57))</f>
        <v>15</v>
      </c>
      <c r="G58" s="288">
        <f>SUM(G52:G57)</f>
        <v>8</v>
      </c>
      <c r="H58" s="288">
        <f>SUM(H52:H57)</f>
        <v>10</v>
      </c>
      <c r="I58" s="288">
        <f>SUM(I52:I57)</f>
        <v>18</v>
      </c>
      <c r="J58" s="288">
        <f>IF(COUNT(F52:F57)=0,"-",SUM(J52:J57))</f>
        <v>-1</v>
      </c>
      <c r="K58" s="288">
        <f>SUM(K52:K57)</f>
        <v>8</v>
      </c>
      <c r="L58" s="291">
        <f>IFERROR($H58/$I58,"-")</f>
        <v>0.555555555555556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Finance</t>
        </is>
      </c>
      <c r="C59" s="1228" t="str">
        <f>'2.6 Finance'!$B$6</f>
        <v>SAP ERP</v>
      </c>
      <c r="D59" s="285" t="str">
        <f>'2.6 Finance'!$C$6</f>
        <v>Configuration / Integration</v>
      </c>
      <c r="E59" s="285" t="str">
        <f>'2.6 Finance'!$R$6</f>
        <v>S</v>
      </c>
      <c r="F59" s="288">
        <f>'2.6 Finance'!$D$6</f>
        <v>6</v>
      </c>
      <c r="G59" s="288">
        <f>'2.6 Finance'!$E$6-'2.6 Finance'!$G$6</f>
        <v>2</v>
      </c>
      <c r="H59" s="288">
        <f>'2.6 Finance'!$G$6</f>
        <v>7</v>
      </c>
      <c r="I59" s="288">
        <f>'2.6 Finance'!$E$6</f>
        <v>9</v>
      </c>
      <c r="J59" s="288">
        <f>IFERROR($I59-$F59,"-")</f>
        <v>3</v>
      </c>
      <c r="K59" s="288">
        <f>'2.6 Finance'!$J$6</f>
        <v>2</v>
      </c>
      <c r="L59" s="291">
        <f>IFERROR($H59/$I59,"-")</f>
        <v>0.777777777777778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Finance</t>
        </is>
      </c>
      <c r="C60" s="455" t="str">
        <f>'2.6 Finance'!$B$7</f>
        <v>NZ Finance</v>
      </c>
      <c r="D60" s="456" t="str">
        <f>'2.6 Finance'!$C$7</f>
        <v>Configuration / Integration</v>
      </c>
      <c r="E60" s="456" t="str">
        <f>'2.6 Finance'!$R$7</f>
        <v>S</v>
      </c>
      <c r="F60" s="456">
        <f>'2.6 Finance'!$D$7</f>
        <v>6</v>
      </c>
      <c r="G60" s="309">
        <f>'2.6 Finance'!$E$7-'2.6 Finance'!$G$7</f>
        <v>4</v>
      </c>
      <c r="H60" s="309">
        <f>'2.6 Finance'!$G$7</f>
        <v>1</v>
      </c>
      <c r="I60" s="309">
        <f>'2.6 Finance'!$E$7</f>
        <v>5</v>
      </c>
      <c r="J60" s="309">
        <f>IFERROR($I60-$F60,"-")</f>
        <v>-1</v>
      </c>
      <c r="K60" s="309">
        <f>'2.6 Finance'!$J$7</f>
        <v>4</v>
      </c>
      <c r="L60" s="605">
        <f>IFERROR($H60/$I60,"-")</f>
        <v>0.2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Finance</t>
        </is>
      </c>
      <c r="C61" s="285" t="str">
        <f>'2.6 Finance'!$B$8</f>
        <v>EGI Finance</v>
      </c>
      <c r="D61" s="285" t="str">
        <f>'2.6 Finance'!$C$8</f>
        <v>Strategic Programs</v>
      </c>
      <c r="E61" s="285" t="str">
        <f>'2.6 Finance'!$R$8</f>
        <v>-</v>
      </c>
      <c r="F61" s="288" t="str">
        <f>'2.6 Finance'!$D$8</f>
        <v>-</v>
      </c>
      <c r="G61" s="288">
        <f>'2.6 Finance'!$E$8-'2.6 Finance'!$G$8</f>
        <v>1</v>
      </c>
      <c r="H61" s="288">
        <f>'2.6 Finance'!$G$8</f>
        <v>0</v>
      </c>
      <c r="I61" s="288">
        <f>'2.6 Finance'!$E$8</f>
        <v>1</v>
      </c>
      <c r="J61" s="288" t="str">
        <f>IFERROR($I61-$F61,"-")</f>
        <v>-</v>
      </c>
      <c r="K61" s="288">
        <f>'2.6 Finance'!$J$8</f>
        <v>1</v>
      </c>
      <c r="L61" s="291">
        <f>IFERROR($H61/$I61,"-")</f>
        <v>0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Finance</t>
        </is>
      </c>
      <c r="C62" s="455" t="str">
        <f>'2.6 Finance'!$B$9</f>
        <v>Unassigned</v>
      </c>
      <c r="D62" s="456" t="str">
        <f>'2.6 Finance'!$C$9</f>
        <v>No archetype for this squad</v>
      </c>
      <c r="E62" s="456" t="str">
        <f>'2.6 Finance'!$R$9</f>
        <v>-</v>
      </c>
      <c r="F62" s="456" t="str">
        <f>'2.6 Finance'!$D$9</f>
        <v>-</v>
      </c>
      <c r="G62" s="309">
        <f>'2.6 Finance'!$E$9-'2.6 Finance'!$G$9</f>
        <v>1</v>
      </c>
      <c r="H62" s="309">
        <f>'2.6 Finance'!$G$9</f>
        <v>0</v>
      </c>
      <c r="I62" s="309">
        <f>'2.6 Finance'!$E$9</f>
        <v>1</v>
      </c>
      <c r="J62" s="309" t="str">
        <f>IFERROR($I62-$F62,"-")</f>
        <v>-</v>
      </c>
      <c r="K62" s="309">
        <f>'2.6 Finance'!$J$9</f>
        <v>1</v>
      </c>
      <c r="L62" s="605">
        <f>IFERROR($H62/$I62,"-")</f>
        <v>0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Finance</t>
        </is>
      </c>
      <c r="C63" s="607" t="str">
        <f>'2.6 Finance'!$B$12</f>
        <v>Technology Manager</v>
      </c>
      <c r="D63" s="607" t="str">
        <f>'2.6 Finance'!$C$12</f>
        <v>Overhead - see 3.2</v>
      </c>
      <c r="E63" s="607" t="str">
        <f>'2.6 Finance'!$R$12</f>
        <v>-</v>
      </c>
      <c r="F63" s="607" t="str">
        <f>'2.6 Finance'!$D$12</f>
        <v>-</v>
      </c>
      <c r="G63" s="601">
        <f>'2.6 Finance'!$E$12-'2.6 Finance'!$G$12</f>
        <v>1</v>
      </c>
      <c r="H63" s="601">
        <f>'2.6 Finance'!$G$12</f>
        <v>0</v>
      </c>
      <c r="I63" s="601">
        <f>'2.6 Finance'!$E$12</f>
        <v>1</v>
      </c>
      <c r="J63" s="601" t="str">
        <f>IFERROR($I63-$F63,"-")</f>
        <v>-</v>
      </c>
      <c r="K63" s="601">
        <f>'2.6 Finance'!$J$12</f>
        <v>1</v>
      </c>
      <c r="L63" s="602">
        <f>IFERROR($H63/$I63,"-")</f>
        <v>0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Finance</t>
        </is>
      </c>
      <c r="C64" s="1228" t="inlineStr">
        <is>
          <t>Portfolio total</t>
        </is>
      </c>
      <c r="D64" s="285" t="n"/>
      <c r="E64" s="285" t="n"/>
      <c r="F64" s="288">
        <f>IF(COUNT(F59:F63)=0,"-",SUM(F59:F63))</f>
        <v>12</v>
      </c>
      <c r="G64" s="288">
        <f>SUM(G59:G63)</f>
        <v>9</v>
      </c>
      <c r="H64" s="288">
        <f>SUM(H59:H63)</f>
        <v>8</v>
      </c>
      <c r="I64" s="288">
        <f>SUM(I59:I63)</f>
        <v>17</v>
      </c>
      <c r="J64" s="288">
        <f>IF(COUNT(F59:F63)=0,"-",SUM(J59:J63))</f>
        <v>2</v>
      </c>
      <c r="K64" s="288">
        <f>SUM(K59:K63)</f>
        <v>9</v>
      </c>
      <c r="L64" s="291">
        <f>IFERROR($H64/$I64,"-")</f>
        <v>0.470588235294118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Infrastructure</t>
        </is>
      </c>
      <c r="C65" s="455" t="str">
        <f>'2.7 Infrastructure'!$B$6</f>
        <v>Distribution, Sales &amp; Services</v>
      </c>
      <c r="D65" s="456" t="str">
        <f>'2.7 Infrastructure'!$C$6</f>
        <v>Configuration / Integration</v>
      </c>
      <c r="E65" s="456" t="str">
        <f>'2.7 Infrastructure'!$R$6</f>
        <v>M</v>
      </c>
      <c r="F65" s="456">
        <f>'2.7 Infrastructure'!$D$6</f>
        <v>9</v>
      </c>
      <c r="G65" s="309">
        <f>'2.7 Infrastructure'!$E$6-'2.7 Infrastructure'!$G$6</f>
        <v>8</v>
      </c>
      <c r="H65" s="309">
        <f>'2.7 Infrastructure'!$G$6</f>
        <v>2</v>
      </c>
      <c r="I65" s="309">
        <f>'2.7 Infrastructure'!$E$6</f>
        <v>10</v>
      </c>
      <c r="J65" s="309">
        <f>IFERROR($I65-$F65,"-")</f>
        <v>1</v>
      </c>
      <c r="K65" s="309">
        <f>'2.7 Infrastructure'!$J$6</f>
        <v>8</v>
      </c>
      <c r="L65" s="605">
        <f>IFERROR($H65/$I65,"-")</f>
        <v>0.2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Infrastructure</t>
        </is>
      </c>
      <c r="C66" s="285" t="str">
        <f>'2.7 Infrastructure'!$B$7</f>
        <v>Manufacturing Group Projects</v>
      </c>
      <c r="D66" s="285" t="str">
        <f>'2.7 Infrastructure'!$C$7</f>
        <v>Configuration / Integration</v>
      </c>
      <c r="E66" s="285" t="str">
        <f>'2.7 Infrastructure'!$R$7</f>
        <v>M</v>
      </c>
      <c r="F66" s="288">
        <f>'2.7 Infrastructure'!$D$7</f>
        <v>9</v>
      </c>
      <c r="G66" s="288">
        <f>'2.7 Infrastructure'!$E$7-'2.7 Infrastructure'!$G$7</f>
        <v>7</v>
      </c>
      <c r="H66" s="288">
        <f>'2.7 Infrastructure'!$G$7</f>
        <v>2</v>
      </c>
      <c r="I66" s="288">
        <f>'2.7 Infrastructure'!$E$7</f>
        <v>9</v>
      </c>
      <c r="J66" s="288">
        <f>IFERROR($I66-$F66,"-")</f>
        <v>0</v>
      </c>
      <c r="K66" s="288">
        <f>'2.7 Infrastructure'!$J$7</f>
        <v>7</v>
      </c>
      <c r="L66" s="291">
        <f>IFERROR($H66/$I66,"-")</f>
        <v>0.222222222222222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Infrastructure</t>
        </is>
      </c>
      <c r="C67" s="285" t="str">
        <f>'2.7 Infrastructure'!$B$8</f>
        <v>Data &amp; Insights</v>
      </c>
      <c r="D67" s="285" t="str">
        <f>'2.7 Infrastructure'!$C$8</f>
        <v>Configuration / Integration</v>
      </c>
      <c r="E67" s="285" t="str">
        <f>'2.7 Infrastructure'!$R$8</f>
        <v>S</v>
      </c>
      <c r="F67" s="288">
        <f>'2.7 Infrastructure'!$D$8</f>
        <v>6</v>
      </c>
      <c r="G67" s="288">
        <f>'2.7 Infrastructure'!$E$8-'2.7 Infrastructure'!$G$8</f>
        <v>2</v>
      </c>
      <c r="H67" s="288">
        <f>'2.7 Infrastructure'!$G$8</f>
        <v>5</v>
      </c>
      <c r="I67" s="288">
        <f>'2.7 Infrastructure'!$E$8</f>
        <v>7</v>
      </c>
      <c r="J67" s="288">
        <f>IFERROR($I67-$F67,"-")</f>
        <v>1</v>
      </c>
      <c r="K67" s="288">
        <f>'2.7 Infrastructure'!$J$8</f>
        <v>2</v>
      </c>
      <c r="L67" s="291">
        <f>IFERROR($H67/$I67,"-")</f>
        <v>0.714285714285714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Infrastructure</t>
        </is>
      </c>
      <c r="C68" s="455" t="str">
        <f>'2.7 Infrastructure'!$B$9</f>
        <v>Technology Support</v>
      </c>
      <c r="D68" s="456" t="str">
        <f>'2.7 Infrastructure'!$C$9</f>
        <v>Operations</v>
      </c>
      <c r="E68" s="456" t="str">
        <f>'2.7 Infrastructure'!$R$9</f>
        <v>S</v>
      </c>
      <c r="F68" s="456">
        <f>'2.7 Infrastructure'!$D$9</f>
        <v>4</v>
      </c>
      <c r="G68" s="309">
        <f>'2.7 Infrastructure'!$E$9-'2.7 Infrastructure'!$G$9</f>
        <v>5</v>
      </c>
      <c r="H68" s="309">
        <f>'2.7 Infrastructure'!$G$9</f>
        <v>0</v>
      </c>
      <c r="I68" s="309">
        <f>'2.7 Infrastructure'!$E$9</f>
        <v>5</v>
      </c>
      <c r="J68" s="309">
        <f>IFERROR($I68-$F68,"-")</f>
        <v>1</v>
      </c>
      <c r="K68" s="309">
        <f>'2.7 Infrastructure'!$J$9</f>
        <v>5</v>
      </c>
      <c r="L68" s="605">
        <f>IFERROR($H68/$I68,"-")</f>
        <v>0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Infrastructure</t>
        </is>
      </c>
      <c r="C69" s="285" t="str">
        <f>'2.7 Infrastructure'!$B$10</f>
        <v>Leadership</v>
      </c>
      <c r="D69" s="285" t="str">
        <f>'2.7 Infrastructure'!$C$10</f>
        <v>No archetype for this squad</v>
      </c>
      <c r="E69" s="285" t="str">
        <f>'2.7 Infrastructure'!$R$10</f>
        <v>-</v>
      </c>
      <c r="F69" s="288" t="str">
        <f>'2.7 Infrastructure'!$D$10</f>
        <v>-</v>
      </c>
      <c r="G69" s="288">
        <f>'2.7 Infrastructure'!$E$10-'2.7 Infrastructure'!$G$10</f>
        <v>1</v>
      </c>
      <c r="H69" s="288">
        <f>'2.7 Infrastructure'!$G$10</f>
        <v>0</v>
      </c>
      <c r="I69" s="288">
        <f>'2.7 Infrastructure'!$E$10</f>
        <v>1</v>
      </c>
      <c r="J69" s="288" t="str">
        <f>IFERROR($I69-$F69,"-")</f>
        <v>-</v>
      </c>
      <c r="K69" s="288">
        <f>'2.7 Infrastructure'!$J$10</f>
        <v>1</v>
      </c>
      <c r="L69" s="291">
        <f>IFERROR($H69/$I69,"-")</f>
        <v>0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Infrastructure</t>
        </is>
      </c>
      <c r="C70" s="1227" t="str">
        <f>'2.7 Infrastructure'!$B$13</f>
        <v>Head of Technology</v>
      </c>
      <c r="D70" s="456" t="str">
        <f>'2.7 Infrastructure'!$C$13</f>
        <v>Overhead - see 3.2</v>
      </c>
      <c r="E70" s="456" t="str">
        <f>'2.7 Infrastructure'!$R$13</f>
        <v>-</v>
      </c>
      <c r="F70" s="456" t="str">
        <f>'2.7 Infrastructure'!$D$13</f>
        <v>-</v>
      </c>
      <c r="G70" s="309">
        <f>'2.7 Infrastructure'!$E$13-'2.7 Infrastructure'!$G$13</f>
        <v>1</v>
      </c>
      <c r="H70" s="309">
        <f>'2.7 Infrastructure'!$G$13</f>
        <v>0</v>
      </c>
      <c r="I70" s="309">
        <f>'2.7 Infrastructure'!$E$13</f>
        <v>1</v>
      </c>
      <c r="J70" s="309" t="str">
        <f>IFERROR($I70-$F70,"-")</f>
        <v>-</v>
      </c>
      <c r="K70" s="309">
        <f>'2.7 Infrastructure'!$J$13</f>
        <v>1</v>
      </c>
      <c r="L70" s="605">
        <f>IFERROR($H70/$I70,"-")</f>
        <v>0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Infrastructure</t>
        </is>
      </c>
      <c r="C71" s="607" t="str">
        <f>'2.7 Infrastructure'!$B$14</f>
        <v>Delivery Manager</v>
      </c>
      <c r="D71" s="607" t="str">
        <f>'2.7 Infrastructure'!$C$14</f>
        <v>Overhead - see 3.2</v>
      </c>
      <c r="E71" s="607" t="str">
        <f>'2.7 Infrastructure'!$R$14</f>
        <v>-</v>
      </c>
      <c r="F71" s="607" t="str">
        <f>'2.7 Infrastructure'!$D$14</f>
        <v>-</v>
      </c>
      <c r="G71" s="601">
        <f>'2.7 Infrastructure'!$E$14-'2.7 Infrastructure'!$G$14</f>
        <v>0</v>
      </c>
      <c r="H71" s="601">
        <f>'2.7 Infrastructure'!$G$14</f>
        <v>1</v>
      </c>
      <c r="I71" s="601">
        <f>'2.7 Infrastructure'!$E$14</f>
        <v>1</v>
      </c>
      <c r="J71" s="601" t="str">
        <f>IFERROR($I71-$F71,"-")</f>
        <v>-</v>
      </c>
      <c r="K71" s="601">
        <f>'2.7 Infrastructure'!$J$14</f>
        <v>0</v>
      </c>
      <c r="L71" s="602">
        <f>IFERROR($H71/$I71,"-")</f>
        <v>1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Infrastructure</t>
        </is>
      </c>
      <c r="C72" s="285" t="str">
        <f>'2.7 Infrastructure'!$B$15</f>
        <v>Technology Manager</v>
      </c>
      <c r="D72" s="285" t="str">
        <f>'2.7 Infrastructure'!$C$15</f>
        <v>Overhead - see 3.2</v>
      </c>
      <c r="E72" s="285" t="str">
        <f>'2.7 Infrastructure'!$R$15</f>
        <v>-</v>
      </c>
      <c r="F72" s="288" t="str">
        <f>'2.7 Infrastructure'!$D$15</f>
        <v>-</v>
      </c>
      <c r="G72" s="288">
        <f>'2.7 Infrastructure'!$E$15-'2.7 Infrastructure'!$G$15</f>
        <v>0</v>
      </c>
      <c r="H72" s="288">
        <f>'2.7 Infrastructure'!$G$15</f>
        <v>2</v>
      </c>
      <c r="I72" s="288">
        <f>'2.7 Infrastructure'!$E$15</f>
        <v>2</v>
      </c>
      <c r="J72" s="288" t="str">
        <f>IFERROR($I72-$F72,"-")</f>
        <v>-</v>
      </c>
      <c r="K72" s="288">
        <f>'2.7 Infrastructure'!$J$15</f>
        <v>0</v>
      </c>
      <c r="L72" s="291">
        <f>IFERROR($H72/$I72,"-")</f>
        <v>1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Infrastructure</t>
        </is>
      </c>
      <c r="C73" s="1228" t="inlineStr">
        <is>
          <t>Portfolio total</t>
        </is>
      </c>
      <c r="D73" s="285" t="n"/>
      <c r="E73" s="285" t="n"/>
      <c r="F73" s="288">
        <f>IF(COUNT(F65:F72)=0,"-",SUM(F65:F72))</f>
        <v>28</v>
      </c>
      <c r="G73" s="288">
        <f>SUM(G65:G72)</f>
        <v>24</v>
      </c>
      <c r="H73" s="288">
        <f>SUM(H65:H72)</f>
        <v>12</v>
      </c>
      <c r="I73" s="288">
        <f>SUM(I65:I72)</f>
        <v>36</v>
      </c>
      <c r="J73" s="288">
        <f>IF(COUNT(F65:F72)=0,"-",SUM(J65:J72))</f>
        <v>3</v>
      </c>
      <c r="K73" s="288">
        <f>SUM(K65:K72)</f>
        <v>24</v>
      </c>
      <c r="L73" s="291">
        <f>IFERROR($H73/$I73,"-")</f>
        <v>0.333333333333333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Energy Solutions &amp; B2B</t>
        </is>
      </c>
      <c r="C74" s="455" t="str">
        <f>'2.8 Energy Solutions &amp; B2B'!$B$6</f>
        <v>B2B</v>
      </c>
      <c r="D74" s="456" t="str">
        <f>'2.8 Energy Solutions &amp; B2B'!$C$6</f>
        <v>Configuration / Integration</v>
      </c>
      <c r="E74" s="456" t="str">
        <f>'2.8 Energy Solutions &amp; B2B'!$R$6</f>
        <v>L</v>
      </c>
      <c r="F74" s="456">
        <f>'2.8 Energy Solutions &amp; B2B'!$D$6</f>
        <v>14</v>
      </c>
      <c r="G74" s="309">
        <f>'2.8 Energy Solutions &amp; B2B'!$E$6-'2.8 Energy Solutions &amp; B2B'!$G$6</f>
        <v>11</v>
      </c>
      <c r="H74" s="309">
        <f>'2.8 Energy Solutions &amp; B2B'!$G$6</f>
        <v>3</v>
      </c>
      <c r="I74" s="309">
        <f>'2.8 Energy Solutions &amp; B2B'!$E$6</f>
        <v>14</v>
      </c>
      <c r="J74" s="309">
        <f>IFERROR($I74-$F74,"-")</f>
        <v>0</v>
      </c>
      <c r="K74" s="309">
        <f>'2.8 Energy Solutions &amp; B2B'!$J$6</f>
        <v>11</v>
      </c>
      <c r="L74" s="605">
        <f>IFERROR($H74/$I74,"-")</f>
        <v>0.214285714285714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Energy Solutions &amp; B2B</t>
        </is>
      </c>
      <c r="C75" s="285" t="str">
        <f>'2.8 Energy Solutions &amp; B2B'!$B$7</f>
        <v>Energy</v>
      </c>
      <c r="D75" s="285" t="str">
        <f>'2.8 Energy Solutions &amp; B2B'!$C$7</f>
        <v>Engineering</v>
      </c>
      <c r="E75" s="285" t="str">
        <f>'2.8 Energy Solutions &amp; B2B'!$R$7</f>
        <v>L</v>
      </c>
      <c r="F75" s="288">
        <f>'2.8 Energy Solutions &amp; B2B'!$D$7</f>
        <v>12</v>
      </c>
      <c r="G75" s="288">
        <f>'2.8 Energy Solutions &amp; B2B'!$E$7-'2.8 Energy Solutions &amp; B2B'!$G$7</f>
        <v>5</v>
      </c>
      <c r="H75" s="288">
        <f>'2.8 Energy Solutions &amp; B2B'!$G$7</f>
        <v>4</v>
      </c>
      <c r="I75" s="288">
        <f>'2.8 Energy Solutions &amp; B2B'!$E$7</f>
        <v>9</v>
      </c>
      <c r="J75" s="288">
        <f>IFERROR($I75-$F75,"-")</f>
        <v>-3</v>
      </c>
      <c r="K75" s="288">
        <f>'2.8 Energy Solutions &amp; B2B'!$J$7</f>
        <v>5</v>
      </c>
      <c r="L75" s="291">
        <f>IFERROR($H75/$I75,"-")</f>
        <v>0.444444444444444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Energy Solutions &amp; B2B</t>
        </is>
      </c>
      <c r="C76" s="1227" t="str">
        <f>'2.8 Energy Solutions &amp; B2B'!$B$8</f>
        <v>EVCI</v>
      </c>
      <c r="D76" s="456" t="str">
        <f>'2.8 Energy Solutions &amp; B2B'!$C$8</f>
        <v>Engineering</v>
      </c>
      <c r="E76" s="456" t="str">
        <f>'2.8 Energy Solutions &amp; B2B'!$R$8</f>
        <v>M</v>
      </c>
      <c r="F76" s="456">
        <f>'2.8 Energy Solutions &amp; B2B'!$D$8</f>
        <v>9</v>
      </c>
      <c r="G76" s="309">
        <f>'2.8 Energy Solutions &amp; B2B'!$E$8-'2.8 Energy Solutions &amp; B2B'!$G$8</f>
        <v>6</v>
      </c>
      <c r="H76" s="309">
        <f>'2.8 Energy Solutions &amp; B2B'!$G$8</f>
        <v>0</v>
      </c>
      <c r="I76" s="309">
        <f>'2.8 Energy Solutions &amp; B2B'!$E$8</f>
        <v>6</v>
      </c>
      <c r="J76" s="309">
        <f>IFERROR($I76-$F76,"-")</f>
        <v>-3</v>
      </c>
      <c r="K76" s="309">
        <f>'2.8 Energy Solutions &amp; B2B'!$J$8</f>
        <v>6</v>
      </c>
      <c r="L76" s="605">
        <f>IFERROR($H76/$I76,"-")</f>
        <v>0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Energy Solutions &amp; B2B</t>
        </is>
      </c>
      <c r="C77" s="607" t="str">
        <f>'2.8 Energy Solutions &amp; B2B'!$B$11</f>
        <v>Head of Technology</v>
      </c>
      <c r="D77" s="607" t="str">
        <f>'2.8 Energy Solutions &amp; B2B'!$C$11</f>
        <v>Overhead - see 3.2</v>
      </c>
      <c r="E77" s="607" t="str">
        <f>'2.8 Energy Solutions &amp; B2B'!$R$11</f>
        <v>-</v>
      </c>
      <c r="F77" s="607" t="str">
        <f>'2.8 Energy Solutions &amp; B2B'!$D$11</f>
        <v>-</v>
      </c>
      <c r="G77" s="601">
        <f>'2.8 Energy Solutions &amp; B2B'!$E$11-'2.8 Energy Solutions &amp; B2B'!$G$11</f>
        <v>1</v>
      </c>
      <c r="H77" s="601">
        <f>'2.8 Energy Solutions &amp; B2B'!$G$11</f>
        <v>0</v>
      </c>
      <c r="I77" s="601">
        <f>'2.8 Energy Solutions &amp; B2B'!$E$11</f>
        <v>1</v>
      </c>
      <c r="J77" s="601" t="str">
        <f>IFERROR($I77-$F77,"-")</f>
        <v>-</v>
      </c>
      <c r="K77" s="601">
        <f>'2.8 Energy Solutions &amp; B2B'!$J$11</f>
        <v>1</v>
      </c>
      <c r="L77" s="602">
        <f>IFERROR($H77/$I77,"-")</f>
        <v>0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Energy Solutions &amp; B2B</t>
        </is>
      </c>
      <c r="C78" s="285" t="str">
        <f>'2.8 Energy Solutions &amp; B2B'!$B$12</f>
        <v>Delivery Manager</v>
      </c>
      <c r="D78" s="285" t="str">
        <f>'2.8 Energy Solutions &amp; B2B'!$C$12</f>
        <v>Overhead - see 3.2</v>
      </c>
      <c r="E78" s="285" t="str">
        <f>'2.8 Energy Solutions &amp; B2B'!$R$12</f>
        <v>-</v>
      </c>
      <c r="F78" s="288" t="str">
        <f>'2.8 Energy Solutions &amp; B2B'!$D$12</f>
        <v>-</v>
      </c>
      <c r="G78" s="288">
        <f>'2.8 Energy Solutions &amp; B2B'!$E$12-'2.8 Energy Solutions &amp; B2B'!$G$12</f>
        <v>0</v>
      </c>
      <c r="H78" s="288">
        <f>'2.8 Energy Solutions &amp; B2B'!$G$12</f>
        <v>1</v>
      </c>
      <c r="I78" s="288">
        <f>'2.8 Energy Solutions &amp; B2B'!$E$12</f>
        <v>1</v>
      </c>
      <c r="J78" s="288" t="str">
        <f>IFERROR($I78-$F78,"-")</f>
        <v>-</v>
      </c>
      <c r="K78" s="288">
        <f>'2.8 Energy Solutions &amp; B2B'!$J$12</f>
        <v>0</v>
      </c>
      <c r="L78" s="291">
        <f>IFERROR($H78/$I78,"-")</f>
        <v>1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Energy Solutions &amp; B2B</t>
        </is>
      </c>
      <c r="C79" s="285" t="str">
        <f>'2.8 Energy Solutions &amp; B2B'!$B$13</f>
        <v>Technology Manager</v>
      </c>
      <c r="D79" s="285" t="str">
        <f>'2.8 Energy Solutions &amp; B2B'!$C$13</f>
        <v>Overhead - see 3.2</v>
      </c>
      <c r="E79" s="285" t="str">
        <f>'2.8 Energy Solutions &amp; B2B'!$R$13</f>
        <v>-</v>
      </c>
      <c r="F79" s="288" t="str">
        <f>'2.8 Energy Solutions &amp; B2B'!$D$13</f>
        <v>-</v>
      </c>
      <c r="G79" s="288">
        <f>'2.8 Energy Solutions &amp; B2B'!$E$13-'2.8 Energy Solutions &amp; B2B'!$G$13</f>
        <v>1</v>
      </c>
      <c r="H79" s="288">
        <f>'2.8 Energy Solutions &amp; B2B'!$G$13</f>
        <v>1</v>
      </c>
      <c r="I79" s="288">
        <f>'2.8 Energy Solutions &amp; B2B'!$E$13</f>
        <v>2</v>
      </c>
      <c r="J79" s="288" t="str">
        <f>IFERROR($I79-$F79,"-")</f>
        <v>-</v>
      </c>
      <c r="K79" s="288">
        <f>'2.8 Energy Solutions &amp; B2B'!$J$13</f>
        <v>1</v>
      </c>
      <c r="L79" s="291">
        <f>IFERROR($H79/$I79,"-")</f>
        <v>0.5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Energy Solutions &amp; B2B</t>
        </is>
      </c>
      <c r="C80" s="1227" t="inlineStr">
        <is>
          <t>Portfolio total</t>
        </is>
      </c>
      <c r="D80" s="456" t="n"/>
      <c r="E80" s="456" t="n"/>
      <c r="F80" s="456">
        <f>IF(COUNT(F74:F79)=0,"-",SUM(F74:F79))</f>
        <v>35</v>
      </c>
      <c r="G80" s="309">
        <f>SUM(G74:G79)</f>
        <v>24</v>
      </c>
      <c r="H80" s="309">
        <f>SUM(H74:H79)</f>
        <v>9</v>
      </c>
      <c r="I80" s="309">
        <f>SUM(I74:I79)</f>
        <v>33</v>
      </c>
      <c r="J80" s="309">
        <f>IF(COUNT(F74:F79)=0,"-",SUM(J74:J79))</f>
        <v>-6</v>
      </c>
      <c r="K80" s="309">
        <f>SUM(K74:K79)</f>
        <v>24</v>
      </c>
      <c r="L80" s="605">
        <f>IFERROR($H80/$I80,"-")</f>
        <v>0.272727272727273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Commercial Fuels</t>
        </is>
      </c>
      <c r="C81" s="285" t="str">
        <f>'2.9 Commercial Fuels'!$B$6</f>
        <v>CTRM</v>
      </c>
      <c r="D81" s="285" t="str">
        <f>'2.9 Commercial Fuels'!$C$6</f>
        <v>Strategic Programs</v>
      </c>
      <c r="E81" s="285" t="str">
        <f>'2.9 Commercial Fuels'!$R$6</f>
        <v>-</v>
      </c>
      <c r="F81" s="288" t="str">
        <f>'2.9 Commercial Fuels'!$D$6</f>
        <v>-</v>
      </c>
      <c r="G81" s="288">
        <f>'2.9 Commercial Fuels'!$E$6-'2.9 Commercial Fuels'!$G$6</f>
        <v>14</v>
      </c>
      <c r="H81" s="288">
        <f>'2.9 Commercial Fuels'!$G$6</f>
        <v>0</v>
      </c>
      <c r="I81" s="288">
        <f>'2.9 Commercial Fuels'!$E$6</f>
        <v>14</v>
      </c>
      <c r="J81" s="288" t="str">
        <f>IFERROR($I81-$F81,"-")</f>
        <v>-</v>
      </c>
      <c r="K81" s="288">
        <f>'2.9 Commercial Fuels'!$J$6</f>
        <v>14</v>
      </c>
      <c r="L81" s="291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Commercial Fuels</t>
        </is>
      </c>
      <c r="C82" s="1227" t="str">
        <f>'2.9 Commercial Fuels'!$B$7</f>
        <v>Trading &amp; Shipping</v>
      </c>
      <c r="D82" s="456" t="str">
        <f>'2.9 Commercial Fuels'!$C$7</f>
        <v>Configuration / Integration</v>
      </c>
      <c r="E82" s="456" t="str">
        <f>'2.9 Commercial Fuels'!$R$7</f>
        <v>M</v>
      </c>
      <c r="F82" s="456">
        <f>'2.9 Commercial Fuels'!$D$7</f>
        <v>9</v>
      </c>
      <c r="G82" s="309">
        <f>'2.9 Commercial Fuels'!$E$7-'2.9 Commercial Fuels'!$G$7</f>
        <v>9</v>
      </c>
      <c r="H82" s="309">
        <f>'2.9 Commercial Fuels'!$G$7</f>
        <v>3</v>
      </c>
      <c r="I82" s="309">
        <f>'2.9 Commercial Fuels'!$E$7</f>
        <v>12</v>
      </c>
      <c r="J82" s="309">
        <f>IFERROR($I82-$F82,"-")</f>
        <v>3</v>
      </c>
      <c r="K82" s="309">
        <f>'2.9 Commercial Fuels'!$J$7</f>
        <v>9</v>
      </c>
      <c r="L82" s="605">
        <f>IFERROR($H82/$I82,"-")</f>
        <v>0.25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Commercial Fuels</t>
        </is>
      </c>
      <c r="C83" s="285" t="str">
        <f>'2.9 Commercial Fuels'!$B$8</f>
        <v>Trading &amp; Shipping Data</v>
      </c>
      <c r="D83" s="285" t="str">
        <f>'2.9 Commercial Fuels'!$C$8</f>
        <v>Enterprise Data and Insights</v>
      </c>
      <c r="E83" s="285" t="str">
        <f>'2.9 Commercial Fuels'!$R$8</f>
        <v>M</v>
      </c>
      <c r="F83" s="288">
        <f>'2.9 Commercial Fuels'!$D$8</f>
        <v>7.5</v>
      </c>
      <c r="G83" s="288">
        <f>'2.9 Commercial Fuels'!$E$8-'2.9 Commercial Fuels'!$G$8</f>
        <v>7</v>
      </c>
      <c r="H83" s="288">
        <f>'2.9 Commercial Fuels'!$G$8</f>
        <v>0</v>
      </c>
      <c r="I83" s="288">
        <f>'2.9 Commercial Fuels'!$E$8</f>
        <v>7</v>
      </c>
      <c r="J83" s="288">
        <f>IFERROR($I83-$F83,"-")</f>
        <v>-0.5</v>
      </c>
      <c r="K83" s="288">
        <f>'2.9 Commercial Fuels'!$J$8</f>
        <v>7</v>
      </c>
      <c r="L83" s="291">
        <f>IFERROR($H83/$I83,"-")</f>
        <v>0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Commercial Fuels</t>
        </is>
      </c>
      <c r="C84" s="455" t="str">
        <f>'2.9 Commercial Fuels'!$B$9</f>
        <v>Supply</v>
      </c>
      <c r="D84" s="456" t="str">
        <f>'2.9 Commercial Fuels'!$C$9</f>
        <v>Configuration / Integration</v>
      </c>
      <c r="E84" s="456" t="str">
        <f>'2.9 Commercial Fuels'!$R$9</f>
        <v>M</v>
      </c>
      <c r="F84" s="456">
        <f>'2.9 Commercial Fuels'!$D$9</f>
        <v>9</v>
      </c>
      <c r="G84" s="309">
        <f>'2.9 Commercial Fuels'!$E$9-'2.9 Commercial Fuels'!$G$9</f>
        <v>1</v>
      </c>
      <c r="H84" s="309">
        <f>'2.9 Commercial Fuels'!$G$9</f>
        <v>4</v>
      </c>
      <c r="I84" s="309">
        <f>'2.9 Commercial Fuels'!$E$9</f>
        <v>5</v>
      </c>
      <c r="J84" s="309">
        <f>IFERROR($I84-$F84,"-")</f>
        <v>-4</v>
      </c>
      <c r="K84" s="309">
        <f>'2.9 Commercial Fuels'!$J$9</f>
        <v>1</v>
      </c>
      <c r="L84" s="605">
        <f>IFERROR($H84/$I84,"-")</f>
        <v>0.8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Commercial Fuels</t>
        </is>
      </c>
      <c r="C85" s="607" t="str">
        <f>'2.9 Commercial Fuels'!$B$12</f>
        <v>Head of Technology</v>
      </c>
      <c r="D85" s="607" t="str">
        <f>'2.9 Commercial Fuels'!$C$12</f>
        <v>Overhead - see 3.2</v>
      </c>
      <c r="E85" s="607" t="str">
        <f>'2.9 Commercial Fuels'!$R$12</f>
        <v>-</v>
      </c>
      <c r="F85" s="607" t="str">
        <f>'2.9 Commercial Fuels'!$D$12</f>
        <v>-</v>
      </c>
      <c r="G85" s="601">
        <f>'2.9 Commercial Fuels'!$E$12-'2.9 Commercial Fuels'!$G$12</f>
        <v>1</v>
      </c>
      <c r="H85" s="601">
        <f>'2.9 Commercial Fuels'!$G$12</f>
        <v>0</v>
      </c>
      <c r="I85" s="601">
        <f>'2.9 Commercial Fuels'!$E$12</f>
        <v>1</v>
      </c>
      <c r="J85" s="601" t="str">
        <f>IFERROR($I85-$F85,"-")</f>
        <v>-</v>
      </c>
      <c r="K85" s="601">
        <f>'2.9 Commercial Fuels'!$J$12</f>
        <v>1</v>
      </c>
      <c r="L85" s="602">
        <f>IFERROR($H85/$I85,"-")</f>
        <v>0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Commercial Fuels</t>
        </is>
      </c>
      <c r="C86" s="1228" t="str">
        <f>'2.9 Commercial Fuels'!$B$13</f>
        <v>Delivery Manager</v>
      </c>
      <c r="D86" s="285" t="str">
        <f>'2.9 Commercial Fuels'!$C$13</f>
        <v>Overhead - see 3.2</v>
      </c>
      <c r="E86" s="285" t="str">
        <f>'2.9 Commercial Fuels'!$R$13</f>
        <v>-</v>
      </c>
      <c r="F86" s="288" t="str">
        <f>'2.9 Commercial Fuels'!$D$13</f>
        <v>-</v>
      </c>
      <c r="G86" s="288">
        <f>'2.9 Commercial Fuels'!$E$13-'2.9 Commercial Fuels'!$G$13</f>
        <v>0</v>
      </c>
      <c r="H86" s="288">
        <f>'2.9 Commercial Fuels'!$G$13</f>
        <v>1</v>
      </c>
      <c r="I86" s="288">
        <f>'2.9 Commercial Fuels'!$E$13</f>
        <v>1</v>
      </c>
      <c r="J86" s="288" t="str">
        <f>IFERROR($I86-$F86,"-")</f>
        <v>-</v>
      </c>
      <c r="K86" s="288">
        <f>'2.9 Commercial Fuels'!$J$13</f>
        <v>0</v>
      </c>
      <c r="L86" s="291">
        <f>IFERROR($H86/$I86,"-")</f>
        <v>1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Commercial Fuels</t>
        </is>
      </c>
      <c r="C87" s="455" t="str">
        <f>'2.9 Commercial Fuels'!$B$14</f>
        <v>Technology Manager</v>
      </c>
      <c r="D87" s="456" t="str">
        <f>'2.9 Commercial Fuels'!$C$14</f>
        <v>Overhead - see 3.2</v>
      </c>
      <c r="E87" s="456" t="str">
        <f>'2.9 Commercial Fuels'!$R$14</f>
        <v>-</v>
      </c>
      <c r="F87" s="456" t="str">
        <f>'2.9 Commercial Fuels'!$D$14</f>
        <v>-</v>
      </c>
      <c r="G87" s="309">
        <f>'2.9 Commercial Fuels'!$E$14-'2.9 Commercial Fuels'!$G$14</f>
        <v>1</v>
      </c>
      <c r="H87" s="309">
        <f>'2.9 Commercial Fuels'!$G$14</f>
        <v>1</v>
      </c>
      <c r="I87" s="309">
        <f>'2.9 Commercial Fuels'!$E$14</f>
        <v>2</v>
      </c>
      <c r="J87" s="309" t="str">
        <f>IFERROR($I87-$F87,"-")</f>
        <v>-</v>
      </c>
      <c r="K87" s="309">
        <f>'2.9 Commercial Fuels'!$J$14</f>
        <v>1</v>
      </c>
      <c r="L87" s="605">
        <f>IFERROR($H87/$I87,"-")</f>
        <v>0.5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Commercial Fuels</t>
        </is>
      </c>
      <c r="C88" s="1228" t="inlineStr">
        <is>
          <t>Portfolio total</t>
        </is>
      </c>
      <c r="D88" s="285" t="n"/>
      <c r="E88" s="285" t="n"/>
      <c r="F88" s="288">
        <f>IF(COUNT(F81:F87)=0,"-",SUM(F81:F87))</f>
        <v>25.5</v>
      </c>
      <c r="G88" s="288">
        <f>SUM(G81:G87)</f>
        <v>33</v>
      </c>
      <c r="H88" s="288">
        <f>SUM(H81:H87)</f>
        <v>9</v>
      </c>
      <c r="I88" s="288">
        <f>SUM(I81:I87)</f>
        <v>42</v>
      </c>
      <c r="J88" s="288">
        <f>IF(COUNT(F81:F87)=0,"-",SUM(J81:J87))</f>
        <v>-1.5</v>
      </c>
      <c r="K88" s="288">
        <f>SUM(K81:K87)</f>
        <v>33</v>
      </c>
      <c r="L88" s="291">
        <f>IFERROR($H88/$I88,"-")</f>
        <v>0.214285714285714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Z Retail</t>
        </is>
      </c>
      <c r="C89" s="285" t="str">
        <f>'2.10 Z Retail'!$B$6</f>
        <v>Site Systems</v>
      </c>
      <c r="D89" s="285" t="str">
        <f>'2.10 Z Retail'!$C$6</f>
        <v>Configuration / Integration</v>
      </c>
      <c r="E89" s="285" t="str">
        <f>'2.10 Z Retail'!$R$6</f>
        <v>M</v>
      </c>
      <c r="F89" s="288">
        <f>'2.10 Z Retail'!$D$6</f>
        <v>9</v>
      </c>
      <c r="G89" s="288">
        <f>'2.10 Z Retail'!$E$6-'2.10 Z Retail'!$G$6</f>
        <v>9</v>
      </c>
      <c r="H89" s="288">
        <f>'2.10 Z Retail'!$G$6</f>
        <v>0</v>
      </c>
      <c r="I89" s="288">
        <f>'2.10 Z Retail'!$E$6</f>
        <v>9</v>
      </c>
      <c r="J89" s="288">
        <f>IFERROR($I89-$F89,"-")</f>
        <v>0</v>
      </c>
      <c r="K89" s="288">
        <f>'2.10 Z Retail'!$J$6</f>
        <v>9</v>
      </c>
      <c r="L89" s="291">
        <f>IFERROR($H89/$I89,"-")</f>
        <v>0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Z Retail</t>
        </is>
      </c>
      <c r="C90" s="455" t="str">
        <f>'2.10 Z Retail'!$B$7</f>
        <v>Z Retail Backend</v>
      </c>
      <c r="D90" s="456" t="str">
        <f>'2.10 Z Retail'!$C$7</f>
        <v>Build and Run</v>
      </c>
      <c r="E90" s="456" t="str">
        <f>'2.10 Z Retail'!$R$7</f>
        <v>M</v>
      </c>
      <c r="F90" s="456">
        <f>'2.10 Z Retail'!$D$7</f>
        <v>9</v>
      </c>
      <c r="G90" s="309">
        <f>'2.10 Z Retail'!$E$7-'2.10 Z Retail'!$G$7</f>
        <v>7</v>
      </c>
      <c r="H90" s="309">
        <f>'2.10 Z Retail'!$G$7</f>
        <v>2</v>
      </c>
      <c r="I90" s="309">
        <f>'2.10 Z Retail'!$E$7</f>
        <v>9</v>
      </c>
      <c r="J90" s="309">
        <f>IFERROR($I90-$F90,"-")</f>
        <v>0</v>
      </c>
      <c r="K90" s="309">
        <f>'2.10 Z Retail'!$J$7</f>
        <v>7</v>
      </c>
      <c r="L90" s="605">
        <f>IFERROR($H90/$I90,"-")</f>
        <v>0.222222222222222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Z Retail</t>
        </is>
      </c>
      <c r="C91" s="285" t="str">
        <f>'2.10 Z Retail'!$B$8</f>
        <v>Z Supply</v>
      </c>
      <c r="D91" s="285" t="str">
        <f>'2.10 Z Retail'!$C$8</f>
        <v>Build and Run</v>
      </c>
      <c r="E91" s="285" t="str">
        <f>'2.10 Z Retail'!$R$8</f>
        <v>M</v>
      </c>
      <c r="F91" s="288">
        <f>'2.10 Z Retail'!$D$8</f>
        <v>9</v>
      </c>
      <c r="G91" s="288">
        <f>'2.10 Z Retail'!$E$8-'2.10 Z Retail'!$G$8</f>
        <v>8</v>
      </c>
      <c r="H91" s="288">
        <f>'2.10 Z Retail'!$G$8</f>
        <v>1</v>
      </c>
      <c r="I91" s="288">
        <f>'2.10 Z Retail'!$E$8</f>
        <v>9</v>
      </c>
      <c r="J91" s="288">
        <f>IFERROR($I91-$F91,"-")</f>
        <v>0</v>
      </c>
      <c r="K91" s="288">
        <f>'2.10 Z Retail'!$J$8</f>
        <v>8</v>
      </c>
      <c r="L91" s="291">
        <f>IFERROR($H91/$I91,"-")</f>
        <v>0.111111111111111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Z Retail</t>
        </is>
      </c>
      <c r="C92" s="1227" t="str">
        <f>'2.10 Z Retail'!$B$9</f>
        <v>Data NZ</v>
      </c>
      <c r="D92" s="456" t="str">
        <f>'2.10 Z Retail'!$C$9</f>
        <v>Enterprise Data and Insights</v>
      </c>
      <c r="E92" s="456" t="str">
        <f>'2.10 Z Retail'!$R$9</f>
        <v>M</v>
      </c>
      <c r="F92" s="456">
        <f>'2.10 Z Retail'!$D$9</f>
        <v>7.5</v>
      </c>
      <c r="G92" s="309">
        <f>'2.10 Z Retail'!$E$9-'2.10 Z Retail'!$G$9</f>
        <v>5</v>
      </c>
      <c r="H92" s="309">
        <f>'2.10 Z Retail'!$G$9</f>
        <v>2</v>
      </c>
      <c r="I92" s="309">
        <f>'2.10 Z Retail'!$E$9</f>
        <v>7</v>
      </c>
      <c r="J92" s="309">
        <f>IFERROR($I92-$F92,"-")</f>
        <v>-0.5</v>
      </c>
      <c r="K92" s="309">
        <f>'2.10 Z Retail'!$J$9</f>
        <v>5</v>
      </c>
      <c r="L92" s="605">
        <f>IFERROR($H92/$I92,"-")</f>
        <v>0.285714285714286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Z Retail</t>
        </is>
      </c>
      <c r="C93" s="607" t="str">
        <f>'2.10 Z Retail'!$B$12</f>
        <v>Head of Technology</v>
      </c>
      <c r="D93" s="607" t="str">
        <f>'2.10 Z Retail'!$C$12</f>
        <v>Overhead - see 3.2</v>
      </c>
      <c r="E93" s="607" t="str">
        <f>'2.10 Z Retail'!$R$12</f>
        <v>-</v>
      </c>
      <c r="F93" s="607" t="str">
        <f>'2.10 Z Retail'!$D$12</f>
        <v>-</v>
      </c>
      <c r="G93" s="601">
        <f>'2.10 Z Retail'!$E$12-'2.10 Z Retail'!$G$12</f>
        <v>0</v>
      </c>
      <c r="H93" s="601">
        <f>'2.10 Z Retail'!$G$12</f>
        <v>1</v>
      </c>
      <c r="I93" s="601">
        <f>'2.10 Z Retail'!$E$12</f>
        <v>1</v>
      </c>
      <c r="J93" s="601" t="str">
        <f>IFERROR($I93-$F93,"-")</f>
        <v>-</v>
      </c>
      <c r="K93" s="601">
        <f>'2.10 Z Retail'!$J$12</f>
        <v>0</v>
      </c>
      <c r="L93" s="602">
        <f>IFERROR($H93/$I93,"-")</f>
        <v>1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Z Retail</t>
        </is>
      </c>
      <c r="C94" s="1228" t="str">
        <f>'2.10 Z Retail'!$B$13</f>
        <v>Delivery Manager</v>
      </c>
      <c r="D94" s="285" t="str">
        <f>'2.10 Z Retail'!$C$13</f>
        <v>Overhead - see 3.2</v>
      </c>
      <c r="E94" s="285" t="str">
        <f>'2.10 Z Retail'!$R$13</f>
        <v>-</v>
      </c>
      <c r="F94" s="288" t="str">
        <f>'2.10 Z Retail'!$D$13</f>
        <v>-</v>
      </c>
      <c r="G94" s="288">
        <f>'2.10 Z Retail'!$E$13-'2.10 Z Retail'!$G$13</f>
        <v>0</v>
      </c>
      <c r="H94" s="288">
        <f>'2.10 Z Retail'!$G$13</f>
        <v>1</v>
      </c>
      <c r="I94" s="288">
        <f>'2.10 Z Retail'!$E$13</f>
        <v>1</v>
      </c>
      <c r="J94" s="288" t="str">
        <f>IFERROR($I94-$F94,"-")</f>
        <v>-</v>
      </c>
      <c r="K94" s="288">
        <f>'2.10 Z Retail'!$J$13</f>
        <v>0</v>
      </c>
      <c r="L94" s="291">
        <f>IFERROR($H94/$I94,"-")</f>
        <v>1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inlineStr">
        <is>
          <t>Z Retail</t>
        </is>
      </c>
      <c r="C95" s="1227" t="str">
        <f>'2.10 Z Retail'!$B$14</f>
        <v>Technology Manager</v>
      </c>
      <c r="D95" s="456" t="str">
        <f>'2.10 Z Retail'!$C$14</f>
        <v>Overhead - see 3.2</v>
      </c>
      <c r="E95" s="456" t="str">
        <f>'2.10 Z Retail'!$R$14</f>
        <v>-</v>
      </c>
      <c r="F95" s="456" t="str">
        <f>'2.10 Z Retail'!$D$14</f>
        <v>-</v>
      </c>
      <c r="G95" s="309">
        <f>'2.10 Z Retail'!$E$14-'2.10 Z Retail'!$G$14</f>
        <v>3</v>
      </c>
      <c r="H95" s="309">
        <f>'2.10 Z Retail'!$G$14</f>
        <v>0</v>
      </c>
      <c r="I95" s="309">
        <f>'2.10 Z Retail'!$E$14</f>
        <v>3</v>
      </c>
      <c r="J95" s="309" t="str">
        <f>IFERROR($I95-$F95,"-")</f>
        <v>-</v>
      </c>
      <c r="K95" s="309">
        <f>'2.10 Z Retail'!$J$14</f>
        <v>3</v>
      </c>
      <c r="L95" s="605">
        <f>IFERROR($H95/$I95,"-")</f>
        <v>0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inlineStr">
        <is>
          <t>Z Retail</t>
        </is>
      </c>
      <c r="C96" s="1277" t="inlineStr">
        <is>
          <t>Portfolio total</t>
        </is>
      </c>
      <c r="D96" s="607" t="n"/>
      <c r="E96" s="607" t="n"/>
      <c r="F96" s="607">
        <f>IF(COUNT(F89:F95)=0,"-",SUM(F89:F95))</f>
        <v>34.5</v>
      </c>
      <c r="G96" s="601">
        <f>SUM(G89:G95)</f>
        <v>32</v>
      </c>
      <c r="H96" s="601">
        <f>SUM(H89:H95)</f>
        <v>7</v>
      </c>
      <c r="I96" s="601">
        <f>SUM(I89:I95)</f>
        <v>39</v>
      </c>
      <c r="J96" s="601">
        <f>IF(COUNT(F89:F95)=0,"-",SUM(J89:J95))</f>
        <v>-0.5</v>
      </c>
      <c r="K96" s="601">
        <f>SUM(K89:K95)</f>
        <v>32</v>
      </c>
      <c r="L96" s="602">
        <f>IFERROR($H96/$I96,"-")</f>
        <v>0.17948717948718</v>
      </c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229" t="inlineStr">
        <is>
          <t>COE Cyber</t>
        </is>
      </c>
      <c r="C97" s="290" t="str">
        <f>'2.11 TDD Cyber'!$B$6</f>
        <v>Service Op &amp; Assurance</v>
      </c>
      <c r="D97" s="290" t="str">
        <f>'2.11 TDD Cyber'!$C$6</f>
        <v>COE - measured against budget</v>
      </c>
      <c r="E97" s="290" t="str">
        <f>'2.11 TDD Cyber'!$R$6</f>
        <v>-</v>
      </c>
      <c r="F97" s="290" t="str">
        <f>'2.11 TDD Cyber'!$D$6</f>
        <v>-</v>
      </c>
      <c r="G97" s="292">
        <f>'2.11 TDD Cyber'!$E$6-'2.11 TDD Cyber'!$G$6</f>
        <v>17</v>
      </c>
      <c r="H97" s="292">
        <f>'2.11 TDD Cyber'!$G$6</f>
        <v>4</v>
      </c>
      <c r="I97" s="292">
        <f>'2.11 TDD Cyber'!$E$6</f>
        <v>21</v>
      </c>
      <c r="J97" s="292" t="str">
        <f>IFERROR($I97-$F97,"-")</f>
        <v>-</v>
      </c>
      <c r="K97" s="292">
        <f>'2.11 TDD Cyber'!$J$6</f>
        <v>17</v>
      </c>
      <c r="L97" s="293">
        <f>IFERROR($H97/$I97,"-")</f>
        <v>0.19047619047619</v>
      </c>
      <c r="M97" s="1138" t="n"/>
      <c r="N97" s="1138" t="n"/>
      <c r="O97" s="1139" t="n"/>
      <c r="P97" s="518" t="n"/>
    </row>
    <row r="98">
      <c r="B98" t="inlineStr">
        <is>
          <t>COE Cyber</t>
        </is>
      </c>
      <c r="C98" t="str">
        <f>'2.11 TDD Cyber'!$B$7</f>
        <v>Cyber Strat &amp; Tech</v>
      </c>
      <c r="D98" t="str">
        <f>'2.11 TDD Cyber'!$C$7</f>
        <v>COE - measured against budget</v>
      </c>
      <c r="E98" t="str">
        <f>'2.11 TDD Cyber'!$R$7</f>
        <v>-</v>
      </c>
      <c r="F98" t="str">
        <f>'2.11 TDD Cyber'!$D$7</f>
        <v>-</v>
      </c>
      <c r="G98">
        <f>'2.11 TDD Cyber'!$E$7-'2.11 TDD Cyber'!$G$7</f>
        <v>13</v>
      </c>
      <c r="H98">
        <f>'2.11 TDD Cyber'!$G$7</f>
        <v>0</v>
      </c>
      <c r="I98">
        <f>'2.11 TDD Cyber'!$E$7</f>
        <v>13</v>
      </c>
      <c r="J98" t="str">
        <f>IFERROR($I98-$F98,"-")</f>
        <v>-</v>
      </c>
      <c r="K98">
        <f>'2.11 TDD Cyber'!$J$7</f>
        <v>13</v>
      </c>
      <c r="L98">
        <f>IFERROR($H98/$I98,"-")</f>
        <v>0</v>
      </c>
    </row>
    <row r="99">
      <c r="B99" s="289" t="inlineStr">
        <is>
          <t>COE Cyber</t>
        </is>
      </c>
      <c r="C99" s="290" t="str">
        <f>'2.11 TDD Cyber'!$B$8</f>
        <v>Cyber GRC</v>
      </c>
      <c r="D99" s="290" t="str">
        <f>'2.11 TDD Cyber'!$C$8</f>
        <v>COE - measured against budget</v>
      </c>
      <c r="E99" s="290" t="str">
        <f>'2.11 TDD Cyber'!$R$8</f>
        <v>-</v>
      </c>
      <c r="F99" s="290" t="str">
        <f>'2.11 TDD Cyber'!$D$8</f>
        <v>-</v>
      </c>
      <c r="G99" s="290">
        <f>'2.11 TDD Cyber'!$E$8-'2.11 TDD Cyber'!$G$8</f>
        <v>5</v>
      </c>
      <c r="H99" s="290">
        <f>'2.11 TDD Cyber'!$G$8</f>
        <v>0</v>
      </c>
      <c r="I99" s="290">
        <f>'2.11 TDD Cyber'!$E$8</f>
        <v>5</v>
      </c>
      <c r="J99" s="290" t="str">
        <f>IFERROR($I99-$F99,"-")</f>
        <v>-</v>
      </c>
      <c r="K99" s="290">
        <f>'2.11 TDD Cyber'!$J$8</f>
        <v>5</v>
      </c>
      <c r="L99" s="290">
        <f>IFERROR($H99/$I99,"-")</f>
        <v>0</v>
      </c>
      <c r="M99" s="290" t="n"/>
      <c r="N99" s="290" t="n"/>
      <c r="O99" s="290" t="n"/>
      <c r="P99" s="949" t="n"/>
    </row>
    <row r="100">
      <c r="B100" s="486" t="inlineStr">
        <is>
          <t>COE Cyber</t>
        </is>
      </c>
      <c r="C100" s="486" t="str">
        <f>'2.11 TDD Cyber'!$B$9</f>
        <v>Cyber Sec Ops</v>
      </c>
      <c r="D100" s="486" t="str">
        <f>'2.11 TDD Cyber'!$C$9</f>
        <v>COE - measured against budget</v>
      </c>
      <c r="E100" s="486" t="str">
        <f>'2.11 TDD Cyber'!$R$9</f>
        <v>-</v>
      </c>
      <c r="F100" s="949" t="str">
        <f>'2.11 TDD Cyber'!$D$9</f>
        <v>-</v>
      </c>
      <c r="G100" s="949">
        <f>'2.11 TDD Cyber'!$E$9-'2.11 TDD Cyber'!$G$9</f>
        <v>5</v>
      </c>
      <c r="H100" s="949">
        <f>'2.11 TDD Cyber'!$G$9</f>
        <v>0</v>
      </c>
      <c r="I100" s="949">
        <f>'2.11 TDD Cyber'!$E$9</f>
        <v>5</v>
      </c>
      <c r="J100" s="949" t="str">
        <f>IFERROR($I100-$F100,"-")</f>
        <v>-</v>
      </c>
      <c r="K100" s="949">
        <f>'2.11 TDD Cyber'!$J$9</f>
        <v>5</v>
      </c>
      <c r="L100" s="949">
        <f>IFERROR($H100/$I100,"-")</f>
        <v>0</v>
      </c>
      <c r="M100" s="949" t="n"/>
      <c r="N100" s="949" t="n"/>
      <c r="O100" s="949" t="n"/>
      <c r="P100" s="949" t="n"/>
    </row>
    <row r="101">
      <c r="B101" s="285" t="inlineStr">
        <is>
          <t>COE Cyber</t>
        </is>
      </c>
      <c r="C101" s="285" t="str">
        <f>'2.11 TDD Cyber'!$B$10</f>
        <v>Cyber Risk</v>
      </c>
      <c r="D101" s="285" t="str">
        <f>'2.11 TDD Cyber'!$C$10</f>
        <v>COE - measured against budget</v>
      </c>
      <c r="E101" s="285" t="str">
        <f>'2.11 TDD Cyber'!$R$10</f>
        <v>-</v>
      </c>
      <c r="F101" s="949" t="str">
        <f>'2.11 TDD Cyber'!$D$10</f>
        <v>-</v>
      </c>
      <c r="G101" s="949">
        <f>'2.11 TDD Cyber'!$E$10-'2.11 TDD Cyber'!$G$10</f>
        <v>2</v>
      </c>
      <c r="H101" s="949">
        <f>'2.11 TDD Cyber'!$G$10</f>
        <v>0</v>
      </c>
      <c r="I101" s="949">
        <f>'2.11 TDD Cyber'!$E$10</f>
        <v>2</v>
      </c>
      <c r="J101" s="949" t="str">
        <f>IFERROR($I101-$F101,"-")</f>
        <v>-</v>
      </c>
      <c r="K101" s="949">
        <f>'2.11 TDD Cyber'!$J$10</f>
        <v>2</v>
      </c>
      <c r="L101" s="949">
        <f>IFERROR($H101/$I101,"-")</f>
        <v>0</v>
      </c>
      <c r="M101" s="949" t="n"/>
      <c r="N101" s="949" t="n"/>
      <c r="O101" s="949" t="n"/>
      <c r="P101" s="949" t="n"/>
    </row>
    <row r="102">
      <c r="B102" s="285" t="inlineStr">
        <is>
          <t>COE Cyber</t>
        </is>
      </c>
      <c r="C102" s="1228" t="inlineStr">
        <is>
          <t>Portfolio total</t>
        </is>
      </c>
      <c r="D102" s="285" t="n"/>
      <c r="E102" s="285" t="n"/>
      <c r="F102" s="949" t="str">
        <f>IF(COUNT(F97:F101)=0,"-",SUM(F97:F101))</f>
        <v>-</v>
      </c>
      <c r="G102" s="949">
        <f>SUM(G97:G101)</f>
        <v>42</v>
      </c>
      <c r="H102" s="949">
        <f>SUM(H97:H101)</f>
        <v>4</v>
      </c>
      <c r="I102" s="949">
        <f>SUM(I97:I101)</f>
        <v>46</v>
      </c>
      <c r="J102" s="949" t="str">
        <f>IF(COUNT(F97:F101)=0,"-",SUM(J97:J101))</f>
        <v>-</v>
      </c>
      <c r="K102" s="949">
        <f>SUM(K97:K101)</f>
        <v>42</v>
      </c>
      <c r="L102" s="949">
        <f>IFERROR($H102/$I102,"-")</f>
        <v>0.0869565217391304</v>
      </c>
      <c r="M102" s="949" t="n"/>
      <c r="N102" s="949" t="n"/>
      <c r="O102" s="949" t="n"/>
      <c r="P102" s="949" t="n"/>
    </row>
    <row r="103">
      <c r="B103" s="285" t="inlineStr">
        <is>
          <t>COE BP&amp;T</t>
        </is>
      </c>
      <c r="C103" s="285" t="str">
        <f>'2.12 BP&amp;T'!$B$6</f>
        <v>Transformation</v>
      </c>
      <c r="D103" s="285" t="str">
        <f>'2.12 BP&amp;T'!$C$6</f>
        <v>COE - measured against budget</v>
      </c>
      <c r="E103" s="285" t="str">
        <f>'2.12 BP&amp;T'!$R$6</f>
        <v>-</v>
      </c>
      <c r="F103" s="949" t="str">
        <f>'2.12 BP&amp;T'!$D$6</f>
        <v>-</v>
      </c>
      <c r="G103" s="949">
        <f>'2.12 BP&amp;T'!$E$6-'2.12 BP&amp;T'!$G$6</f>
        <v>6</v>
      </c>
      <c r="H103" s="949">
        <f>'2.12 BP&amp;T'!$G$6</f>
        <v>8</v>
      </c>
      <c r="I103" s="949">
        <f>'2.12 BP&amp;T'!$E$6</f>
        <v>14</v>
      </c>
      <c r="J103" s="949" t="str">
        <f>IFERROR($I103-$F103,"-")</f>
        <v>-</v>
      </c>
      <c r="K103" s="949">
        <f>'2.12 BP&amp;T'!$J$6</f>
        <v>6</v>
      </c>
      <c r="L103" s="949">
        <f>IFERROR($H103/$I103,"-")</f>
        <v>0.571428571428571</v>
      </c>
      <c r="M103" s="949" t="n"/>
      <c r="N103" s="949" t="n"/>
      <c r="O103" s="949" t="n"/>
      <c r="P103" s="949" t="n"/>
    </row>
    <row r="104">
      <c r="B104" s="285" t="inlineStr">
        <is>
          <t>COE BP&amp;T</t>
        </is>
      </c>
      <c r="C104" s="285" t="str">
        <f>'2.12 BP&amp;T'!$B$7</f>
        <v>Commercial</v>
      </c>
      <c r="D104" s="285" t="str">
        <f>'2.12 BP&amp;T'!$C$7</f>
        <v>COE - measured against budget</v>
      </c>
      <c r="E104" s="285" t="str">
        <f>'2.12 BP&amp;T'!$R$7</f>
        <v>-</v>
      </c>
      <c r="F104" s="949" t="str">
        <f>'2.12 BP&amp;T'!$D$7</f>
        <v>-</v>
      </c>
      <c r="G104" s="949">
        <f>'2.12 BP&amp;T'!$E$7-'2.12 BP&amp;T'!$G$7</f>
        <v>3</v>
      </c>
      <c r="H104" s="949">
        <f>'2.12 BP&amp;T'!$G$7</f>
        <v>1</v>
      </c>
      <c r="I104" s="949">
        <f>'2.12 BP&amp;T'!$E$7</f>
        <v>4</v>
      </c>
      <c r="J104" s="949" t="str">
        <f>IFERROR($I104-$F104,"-")</f>
        <v>-</v>
      </c>
      <c r="K104" s="949">
        <f>'2.12 BP&amp;T'!$J$7</f>
        <v>3</v>
      </c>
      <c r="L104" s="949">
        <f>IFERROR($H104/$I104,"-")</f>
        <v>0.25</v>
      </c>
      <c r="M104" s="949" t="n"/>
      <c r="N104" s="949" t="n"/>
      <c r="O104" s="949" t="n"/>
      <c r="P104" s="949" t="n"/>
    </row>
    <row r="105">
      <c r="B105" s="285" t="inlineStr">
        <is>
          <t>COE BP&amp;T</t>
        </is>
      </c>
      <c r="C105" s="285" t="str">
        <f>'2.12 BP&amp;T'!$B$10</f>
        <v>Business Partner</v>
      </c>
      <c r="D105" s="285" t="str">
        <f>'2.12 BP&amp;T'!$C$10</f>
        <v>Overhead - see 3.2</v>
      </c>
      <c r="E105" s="285" t="str">
        <f>'2.12 BP&amp;T'!$R$10</f>
        <v>-</v>
      </c>
      <c r="F105" s="949" t="str">
        <f>'2.12 BP&amp;T'!$D$10</f>
        <v>-</v>
      </c>
      <c r="G105" s="949">
        <f>'2.12 BP&amp;T'!$E$10-'2.12 BP&amp;T'!$G$10</f>
        <v>6</v>
      </c>
      <c r="H105" s="949">
        <f>'2.12 BP&amp;T'!$G$10</f>
        <v>0</v>
      </c>
      <c r="I105" s="949">
        <f>'2.12 BP&amp;T'!$E$10</f>
        <v>6</v>
      </c>
      <c r="J105" s="949" t="str">
        <f>IFERROR($I105-$F105,"-")</f>
        <v>-</v>
      </c>
      <c r="K105" s="949">
        <f>'2.12 BP&amp;T'!$J$10</f>
        <v>6</v>
      </c>
      <c r="L105" s="949">
        <f>IFERROR($H105/$I105,"-")</f>
        <v>0</v>
      </c>
      <c r="M105" s="949" t="n"/>
      <c r="N105" s="949" t="n"/>
      <c r="O105" s="949" t="n"/>
      <c r="P105" s="949" t="n"/>
    </row>
    <row r="106">
      <c r="B106" s="285" t="inlineStr">
        <is>
          <t>COE BP&amp;T</t>
        </is>
      </c>
      <c r="C106" s="1228" t="inlineStr">
        <is>
          <t>Portfolio total</t>
        </is>
      </c>
      <c r="D106" s="285" t="n"/>
      <c r="E106" s="285" t="n"/>
      <c r="F106" s="949" t="str">
        <f>IF(COUNT(F103:F105)=0,"-",SUM(F103:F105))</f>
        <v>-</v>
      </c>
      <c r="G106" s="949">
        <f>SUM(G103:G105)</f>
        <v>15</v>
      </c>
      <c r="H106" s="949">
        <f>SUM(H103:H105)</f>
        <v>9</v>
      </c>
      <c r="I106" s="949">
        <f>SUM(I103:I105)</f>
        <v>24</v>
      </c>
      <c r="J106" s="949" t="str">
        <f>IF(COUNT(F103:F105)=0,"-",SUM(J103:J105))</f>
        <v>-</v>
      </c>
      <c r="K106" s="949">
        <f>SUM(K103:K105)</f>
        <v>15</v>
      </c>
      <c r="L106" s="949">
        <f>IFERROR($H106/$I106,"-")</f>
        <v>0.375</v>
      </c>
      <c r="M106" s="949" t="n"/>
      <c r="N106" s="949" t="n"/>
      <c r="O106" s="949" t="n"/>
      <c r="P106" s="949" t="n"/>
    </row>
    <row r="107">
      <c r="B107" s="285" t="inlineStr">
        <is>
          <t>COE SA&amp;D</t>
        </is>
      </c>
      <c r="C107" s="285" t="str">
        <f>'2.13 SA&amp;D'!$B$6</f>
        <v>Group Data</v>
      </c>
      <c r="D107" s="285" t="str">
        <f>'2.13 SA&amp;D'!$C$6</f>
        <v>COE - measured against budget</v>
      </c>
      <c r="E107" s="285" t="str">
        <f>'2.13 SA&amp;D'!$R$6</f>
        <v>-</v>
      </c>
      <c r="F107" s="949" t="str">
        <f>'2.13 SA&amp;D'!$D$6</f>
        <v>-</v>
      </c>
      <c r="G107" s="949">
        <f>'2.13 SA&amp;D'!$E$6-'2.13 SA&amp;D'!$G$6</f>
        <v>6</v>
      </c>
      <c r="H107" s="949">
        <f>'2.13 SA&amp;D'!$G$6</f>
        <v>1</v>
      </c>
      <c r="I107" s="949">
        <f>'2.13 SA&amp;D'!$E$6</f>
        <v>7</v>
      </c>
      <c r="J107" s="949" t="str">
        <f>IFERROR($I107-$F107,"-")</f>
        <v>-</v>
      </c>
      <c r="K107" s="949">
        <f>'2.13 SA&amp;D'!$J$6</f>
        <v>6</v>
      </c>
      <c r="L107" s="949">
        <f>IFERROR($H107/$I107,"-")</f>
        <v>0.142857142857143</v>
      </c>
      <c r="M107" s="949" t="n"/>
      <c r="N107" s="949" t="n"/>
      <c r="O107" s="949" t="n"/>
      <c r="P107" s="949" t="n"/>
    </row>
    <row r="108">
      <c r="B108" s="285" t="inlineStr">
        <is>
          <t>COE SA&amp;D</t>
        </is>
      </c>
      <c r="C108" s="295" t="str">
        <f>'2.13 SA&amp;D'!$B$7</f>
        <v>Technology Strategy &amp; AI Capability</v>
      </c>
      <c r="D108" s="285" t="str">
        <f>'2.13 SA&amp;D'!$C$7</f>
        <v>COE - measured against budget</v>
      </c>
      <c r="E108" s="285" t="str">
        <f>'2.13 SA&amp;D'!$R$7</f>
        <v>-</v>
      </c>
      <c r="F108" s="949" t="str">
        <f>'2.13 SA&amp;D'!$D$7</f>
        <v>-</v>
      </c>
      <c r="G108" s="949">
        <f>'2.13 SA&amp;D'!$E$7-'2.13 SA&amp;D'!$G$7</f>
        <v>1</v>
      </c>
      <c r="H108" s="949">
        <f>'2.13 SA&amp;D'!$G$7</f>
        <v>4</v>
      </c>
      <c r="I108" s="949">
        <f>'2.13 SA&amp;D'!$E$7</f>
        <v>5</v>
      </c>
      <c r="J108" s="949" t="str">
        <f>IFERROR($I108-$F108,"-")</f>
        <v>-</v>
      </c>
      <c r="K108" s="949">
        <f>'2.13 SA&amp;D'!$J$7</f>
        <v>1</v>
      </c>
      <c r="L108" s="949">
        <f>IFERROR($H108/$I108,"-")</f>
        <v>0.8</v>
      </c>
      <c r="M108" s="949" t="n"/>
      <c r="N108" s="949" t="n"/>
      <c r="O108" s="949" t="n"/>
      <c r="P108" s="949" t="n"/>
    </row>
    <row r="109">
      <c r="B109" s="285" t="inlineStr">
        <is>
          <t>COE SA&amp;D</t>
        </is>
      </c>
      <c r="C109" s="285" t="str">
        <f>'2.13 SA&amp;D'!$B$8</f>
        <v>Leadership</v>
      </c>
      <c r="D109" s="285" t="str">
        <f>'2.13 SA&amp;D'!$C$8</f>
        <v>COE - measured against budget</v>
      </c>
      <c r="E109" s="285" t="str">
        <f>'2.13 SA&amp;D'!$R$8</f>
        <v>-</v>
      </c>
      <c r="F109" s="949" t="str">
        <f>'2.13 SA&amp;D'!$D$8</f>
        <v>-</v>
      </c>
      <c r="G109" s="949">
        <f>'2.13 SA&amp;D'!$E$8-'2.13 SA&amp;D'!$G$8</f>
        <v>0</v>
      </c>
      <c r="H109" s="949">
        <f>'2.13 SA&amp;D'!$G$8</f>
        <v>2</v>
      </c>
      <c r="I109" s="949">
        <f>'2.13 SA&amp;D'!$E$8</f>
        <v>2</v>
      </c>
      <c r="J109" s="949" t="str">
        <f>IFERROR($I109-$F109,"-")</f>
        <v>-</v>
      </c>
      <c r="K109" s="949">
        <f>'2.13 SA&amp;D'!$J$8</f>
        <v>0</v>
      </c>
      <c r="L109" s="949">
        <f>IFERROR($H109/$I109,"-")</f>
        <v>1</v>
      </c>
      <c r="M109" s="949" t="n"/>
      <c r="N109" s="949" t="n"/>
      <c r="O109" s="949" t="n"/>
      <c r="P109" s="949" t="n"/>
    </row>
    <row r="110">
      <c r="B110" s="285" t="inlineStr">
        <is>
          <t>COE SA&amp;D</t>
        </is>
      </c>
      <c r="C110" s="285" t="str">
        <f>'2.13 SA&amp;D'!$B$9</f>
        <v>Data Platforms</v>
      </c>
      <c r="D110" s="285" t="str">
        <f>'2.13 SA&amp;D'!$C$9</f>
        <v>COE - measured against budget</v>
      </c>
      <c r="E110" s="285" t="str">
        <f>'2.13 SA&amp;D'!$R$9</f>
        <v>-</v>
      </c>
      <c r="F110" s="949" t="str">
        <f>'2.13 SA&amp;D'!$D$9</f>
        <v>-</v>
      </c>
      <c r="G110" s="949">
        <f>'2.13 SA&amp;D'!$E$9-'2.13 SA&amp;D'!$G$9</f>
        <v>1</v>
      </c>
      <c r="H110" s="949">
        <f>'2.13 SA&amp;D'!$G$9</f>
        <v>0</v>
      </c>
      <c r="I110" s="949">
        <f>'2.13 SA&amp;D'!$E$9</f>
        <v>1</v>
      </c>
      <c r="J110" s="949" t="str">
        <f>IFERROR($I110-$F110,"-")</f>
        <v>-</v>
      </c>
      <c r="K110" s="949">
        <f>'2.13 SA&amp;D'!$J$9</f>
        <v>1</v>
      </c>
      <c r="L110" s="949">
        <f>IFERROR($H110/$I110,"-")</f>
        <v>0</v>
      </c>
      <c r="M110" s="949" t="n"/>
      <c r="N110" s="949" t="n"/>
      <c r="O110" s="949" t="n"/>
      <c r="P110" s="949" t="n"/>
    </row>
    <row r="111">
      <c r="B111" s="285" t="inlineStr">
        <is>
          <t>COE SA&amp;D</t>
        </is>
      </c>
      <c r="C111" s="285" t="str">
        <f>'2.13 SA&amp;D'!$B$12</f>
        <v>Head of Technology</v>
      </c>
      <c r="D111" s="285" t="str">
        <f>'2.13 SA&amp;D'!$C$12</f>
        <v>Overhead - see 3.2</v>
      </c>
      <c r="E111" s="285" t="str">
        <f>'2.13 SA&amp;D'!$R$12</f>
        <v>-</v>
      </c>
      <c r="F111" s="949" t="str">
        <f>'2.13 SA&amp;D'!$D$12</f>
        <v>-</v>
      </c>
      <c r="G111" s="949">
        <f>'2.13 SA&amp;D'!$E$12-'2.13 SA&amp;D'!$G$12</f>
        <v>0</v>
      </c>
      <c r="H111" s="949">
        <f>'2.13 SA&amp;D'!$G$12</f>
        <v>1</v>
      </c>
      <c r="I111" s="949">
        <f>'2.13 SA&amp;D'!$E$12</f>
        <v>1</v>
      </c>
      <c r="J111" s="949" t="str">
        <f>IFERROR($I111-$F111,"-")</f>
        <v>-</v>
      </c>
      <c r="K111" s="949">
        <f>'2.13 SA&amp;D'!$J$12</f>
        <v>0</v>
      </c>
      <c r="L111" s="949">
        <f>IFERROR($H111/$I111,"-")</f>
        <v>1</v>
      </c>
      <c r="M111" s="949" t="n"/>
      <c r="N111" s="949" t="n"/>
      <c r="O111" s="949" t="n"/>
      <c r="P111" s="949" t="n"/>
    </row>
    <row r="112">
      <c r="B112" s="285" t="inlineStr">
        <is>
          <t>COE SA&amp;D</t>
        </is>
      </c>
      <c r="C112" s="285" t="str">
        <f>'2.13 SA&amp;D'!$B$13</f>
        <v>Domain Architect</v>
      </c>
      <c r="D112" s="285" t="str">
        <f>'2.13 SA&amp;D'!$C$13</f>
        <v>Overhead - see 3.2</v>
      </c>
      <c r="E112" s="285" t="str">
        <f>'2.13 SA&amp;D'!$R$13</f>
        <v>-</v>
      </c>
      <c r="F112" s="949" t="str">
        <f>'2.13 SA&amp;D'!$D$13</f>
        <v>-</v>
      </c>
      <c r="G112" s="949">
        <f>'2.13 SA&amp;D'!$E$13-'2.13 SA&amp;D'!$G$13</f>
        <v>7</v>
      </c>
      <c r="H112" s="949">
        <f>'2.13 SA&amp;D'!$G$13</f>
        <v>0</v>
      </c>
      <c r="I112" s="949">
        <f>'2.13 SA&amp;D'!$E$13</f>
        <v>7</v>
      </c>
      <c r="J112" s="949" t="str">
        <f>IFERROR($I112-$F112,"-")</f>
        <v>-</v>
      </c>
      <c r="K112" s="949">
        <f>'2.13 SA&amp;D'!$J$13</f>
        <v>7</v>
      </c>
      <c r="L112" s="949">
        <f>IFERROR($H112/$I112,"-")</f>
        <v>0</v>
      </c>
      <c r="M112" s="949" t="n"/>
      <c r="N112" s="949" t="n"/>
      <c r="O112" s="949" t="n"/>
      <c r="P112" s="949" t="n"/>
    </row>
    <row r="113">
      <c r="B113" s="285" t="inlineStr">
        <is>
          <t>COE SA&amp;D</t>
        </is>
      </c>
      <c r="C113" s="285" t="str">
        <f>'2.13 SA&amp;D'!$B$14</f>
        <v>Delivery Manager</v>
      </c>
      <c r="D113" s="285" t="str">
        <f>'2.13 SA&amp;D'!$C$14</f>
        <v>Overhead - see 3.2</v>
      </c>
      <c r="E113" s="285" t="str">
        <f>'2.13 SA&amp;D'!$R$14</f>
        <v>-</v>
      </c>
      <c r="F113" t="str">
        <f>'2.13 SA&amp;D'!$D$14</f>
        <v>-</v>
      </c>
      <c r="G113">
        <f>'2.13 SA&amp;D'!$E$14-'2.13 SA&amp;D'!$G$14</f>
        <v>1</v>
      </c>
      <c r="H113">
        <f>'2.13 SA&amp;D'!$G$14</f>
        <v>0</v>
      </c>
      <c r="I113">
        <f>'2.13 SA&amp;D'!$E$14</f>
        <v>1</v>
      </c>
      <c r="J113" t="str">
        <f>IFERROR($I113-$F113,"-")</f>
        <v>-</v>
      </c>
      <c r="K113">
        <f>'2.13 SA&amp;D'!$J$14</f>
        <v>1</v>
      </c>
      <c r="L113">
        <f>IFERROR($H113/$I113,"-")</f>
        <v>0</v>
      </c>
    </row>
    <row r="114">
      <c r="B114" s="285" t="inlineStr">
        <is>
          <t>COE SA&amp;D</t>
        </is>
      </c>
      <c r="C114" s="1228" t="inlineStr">
        <is>
          <t>Portfolio total</t>
        </is>
      </c>
      <c r="D114" s="285" t="n"/>
      <c r="E114" s="285" t="n"/>
      <c r="F114" t="str">
        <f>IF(COUNT(F107:F113)=0,"-",SUM(F107:F113))</f>
        <v>-</v>
      </c>
      <c r="G114">
        <f>SUM(G107:G113)</f>
        <v>16</v>
      </c>
      <c r="H114">
        <f>SUM(H107:H113)</f>
        <v>8</v>
      </c>
      <c r="I114">
        <f>SUM(I107:I113)</f>
        <v>24</v>
      </c>
      <c r="J114" t="str">
        <f>IF(COUNT(F107:F113)=0,"-",SUM(J107:J113))</f>
        <v>-</v>
      </c>
      <c r="K114">
        <f>SUM(K107:K113)</f>
        <v>16</v>
      </c>
      <c r="L114">
        <f>IFERROR($H114/$I114,"-")</f>
        <v>0.333333333333333</v>
      </c>
    </row>
    <row r="115">
      <c r="B115" s="285" t="inlineStr">
        <is>
          <t>EGI</t>
        </is>
      </c>
      <c r="C115" s="285" t="str">
        <f>'2.14 EGI'!$B$6</f>
        <v>EGI</v>
      </c>
      <c r="D115" s="285" t="str">
        <f>'2.14 EGI'!$C$6</f>
        <v>COE - measured against budget</v>
      </c>
      <c r="E115" s="285" t="str">
        <f>'2.14 EGI'!$R$6</f>
        <v>-</v>
      </c>
      <c r="F115" t="str">
        <f>'2.14 EGI'!$D$6</f>
        <v>-</v>
      </c>
      <c r="G115">
        <f>'2.14 EGI'!$E$6-'2.14 EGI'!$G$6</f>
        <v>17</v>
      </c>
      <c r="H115">
        <f>'2.14 EGI'!$G$6</f>
        <v>0</v>
      </c>
      <c r="I115">
        <f>'2.14 EGI'!$E$6</f>
        <v>17</v>
      </c>
      <c r="J115" t="str">
        <f>IFERROR($I115-$F115,"-")</f>
        <v>-</v>
      </c>
      <c r="K115">
        <f>'2.14 EGI'!$J$6</f>
        <v>17</v>
      </c>
      <c r="L115">
        <f>IFERROR($H115/$I115,"-")</f>
        <v>0</v>
      </c>
    </row>
    <row r="116">
      <c r="B116" s="285" t="inlineStr">
        <is>
          <t>EGI</t>
        </is>
      </c>
      <c r="C116" s="1228" t="inlineStr">
        <is>
          <t>Portfolio total</t>
        </is>
      </c>
      <c r="D116" s="285" t="n"/>
      <c r="E116" s="285" t="n"/>
      <c r="F116" t="str">
        <f>IF(COUNT(F115:F115)=0,"-",SUM(F115:F115))</f>
        <v>-</v>
      </c>
      <c r="G116">
        <f>SUM(G115:G115)</f>
        <v>17</v>
      </c>
      <c r="H116">
        <f>SUM(H115:H115)</f>
        <v>0</v>
      </c>
      <c r="I116">
        <f>SUM(I115:I115)</f>
        <v>17</v>
      </c>
      <c r="J116" t="str">
        <f>IF(COUNT(F115:F115)=0,"-",SUM(J115:J115))</f>
        <v>-</v>
      </c>
      <c r="K116">
        <f>SUM(K115:K115)</f>
        <v>17</v>
      </c>
      <c r="L116">
        <f>IFERROR($H116/$I116,"-")</f>
        <v>0</v>
      </c>
    </row>
    <row r="117">
      <c r="B117" s="285" t="n"/>
      <c r="C117" s="1228" t="inlineStr">
        <is>
          <t>Group total</t>
        </is>
      </c>
      <c r="D117" s="285" t="n"/>
      <c r="E117" s="285" t="n"/>
      <c r="F117">
        <f>SUMIF($C$6:$C$116,"&lt;&gt;Portfolio total",F6:F116)</f>
        <v>319.5</v>
      </c>
      <c r="G117">
        <f>$G$19+$G$35+$G$42+$G$51+$G$58+$G$64+$G$73+$G$80+$G$88+$G$96+$G$102+$G$106+$G$114+$G$116</f>
        <v>390</v>
      </c>
      <c r="H117">
        <f>$H$19+$H$35+$H$42+$H$51+$H$58+$H$64+$H$73+$H$80+$H$88+$H$96+$H$102+$H$106+$H$114+$H$116</f>
        <v>135</v>
      </c>
      <c r="I117">
        <f>$I$19+$I$35+$I$42+$I$51+$I$58+$I$64+$I$73+$I$80+$I$88+$I$96+$I$102+$I$106+$I$114+$I$116</f>
        <v>525</v>
      </c>
      <c r="J117">
        <f>SUMIF($C$6:$C$116,"&lt;&gt;Portfolio total",J6:J116)</f>
        <v>-5.5</v>
      </c>
      <c r="K117">
        <f>$K$19+$K$35+$K$42+$K$51+$K$58+$K$64+$K$73+$K$80+$K$88+$K$96+$K$102+$K$106+$K$114+$K$116</f>
        <v>390</v>
      </c>
      <c r="L117">
        <f>IFERROR($H117/$I117,"-")</f>
        <v>0.257142857142857</v>
      </c>
    </row>
    <row r="118">
      <c r="B118" s="285" t="n"/>
      <c r="C118" s="295" t="n"/>
      <c r="D118" s="285" t="n"/>
      <c r="E118" s="285" t="n"/>
    </row>
    <row r="119">
      <c r="B119" s="1278" t="inlineStr">
        <is>
          <t>Control - roles vs the ledger, must be 0</t>
        </is>
      </c>
      <c r="C119" s="295" t="n"/>
      <c r="D119" s="285" t="n"/>
      <c r="E119" s="285" t="n"/>
      <c r="I119">
        <f>COUNTA('REVIEW - Complete Role Mapping'!$B$2:$B$528)-$I$117</f>
        <v>0</v>
      </c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507" t="inlineStr">
        <is>
          <t>COE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  <c r="K5" s="616" t="inlineStr">
        <is>
          <t>Gross people cost ($m)</t>
        </is>
      </c>
      <c r="L5" s="616" t="inlineStr">
        <is>
          <t>Funded by portfolios ($m)</t>
        </is>
      </c>
    </row>
    <row r="6">
      <c r="B6" s="549" t="inlineStr">
        <is>
          <t>Business Partnering</t>
        </is>
      </c>
      <c r="C6" s="617">
        <f>COUNTIFS('REVIEW - Complete Role Mapping'!$AJ:$AJ,"COE BP&amp;T")-COUNTIFS('REVIEW - Complete Role Mapping'!$AJ:$AJ,"COE BP&amp;T",'REVIEW - Complete Role Mapping'!$G:$G,"Transformation")</f>
        <v>10</v>
      </c>
      <c r="D6" s="617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617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116">
        <f>$K6-$L6</f>
        <v>1.092562592</v>
      </c>
      <c r="G6" s="1116">
        <f>'1.11 BP&amp;T'!$G$6</f>
        <v>2</v>
      </c>
      <c r="H6" s="1116">
        <f>$F6-$G6</f>
        <v>-0.907437408</v>
      </c>
      <c r="I6" s="111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11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125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125">
        <f>'1.11 BP&amp;T'!$C$13</f>
        <v>2.2</v>
      </c>
    </row>
    <row r="7">
      <c r="B7" s="549" t="inlineStr">
        <is>
          <t>Transformation</t>
        </is>
      </c>
      <c r="C7" s="617">
        <f>COUNTIFS('REVIEW - Complete Role Mapping'!$AJ:$AJ,"COE BP&amp;T",'REVIEW - Complete Role Mapping'!$G:$G,"Transformation")</f>
        <v>14</v>
      </c>
      <c r="D7" s="617">
        <f>COUNTIFS('REVIEW - Complete Role Mapping'!$AJ:$AJ,"COE BP&amp;T",'REVIEW - Complete Role Mapping'!$AK:$AK,"Filled",'REVIEW - Complete Role Mapping'!$G:$G,"Transformation")</f>
        <v>6</v>
      </c>
      <c r="E7" s="617">
        <f>COUNTIFS('REVIEW - Complete Role Mapping'!$AJ:$AJ,"COE BP&amp;T",'REVIEW - Complete Role Mapping'!$AK:$AK,"Vacant",'REVIEW - Complete Role Mapping'!$G:$G,"Transformation")</f>
        <v>8</v>
      </c>
      <c r="F7" s="1116">
        <f>$K7-$L7</f>
        <v>3.10799923</v>
      </c>
      <c r="G7" s="1116">
        <f>'1.11 BP&amp;T'!$G$7</f>
        <v>2</v>
      </c>
      <c r="H7" s="1116">
        <f>$F7-$G7</f>
        <v>1.10799923</v>
      </c>
      <c r="I7" s="111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11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125">
        <f>(SUMIFS('REVIEW - Complete Role Mapping'!$AA$2:$AA$528,'REVIEW - Complete Role Mapping'!$AJ$2:$AJ$528,"COE BP&amp;T",'REVIEW - Complete Role Mapping'!$G$2:$G$528,"Transformation"))/1000000</f>
        <v>3.10799923</v>
      </c>
      <c r="L7" s="1125" t="n">
        <v>0</v>
      </c>
    </row>
    <row r="8">
      <c r="B8" s="549" t="inlineStr">
        <is>
          <t>Strategy &amp; Architecture</t>
        </is>
      </c>
      <c r="C8" s="617">
        <f>COUNTIFS('REVIEW - Complete Role Mapping'!$AJ:$AJ,"COE SA&amp;D")-COUNTIFS('REVIEW - Complete Role Mapping'!$AJ:$AJ,"COE SA&amp;D",'REVIEW - Complete Role Mapping'!$G:$G,"Group Data")</f>
        <v>16</v>
      </c>
      <c r="D8" s="617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617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116">
        <f>$K8-$L8</f>
        <v>2.558617086</v>
      </c>
      <c r="G8" s="1116">
        <f>'1.12 SA&amp;D'!$H$6</f>
        <v>2</v>
      </c>
      <c r="H8" s="1116">
        <f>$F8-$G8</f>
        <v>0.558617086</v>
      </c>
      <c r="I8" s="111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11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125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125">
        <f>'1.12 SA&amp;D'!$C$13</f>
        <v>1.4</v>
      </c>
    </row>
    <row r="9">
      <c r="B9" s="549" t="inlineStr">
        <is>
          <t>Data</t>
        </is>
      </c>
      <c r="C9" s="617">
        <f>COUNTIFS('REVIEW - Complete Role Mapping'!$AJ:$AJ,"COE SA&amp;D",'REVIEW - Complete Role Mapping'!$G:$G,"Group Data")</f>
        <v>8</v>
      </c>
      <c r="D9" s="617">
        <f>COUNTIFS('REVIEW - Complete Role Mapping'!$AJ:$AJ,"COE SA&amp;D",'REVIEW - Complete Role Mapping'!$AK:$AK,"Filled",'REVIEW - Complete Role Mapping'!$G:$G,"Group Data")</f>
        <v>7</v>
      </c>
      <c r="E9" s="617">
        <f>COUNTIFS('REVIEW - Complete Role Mapping'!$AJ:$AJ,"COE SA&amp;D",'REVIEW - Complete Role Mapping'!$AK:$AK,"Vacant",'REVIEW - Complete Role Mapping'!$G:$G,"Group Data")</f>
        <v>1</v>
      </c>
      <c r="F9" s="1116">
        <f>$K9-$L9</f>
        <v>2.072105266</v>
      </c>
      <c r="G9" s="1116">
        <f>'1.12 SA&amp;D'!$H$7</f>
        <v>2</v>
      </c>
      <c r="H9" s="1116">
        <f>$F9-$G9</f>
        <v>0.0721052659999999</v>
      </c>
      <c r="I9" s="1116">
        <f>(SUMIFS('REVIEW - Complete Role Mapping'!$AA$2:$AA$528,'REVIEW - Complete Role Mapping'!$AJ$2:$AJ$528,"COE SA&amp;D",'REVIEW - Complete Role Mapping'!$G$2:$G$528,"Group Data",'REVIEW - Complete Role Mapping'!$M$2:$M$528,"Australia"))/1000000</f>
        <v>1.92235885</v>
      </c>
      <c r="J9" s="111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125">
        <f>(SUMIFS('REVIEW - Complete Role Mapping'!$AA$2:$AA$528,'REVIEW - Complete Role Mapping'!$AJ$2:$AJ$528,"COE SA&amp;D",'REVIEW - Complete Role Mapping'!$G$2:$G$528,"Group Data"))/1000000</f>
        <v>2.072105266</v>
      </c>
      <c r="L9" s="1125" t="n">
        <v>0</v>
      </c>
    </row>
    <row r="10">
      <c r="B10" s="549" t="inlineStr">
        <is>
          <t>Cyber, Risk &amp; Service Operations</t>
        </is>
      </c>
      <c r="C10" s="617">
        <f>COUNTIFS('REVIEW - Complete Role Mapping'!$AJ:$AJ,"COE Cyber")</f>
        <v>46</v>
      </c>
      <c r="D10" s="617">
        <f>COUNTIFS('REVIEW - Complete Role Mapping'!$AJ:$AJ,"COE Cyber",'REVIEW - Complete Role Mapping'!$AK:$AK,"Filled")</f>
        <v>42</v>
      </c>
      <c r="E10" s="617">
        <f>COUNTIFS('REVIEW - Complete Role Mapping'!$AJ:$AJ,"COE Cyber",'REVIEW - Complete Role Mapping'!$AK:$AK,"Vacant")</f>
        <v>4</v>
      </c>
      <c r="F10" s="1116">
        <f>$K10-$L10</f>
        <v>9.897858294</v>
      </c>
      <c r="G10" s="1116">
        <f>'1.13 Cyber Roles'!$G$8</f>
        <v>4</v>
      </c>
      <c r="H10" s="1116">
        <f>$F10-$G10</f>
        <v>5.897858294</v>
      </c>
      <c r="I10" s="1116">
        <f>(SUMIFS('REVIEW - Complete Role Mapping'!$AA$2:$AA$528,'REVIEW - Complete Role Mapping'!$AJ$2:$AJ$528,"COE Cyber",'REVIEW - Complete Role Mapping'!$M$2:$M$528,"Australia"))/1000000</f>
        <v>8.83986105</v>
      </c>
      <c r="J10" s="1116">
        <f>(SUMIFS('REVIEW - Complete Role Mapping'!$AA$2:$AA$528,'REVIEW - Complete Role Mapping'!$AJ$2:$AJ$528,"COE Cyber",'REVIEW - Complete Role Mapping'!$M$2:$M$528,"NZ"))/1000000</f>
        <v>1.057997244</v>
      </c>
      <c r="K10" s="1125">
        <f>SUMIFS('REVIEW - Complete Role Mapping'!$AA$2:$AA$528,'REVIEW - Complete Role Mapping'!$AJ$2:$AJ$528,"COE Cyber")/1000000</f>
        <v>9.897858294</v>
      </c>
      <c r="L10" s="1125" t="n">
        <v>0</v>
      </c>
    </row>
    <row r="11">
      <c r="B11" s="586" t="inlineStr">
        <is>
          <t>EGI</t>
        </is>
      </c>
      <c r="C11" s="613">
        <f>COUNTIFS('REVIEW - Complete Role Mapping'!$AJ$2:$AJ$528,"EGI")</f>
        <v>17</v>
      </c>
      <c r="D11" s="613">
        <f>COUNTIFS('REVIEW - Complete Role Mapping'!$AJ$2:$AJ$528,"EGI",'REVIEW - Complete Role Mapping'!$AK$2:$AK$528,"Filled")</f>
        <v>17</v>
      </c>
      <c r="E11" s="613">
        <f>COUNTIFS('REVIEW - Complete Role Mapping'!$AJ$2:$AJ$528,"EGI",'REVIEW - Complete Role Mapping'!$AK$2:$AK$528,"Vacant")</f>
        <v>0</v>
      </c>
      <c r="F11" s="1121">
        <f>$K11-$L11</f>
        <v>4.94341935</v>
      </c>
      <c r="G11" s="1121" t="n">
        <v>0</v>
      </c>
      <c r="H11" s="1121">
        <f>$F11-$G11</f>
        <v>4.94341935</v>
      </c>
      <c r="I11" s="1121">
        <f>(SUMIFS('REVIEW - Complete Role Mapping'!$AA$2:$AA$528,'REVIEW - Complete Role Mapping'!$AJ$2:$AJ$528,"EGI",'REVIEW - Complete Role Mapping'!$M$2:$M$528,"Australia"))/1000000</f>
        <v>4.94341935</v>
      </c>
      <c r="J11" s="1121">
        <f>(SUMIFS('REVIEW - Complete Role Mapping'!$AA$2:$AA$528,'REVIEW - Complete Role Mapping'!$AJ$2:$AJ$528,"EGI",'REVIEW - Complete Role Mapping'!$M$2:$M$528,"NZ"))/1000000</f>
        <v>0</v>
      </c>
      <c r="K11" s="1125">
        <f>SUMIFS('REVIEW - Complete Role Mapping'!$AA$2:$AA$528,'REVIEW - Complete Role Mapping'!$AJ$2:$AJ$528,"EGI")/1000000</f>
        <v>4.94341935</v>
      </c>
      <c r="L11" s="1125" t="n">
        <v>0</v>
      </c>
    </row>
    <row r="12">
      <c r="B12" s="1226" t="inlineStr">
        <is>
          <t>Total</t>
        </is>
      </c>
      <c r="C12" s="1117">
        <f>SUM(C6:C11)</f>
        <v>111</v>
      </c>
      <c r="D12" s="1117">
        <f>SUM(D6:D11)</f>
        <v>90</v>
      </c>
      <c r="E12" s="1117">
        <f>SUM(E6:E11)</f>
        <v>21</v>
      </c>
      <c r="F12" s="1117">
        <f>SUM(F6:F11)</f>
        <v>23.672561818</v>
      </c>
      <c r="G12" s="1117">
        <f>SUM(G6:G11)</f>
        <v>12</v>
      </c>
      <c r="H12" s="504">
        <f>SUM(H6:H11)</f>
        <v>11.672561818</v>
      </c>
      <c r="I12" s="504">
        <f>SUM(I6:I11)</f>
        <v>23.96291085</v>
      </c>
      <c r="J12" s="504">
        <f>SUM(J6:J11)</f>
        <v>2.643563468</v>
      </c>
      <c r="K12" s="949">
        <f>SUM(K6:K11)</f>
        <v>27.272561818</v>
      </c>
      <c r="L12" s="949">
        <f>SUM(L6:L11)</f>
        <v>3.6</v>
      </c>
    </row>
    <row r="13">
      <c r="B13" s="994" t="inlineStr">
        <is>
          <t>Planned spend (F) is net: gross people cost (K) less the amount funded inside portfolio overheads (L). Left to fund (H) = F - G on every row.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994" t="inlineStr">
        <is>
          <t>Ledger control - roles in the four COEs plus EGI, must be 0</t>
        </is>
      </c>
      <c r="C14" s="504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994" t="inlineStr">
        <is>
          <t>Ledger control - cost ($m), must be 0</t>
        </is>
      </c>
      <c r="C15" s="504" t="n"/>
      <c r="D15" s="504" t="n"/>
      <c r="E15" s="504" t="n"/>
      <c r="F15" s="504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222" t="inlineStr">
        <is>
          <t>Cost outside AU and NZ ($m) - TDD BP - T&amp;S is based in Singapore</t>
        </is>
      </c>
      <c r="C16" s="504" t="n"/>
      <c r="D16" s="504" t="n"/>
      <c r="E16" s="504" t="n"/>
      <c r="F16" s="504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221" t="inlineStr">
        <is>
          <t>Control - I + J + row 16 must equal K ($m)</t>
        </is>
      </c>
      <c r="C17" s="981" t="n"/>
      <c r="D17" s="981" t="n"/>
      <c r="E17" s="981" t="n"/>
      <c r="F17" s="504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142" t="inlineStr">
        <is>
          <t>Pool ($m)</t>
        </is>
      </c>
      <c r="D18" s="1142" t="inlineStr">
        <is>
          <t>Drawn ($m)</t>
        </is>
      </c>
      <c r="E18" s="1142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510">
        <f>'0.1 Budget Table (Fin)'!$N$5</f>
        <v>3</v>
      </c>
      <c r="D19" s="510">
        <f>0</f>
        <v>0</v>
      </c>
      <c r="E19" s="510">
        <f>C19-D19</f>
        <v>3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510">
        <f>'0.1 Budget Table (Fin)'!$O$5</f>
        <v>20.2</v>
      </c>
      <c r="D20" s="510">
        <f>'1.3 Enterprise Data'!$J$15+'1.4 TDD Group Functions'!$J$14</f>
        <v>0</v>
      </c>
      <c r="E20" s="510">
        <f>C20-D20</f>
        <v>20.2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510">
        <f>'0.1 Budget Table (Fin)'!$P$5</f>
        <v>4.9</v>
      </c>
      <c r="D21" s="510">
        <f>'1.9 Commercial Fuels'!$J$16+'1.13 Cyber Roles'!$C$13</f>
        <v>0.5</v>
      </c>
      <c r="E21" s="510">
        <f>C21-D21</f>
        <v>4.4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518">
        <f>SUM(C19:C21)</f>
        <v>28.1</v>
      </c>
      <c r="D22" s="518">
        <f>SUM(D19:D21)</f>
        <v>0.5</v>
      </c>
      <c r="E22" s="518">
        <f>SUM(E19:E21)</f>
        <v>27.6</v>
      </c>
      <c r="F22" s="504" t="n"/>
      <c r="G22" s="504" t="n"/>
      <c r="H22" s="504" t="n"/>
      <c r="I22" s="504" t="n"/>
      <c r="J22" s="504" t="n"/>
    </row>
    <row r="23">
      <c r="B23" s="543" t="n"/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Variance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G6-F6</f>
        <v>-1.292562592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G7-F7</f>
        <v>-1.10799923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SUM(H6:H7)</f>
        <v>-2.400561822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net of the Business Partner FTEs funded inside portfolio overheads (row 13); the COE draws down its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($m)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G6-H6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8</v>
      </c>
      <c r="D7" s="617">
        <f>COUNTIFS('REVIEW - Complete Role Mapping'!$AJ$2:$AJ$528,"COE SA&amp;D",'REVIEW - Complete Role Mapping'!$G$2:$G$528,"Group Data",'REVIEW - Complete Role Mapping'!$AK$2:$AK$528,"Filled")</f>
        <v>7</v>
      </c>
      <c r="E7" s="617">
        <f>COUNTIFS('REVIEW - Complete Role Mapping'!$AJ$2:$AJ$528,"COE SA&amp;D",'REVIEW - Complete Role Mapping'!$G$2:$G$528,"Group Data",'REVIEW - Complete Role Mapping'!$AK$2:$AK$528,"Vacant")</f>
        <v>1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2.072105266</v>
      </c>
      <c r="H7" s="510">
        <f>C16</f>
        <v>2</v>
      </c>
      <c r="I7" s="1116">
        <f>G7-H7</f>
        <v>0.0721052659999999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16</v>
      </c>
      <c r="E8" s="613">
        <f>SUM(E6:E7)</f>
        <v>8</v>
      </c>
      <c r="F8" s="613">
        <f>SUM(F6:F7)</f>
        <v>0</v>
      </c>
      <c r="G8" s="518">
        <f>SUM(G6:G7)</f>
        <v>6.030722352</v>
      </c>
      <c r="H8" s="518">
        <f>SUM(H6:H7)</f>
        <v>4</v>
      </c>
      <c r="I8" s="1121">
        <f>SUM(I6:I7)</f>
        <v>2.030722352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net of the Domain Architect FTEs funded inside portfolio overheads (row 13); COEs draw down on their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-1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135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F8-G8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629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209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COUNTIFS($F$30:$F$99,$B6)</f>
        <v>11</v>
      </c>
      <c r="F6" s="1250">
        <f>IFERROR($E6-$D6,"-")</f>
        <v>2</v>
      </c>
      <c r="G6" s="1250">
        <f>COUNTIFS($F$30:$F$99,$B6,$D$30:$D$99,"Vacant")</f>
        <v>4</v>
      </c>
      <c r="H6" s="1250">
        <f>COUNTIFS($F$30:$F$99,$B6,$D$30:$D$99,"Vacant",$E$30:$E$99,"Hire")+COUNTIFS($F$30:$F$99,$B6,$D$30:$D$99,"Vacant",$E$30:$E$99,"Offshore")</f>
        <v>0</v>
      </c>
      <c r="I6" s="1250">
        <f>COUNTIFS($F$30:$F$99,$B6,$D$30:$D$99,"Vacant",$E$30:$E$99,"Hold")</f>
        <v>4</v>
      </c>
      <c r="J6" s="1251">
        <f>$E6-COUNTIFS($F$30:$F$99,$B6,$E$30:$E$99,"Hold")</f>
        <v>7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SUMIFS($G$30:$G$99,$F$30:$F$99,$B6)/1000000</f>
        <v>2.097921857</v>
      </c>
      <c r="N6" s="1252">
        <f>IFERROR($M6-$L6,"-")</f>
        <v>-0.00207814300000031</v>
      </c>
      <c r="O6" s="1253">
        <f>SUMIFS($H$30:$H$99,$F$30:$F$99,$B6)/1000000</f>
        <v>1.352492272</v>
      </c>
      <c r="P6" s="1254">
        <f>$O6-$M6</f>
        <v>-0.745429585</v>
      </c>
      <c r="Q6" s="1254">
        <f>SUMIFS($G$30:$G$99,$F$30:$F$99,$B6,$D$30:$D$99,"Vacant")/1000000</f>
        <v>0.745429585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Retail'!$B$23:$B$68,0)),"No archetype for this squad")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COUNTIFS($F$30:$F$99,$B7)</f>
        <v>10</v>
      </c>
      <c r="F7" s="1250" t="str">
        <f>IFERROR($E7-$D7,"-")</f>
        <v>-</v>
      </c>
      <c r="G7" s="1250">
        <f>COUNTIFS($F$30:$F$99,$B7,$D$30:$D$99,"Vacant")</f>
        <v>0</v>
      </c>
      <c r="H7" s="1250">
        <f>COUNTIFS($F$30:$F$99,$B7,$D$30:$D$99,"Vacant",$E$30:$E$99,"Hire")+COUNTIFS($F$30:$F$99,$B7,$D$30:$D$99,"Vacant",$E$30:$E$99,"Offshore")</f>
        <v>0</v>
      </c>
      <c r="I7" s="1250">
        <f>COUNTIFS($F$30:$F$99,$B7,$D$30:$D$99,"Vacant",$E$30:$E$99,"Hold")</f>
        <v>0</v>
      </c>
      <c r="J7" s="1251">
        <f>$E7-COUNTIFS($F$30:$F$99,$B7,$E$30:$E$99,"Hold")</f>
        <v>10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SUMIFS($G$30:$G$99,$F$30:$F$99,$B7)/1000000</f>
        <v>2.115029718</v>
      </c>
      <c r="N7" s="1252" t="str">
        <f>IFERROR($M7-$L7,"-")</f>
        <v>-</v>
      </c>
      <c r="O7" s="1253">
        <f>SUMIFS($H$30:$H$99,$F$30:$F$99,$B7)/1000000</f>
        <v>2.115029718</v>
      </c>
      <c r="P7" s="1254">
        <f>$O7-$M7</f>
        <v>0</v>
      </c>
      <c r="Q7" s="1254">
        <f>SUMIFS($G$30:$G$99,$F$30:$F$99,$B7,$D$30:$D$99,"Vacant")/1000000</f>
        <v>0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Retail'!$B$23:$B$68,0)),"No archetype for this squad")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COUNTIFS($F$30:$F$99,$B8)</f>
        <v>8</v>
      </c>
      <c r="F8" s="1250">
        <f>IFERROR($E8-$D8,"-")</f>
        <v>-1</v>
      </c>
      <c r="G8" s="1250">
        <f>COUNTIFS($F$30:$F$99,$B8,$D$30:$D$99,"Vacant")</f>
        <v>8</v>
      </c>
      <c r="H8" s="1250">
        <f>COUNTIFS($F$30:$F$99,$B8,$D$30:$D$99,"Vacant",$E$30:$E$99,"Hire")+COUNTIFS($F$30:$F$99,$B8,$D$30:$D$99,"Vacant",$E$30:$E$99,"Offshore")</f>
        <v>0</v>
      </c>
      <c r="I8" s="1250">
        <f>COUNTIFS($F$30:$F$99,$B8,$D$30:$D$99,"Vacant",$E$30:$E$99,"Hold")</f>
        <v>8</v>
      </c>
      <c r="J8" s="1251">
        <f>$E8-COUNTIFS($F$30:$F$99,$B8,$E$30:$E$99,"Hold")</f>
        <v>0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2.1</v>
      </c>
      <c r="M8" s="1252">
        <f>SUMIFS($G$30:$G$99,$F$30:$F$99,$B8)/1000000</f>
        <v>1.576223685</v>
      </c>
      <c r="N8" s="1252">
        <f>IFERROR($M8-$L8,"-")</f>
        <v>-0.523776315</v>
      </c>
      <c r="O8" s="1253">
        <f>SUMIFS($H$30:$H$99,$F$30:$F$99,$B8)/1000000</f>
        <v>0</v>
      </c>
      <c r="P8" s="1254">
        <f>$O8-$M8</f>
        <v>-1.576223685</v>
      </c>
      <c r="Q8" s="1254">
        <f>SUMIFS($G$30:$G$99,$F$30:$F$99,$B8,$D$30:$D$99,"Vacant")/1000000</f>
        <v>1.576223685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Retail'!$B$23:$B$68,0)),"No archetype for this squad")</f>
        <v>Operations</v>
      </c>
      <c r="D9" s="1249">
        <f>IFERROR(INDEX('0.3 Squad Archetypes'!$F$5:$F$23,MATCH($C9&amp;"|"&amp;$R9,'0.3 Squad Archetypes'!$A$5:$A$23,0)),"-")</f>
        <v>6</v>
      </c>
      <c r="E9" s="1250">
        <f>COUNTIFS($F$30:$F$99,$B9)</f>
        <v>8</v>
      </c>
      <c r="F9" s="1250">
        <f>IFERROR($E9-$D9,"-")</f>
        <v>2</v>
      </c>
      <c r="G9" s="1250">
        <f>COUNTIFS($F$30:$F$99,$B9,$D$30:$D$99,"Vacant")</f>
        <v>1</v>
      </c>
      <c r="H9" s="1250">
        <f>COUNTIFS($F$30:$F$99,$B9,$D$30:$D$99,"Vacant",$E$30:$E$99,"Hire")+COUNTIFS($F$30:$F$99,$B9,$D$30:$D$99,"Vacant",$E$30:$E$99,"Offshore")</f>
        <v>0</v>
      </c>
      <c r="I9" s="1250">
        <f>COUNTIFS($F$30:$F$99,$B9,$D$30:$D$99,"Vacant",$E$30:$E$99,"Hold")</f>
        <v>1</v>
      </c>
      <c r="J9" s="1251">
        <f>$E9-COUNTIFS($F$30:$F$99,$B9,$E$30:$E$99,"Hold")</f>
        <v>7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IFERROR(INDEX('0.3 Squad Archetypes'!$G$5:$G$23,MATCH($C9&amp;"|"&amp;$R9,'0.3 Squad Archetypes'!$A$5:$A$23,0)),"-")</f>
        <v>1.4</v>
      </c>
      <c r="M9" s="1252">
        <f>SUMIFS($G$30:$G$99,$F$30:$F$99,$B9)/1000000</f>
        <v>1.429759453</v>
      </c>
      <c r="N9" s="1252">
        <f>IFERROR($M9-$L9,"-")</f>
        <v>0.029759453</v>
      </c>
      <c r="O9" s="1253">
        <f>SUMIFS($H$30:$H$99,$F$30:$F$99,$B9)/1000000</f>
        <v>1.259257868</v>
      </c>
      <c r="P9" s="1254">
        <f>$O9-$M9</f>
        <v>-0.170501585</v>
      </c>
      <c r="Q9" s="1254">
        <f>SUMIFS($G$30:$G$99,$F$30:$F$99,$B9,$D$30:$D$99,"Vacant")/1000000</f>
        <v>0.170501585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Retail'!$B$23:$B$68,0)),"No archetype for this squad")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COUNTIFS($F$30:$F$99,$B10)</f>
        <v>6</v>
      </c>
      <c r="F10" s="1250">
        <f>IFERROR($E10-$D10,"-")</f>
        <v>-1.5</v>
      </c>
      <c r="G10" s="1250">
        <f>COUNTIFS($F$30:$F$99,$B10,$D$30:$D$99,"Vacant")</f>
        <v>6</v>
      </c>
      <c r="H10" s="1250">
        <f>COUNTIFS($F$30:$F$99,$B10,$D$30:$D$99,"Vacant",$E$30:$E$99,"Hire")+COUNTIFS($F$30:$F$99,$B10,$D$30:$D$99,"Vacant",$E$30:$E$99,"Offshore")</f>
        <v>0</v>
      </c>
      <c r="I10" s="1250">
        <f>COUNTIFS($F$30:$F$99,$B10,$D$30:$D$99,"Vacant",$E$30:$E$99,"Hold")</f>
        <v>6</v>
      </c>
      <c r="J10" s="1251">
        <f>$E10-COUNTIFS($F$30:$F$99,$B10,$E$30:$E$99,"Hold")</f>
        <v>0</v>
      </c>
      <c r="K10" s="1152" t="str">
        <f>IF(NOT(ISNUMBER($D10)),"No archetype - see 0.3",IF($J10&gt;$D10,"Over archetype after decisions",IF($J10&lt;$D10,"Under archetype","On archetype")))</f>
        <v>Under archetype</v>
      </c>
      <c r="L10" s="1252">
        <f>IFERROR(INDEX('0.3 Squad Archetypes'!$G$5:$G$23,MATCH($C10&amp;"|"&amp;$R10,'0.3 Squad Archetypes'!$A$5:$A$23,0)),"-")</f>
        <v>1.7</v>
      </c>
      <c r="M10" s="1252">
        <f>SUMIFS($G$30:$G$99,$F$30:$F$99,$B10)/1000000</f>
        <v>1.21232375</v>
      </c>
      <c r="N10" s="1252">
        <f>IFERROR($M10-$L10,"-")</f>
        <v>-0.48767625</v>
      </c>
      <c r="O10" s="1253">
        <f>SUMIFS($H$30:$H$99,$F$30:$F$99,$B10)/1000000</f>
        <v>0</v>
      </c>
      <c r="P10" s="1254">
        <f>$O10-$M10</f>
        <v>-1.21232375</v>
      </c>
      <c r="Q10" s="1254">
        <f>SUMIFS($G$30:$G$99,$F$30:$F$99,$B10,$D$30:$D$99,"Vacant")/1000000</f>
        <v>1.21232375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Retail'!$B$23:$B$68,0)),"No archetype for this squad")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COUNTIFS($F$30:$F$99,$B11)</f>
        <v>6</v>
      </c>
      <c r="F11" s="1250" t="str">
        <f>IFERROR($E11-$D11,"-")</f>
        <v>-</v>
      </c>
      <c r="G11" s="1250">
        <f>COUNTIFS($F$30:$F$99,$B11,$D$30:$D$99,"Vacant")</f>
        <v>0</v>
      </c>
      <c r="H11" s="1250">
        <f>COUNTIFS($F$30:$F$99,$B11,$D$30:$D$99,"Vacant",$E$30:$E$99,"Hire")+COUNTIFS($F$30:$F$99,$B11,$D$30:$D$99,"Vacant",$E$30:$E$99,"Offshore")</f>
        <v>0</v>
      </c>
      <c r="I11" s="1250">
        <f>COUNTIFS($F$30:$F$99,$B11,$D$30:$D$99,"Vacant",$E$30:$E$99,"Hold")</f>
        <v>0</v>
      </c>
      <c r="J11" s="1251">
        <f>$E11-COUNTIFS($F$30:$F$99,$B11,$E$30:$E$99,"Hold")</f>
        <v>6</v>
      </c>
      <c r="K11" s="1152" t="str">
        <f>IF(NOT(ISNUMBER($D11)),"No archetype - see 0.3",IF($J11&gt;$D11,"Over archetype after decisions",IF($J11&lt;$D11,"Under archetype","On archetype")))</f>
        <v>No archetype - see 0.3</v>
      </c>
      <c r="L11" s="1252" t="str">
        <f>IFERROR(INDEX('0.3 Squad Archetypes'!$G$5:$G$23,MATCH($C11&amp;"|"&amp;$R11,'0.3 Squad Archetypes'!$A$5:$A$23,0)),"-")</f>
        <v>-</v>
      </c>
      <c r="M11" s="1252">
        <f>SUMIFS($G$30:$G$99,$F$30:$F$99,$B11)/1000000</f>
        <v>1.221357614</v>
      </c>
      <c r="N11" s="1252" t="str">
        <f>IFERROR($M11-$L11,"-")</f>
        <v>-</v>
      </c>
      <c r="O11" s="1253">
        <f>SUMIFS($H$30:$H$99,$F$30:$F$99,$B11)/1000000</f>
        <v>1.221357614</v>
      </c>
      <c r="P11" s="1254">
        <f>$O11-$M11</f>
        <v>0</v>
      </c>
      <c r="Q11" s="1254">
        <f>SUMIFS($G$30:$G$99,$F$30:$F$99,$B11,$D$30:$D$99,"Vacant")/1000000</f>
        <v>0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Retail'!$B$23:$B$68,0)),"No archetype for this squad")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COUNTIFS($F$30:$F$99,$B12)</f>
        <v>6</v>
      </c>
      <c r="F12" s="1250">
        <f>IFERROR($E12-$D12,"-")</f>
        <v>0</v>
      </c>
      <c r="G12" s="1250">
        <f>COUNTIFS($F$30:$F$99,$B12,$D$30:$D$99,"Vacant")</f>
        <v>2</v>
      </c>
      <c r="H12" s="1250">
        <f>COUNTIFS($F$30:$F$99,$B12,$D$30:$D$99,"Vacant",$E$30:$E$99,"Hire")+COUNTIFS($F$30:$F$99,$B12,$D$30:$D$99,"Vacant",$E$30:$E$99,"Offshore")</f>
        <v>0</v>
      </c>
      <c r="I12" s="1250">
        <f>COUNTIFS($F$30:$F$99,$B12,$D$30:$D$99,"Vacant",$E$30:$E$99,"Hold")</f>
        <v>2</v>
      </c>
      <c r="J12" s="1251">
        <f>$E12-COUNTIFS($F$30:$F$99,$B12,$E$30:$E$99,"Hold")</f>
        <v>4</v>
      </c>
      <c r="K12" s="1152" t="str">
        <f>IF(NOT(ISNUMBER($D12)),"No archetype - see 0.3",IF($J12&gt;$D12,"Over archetype after decisions",IF($J12&lt;$D12,"Under archetype","On archetype")))</f>
        <v>Under archetype</v>
      </c>
      <c r="L12" s="1252">
        <f>IFERROR(INDEX('0.3 Squad Archetypes'!$G$5:$G$23,MATCH($C12&amp;"|"&amp;$R12,'0.3 Squad Archetypes'!$A$5:$A$23,0)),"-")</f>
        <v>1.4</v>
      </c>
      <c r="M12" s="1252">
        <f>SUMIFS($G$30:$G$99,$F$30:$F$99,$B12)/1000000</f>
        <v>1.1140311</v>
      </c>
      <c r="N12" s="1252">
        <f>IFERROR($M12-$L12,"-")</f>
        <v>-0.2859689</v>
      </c>
      <c r="O12" s="1253">
        <f>SUMIFS($H$30:$H$99,$F$30:$F$99,$B12)/1000000</f>
        <v>0.6794886</v>
      </c>
      <c r="P12" s="1254">
        <f>$O12-$M12</f>
        <v>-0.4345425</v>
      </c>
      <c r="Q12" s="1254">
        <f>SUMIFS($G$30:$G$99,$F$30:$F$99,$B12,$D$30:$D$99,"Vacant")/1000000</f>
        <v>0.4345425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/ QSR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Retail'!$B$23:$B$68,0)),"No archetype for this squad")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COUNTIFS($F$30:$F$99,$B13)</f>
        <v>5</v>
      </c>
      <c r="F13" s="1250">
        <f>IFERROR($E13-$D13,"-")</f>
        <v>1</v>
      </c>
      <c r="G13" s="1250">
        <f>COUNTIFS($F$30:$F$99,$B13,$D$30:$D$99,"Vacant")</f>
        <v>0</v>
      </c>
      <c r="H13" s="1250">
        <f>COUNTIFS($F$30:$F$99,$B13,$D$30:$D$99,"Vacant",$E$30:$E$99,"Hire")+COUNTIFS($F$30:$F$99,$B13,$D$30:$D$99,"Vacant",$E$30:$E$99,"Offshore")</f>
        <v>0</v>
      </c>
      <c r="I13" s="1250">
        <f>COUNTIFS($F$30:$F$99,$B13,$D$30:$D$99,"Vacant",$E$30:$E$99,"Hold")</f>
        <v>0</v>
      </c>
      <c r="J13" s="1251">
        <f>$E13-COUNTIFS($F$30:$F$99,$B13,$E$30:$E$99,"Hold")</f>
        <v>5</v>
      </c>
      <c r="K13" s="1152" t="str">
        <f>IF(NOT(ISNUMBER($D13)),"No archetype - see 0.3",IF($J13&gt;$D13,"Over archetype after decisions",IF($J13&lt;$D13,"Under archetype","On archetype")))</f>
        <v>Over archetype after decisions</v>
      </c>
      <c r="L13" s="1252">
        <f>IFERROR(INDEX('0.3 Squad Archetypes'!$G$5:$G$23,MATCH($C13&amp;"|"&amp;$R13,'0.3 Squad Archetypes'!$A$5:$A$23,0)),"-")</f>
        <v>0.8</v>
      </c>
      <c r="M13" s="1252">
        <f>SUMIFS($G$30:$G$99,$F$30:$F$99,$B13)/1000000</f>
        <v>0.893835732</v>
      </c>
      <c r="N13" s="1252">
        <f>IFERROR($M13-$L13,"-")</f>
        <v>0.093835732</v>
      </c>
      <c r="O13" s="1253">
        <f>SUMIFS($H$30:$H$99,$F$30:$F$99,$B13)/1000000</f>
        <v>0.893835732</v>
      </c>
      <c r="P13" s="1254">
        <f>$O13-$M13</f>
        <v>0</v>
      </c>
      <c r="Q13" s="1254">
        <f>SUMIFS($G$30:$G$99,$F$30:$F$99,$B13,$D$30:$D$99,"Vacant")/1000000</f>
        <v>0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Retail'!$B$23:$B$68,0)),"No archetype for this squad")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COUNTIFS($F$30:$F$99,$B14)</f>
        <v>4</v>
      </c>
      <c r="F14" s="1250">
        <f>IFERROR($E14-$D14,"-")</f>
        <v>-2</v>
      </c>
      <c r="G14" s="1250">
        <f>COUNTIFS($F$30:$F$99,$B14,$D$30:$D$99,"Vacant")</f>
        <v>1</v>
      </c>
      <c r="H14" s="1250">
        <f>COUNTIFS($F$30:$F$99,$B14,$D$30:$D$99,"Vacant",$E$30:$E$99,"Hire")+COUNTIFS($F$30:$F$99,$B14,$D$30:$D$99,"Vacant",$E$30:$E$99,"Offshore")</f>
        <v>0</v>
      </c>
      <c r="I14" s="1250">
        <f>COUNTIFS($F$30:$F$99,$B14,$D$30:$D$99,"Vacant",$E$30:$E$99,"Hold")</f>
        <v>1</v>
      </c>
      <c r="J14" s="1251">
        <f>$E14-COUNTIFS($F$30:$F$99,$B14,$E$30:$E$99,"Hold")</f>
        <v>3</v>
      </c>
      <c r="K14" s="1152" t="str">
        <f>IF(NOT(ISNUMBER($D14)),"No archetype - see 0.3",IF($J14&gt;$D14,"Over archetype after decisions",IF($J14&lt;$D14,"Under archetype","On archetype")))</f>
        <v>Under archetype</v>
      </c>
      <c r="L14" s="1252">
        <f>IFERROR(INDEX('0.3 Squad Archetypes'!$G$5:$G$23,MATCH($C14&amp;"|"&amp;$R14,'0.3 Squad Archetypes'!$A$5:$A$23,0)),"-")</f>
        <v>1.4</v>
      </c>
      <c r="M14" s="1252">
        <f>SUMIFS($G$30:$G$99,$F$30:$F$99,$B14)/1000000</f>
        <v>0.789428585</v>
      </c>
      <c r="N14" s="1252">
        <f>IFERROR($M14-$L14,"-")</f>
        <v>-0.610571415</v>
      </c>
      <c r="O14" s="1253">
        <f>SUMIFS($H$30:$H$99,$F$30:$F$99,$B14)/1000000</f>
        <v>0.618927</v>
      </c>
      <c r="P14" s="1254">
        <f>$O14-$M14</f>
        <v>-0.170501585</v>
      </c>
      <c r="Q14" s="1254">
        <f>SUMIFS($G$30:$G$99,$F$30:$F$99,$B14,$D$30:$D$99,"Vacant")/1000000</f>
        <v>0.170501585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COUNTIFS($F$30:$F$99,$B15)</f>
        <v>1</v>
      </c>
      <c r="F15" s="1250" t="str">
        <f>IFERROR($E15-$D15,"-")</f>
        <v>-</v>
      </c>
      <c r="G15" s="1250">
        <f>COUNTIFS($F$30:$F$99,$B15,$D$30:$D$99,"Vacant")</f>
        <v>0</v>
      </c>
      <c r="H15" s="1250">
        <f>COUNTIFS($F$30:$F$99,$B15,$D$30:$D$99,"Vacant",$E$30:$E$99,"Hire")+COUNTIFS($F$30:$F$99,$B15,$D$30:$D$99,"Vacant",$E$30:$E$99,"Offshore")</f>
        <v>0</v>
      </c>
      <c r="I15" s="1250">
        <f>COUNTIFS($F$30:$F$99,$B15,$D$30:$D$99,"Vacant",$E$30:$E$99,"Hold")</f>
        <v>0</v>
      </c>
      <c r="J15" s="1251">
        <f>$E15-COUNTIFS($F$30:$F$99,$B15,$E$30:$E$99,"Hold")</f>
        <v>1</v>
      </c>
      <c r="K15" s="1152" t="str">
        <f>IF(NOT(ISNUMBER($D15)),"No archetype - see 0.3",IF($J15&gt;$D15,"Over archetype after decisions",IF($J15&lt;$D15,"Under archetype","On archetype")))</f>
        <v>No archetype - see 0.3</v>
      </c>
      <c r="L15" s="1252" t="str">
        <f>IFERROR(INDEX('0.3 Squad Archetypes'!$G$5:$G$23,MATCH($C15&amp;"|"&amp;$R15,'0.3 Squad Archetypes'!$A$5:$A$23,0)),"-")</f>
        <v>-</v>
      </c>
      <c r="M15" s="1252">
        <f>SUMIFS($G$30:$G$99,$F$30:$F$99,$B15)/1000000</f>
        <v>0.2997</v>
      </c>
      <c r="N15" s="1252" t="str">
        <f>IFERROR($M15-$L15,"-")</f>
        <v>-</v>
      </c>
      <c r="O15" s="1253">
        <f>SUMIFS($H$30:$H$99,$F$30:$F$99,$B15)/1000000</f>
        <v>0.2997</v>
      </c>
      <c r="P15" s="1254">
        <f>$O15-$M15</f>
        <v>0</v>
      </c>
      <c r="Q15" s="1254">
        <f>SUMIFS($G$30:$G$99,$F$30:$F$99,$B15,$D$30:$D$99,"Vacant")/1000000</f>
        <v>0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</row>
    <row r="16">
      <c r="A16" s="949" t="n"/>
      <c r="B16" s="1212" t="inlineStr">
        <is>
          <t>Delivery squads</t>
        </is>
      </c>
      <c r="C16" s="635" t="n"/>
      <c r="D16" s="1249">
        <f>SUM(D6:D15)</f>
        <v>47.5</v>
      </c>
      <c r="E16" s="1250">
        <f>SUM(E6:E15)</f>
        <v>65</v>
      </c>
      <c r="F16" s="1250">
        <f>SUM(F6:F15)</f>
        <v>0.5</v>
      </c>
      <c r="G16" s="1250">
        <f>SUM(G6:G15)</f>
        <v>22</v>
      </c>
      <c r="H16" s="1250">
        <f>SUM(H6:H15)</f>
        <v>0</v>
      </c>
      <c r="I16" s="1250">
        <f>SUM(I6:I15)</f>
        <v>22</v>
      </c>
      <c r="J16" s="1251">
        <f>SUM(J6:J15)</f>
        <v>43</v>
      </c>
      <c r="K16" s="1152" t="n"/>
      <c r="L16" s="1252">
        <f>SUM(L6:L15)</f>
        <v>10.9</v>
      </c>
      <c r="M16" s="1252">
        <f>SUM(M6:M15)</f>
        <v>12.749611494</v>
      </c>
      <c r="N16" s="1252">
        <f>SUM(N6:N15)</f>
        <v>-1.786475838</v>
      </c>
      <c r="O16" s="1253">
        <f>SUM(O6:O15)</f>
        <v>8.440088804</v>
      </c>
      <c r="P16" s="1254">
        <f>SUM(P6:P15)</f>
        <v>-4.30952269</v>
      </c>
      <c r="Q16" s="1254">
        <f>SUM(Q6:Q15)</f>
        <v>4.30952269</v>
      </c>
    </row>
    <row r="17">
      <c r="A17" s="949" t="n"/>
      <c r="B17" s="1235" t="inlineStr">
        <is>
          <t>Overhead roles inside this portfolio - compared to the allowance</t>
        </is>
      </c>
      <c r="C17" s="641" t="n"/>
      <c r="D17" s="1255" t="n"/>
      <c r="E17" s="1255" t="n"/>
      <c r="F17" s="1255" t="n"/>
      <c r="G17" s="1255" t="n"/>
      <c r="H17" s="1255" t="n"/>
      <c r="I17" s="1255" t="n"/>
      <c r="J17" s="1256" t="n"/>
      <c r="K17" s="1155" t="n"/>
      <c r="L17" s="1257" t="n"/>
      <c r="M17" s="1257" t="n"/>
      <c r="N17" s="1257" t="n"/>
      <c r="O17" s="1258" t="n"/>
      <c r="P17" s="1254" t="n"/>
      <c r="Q17" s="1254" t="n"/>
    </row>
    <row r="18">
      <c r="A18" s="949" t="n"/>
      <c r="B18" s="504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COUNTIFS($F$30:$F$99,$B18)</f>
        <v>1</v>
      </c>
      <c r="F18" s="1261" t="str">
        <f>"-"</f>
        <v>-</v>
      </c>
      <c r="G18" s="1261">
        <f>COUNTIFS($F$30:$F$99,$B18,$D$30:$D$99,"Vacant")</f>
        <v>0</v>
      </c>
      <c r="H18" s="1261">
        <f>COUNTIFS($F$30:$F$99,$B18,$D$30:$D$99,"Vacant",$E$30:$E$99,"Hire")+COUNTIFS($F$30:$F$99,$B18,$D$30:$D$99,"Vacant",$E$30:$E$99,"Offshore")</f>
        <v>0</v>
      </c>
      <c r="I18" s="1261">
        <f>COUNTIFS($F$30:$F$99,$B18,$D$30:$D$99,"Vacant",$E$30:$E$99,"Hold")</f>
        <v>0</v>
      </c>
      <c r="J18" s="1261">
        <f>$E18-COUNTIFS($F$30:$F$99,$B18,$E$30:$E$99,"Hold")</f>
        <v>1</v>
      </c>
      <c r="K18" s="949" t="str">
        <f>"Overhead"</f>
        <v>Overhead</v>
      </c>
      <c r="L18" s="1263" t="str">
        <f>"-"</f>
        <v>-</v>
      </c>
      <c r="M18" s="1263">
        <f>SUMIFS($G$30:$G$99,$F$30:$F$99,$B18)/1000000</f>
        <v>0.18603225</v>
      </c>
      <c r="N18" s="1263" t="str">
        <f>"-"</f>
        <v>-</v>
      </c>
      <c r="O18" s="1263">
        <f>SUMIFS($H$30:$H$99,$F$30:$F$99,$B18)/1000000</f>
        <v>0.18603225</v>
      </c>
      <c r="P18" s="1254">
        <f>$O18-$M18</f>
        <v>0</v>
      </c>
      <c r="Q18" s="1254">
        <f>SUMIFS($G$30:$G$99,$F$30:$F$99,$B18,$D$30:$D$99,"Vacant")/1000000</f>
        <v>0</v>
      </c>
      <c r="R18" t="str">
        <f>"-"</f>
        <v>-</v>
      </c>
    </row>
    <row r="19">
      <c r="A19" s="949" t="n"/>
      <c r="B19" s="994" t="inlineStr">
        <is>
          <t>Delivery Manager</t>
        </is>
      </c>
      <c r="C19" s="949" t="str">
        <f>"Overhead - see 3.2"</f>
        <v>Overhead - see 3.2</v>
      </c>
      <c r="D19" s="1261" t="str">
        <f>"-"</f>
        <v>-</v>
      </c>
      <c r="E19" s="1262">
        <f>COUNTIFS($F$30:$F$99,$B19)</f>
        <v>1</v>
      </c>
      <c r="F19" s="1261" t="str">
        <f>"-"</f>
        <v>-</v>
      </c>
      <c r="G19" s="1261">
        <f>COUNTIFS($F$30:$F$99,$B19,$D$30:$D$99,"Vacant")</f>
        <v>0</v>
      </c>
      <c r="H19" s="1261">
        <f>COUNTIFS($F$30:$F$99,$B19,$D$30:$D$99,"Vacant",$E$30:$E$99,"Hire")+COUNTIFS($F$30:$F$99,$B19,$D$30:$D$99,"Vacant",$E$30:$E$99,"Offshore")</f>
        <v>0</v>
      </c>
      <c r="I19" s="1261">
        <f>COUNTIFS($F$30:$F$99,$B19,$D$30:$D$99,"Vacant",$E$30:$E$99,"Hold")</f>
        <v>0</v>
      </c>
      <c r="J19" s="1261">
        <f>$E19-COUNTIFS($F$30:$F$99,$B19,$E$30:$E$99,"Hold")</f>
        <v>1</v>
      </c>
      <c r="K19" s="949" t="str">
        <f>"Overhead"</f>
        <v>Overhead</v>
      </c>
      <c r="L19" s="1263" t="str">
        <f>"-"</f>
        <v>-</v>
      </c>
      <c r="M19" s="1263">
        <f>SUMIFS($G$30:$G$99,$F$30:$F$99,$B19)/1000000</f>
        <v>0.30293735</v>
      </c>
      <c r="N19" s="1263" t="str">
        <f>"-"</f>
        <v>-</v>
      </c>
      <c r="O19" s="1263">
        <f>SUMIFS($H$30:$H$99,$F$30:$F$99,$B19)/1000000</f>
        <v>0.30293735</v>
      </c>
      <c r="P19" s="1254">
        <f>$O19-$M19</f>
        <v>0</v>
      </c>
      <c r="Q19" s="1254">
        <f>SUMIFS($G$30:$G$99,$F$30:$F$99,$B19,$D$30:$D$99,"Vacant")/1000000</f>
        <v>0</v>
      </c>
      <c r="R19" t="str">
        <f>"-"</f>
        <v>-</v>
      </c>
    </row>
    <row r="20">
      <c r="A20" s="949" t="n"/>
      <c r="B20" s="994" t="inlineStr">
        <is>
          <t>Technology Manager</t>
        </is>
      </c>
      <c r="C20" s="949" t="str">
        <f>"Overhead - see 3.2"</f>
        <v>Overhead - see 3.2</v>
      </c>
      <c r="D20" s="1261" t="str">
        <f>"-"</f>
        <v>-</v>
      </c>
      <c r="E20" s="1261">
        <f>COUNTIFS($F$30:$F$99,$B20)</f>
        <v>3</v>
      </c>
      <c r="F20" s="1261" t="str">
        <f>"-"</f>
        <v>-</v>
      </c>
      <c r="G20" s="1261">
        <f>COUNTIFS($F$30:$F$99,$B20,$D$30:$D$99,"Vacant")</f>
        <v>0</v>
      </c>
      <c r="H20" s="1261">
        <f>COUNTIFS($F$30:$F$99,$B20,$D$30:$D$99,"Vacant",$E$30:$E$99,"Hire")+COUNTIFS($F$30:$F$99,$B20,$D$30:$D$99,"Vacant",$E$30:$E$99,"Offshore")</f>
        <v>0</v>
      </c>
      <c r="I20" s="1261">
        <f>COUNTIFS($F$30:$F$99,$B20,$D$30:$D$99,"Vacant",$E$30:$E$99,"Hold")</f>
        <v>0</v>
      </c>
      <c r="J20" s="1261">
        <f>$E20-COUNTIFS($F$30:$F$99,$B20,$E$30:$E$99,"Hold")</f>
        <v>3</v>
      </c>
      <c r="K20" s="949" t="str">
        <f>"Overhead"</f>
        <v>Overhead</v>
      </c>
      <c r="L20" s="1263" t="str">
        <f>"-"</f>
        <v>-</v>
      </c>
      <c r="M20" s="1263">
        <f>SUMIFS($G$30:$G$99,$F$30:$F$99,$B20)/1000000</f>
        <v>0.766646363</v>
      </c>
      <c r="N20" s="1263" t="str">
        <f>"-"</f>
        <v>-</v>
      </c>
      <c r="O20" s="1263">
        <f>SUMIFS($H$30:$H$99,$F$30:$F$99,$B20)/1000000</f>
        <v>0.766646363</v>
      </c>
      <c r="P20" s="1254">
        <f>$O20-$M20</f>
        <v>0</v>
      </c>
      <c r="Q20" s="1254">
        <f>SUMIFS($G$30:$G$99,$F$30:$F$99,$B20,$D$30:$D$99,"Vacant")/1000000</f>
        <v>0</v>
      </c>
      <c r="R20" t="str">
        <f>"-"</f>
        <v>-</v>
      </c>
    </row>
    <row r="21">
      <c r="A21" s="949" t="n"/>
      <c r="B21" s="1226" t="inlineStr">
        <is>
          <t>Overhead roles</t>
        </is>
      </c>
      <c r="C21" s="432" t="n"/>
      <c r="D21" s="1279" t="n"/>
      <c r="E21" s="1279">
        <f>SUM(E18:E20)</f>
        <v>5</v>
      </c>
      <c r="F21" s="1279" t="n"/>
      <c r="G21" s="1280">
        <f>SUM(G18:G20)</f>
        <v>0</v>
      </c>
      <c r="H21" s="1280">
        <f>SUM(H18:H20)</f>
        <v>0</v>
      </c>
      <c r="I21" s="1280">
        <f>SUM(I18:I20)</f>
        <v>0</v>
      </c>
      <c r="J21" s="1280">
        <f>SUM(J18:J20)</f>
        <v>5</v>
      </c>
      <c r="K21" s="949" t="n"/>
      <c r="L21" s="1263" t="n"/>
      <c r="M21" s="1263">
        <f>SUM(M18:M20)</f>
        <v>1.255615963</v>
      </c>
      <c r="N21" s="1263" t="n"/>
      <c r="O21" s="1263">
        <f>SUM(O18:O20)</f>
        <v>1.255615963</v>
      </c>
      <c r="P21" s="1254">
        <f>SUM(P18:P20)</f>
        <v>0</v>
      </c>
      <c r="Q21" s="1254">
        <f>SUM(Q18:Q20)</f>
        <v>0</v>
      </c>
    </row>
    <row r="22">
      <c r="A22" s="949" t="n"/>
      <c r="B22" s="504" t="n"/>
      <c r="C22" s="442" t="n"/>
      <c r="D22" s="1281" t="n"/>
      <c r="E22" s="1262" t="n"/>
      <c r="F22" s="1281" t="n"/>
      <c r="G22" s="1281" t="n"/>
      <c r="H22" s="1281" t="n"/>
      <c r="I22" s="1281" t="n"/>
      <c r="J22" s="1281" t="n"/>
      <c r="K22" s="442" t="n"/>
      <c r="L22" s="1282" t="n"/>
      <c r="M22" s="1282" t="n"/>
      <c r="N22" s="1282" t="n"/>
      <c r="O22" s="1263" t="n"/>
      <c r="P22" s="1254" t="n"/>
      <c r="Q22" s="1254" t="n"/>
    </row>
    <row r="23">
      <c r="A23" s="949" t="n"/>
      <c r="B23" s="1226" t="inlineStr">
        <is>
          <t>Total portfolio</t>
        </is>
      </c>
      <c r="C23" s="442" t="n"/>
      <c r="D23" s="1281">
        <f>$D16</f>
        <v>47.5</v>
      </c>
      <c r="E23" s="1262">
        <f>$E16+$E21</f>
        <v>70</v>
      </c>
      <c r="F23" s="1281">
        <f>IFERROR($E16-$D16,"-")</f>
        <v>17.5</v>
      </c>
      <c r="G23" s="1281">
        <f>$G16+$G21</f>
        <v>22</v>
      </c>
      <c r="H23" s="1281">
        <f>$H16+$H21</f>
        <v>0</v>
      </c>
      <c r="I23" s="1281">
        <f>$I16+$I21</f>
        <v>22</v>
      </c>
      <c r="J23" s="1281">
        <f>$J16+$J21</f>
        <v>48</v>
      </c>
      <c r="K23" s="442" t="n"/>
      <c r="L23" s="1282">
        <f>$L16</f>
        <v>10.9</v>
      </c>
      <c r="M23" s="1282">
        <f>$M16+$M21</f>
        <v>14.005227457</v>
      </c>
      <c r="N23" s="1282">
        <f>IFERROR($M16-$L16,"-")</f>
        <v>1.849611494</v>
      </c>
      <c r="O23" s="1263">
        <f>$O16+$O21</f>
        <v>9.695704767</v>
      </c>
      <c r="P23" s="1254">
        <f>$P16+$P21</f>
        <v>-4.30952269</v>
      </c>
      <c r="Q23" s="1254">
        <f>$Q16+$Q21</f>
        <v>4.30952269</v>
      </c>
    </row>
    <row r="24" ht="15.65" customHeight="1">
      <c r="A24" s="949" t="n"/>
      <c r="B24" s="1283" t="inlineStr">
        <is>
          <t>Archetype columns D, F, L and N cover the delivery squads only - overhead is not priced by a squad archetype.</t>
        </is>
      </c>
      <c r="C24" s="1259" t="n"/>
      <c r="D24" s="1259" t="n"/>
      <c r="E24" s="1259" t="n"/>
      <c r="F24" s="1259" t="n"/>
      <c r="G24" s="1259" t="n"/>
      <c r="H24" s="1259" t="n"/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1232" t="inlineStr">
        <is>
          <t>Control - roles vs the ledger, must be 0</t>
        </is>
      </c>
      <c r="C25" s="533" t="n"/>
      <c r="D25" s="533" t="n"/>
      <c r="E25" s="533">
        <f>COUNTIFS('REVIEW - Complete Role Mapping'!$AJ$2:$AJ$528,"Ampol Retail")-$E23</f>
        <v>0</v>
      </c>
      <c r="F25" s="533" t="n"/>
      <c r="G25" s="627" t="n"/>
      <c r="H25" s="627" t="n"/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1284" t="inlineStr">
        <is>
          <t>Control - cost vs the ledger ($m), must be 0</t>
        </is>
      </c>
      <c r="C26" s="646" t="n"/>
      <c r="D26" s="646" t="n"/>
      <c r="E26" s="646" t="n"/>
      <c r="F26" s="646" t="n"/>
      <c r="G26" s="627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Mapping'!$AJ$2:$AJ$528,"Ampol Retail")/1000000-$M23,6)</f>
        <v>0</v>
      </c>
      <c r="N26" s="949" t="n"/>
      <c r="O26" s="949" t="n"/>
    </row>
    <row r="27">
      <c r="A27" s="949" t="n"/>
      <c r="B27" s="634" t="n"/>
      <c r="C27" s="634" t="n"/>
      <c r="D27" s="612" t="n"/>
      <c r="E27" s="612" t="n"/>
      <c r="F27" s="634" t="n"/>
      <c r="G27" s="627" t="n"/>
      <c r="H27" s="627" t="n"/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1234" t="inlineStr">
        <is>
          <t>Ampol Retail roles - one row per named role, from REVIEW</t>
        </is>
      </c>
      <c r="C28" s="634" t="n"/>
      <c r="D28" s="612" t="n"/>
      <c r="E28" s="612" t="n"/>
      <c r="F28" s="634" t="n"/>
      <c r="G28" s="627" t="n"/>
      <c r="H28" s="627" t="n"/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64" t="inlineStr">
        <is>
          <t>Squad or overhead line</t>
        </is>
      </c>
      <c r="G29" s="1285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Mapping'!$B:$B,36)</f>
        <v>Joseph Maroun</v>
      </c>
      <c r="C30" s="634" t="str">
        <f>INDEX('REVIEW - Complete Role Mapping'!$C:$C,36)</f>
        <v>Systems Analyst</v>
      </c>
      <c r="D30" s="612" t="str">
        <f>INDEX('REVIEW - Complete Role Mapping'!$AK:$AK,36)</f>
        <v>Filled</v>
      </c>
      <c r="E30" s="612" t="inlineStr">
        <is>
          <t>Filled</t>
        </is>
      </c>
      <c r="F30" s="634" t="str">
        <f>IF(INDEX('REVIEW - Complete Role Mapping'!$AR:$AR,36)="Squad",INDEX('REVIEW - Complete Role Mapping'!$AP:$AP,36),INDEX('REVIEW - Complete Role Mapping'!$AR:$AR,36))</f>
        <v>Above Store</v>
      </c>
      <c r="G30" s="627">
        <f>INDEX('REVIEW - Complete Role Mapping'!$AA:$AA,36)</f>
        <v>176565.05</v>
      </c>
      <c r="H30" s="627">
        <f>$G30*IFERROR(INDEX(Lists!$AD:$AD,MATCH($E30,Lists!$AC:$AC,0)),1)</f>
        <v>176565.05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Mapping'!$B:$B,43)</f>
        <v>Majdi Abedi</v>
      </c>
      <c r="C31" s="634" t="str">
        <f>INDEX('REVIEW - Complete Role Mapping'!$C:$C,43)</f>
        <v>Systems Analyst</v>
      </c>
      <c r="D31" s="612" t="str">
        <f>INDEX('REVIEW - Complete Role Mapping'!$AK:$AK,43)</f>
        <v>Filled</v>
      </c>
      <c r="E31" s="647" t="inlineStr">
        <is>
          <t>Filled</t>
        </is>
      </c>
      <c r="F31" s="648" t="str">
        <f>IF(INDEX('REVIEW - Complete Role Mapping'!$AR:$AR,43)="Squad",INDEX('REVIEW - Complete Role Mapping'!$AP:$AP,43),INDEX('REVIEW - Complete Role Mapping'!$AR:$AR,43))</f>
        <v>Above Store</v>
      </c>
      <c r="G31" s="627">
        <f>INDEX('REVIEW - Complete Role Mapping'!$AA:$AA,43)</f>
        <v>134367.972</v>
      </c>
      <c r="H31" s="627">
        <f>$G31*IFERROR(INDEX(Lists!$AD:$AD,MATCH($E31,Lists!$AC:$AC,0)),1)</f>
        <v>134367.972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Mapping'!$B:$B,53)</f>
        <v>Pahul Oberoi</v>
      </c>
      <c r="C32" s="634" t="str">
        <f>INDEX('REVIEW - Complete Role Mapping'!$C:$C,53)</f>
        <v>Systems Analyst</v>
      </c>
      <c r="D32" s="612" t="str">
        <f>INDEX('REVIEW - Complete Role Mapping'!$AK:$AK,53)</f>
        <v>Filled</v>
      </c>
      <c r="E32" s="647" t="inlineStr">
        <is>
          <t>Filled</t>
        </is>
      </c>
      <c r="F32" s="648" t="str">
        <f>IF(INDEX('REVIEW - Complete Role Mapping'!$AR:$AR,53)="Squad",INDEX('REVIEW - Complete Role Mapping'!$AP:$AP,53),INDEX('REVIEW - Complete Role Mapping'!$AR:$AR,53))</f>
        <v>Above Store</v>
      </c>
      <c r="G32" s="627">
        <f>INDEX('REVIEW - Complete Role Mapping'!$AA:$AA,53)</f>
        <v>162060.6</v>
      </c>
      <c r="H32" s="627">
        <f>$G32*IFERROR(INDEX(Lists!$AD:$AD,MATCH($E32,Lists!$AC:$AC,0)),1)</f>
        <v>162060.6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Mapping'!$B:$B,58)</f>
        <v>Sao Keawprasit</v>
      </c>
      <c r="C33" s="634" t="str">
        <f>INDEX('REVIEW - Complete Role Mapping'!$C:$C,58)</f>
        <v>Systems Analyst</v>
      </c>
      <c r="D33" s="612" t="str">
        <f>INDEX('REVIEW - Complete Role Mapping'!$AK:$AK,58)</f>
        <v>Filled</v>
      </c>
      <c r="E33" s="612" t="inlineStr">
        <is>
          <t>Filled</t>
        </is>
      </c>
      <c r="F33" s="634" t="str">
        <f>IF(INDEX('REVIEW - Complete Role Mapping'!$AR:$AR,58)="Squad",INDEX('REVIEW - Complete Role Mapping'!$AP:$AP,58),INDEX('REVIEW - Complete Role Mapping'!$AR:$AR,58))</f>
        <v>Above Store</v>
      </c>
      <c r="G33" s="627">
        <f>INDEX('REVIEW - Complete Role Mapping'!$AA:$AA,58)</f>
        <v>203213.7</v>
      </c>
      <c r="H33" s="627">
        <f>$G33*IFERROR(INDEX(Lists!$AD:$AD,MATCH($E33,Lists!$AC:$AC,0)),1)</f>
        <v>203213.7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Mapping'!$B:$B,102)</f>
        <v>Vijay Patel</v>
      </c>
      <c r="C34" s="646" t="str">
        <f>INDEX('REVIEW - Complete Role Mapping'!$C:$C,102)</f>
        <v>Systems Analyst</v>
      </c>
      <c r="D34" s="646" t="str">
        <f>INDEX('REVIEW - Complete Role Mapping'!$AK:$AK,102)</f>
        <v>Filled</v>
      </c>
      <c r="E34" s="646" t="inlineStr">
        <is>
          <t>Filled</t>
        </is>
      </c>
      <c r="F34" s="646" t="str">
        <f>IF(INDEX('REVIEW - Complete Role Mapping'!$AR:$AR,102)="Squad",INDEX('REVIEW - Complete Role Mapping'!$AP:$AP,102),INDEX('REVIEW - Complete Role Mapping'!$AR:$AR,102))</f>
        <v>Above Store</v>
      </c>
      <c r="G34" s="627">
        <f>INDEX('REVIEW - Complete Role Mapping'!$AA:$AA,102)</f>
        <v>193575</v>
      </c>
      <c r="H34" s="627">
        <f>$G34*IFERROR(INDEX(Lists!$AD:$AD,MATCH($E34,Lists!$AC:$AC,0)),1)</f>
        <v>193575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Mapping'!$B:$B,106)</f>
        <v>Zhan Zhang</v>
      </c>
      <c r="C35" s="634" t="str">
        <f>INDEX('REVIEW - Complete Role Mapping'!$C:$C,106)</f>
        <v>Solution Architect</v>
      </c>
      <c r="D35" s="612" t="str">
        <f>INDEX('REVIEW - Complete Role Mapping'!$AK:$AK,106)</f>
        <v>Filled</v>
      </c>
      <c r="E35" s="612" t="inlineStr">
        <is>
          <t>Filled</t>
        </is>
      </c>
      <c r="F35" s="634" t="str">
        <f>IF(INDEX('REVIEW - Complete Role Mapping'!$AR:$AR,106)="Squad",INDEX('REVIEW - Complete Role Mapping'!$AP:$AP,106),INDEX('REVIEW - Complete Role Mapping'!$AR:$AR,106))</f>
        <v>Above Store</v>
      </c>
      <c r="G35" s="627">
        <f>INDEX('REVIEW - Complete Role Mapping'!$AA:$AA,106)</f>
        <v>243637.5</v>
      </c>
      <c r="H35" s="627">
        <f>$G35*IFERROR(INDEX(Lists!$AD:$AD,MATCH($E35,Lists!$AC:$AC,0)),1)</f>
        <v>243637.5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Mapping'!$B:$B,107)</f>
        <v>Zuan Zheng</v>
      </c>
      <c r="C36" s="634" t="str">
        <f>INDEX('REVIEW - Complete Role Mapping'!$C:$C,107)</f>
        <v>Systems Analyst</v>
      </c>
      <c r="D36" s="612" t="str">
        <f>INDEX('REVIEW - Complete Role Mapping'!$AK:$AK,107)</f>
        <v>Filled</v>
      </c>
      <c r="E36" s="612" t="inlineStr">
        <is>
          <t>Filled</t>
        </is>
      </c>
      <c r="F36" s="634" t="str">
        <f>IF(INDEX('REVIEW - Complete Role Mapping'!$AR:$AR,107)="Squad",INDEX('REVIEW - Complete Role Mapping'!$AP:$AP,107),INDEX('REVIEW - Complete Role Mapping'!$AR:$AR,107))</f>
        <v>Above Store</v>
      </c>
      <c r="G36" s="627">
        <f>INDEX('REVIEW - Complete Role Mapping'!$AA:$AA,107)</f>
        <v>239072.45</v>
      </c>
      <c r="H36" s="627">
        <f>$G36*IFERROR(INDEX(Lists!$AD:$AD,MATCH($E36,Lists!$AC:$AC,0)),1)</f>
        <v>239072.45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Mapping'!$B:$B,67)</f>
        <v>Vacant</v>
      </c>
      <c r="C37" s="634" t="str">
        <f>INDEX('REVIEW - Complete Role Mapping'!$C:$C,67)</f>
        <v>Business Analyst</v>
      </c>
      <c r="D37" s="612" t="str">
        <f>INDEX('REVIEW - Complete Role Mapping'!$AK:$AK,67)</f>
        <v>Vacant</v>
      </c>
      <c r="E37" s="612" t="inlineStr">
        <is>
          <t>Hold</t>
        </is>
      </c>
      <c r="F37" s="634" t="str">
        <f>IF(INDEX('REVIEW - Complete Role Mapping'!$AR:$AR,67)="Squad",INDEX('REVIEW - Complete Role Mapping'!$AP:$AP,67),INDEX('REVIEW - Complete Role Mapping'!$AR:$AR,67))</f>
        <v>Above Store</v>
      </c>
      <c r="G37" s="627">
        <f>INDEX('REVIEW - Complete Role Mapping'!$AA:$AA,67)</f>
        <v>202853.25</v>
      </c>
      <c r="H37" s="627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Mapping'!$B:$B,79)</f>
        <v>Vacant</v>
      </c>
      <c r="C38" s="634" t="str">
        <f>INDEX('REVIEW - Complete Role Mapping'!$C:$C,79)</f>
        <v>Engineer - Integration</v>
      </c>
      <c r="D38" s="612" t="str">
        <f>INDEX('REVIEW - Complete Role Mapping'!$AK:$AK,79)</f>
        <v>Vacant</v>
      </c>
      <c r="E38" s="612" t="inlineStr">
        <is>
          <t>Hold</t>
        </is>
      </c>
      <c r="F38" s="634" t="str">
        <f>IF(INDEX('REVIEW - Complete Role Mapping'!$AR:$AR,79)="Squad",INDEX('REVIEW - Complete Role Mapping'!$AP:$AP,79),INDEX('REVIEW - Complete Role Mapping'!$AR:$AR,79))</f>
        <v>Above Store</v>
      </c>
      <c r="G38" s="627">
        <f>INDEX('REVIEW - Complete Role Mapping'!$AA:$AA,79)</f>
        <v>170489.75</v>
      </c>
      <c r="H38" s="627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Mapping'!$B:$B,85)</f>
        <v>Vacant</v>
      </c>
      <c r="C39" s="646" t="str">
        <f>INDEX('REVIEW - Complete Role Mapping'!$C:$C,85)</f>
        <v>Quality Assurance</v>
      </c>
      <c r="D39" s="646" t="str">
        <f>INDEX('REVIEW - Complete Role Mapping'!$AK:$AK,85)</f>
        <v>Vacant</v>
      </c>
      <c r="E39" s="646" t="inlineStr">
        <is>
          <t>Hold</t>
        </is>
      </c>
      <c r="F39" s="646" t="str">
        <f>IF(INDEX('REVIEW - Complete Role Mapping'!$AR:$AR,85)="Squad",INDEX('REVIEW - Complete Role Mapping'!$AP:$AP,85),INDEX('REVIEW - Complete Role Mapping'!$AR:$AR,85))</f>
        <v>Above Store</v>
      </c>
      <c r="G39" s="627">
        <f>INDEX('REVIEW - Complete Role Mapping'!$AA:$AA,85)</f>
        <v>170501.585</v>
      </c>
      <c r="H39" s="627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Mapping'!$B:$B,92)</f>
        <v>Vacant</v>
      </c>
      <c r="C40" s="634" t="str">
        <f>INDEX('REVIEW - Complete Role Mapping'!$C:$C,92)</f>
        <v>Systems Analyst</v>
      </c>
      <c r="D40" s="612" t="str">
        <f>INDEX('REVIEW - Complete Role Mapping'!$AK:$AK,92)</f>
        <v>Vacant</v>
      </c>
      <c r="E40" s="612" t="inlineStr">
        <is>
          <t>Hold</t>
        </is>
      </c>
      <c r="F40" s="634" t="str">
        <f>IF(INDEX('REVIEW - Complete Role Mapping'!$AR:$AR,92)="Squad",INDEX('REVIEW - Complete Role Mapping'!$AP:$AP,92),INDEX('REVIEW - Complete Role Mapping'!$AR:$AR,92))</f>
        <v>Above Store</v>
      </c>
      <c r="G40" s="627">
        <f>INDEX('REVIEW - Complete Role Mapping'!$AA:$AA,92)</f>
        <v>201585</v>
      </c>
      <c r="H40" s="627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Mapping'!$B:$B,13)</f>
        <v>Balaji Murugan</v>
      </c>
      <c r="C41" s="634" t="str">
        <f>INDEX('REVIEW - Complete Role Mapping'!$C:$C,13)</f>
        <v>Delivery Lead</v>
      </c>
      <c r="D41" s="612" t="str">
        <f>INDEX('REVIEW - Complete Role Mapping'!$AK:$AK,13)</f>
        <v>Filled</v>
      </c>
      <c r="E41" s="612" t="inlineStr">
        <is>
          <t>Filled</t>
        </is>
      </c>
      <c r="F41" s="634" t="str">
        <f>IF(INDEX('REVIEW - Complete Role Mapping'!$AR:$AR,13)="Squad",INDEX('REVIEW - Complete Role Mapping'!$AP:$AP,13),INDEX('REVIEW - Complete Role Mapping'!$AR:$AR,13))</f>
        <v>AmPOS</v>
      </c>
      <c r="G41" s="627">
        <f>INDEX('REVIEW - Complete Role Mapping'!$AA:$AA,13)</f>
        <v>237654.03</v>
      </c>
      <c r="H41" s="627">
        <f>$G41*IFERROR(INDEX(Lists!$AD:$AD,MATCH($E41,Lists!$AC:$AC,0)),1)</f>
        <v>237654.03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Mapping'!$B:$B,467)</f>
        <v>Hardik Trivedi</v>
      </c>
      <c r="C42" s="634" t="str">
        <f>INDEX('REVIEW - Complete Role Mapping'!$C:$C,467)</f>
        <v>Snr Business Analyst</v>
      </c>
      <c r="D42" s="612" t="str">
        <f>INDEX('REVIEW - Complete Role Mapping'!$AK:$AK,467)</f>
        <v>Filled</v>
      </c>
      <c r="E42" s="612" t="inlineStr">
        <is>
          <t>Filled</t>
        </is>
      </c>
      <c r="F42" s="634" t="str">
        <f>IF(INDEX('REVIEW - Complete Role Mapping'!$AR:$AR,467)="Squad",INDEX('REVIEW - Complete Role Mapping'!$AP:$AP,467),INDEX('REVIEW - Complete Role Mapping'!$AR:$AR,467))</f>
        <v>AmPOS</v>
      </c>
      <c r="G42" s="627">
        <f>INDEX('REVIEW - Complete Role Mapping'!$AA:$AA,467)</f>
        <v>210342.6</v>
      </c>
      <c r="H42" s="627">
        <f>$G42*IFERROR(INDEX(Lists!$AD:$AD,MATCH($E42,Lists!$AC:$AC,0)),1)</f>
        <v>210342.6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Mapping'!$B:$B,30)</f>
        <v>Irfan Zavahir</v>
      </c>
      <c r="C43" s="634" t="str">
        <f>INDEX('REVIEW - Complete Role Mapping'!$C:$C,30)</f>
        <v>Delivery Lead</v>
      </c>
      <c r="D43" s="612" t="str">
        <f>INDEX('REVIEW - Complete Role Mapping'!$AK:$AK,30)</f>
        <v>Filled</v>
      </c>
      <c r="E43" s="612" t="inlineStr">
        <is>
          <t>Filled</t>
        </is>
      </c>
      <c r="F43" s="634" t="str">
        <f>IF(INDEX('REVIEW - Complete Role Mapping'!$AR:$AR,30)="Squad",INDEX('REVIEW - Complete Role Mapping'!$AP:$AP,30),INDEX('REVIEW - Complete Role Mapping'!$AR:$AR,30))</f>
        <v>AmPOS</v>
      </c>
      <c r="G43" s="627">
        <f>INDEX('REVIEW - Complete Role Mapping'!$AA:$AA,30)</f>
        <v>161334</v>
      </c>
      <c r="H43" s="627">
        <f>$G43*IFERROR(INDEX(Lists!$AD:$AD,MATCH($E43,Lists!$AC:$AC,0)),1)</f>
        <v>161334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Mapping'!$B:$B,37)</f>
        <v>Karthick Sathiyamoorthy</v>
      </c>
      <c r="C44" s="634" t="str">
        <f>INDEX('REVIEW - Complete Role Mapping'!$C:$C,37)</f>
        <v>Quality Assurance</v>
      </c>
      <c r="D44" s="612" t="str">
        <f>INDEX('REVIEW - Complete Role Mapping'!$AK:$AK,37)</f>
        <v>Filled</v>
      </c>
      <c r="E44" s="612" t="inlineStr">
        <is>
          <t>Filled</t>
        </is>
      </c>
      <c r="F44" s="634" t="str">
        <f>IF(INDEX('REVIEW - Complete Role Mapping'!$AR:$AR,37)="Squad",INDEX('REVIEW - Complete Role Mapping'!$AP:$AP,37),INDEX('REVIEW - Complete Role Mapping'!$AR:$AR,37))</f>
        <v>AmPOS</v>
      </c>
      <c r="G44" s="627">
        <f>INDEX('REVIEW - Complete Role Mapping'!$AA:$AA,37)</f>
        <v>194028.9</v>
      </c>
      <c r="H44" s="627">
        <f>$G44*IFERROR(INDEX(Lists!$AD:$AD,MATCH($E44,Lists!$AC:$AC,0)),1)</f>
        <v>194028.9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Mapping'!$B:$B,39)</f>
        <v>Kate Johnstone</v>
      </c>
      <c r="C45" s="634" t="str">
        <f>INDEX('REVIEW - Complete Role Mapping'!$C:$C,39)</f>
        <v>Program Manager POS</v>
      </c>
      <c r="D45" s="612" t="str">
        <f>INDEX('REVIEW - Complete Role Mapping'!$AK:$AK,39)</f>
        <v>Filled</v>
      </c>
      <c r="E45" s="612" t="inlineStr">
        <is>
          <t>Filled</t>
        </is>
      </c>
      <c r="F45" s="634" t="str">
        <f>IF(INDEX('REVIEW - Complete Role Mapping'!$AR:$AR,39)="Squad",INDEX('REVIEW - Complete Role Mapping'!$AP:$AP,39),INDEX('REVIEW - Complete Role Mapping'!$AR:$AR,39))</f>
        <v>AmPOS</v>
      </c>
      <c r="G45" s="627">
        <f>INDEX('REVIEW - Complete Role Mapping'!$AA:$AA,39)</f>
        <v>202026.336</v>
      </c>
      <c r="H45" s="627">
        <f>$G45*IFERROR(INDEX(Lists!$AD:$AD,MATCH($E45,Lists!$AC:$AC,0)),1)</f>
        <v>202026.336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Mapping'!$B:$B,380)</f>
        <v>Kevin Nelson</v>
      </c>
      <c r="C46" s="634" t="str">
        <f>INDEX('REVIEW - Complete Role Mapping'!$C:$C,380)</f>
        <v>Delivery Lead</v>
      </c>
      <c r="D46" s="612" t="str">
        <f>INDEX('REVIEW - Complete Role Mapping'!$AK:$AK,380)</f>
        <v>Filled</v>
      </c>
      <c r="E46" s="647" t="inlineStr">
        <is>
          <t>Filled</t>
        </is>
      </c>
      <c r="F46" s="648" t="str">
        <f>IF(INDEX('REVIEW - Complete Role Mapping'!$AR:$AR,380)="Squad",INDEX('REVIEW - Complete Role Mapping'!$AP:$AP,380),INDEX('REVIEW - Complete Role Mapping'!$AR:$AR,380))</f>
        <v>AmPOS</v>
      </c>
      <c r="G46" s="627">
        <f>INDEX('REVIEW - Complete Role Mapping'!$AA:$AA,380)</f>
        <v>253142.7</v>
      </c>
      <c r="H46" s="627">
        <f>$G46*IFERROR(INDEX(Lists!$AD:$AD,MATCH($E46,Lists!$AC:$AC,0)),1)</f>
        <v>253142.7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Mapping'!$B:$B,51)</f>
        <v>Mick Standen</v>
      </c>
      <c r="C47" s="634" t="str">
        <f>INDEX('REVIEW - Complete Role Mapping'!$C:$C,51)</f>
        <v>Systems Analyst</v>
      </c>
      <c r="D47" s="612" t="str">
        <f>INDEX('REVIEW - Complete Role Mapping'!$AK:$AK,51)</f>
        <v>Filled</v>
      </c>
      <c r="E47" s="647" t="inlineStr">
        <is>
          <t>Filled</t>
        </is>
      </c>
      <c r="F47" s="648" t="str">
        <f>IF(INDEX('REVIEW - Complete Role Mapping'!$AR:$AR,51)="Squad",INDEX('REVIEW - Complete Role Mapping'!$AP:$AP,51),INDEX('REVIEW - Complete Role Mapping'!$AR:$AR,51))</f>
        <v>AmPOS</v>
      </c>
      <c r="G47" s="627">
        <f>INDEX('REVIEW - Complete Role Mapping'!$AA:$AA,51)</f>
        <v>262647.9</v>
      </c>
      <c r="H47" s="627">
        <f>$G47*IFERROR(INDEX(Lists!$AD:$AD,MATCH($E47,Lists!$AC:$AC,0)),1)</f>
        <v>262647.9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Mapping'!$B:$B,55)</f>
        <v>Peter Nicolopoulos</v>
      </c>
      <c r="C48" s="646" t="str">
        <f>INDEX('REVIEW - Complete Role Mapping'!$C:$C,55)</f>
        <v>Systems Analyst</v>
      </c>
      <c r="D48" s="646" t="str">
        <f>INDEX('REVIEW - Complete Role Mapping'!$AK:$AK,55)</f>
        <v>Filled</v>
      </c>
      <c r="E48" s="646" t="inlineStr">
        <is>
          <t>Filled</t>
        </is>
      </c>
      <c r="F48" s="646" t="str">
        <f>IF(INDEX('REVIEW - Complete Role Mapping'!$AR:$AR,55)="Squad",INDEX('REVIEW - Complete Role Mapping'!$AP:$AP,55),INDEX('REVIEW - Complete Role Mapping'!$AR:$AR,55))</f>
        <v>AmPOS</v>
      </c>
      <c r="G48" s="627">
        <f>INDEX('REVIEW - Complete Role Mapping'!$AA:$AA,55)</f>
        <v>147460.584</v>
      </c>
      <c r="H48" s="627">
        <f>$G48*IFERROR(INDEX(Lists!$AD:$AD,MATCH($E48,Lists!$AC:$AC,0)),1)</f>
        <v>147460.584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Mapping'!$B:$B,62)</f>
        <v>Tabitha Raharadjo</v>
      </c>
      <c r="C49" s="634" t="str">
        <f>INDEX('REVIEW - Complete Role Mapping'!$C:$C,62)</f>
        <v>Project Coordinator</v>
      </c>
      <c r="D49" s="612" t="str">
        <f>INDEX('REVIEW - Complete Role Mapping'!$AK:$AK,62)</f>
        <v>Filled</v>
      </c>
      <c r="E49" s="612" t="inlineStr">
        <is>
          <t>Filled</t>
        </is>
      </c>
      <c r="F49" s="634" t="str">
        <f>IF(INDEX('REVIEW - Complete Role Mapping'!$AR:$AR,62)="Squad",INDEX('REVIEW - Complete Role Mapping'!$AP:$AP,62),INDEX('REVIEW - Complete Role Mapping'!$AR:$AR,62))</f>
        <v>AmPOS</v>
      </c>
      <c r="G49" s="627">
        <f>INDEX('REVIEW - Complete Role Mapping'!$AA:$AA,62)</f>
        <v>198937.068</v>
      </c>
      <c r="H49" s="627">
        <f>$G49*IFERROR(INDEX(Lists!$AD:$AD,MATCH($E49,Lists!$AC:$AC,0)),1)</f>
        <v>198937.068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Mapping'!$B:$B,442)</f>
        <v>Victor Beuk</v>
      </c>
      <c r="C50" s="634" t="str">
        <f>INDEX('REVIEW - Complete Role Mapping'!$C:$C,442)</f>
        <v>Delivery Lead</v>
      </c>
      <c r="D50" s="612" t="str">
        <f>INDEX('REVIEW - Complete Role Mapping'!$AK:$AK,442)</f>
        <v>Filled</v>
      </c>
      <c r="E50" s="612" t="inlineStr">
        <is>
          <t>Filled</t>
        </is>
      </c>
      <c r="F50" s="634" t="str">
        <f>IF(INDEX('REVIEW - Complete Role Mapping'!$AR:$AR,442)="Squad",INDEX('REVIEW - Complete Role Mapping'!$AP:$AP,442),INDEX('REVIEW - Complete Role Mapping'!$AR:$AR,442))</f>
        <v>AmPOS</v>
      </c>
      <c r="G50" s="627">
        <f>INDEX('REVIEW - Complete Role Mapping'!$AA:$AA,442)</f>
        <v>247455.6</v>
      </c>
      <c r="H50" s="627">
        <f>$G50*IFERROR(INDEX(Lists!$AD:$AD,MATCH($E50,Lists!$AC:$AC,0)),1)</f>
        <v>247455.6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Mapping'!$B:$B,69)</f>
        <v>Vacant</v>
      </c>
      <c r="C51" s="634" t="str">
        <f>INDEX('REVIEW - Complete Role Mapping'!$C:$C,69)</f>
        <v>Business Analyst</v>
      </c>
      <c r="D51" s="612" t="str">
        <f>INDEX('REVIEW - Complete Role Mapping'!$AK:$AK,69)</f>
        <v>Vacant</v>
      </c>
      <c r="E51" s="612" t="inlineStr">
        <is>
          <t>Hold</t>
        </is>
      </c>
      <c r="F51" s="634" t="str">
        <f>IF(INDEX('REVIEW - Complete Role Mapping'!$AR:$AR,69)="Squad",INDEX('REVIEW - Complete Role Mapping'!$AP:$AP,69),INDEX('REVIEW - Complete Role Mapping'!$AR:$AR,69))</f>
        <v>POS</v>
      </c>
      <c r="G51" s="627">
        <f>INDEX('REVIEW - Complete Role Mapping'!$AA:$AA,69)</f>
        <v>170501.585</v>
      </c>
      <c r="H51" s="627">
        <f>$G51*IFERROR(INDEX(Lists!$AD:$AD,MATCH($E51,Lists!$AC:$AC,0)),1)</f>
        <v>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Mapping'!$B:$B,81)</f>
        <v>Vacant</v>
      </c>
      <c r="C52" s="634" t="str">
        <f>INDEX('REVIEW - Complete Role Mapping'!$C:$C,81)</f>
        <v>Engineer Integration</v>
      </c>
      <c r="D52" s="612" t="str">
        <f>INDEX('REVIEW - Complete Role Mapping'!$AK:$AK,81)</f>
        <v>Vacant</v>
      </c>
      <c r="E52" s="612" t="inlineStr">
        <is>
          <t>Hold</t>
        </is>
      </c>
      <c r="F52" s="634" t="str">
        <f>IF(INDEX('REVIEW - Complete Role Mapping'!$AR:$AR,81)="Squad",INDEX('REVIEW - Complete Role Mapping'!$AP:$AP,81),INDEX('REVIEW - Complete Role Mapping'!$AR:$AR,81))</f>
        <v>POS</v>
      </c>
      <c r="G52" s="627">
        <f>INDEX('REVIEW - Complete Role Mapping'!$AA:$AA,81)</f>
        <v>231689.25</v>
      </c>
      <c r="H52" s="627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Mapping'!$B:$B,83)</f>
        <v>Vacant</v>
      </c>
      <c r="C53" s="634" t="str">
        <f>INDEX('REVIEW - Complete Role Mapping'!$C:$C,83)</f>
        <v>Lead Quality Assurance</v>
      </c>
      <c r="D53" s="612" t="str">
        <f>INDEX('REVIEW - Complete Role Mapping'!$AK:$AK,83)</f>
        <v>Vacant</v>
      </c>
      <c r="E53" s="612" t="inlineStr">
        <is>
          <t>Hold</t>
        </is>
      </c>
      <c r="F53" s="634" t="str">
        <f>IF(INDEX('REVIEW - Complete Role Mapping'!$AR:$AR,83)="Squad",INDEX('REVIEW - Complete Role Mapping'!$AP:$AP,83),INDEX('REVIEW - Complete Role Mapping'!$AR:$AR,83))</f>
        <v>POS</v>
      </c>
      <c r="G53" s="627">
        <f>INDEX('REVIEW - Complete Role Mapping'!$AA:$AA,83)</f>
        <v>224493.6</v>
      </c>
      <c r="H53" s="627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Mapping'!$B:$B,86)</f>
        <v>Vacant</v>
      </c>
      <c r="C54" s="646" t="str">
        <f>INDEX('REVIEW - Complete Role Mapping'!$C:$C,86)</f>
        <v>Quality Assurance</v>
      </c>
      <c r="D54" s="646" t="str">
        <f>INDEX('REVIEW - Complete Role Mapping'!$AK:$AK,86)</f>
        <v>Vacant</v>
      </c>
      <c r="E54" s="646" t="inlineStr">
        <is>
          <t>Hold</t>
        </is>
      </c>
      <c r="F54" s="646" t="str">
        <f>IF(INDEX('REVIEW - Complete Role Mapping'!$AR:$AR,86)="Squad",INDEX('REVIEW - Complete Role Mapping'!$AP:$AP,86),INDEX('REVIEW - Complete Role Mapping'!$AR:$AR,86))</f>
        <v>POS</v>
      </c>
      <c r="G54" s="627">
        <f>INDEX('REVIEW - Complete Role Mapping'!$AA:$AA,86)</f>
        <v>170489.75</v>
      </c>
      <c r="H54" s="627">
        <f>$G54*IFERROR(INDEX(Lists!$AD:$AD,MATCH($E54,Lists!$AC:$AC,0)),1)</f>
        <v>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Mapping'!$B:$B,87)</f>
        <v>Vacant</v>
      </c>
      <c r="C55" s="634" t="str">
        <f>INDEX('REVIEW - Complete Role Mapping'!$C:$C,87)</f>
        <v>Quality Assurance</v>
      </c>
      <c r="D55" s="612" t="str">
        <f>INDEX('REVIEW - Complete Role Mapping'!$AK:$AK,87)</f>
        <v>Vacant</v>
      </c>
      <c r="E55" s="612" t="inlineStr">
        <is>
          <t>Hold</t>
        </is>
      </c>
      <c r="F55" s="634" t="str">
        <f>IF(INDEX('REVIEW - Complete Role Mapping'!$AR:$AR,87)="Squad",INDEX('REVIEW - Complete Role Mapping'!$AP:$AP,87),INDEX('REVIEW - Complete Role Mapping'!$AR:$AR,87))</f>
        <v>POS</v>
      </c>
      <c r="G55" s="627">
        <f>INDEX('REVIEW - Complete Role Mapping'!$AA:$AA,87)</f>
        <v>170489.75</v>
      </c>
      <c r="H55" s="627">
        <f>$G55*IFERROR(INDEX(Lists!$AD:$AD,MATCH($E55,Lists!$AC:$AC,0)),1)</f>
        <v>0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Mapping'!$B:$B,88)</f>
        <v>Vacant</v>
      </c>
      <c r="C56" s="646" t="str">
        <f>INDEX('REVIEW - Complete Role Mapping'!$C:$C,88)</f>
        <v>Quality Assurance</v>
      </c>
      <c r="D56" s="646" t="str">
        <f>INDEX('REVIEW - Complete Role Mapping'!$AK:$AK,88)</f>
        <v>Vacant</v>
      </c>
      <c r="E56" s="646" t="inlineStr">
        <is>
          <t>Hold</t>
        </is>
      </c>
      <c r="F56" s="646" t="str">
        <f>IF(INDEX('REVIEW - Complete Role Mapping'!$AR:$AR,88)="Squad",INDEX('REVIEW - Complete Role Mapping'!$AP:$AP,88),INDEX('REVIEW - Complete Role Mapping'!$AR:$AR,88))</f>
        <v>POS</v>
      </c>
      <c r="G56" s="627">
        <f>INDEX('REVIEW - Complete Role Mapping'!$AA:$AA,88)</f>
        <v>202853.25</v>
      </c>
      <c r="H56" s="627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Mapping'!$B:$B,90)</f>
        <v>Vacant</v>
      </c>
      <c r="C57" s="634" t="str">
        <f>INDEX('REVIEW - Complete Role Mapping'!$C:$C,90)</f>
        <v>Release &amp; Environments Manager</v>
      </c>
      <c r="D57" s="612" t="str">
        <f>INDEX('REVIEW - Complete Role Mapping'!$AK:$AK,90)</f>
        <v>Vacant</v>
      </c>
      <c r="E57" s="612" t="inlineStr">
        <is>
          <t>Hold</t>
        </is>
      </c>
      <c r="F57" s="634" t="str">
        <f>IF(INDEX('REVIEW - Complete Role Mapping'!$AR:$AR,90)="Squad",INDEX('REVIEW - Complete Role Mapping'!$AP:$AP,90),INDEX('REVIEW - Complete Role Mapping'!$AR:$AR,90))</f>
        <v>POS</v>
      </c>
      <c r="G57" s="627">
        <f>INDEX('REVIEW - Complete Role Mapping'!$AA:$AA,90)</f>
        <v>202853.25</v>
      </c>
      <c r="H57" s="627">
        <f>$G57*IFERROR(INDEX(Lists!$AD:$AD,MATCH($E57,Lists!$AC:$AC,0)),1)</f>
        <v>0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Mapping'!$B:$B,95)</f>
        <v>Vacant</v>
      </c>
      <c r="C58" s="634" t="str">
        <f>INDEX('REVIEW - Complete Role Mapping'!$C:$C,95)</f>
        <v>Systems Analyst</v>
      </c>
      <c r="D58" s="612" t="str">
        <f>INDEX('REVIEW - Complete Role Mapping'!$AK:$AK,95)</f>
        <v>Vacant</v>
      </c>
      <c r="E58" s="612" t="inlineStr">
        <is>
          <t>Hold</t>
        </is>
      </c>
      <c r="F58" s="634" t="str">
        <f>IF(INDEX('REVIEW - Complete Role Mapping'!$AR:$AR,95)="Squad",INDEX('REVIEW - Complete Role Mapping'!$AP:$AP,95),INDEX('REVIEW - Complete Role Mapping'!$AR:$AR,95))</f>
        <v>POS</v>
      </c>
      <c r="G58" s="627">
        <f>INDEX('REVIEW - Complete Role Mapping'!$AA:$AA,95)</f>
        <v>202853.25</v>
      </c>
      <c r="H58" s="627">
        <f>$G58*IFERROR(INDEX(Lists!$AD:$AD,MATCH($E58,Lists!$AC:$AC,0)),1)</f>
        <v>0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Mapping'!$B:$B,7)</f>
        <v>Andrew Whitford</v>
      </c>
      <c r="C59" s="634" t="str">
        <f>INDEX('REVIEW - Complete Role Mapping'!$C:$C,7)</f>
        <v>Field Systems Operations Lead - WA</v>
      </c>
      <c r="D59" s="612" t="str">
        <f>INDEX('REVIEW - Complete Role Mapping'!$AK:$AK,7)</f>
        <v>Filled</v>
      </c>
      <c r="E59" s="612" t="inlineStr">
        <is>
          <t>Filled</t>
        </is>
      </c>
      <c r="F59" s="634" t="str">
        <f>IF(INDEX('REVIEW - Complete Role Mapping'!$AR:$AR,7)="Squad",INDEX('REVIEW - Complete Role Mapping'!$AP:$AP,7),INDEX('REVIEW - Complete Role Mapping'!$AR:$AR,7))</f>
        <v>Store Operations</v>
      </c>
      <c r="G59" s="627">
        <f>INDEX('REVIEW - Complete Role Mapping'!$AA:$AA,7)</f>
        <v>164033.1</v>
      </c>
      <c r="H59" s="627">
        <f>$G59*IFERROR(INDEX(Lists!$AD:$AD,MATCH($E59,Lists!$AC:$AC,0)),1)</f>
        <v>164033.1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Mapping'!$B:$B,24)</f>
        <v>Ephraim Adan</v>
      </c>
      <c r="C60" s="634" t="str">
        <f>INDEX('REVIEW - Complete Role Mapping'!$C:$C,24)</f>
        <v>Manager - AU Retail Operations</v>
      </c>
      <c r="D60" s="612" t="str">
        <f>INDEX('REVIEW - Complete Role Mapping'!$AK:$AK,24)</f>
        <v>Filled</v>
      </c>
      <c r="E60" s="612" t="inlineStr">
        <is>
          <t>Filled</t>
        </is>
      </c>
      <c r="F60" s="634" t="str">
        <f>IF(INDEX('REVIEW - Complete Role Mapping'!$AR:$AR,24)="Squad",INDEX('REVIEW - Complete Role Mapping'!$AP:$AP,24),INDEX('REVIEW - Complete Role Mapping'!$AR:$AR,24))</f>
        <v>Store Operations</v>
      </c>
      <c r="G60" s="627">
        <f>INDEX('REVIEW - Complete Role Mapping'!$AA:$AA,24)</f>
        <v>77707.84</v>
      </c>
      <c r="H60" s="627">
        <f>$G60*IFERROR(INDEX(Lists!$AD:$AD,MATCH($E60,Lists!$AC:$AC,0)),1)</f>
        <v>77707.84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Mapping'!$B:$B,27)</f>
        <v>Geoff Goddard</v>
      </c>
      <c r="C61" s="634" t="str">
        <f>INDEX('REVIEW - Complete Role Mapping'!$C:$C,27)</f>
        <v>Field Systems Operations Lead - VIC</v>
      </c>
      <c r="D61" s="612" t="str">
        <f>INDEX('REVIEW - Complete Role Mapping'!$AK:$AK,27)</f>
        <v>Filled</v>
      </c>
      <c r="E61" s="612" t="inlineStr">
        <is>
          <t>Filled</t>
        </is>
      </c>
      <c r="F61" s="634" t="str">
        <f>IF(INDEX('REVIEW - Complete Role Mapping'!$AR:$AR,27)="Squad",INDEX('REVIEW - Complete Role Mapping'!$AP:$AP,27),INDEX('REVIEW - Complete Role Mapping'!$AR:$AR,27))</f>
        <v>Store Operations</v>
      </c>
      <c r="G61" s="627">
        <f>INDEX('REVIEW - Complete Role Mapping'!$AA:$AA,27)</f>
        <v>167360.05</v>
      </c>
      <c r="H61" s="627">
        <f>$G61*IFERROR(INDEX(Lists!$AD:$AD,MATCH($E61,Lists!$AC:$AC,0)),1)</f>
        <v>167360.05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Mapping'!$B:$B,28)</f>
        <v>Gerald Aguas</v>
      </c>
      <c r="C62" s="634" t="str">
        <f>INDEX('REVIEW - Complete Role Mapping'!$C:$C,28)</f>
        <v>Field Systems Operations Lead - NSW</v>
      </c>
      <c r="D62" s="612" t="str">
        <f>INDEX('REVIEW - Complete Role Mapping'!$AK:$AK,28)</f>
        <v>Filled</v>
      </c>
      <c r="E62" s="612" t="inlineStr">
        <is>
          <t>Filled</t>
        </is>
      </c>
      <c r="F62" s="634" t="str">
        <f>IF(INDEX('REVIEW - Complete Role Mapping'!$AR:$AR,28)="Squad",INDEX('REVIEW - Complete Role Mapping'!$AP:$AP,28),INDEX('REVIEW - Complete Role Mapping'!$AR:$AR,28))</f>
        <v>Store Operations</v>
      </c>
      <c r="G62" s="627">
        <f>INDEX('REVIEW - Complete Role Mapping'!$AA:$AA,28)</f>
        <v>190155.852</v>
      </c>
      <c r="H62" s="627">
        <f>$G62*IFERROR(INDEX(Lists!$AD:$AD,MATCH($E62,Lists!$AC:$AC,0)),1)</f>
        <v>190155.852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Mapping'!$B:$B,38)</f>
        <v>Karthikeyan Kuppan</v>
      </c>
      <c r="C63" s="634" t="str">
        <f>INDEX('REVIEW - Complete Role Mapping'!$C:$C,38)</f>
        <v>Lead - AU Retail Operations</v>
      </c>
      <c r="D63" s="612" t="str">
        <f>INDEX('REVIEW - Complete Role Mapping'!$AK:$AK,38)</f>
        <v>Filled</v>
      </c>
      <c r="E63" s="612" t="inlineStr">
        <is>
          <t>Filled</t>
        </is>
      </c>
      <c r="F63" s="634" t="str">
        <f>IF(INDEX('REVIEW - Complete Role Mapping'!$AR:$AR,38)="Squad",INDEX('REVIEW - Complete Role Mapping'!$AP:$AP,38),INDEX('REVIEW - Complete Role Mapping'!$AR:$AR,38))</f>
        <v>Store Operations</v>
      </c>
      <c r="G63" s="627">
        <f>INDEX('REVIEW - Complete Role Mapping'!$AA:$AA,38)</f>
        <v>242933.676</v>
      </c>
      <c r="H63" s="627">
        <f>$G63*IFERROR(INDEX(Lists!$AD:$AD,MATCH($E63,Lists!$AC:$AC,0)),1)</f>
        <v>242933.676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Mapping'!$B:$B,54)</f>
        <v>Patrick Ericson Nario</v>
      </c>
      <c r="C64" s="634" t="str">
        <f>INDEX('REVIEW - Complete Role Mapping'!$C:$C,54)</f>
        <v>Support Analyst - Field Operations</v>
      </c>
      <c r="D64" s="612" t="str">
        <f>INDEX('REVIEW - Complete Role Mapping'!$AK:$AK,54)</f>
        <v>Filled</v>
      </c>
      <c r="E64" s="612" t="inlineStr">
        <is>
          <t>Filled</t>
        </is>
      </c>
      <c r="F64" s="634" t="str">
        <f>IF(INDEX('REVIEW - Complete Role Mapping'!$AR:$AR,54)="Squad",INDEX('REVIEW - Complete Role Mapping'!$AP:$AP,54),INDEX('REVIEW - Complete Role Mapping'!$AR:$AR,54))</f>
        <v>Store Operations</v>
      </c>
      <c r="G64" s="627">
        <f>INDEX('REVIEW - Complete Role Mapping'!$AA:$AA,54)</f>
        <v>214214.1</v>
      </c>
      <c r="H64" s="627">
        <f>$G64*IFERROR(INDEX(Lists!$AD:$AD,MATCH($E64,Lists!$AC:$AC,0)),1)</f>
        <v>214214.1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Mapping'!$B:$B,66)</f>
        <v>Tuan Edwards</v>
      </c>
      <c r="C65" s="634" t="str">
        <f>INDEX('REVIEW - Complete Role Mapping'!$C:$C,66)</f>
        <v>Field Systems Operations Lead - QLD</v>
      </c>
      <c r="D65" s="612" t="str">
        <f>INDEX('REVIEW - Complete Role Mapping'!$AK:$AK,66)</f>
        <v>Filled</v>
      </c>
      <c r="E65" s="612" t="inlineStr">
        <is>
          <t>Filled</t>
        </is>
      </c>
      <c r="F65" s="634" t="str">
        <f>IF(INDEX('REVIEW - Complete Role Mapping'!$AR:$AR,66)="Squad",INDEX('REVIEW - Complete Role Mapping'!$AP:$AP,66),INDEX('REVIEW - Complete Role Mapping'!$AR:$AR,66))</f>
        <v>Store Operations</v>
      </c>
      <c r="G65" s="627">
        <f>INDEX('REVIEW - Complete Role Mapping'!$AA:$AA,66)</f>
        <v>202853.25</v>
      </c>
      <c r="H65" s="627">
        <f>$G65*IFERROR(INDEX(Lists!$AD:$AD,MATCH($E65,Lists!$AC:$AC,0)),1)</f>
        <v>202853.25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Mapping'!$B:$B,91)</f>
        <v>Vacant</v>
      </c>
      <c r="C66" s="634" t="str">
        <f>INDEX('REVIEW - Complete Role Mapping'!$C:$C,91)</f>
        <v>Support Analyst -Retail</v>
      </c>
      <c r="D66" s="612" t="str">
        <f>INDEX('REVIEW - Complete Role Mapping'!$AK:$AK,91)</f>
        <v>Vacant</v>
      </c>
      <c r="E66" s="612" t="inlineStr">
        <is>
          <t>Hold</t>
        </is>
      </c>
      <c r="F66" s="634" t="str">
        <f>IF(INDEX('REVIEW - Complete Role Mapping'!$AR:$AR,91)="Squad",INDEX('REVIEW - Complete Role Mapping'!$AP:$AP,91),INDEX('REVIEW - Complete Role Mapping'!$AR:$AR,91))</f>
        <v>Store Operations</v>
      </c>
      <c r="G66" s="627">
        <f>INDEX('REVIEW - Complete Role Mapping'!$AA:$AA,91)</f>
        <v>170501.585</v>
      </c>
      <c r="H66" s="627">
        <f>$G66*IFERROR(INDEX(Lists!$AD:$AD,MATCH($E66,Lists!$AC:$AC,0)),1)</f>
        <v>0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Mapping'!$B:$B,70)</f>
        <v>Vacant</v>
      </c>
      <c r="C67" s="646" t="str">
        <f>INDEX('REVIEW - Complete Role Mapping'!$C:$C,70)</f>
        <v>Data Analyst</v>
      </c>
      <c r="D67" s="646" t="str">
        <f>INDEX('REVIEW - Complete Role Mapping'!$AK:$AK,70)</f>
        <v>Vacant</v>
      </c>
      <c r="E67" s="646" t="inlineStr">
        <is>
          <t>Hold</t>
        </is>
      </c>
      <c r="F67" s="646" t="str">
        <f>IF(INDEX('REVIEW - Complete Role Mapping'!$AR:$AR,70)="Squad",INDEX('REVIEW - Complete Role Mapping'!$AP:$AP,70),INDEX('REVIEW - Complete Role Mapping'!$AR:$AR,70))</f>
        <v>Data AU</v>
      </c>
      <c r="G67" s="627">
        <f>INDEX('REVIEW - Complete Role Mapping'!$AA:$AA,70)</f>
        <v>201585</v>
      </c>
      <c r="H67" s="627">
        <f>$G67*IFERROR(INDEX(Lists!$AD:$AD,MATCH($E67,Lists!$AC:$AC,0)),1)</f>
        <v>0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Mapping'!$B:$B,71)</f>
        <v>Vacant</v>
      </c>
      <c r="C68" s="634" t="str">
        <f>INDEX('REVIEW - Complete Role Mapping'!$C:$C,71)</f>
        <v>Data Analyst</v>
      </c>
      <c r="D68" s="612" t="str">
        <f>INDEX('REVIEW - Complete Role Mapping'!$AK:$AK,71)</f>
        <v>Vacant</v>
      </c>
      <c r="E68" s="612" t="inlineStr">
        <is>
          <t>Hold</t>
        </is>
      </c>
      <c r="F68" s="634" t="str">
        <f>IF(INDEX('REVIEW - Complete Role Mapping'!$AR:$AR,71)="Squad",INDEX('REVIEW - Complete Role Mapping'!$AP:$AP,71),INDEX('REVIEW - Complete Role Mapping'!$AR:$AR,71))</f>
        <v>Data AU</v>
      </c>
      <c r="G68" s="627">
        <f>INDEX('REVIEW - Complete Role Mapping'!$AA:$AA,71)</f>
        <v>231689.25</v>
      </c>
      <c r="H68" s="627">
        <f>$G68*IFERROR(INDEX(Lists!$AD:$AD,MATCH($E68,Lists!$AC:$AC,0)),1)</f>
        <v>0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Mapping'!$B:$B,72)</f>
        <v>Vacant</v>
      </c>
      <c r="C69" s="634" t="str">
        <f>INDEX('REVIEW - Complete Role Mapping'!$C:$C,72)</f>
        <v>Delivery Lead</v>
      </c>
      <c r="D69" s="612" t="str">
        <f>INDEX('REVIEW - Complete Role Mapping'!$AK:$AK,72)</f>
        <v>Vacant</v>
      </c>
      <c r="E69" s="612" t="inlineStr">
        <is>
          <t>Hold</t>
        </is>
      </c>
      <c r="F69" s="634" t="str">
        <f>IF(INDEX('REVIEW - Complete Role Mapping'!$AR:$AR,72)="Squad",INDEX('REVIEW - Complete Role Mapping'!$AP:$AP,72),INDEX('REVIEW - Complete Role Mapping'!$AR:$AR,72))</f>
        <v>Data AU</v>
      </c>
      <c r="G69" s="627">
        <f>INDEX('REVIEW - Complete Role Mapping'!$AA:$AA,72)</f>
        <v>202853.25</v>
      </c>
      <c r="H69" s="627">
        <f>$G69*IFERROR(INDEX(Lists!$AD:$AD,MATCH($E69,Lists!$AC:$AC,0)),1)</f>
        <v>0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Mapping'!$B:$B,75)</f>
        <v>Vacant</v>
      </c>
      <c r="C70" s="634" t="str">
        <f>INDEX('REVIEW - Complete Role Mapping'!$C:$C,75)</f>
        <v>Engineer - Data</v>
      </c>
      <c r="D70" s="612" t="str">
        <f>INDEX('REVIEW - Complete Role Mapping'!$AK:$AK,75)</f>
        <v>Vacant</v>
      </c>
      <c r="E70" s="647" t="inlineStr">
        <is>
          <t>Hold</t>
        </is>
      </c>
      <c r="F70" s="648" t="str">
        <f>IF(INDEX('REVIEW - Complete Role Mapping'!$AR:$AR,75)="Squad",INDEX('REVIEW - Complete Role Mapping'!$AP:$AP,75),INDEX('REVIEW - Complete Role Mapping'!$AR:$AR,75))</f>
        <v>Data AU</v>
      </c>
      <c r="G70" s="627">
        <f>INDEX('REVIEW - Complete Role Mapping'!$AA:$AA,75)</f>
        <v>202853.25</v>
      </c>
      <c r="H70" s="627">
        <f>$G70*IFERROR(INDEX(Lists!$AD:$AD,MATCH($E70,Lists!$AC:$AC,0)),1)</f>
        <v>0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Mapping'!$B:$B,76)</f>
        <v>Vacant</v>
      </c>
      <c r="C71" s="634" t="str">
        <f>INDEX('REVIEW - Complete Role Mapping'!$C:$C,76)</f>
        <v>Engineer - Data</v>
      </c>
      <c r="D71" s="612" t="str">
        <f>INDEX('REVIEW - Complete Role Mapping'!$AK:$AK,76)</f>
        <v>Vacant</v>
      </c>
      <c r="E71" s="612" t="inlineStr">
        <is>
          <t>Hold</t>
        </is>
      </c>
      <c r="F71" s="634" t="str">
        <f>IF(INDEX('REVIEW - Complete Role Mapping'!$AR:$AR,76)="Squad",INDEX('REVIEW - Complete Role Mapping'!$AP:$AP,76),INDEX('REVIEW - Complete Role Mapping'!$AR:$AR,76))</f>
        <v>Data AU</v>
      </c>
      <c r="G71" s="627">
        <f>INDEX('REVIEW - Complete Role Mapping'!$AA:$AA,76)</f>
        <v>202853.25</v>
      </c>
      <c r="H71" s="627">
        <f>$G71*IFERROR(INDEX(Lists!$AD:$AD,MATCH($E71,Lists!$AC:$AC,0)),1)</f>
        <v>0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Mapping'!$B:$B,77)</f>
        <v>Vacant</v>
      </c>
      <c r="C72" s="646" t="str">
        <f>INDEX('REVIEW - Complete Role Mapping'!$C:$C,77)</f>
        <v>Engineer - Data</v>
      </c>
      <c r="D72" s="646" t="str">
        <f>INDEX('REVIEW - Complete Role Mapping'!$AK:$AK,77)</f>
        <v>Vacant</v>
      </c>
      <c r="E72" s="646" t="inlineStr">
        <is>
          <t>Hold</t>
        </is>
      </c>
      <c r="F72" s="646" t="str">
        <f>IF(INDEX('REVIEW - Complete Role Mapping'!$AR:$AR,77)="Squad",INDEX('REVIEW - Complete Role Mapping'!$AP:$AP,77),INDEX('REVIEW - Complete Role Mapping'!$AR:$AR,77))</f>
        <v>Data AU</v>
      </c>
      <c r="G72" s="627">
        <f>INDEX('REVIEW - Complete Role Mapping'!$AA:$AA,77)</f>
        <v>170489.75</v>
      </c>
      <c r="H72" s="627">
        <f>$G72*IFERROR(INDEX(Lists!$AD:$AD,MATCH($E72,Lists!$AC:$AC,0)),1)</f>
        <v>0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Mapping'!$B:$B,4)</f>
        <v>Alex Prakhiy</v>
      </c>
      <c r="C73" s="634" t="str">
        <f>INDEX('REVIEW - Complete Role Mapping'!$C:$C,4)</f>
        <v>Business Analyst</v>
      </c>
      <c r="D73" s="612" t="str">
        <f>INDEX('REVIEW - Complete Role Mapping'!$AK:$AK,4)</f>
        <v>Filled</v>
      </c>
      <c r="E73" s="612" t="inlineStr">
        <is>
          <t>Filled</t>
        </is>
      </c>
      <c r="F73" s="634" t="str">
        <f>IF(INDEX('REVIEW - Complete Role Mapping'!$AR:$AR,4)="Squad",INDEX('REVIEW - Complete Role Mapping'!$AP:$AP,4),INDEX('REVIEW - Complete Role Mapping'!$AR:$AR,4))</f>
        <v>EGI Retail</v>
      </c>
      <c r="G73" s="627">
        <f>INDEX('REVIEW - Complete Role Mapping'!$AA:$AA,4)</f>
        <v>222000</v>
      </c>
      <c r="H73" s="627">
        <f>$G73*IFERROR(INDEX(Lists!$AD:$AD,MATCH($E73,Lists!$AC:$AC,0)),1)</f>
        <v>222000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Mapping'!$B:$B,10)</f>
        <v>Anne Pretorius</v>
      </c>
      <c r="C74" s="634" t="str">
        <f>INDEX('REVIEW - Complete Role Mapping'!$C:$C,10)</f>
        <v>Lead Business Analyst</v>
      </c>
      <c r="D74" s="612" t="str">
        <f>INDEX('REVIEW - Complete Role Mapping'!$AK:$AK,10)</f>
        <v>Filled</v>
      </c>
      <c r="E74" s="612" t="inlineStr">
        <is>
          <t>Filled</t>
        </is>
      </c>
      <c r="F74" s="634" t="str">
        <f>IF(INDEX('REVIEW - Complete Role Mapping'!$AR:$AR,10)="Squad",INDEX('REVIEW - Complete Role Mapping'!$AP:$AP,10),INDEX('REVIEW - Complete Role Mapping'!$AR:$AR,10))</f>
        <v>EGI Retail</v>
      </c>
      <c r="G74" s="627">
        <f>INDEX('REVIEW - Complete Role Mapping'!$AA:$AA,10)</f>
        <v>195610.164</v>
      </c>
      <c r="H74" s="627">
        <f>$G74*IFERROR(INDEX(Lists!$AD:$AD,MATCH($E74,Lists!$AC:$AC,0)),1)</f>
        <v>195610.164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Mapping'!$B:$B,47)</f>
        <v>Marty O'Shea</v>
      </c>
      <c r="C75" s="634" t="str">
        <f>INDEX('REVIEW - Complete Role Mapping'!$C:$C,47)</f>
        <v>Systems Analyst</v>
      </c>
      <c r="D75" s="612" t="str">
        <f>INDEX('REVIEW - Complete Role Mapping'!$AK:$AK,47)</f>
        <v>Filled</v>
      </c>
      <c r="E75" s="612" t="inlineStr">
        <is>
          <t>Filled</t>
        </is>
      </c>
      <c r="F75" s="634" t="str">
        <f>IF(INDEX('REVIEW - Complete Role Mapping'!$AR:$AR,47)="Squad",INDEX('REVIEW - Complete Role Mapping'!$AP:$AP,47),INDEX('REVIEW - Complete Role Mapping'!$AR:$AR,47))</f>
        <v>EGI Retail</v>
      </c>
      <c r="G75" s="627">
        <f>INDEX('REVIEW - Complete Role Mapping'!$AA:$AA,47)</f>
        <v>247161.9</v>
      </c>
      <c r="H75" s="627">
        <f>$G75*IFERROR(INDEX(Lists!$AD:$AD,MATCH($E75,Lists!$AC:$AC,0)),1)</f>
        <v>247161.9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Mapping'!$B:$B,52)</f>
        <v>Navneet Singh</v>
      </c>
      <c r="C76" s="634" t="str">
        <f>INDEX('REVIEW - Complete Role Mapping'!$C:$C,52)</f>
        <v>Solution Architect</v>
      </c>
      <c r="D76" s="612" t="str">
        <f>INDEX('REVIEW - Complete Role Mapping'!$AK:$AK,52)</f>
        <v>Filled</v>
      </c>
      <c r="E76" s="612" t="inlineStr">
        <is>
          <t>Filled</t>
        </is>
      </c>
      <c r="F76" s="634" t="str">
        <f>IF(INDEX('REVIEW - Complete Role Mapping'!$AR:$AR,52)="Squad",INDEX('REVIEW - Complete Role Mapping'!$AP:$AP,52),INDEX('REVIEW - Complete Role Mapping'!$AR:$AR,52))</f>
        <v>EGI Retail</v>
      </c>
      <c r="G76" s="627">
        <f>INDEX('REVIEW - Complete Role Mapping'!$AA:$AA,52)</f>
        <v>133500</v>
      </c>
      <c r="H76" s="627">
        <f>$G76*IFERROR(INDEX(Lists!$AD:$AD,MATCH($E76,Lists!$AC:$AC,0)),1)</f>
        <v>133500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Mapping'!$B:$B,60)</f>
        <v>Sendhil Vinayagam (75% EGI)</v>
      </c>
      <c r="C77" s="634" t="str">
        <f>INDEX('REVIEW - Complete Role Mapping'!$C:$C,60)</f>
        <v>Solution Architect</v>
      </c>
      <c r="D77" s="612" t="str">
        <f>INDEX('REVIEW - Complete Role Mapping'!$AK:$AK,60)</f>
        <v>Filled</v>
      </c>
      <c r="E77" s="647" t="inlineStr">
        <is>
          <t>Filled</t>
        </is>
      </c>
      <c r="F77" s="648" t="str">
        <f>IF(INDEX('REVIEW - Complete Role Mapping'!$AR:$AR,60)="Squad",INDEX('REVIEW - Complete Role Mapping'!$AP:$AP,60),INDEX('REVIEW - Complete Role Mapping'!$AR:$AR,60))</f>
        <v>EGI Retail</v>
      </c>
      <c r="G77" s="627">
        <f>INDEX('REVIEW - Complete Role Mapping'!$AA:$AA,60)</f>
        <v>267547.35</v>
      </c>
      <c r="H77" s="627">
        <f>$G77*IFERROR(INDEX(Lists!$AD:$AD,MATCH($E77,Lists!$AC:$AC,0)),1)</f>
        <v>267547.35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Mapping'!$B:$B,61)</f>
        <v>Sjoerd Van Sluijs</v>
      </c>
      <c r="C78" s="634" t="str">
        <f>INDEX('REVIEW - Complete Role Mapping'!$C:$C,61)</f>
        <v>Senior PM PEP1, PEP18</v>
      </c>
      <c r="D78" s="612" t="str">
        <f>INDEX('REVIEW - Complete Role Mapping'!$AK:$AK,61)</f>
        <v>Filled</v>
      </c>
      <c r="E78" s="647" t="inlineStr">
        <is>
          <t>Filled</t>
        </is>
      </c>
      <c r="F78" s="648" t="str">
        <f>IF(INDEX('REVIEW - Complete Role Mapping'!$AR:$AR,61)="Squad",INDEX('REVIEW - Complete Role Mapping'!$AP:$AP,61),INDEX('REVIEW - Complete Role Mapping'!$AR:$AR,61))</f>
        <v>EGI Retail</v>
      </c>
      <c r="G78" s="627">
        <f>INDEX('REVIEW - Complete Role Mapping'!$AA:$AA,61)</f>
        <v>155538.2</v>
      </c>
      <c r="H78" s="627">
        <f>$G78*IFERROR(INDEX(Lists!$AD:$AD,MATCH($E78,Lists!$AC:$AC,0)),1)</f>
        <v>155538.2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Mapping'!$B:$B,3)</f>
        <v>Adrian Lueng</v>
      </c>
      <c r="C79" s="634" t="str">
        <f>INDEX('REVIEW - Complete Role Mapping'!$C:$C,3)</f>
        <v>Quality Assurance</v>
      </c>
      <c r="D79" s="612" t="str">
        <f>INDEX('REVIEW - Complete Role Mapping'!$AK:$AK,3)</f>
        <v>Filled</v>
      </c>
      <c r="E79" s="647" t="inlineStr">
        <is>
          <t>Filled</t>
        </is>
      </c>
      <c r="F79" s="648" t="str">
        <f>IF(INDEX('REVIEW - Complete Role Mapping'!$AR:$AR,3)="Squad",INDEX('REVIEW - Complete Role Mapping'!$AP:$AP,3),INDEX('REVIEW - Complete Role Mapping'!$AR:$AR,3))</f>
        <v>Network &amp; QSR</v>
      </c>
      <c r="G79" s="627">
        <f>INDEX('REVIEW - Complete Role Mapping'!$AA:$AA,3)</f>
        <v>157839.45</v>
      </c>
      <c r="H79" s="627">
        <f>$G79*IFERROR(INDEX(Lists!$AD:$AD,MATCH($E79,Lists!$AC:$AC,0)),1)</f>
        <v>157839.45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Mapping'!$B:$B,32)</f>
        <v>Javier Aguirre Castellanos</v>
      </c>
      <c r="C80" s="634" t="str">
        <f>INDEX('REVIEW - Complete Role Mapping'!$C:$C,32)</f>
        <v>Solution Architect</v>
      </c>
      <c r="D80" s="612" t="str">
        <f>INDEX('REVIEW - Complete Role Mapping'!$AK:$AK,32)</f>
        <v>Filled</v>
      </c>
      <c r="E80" s="647" t="inlineStr">
        <is>
          <t>Filled</t>
        </is>
      </c>
      <c r="F80" s="648" t="str">
        <f>IF(INDEX('REVIEW - Complete Role Mapping'!$AR:$AR,32)="Squad",INDEX('REVIEW - Complete Role Mapping'!$AP:$AP,32),INDEX('REVIEW - Complete Role Mapping'!$AR:$AR,32))</f>
        <v>Network &amp; QSR</v>
      </c>
      <c r="G80" s="627">
        <f>INDEX('REVIEW - Complete Role Mapping'!$AA:$AA,32)</f>
        <v>133044</v>
      </c>
      <c r="H80" s="627">
        <f>$G80*IFERROR(INDEX(Lists!$AD:$AD,MATCH($E80,Lists!$AC:$AC,0)),1)</f>
        <v>133044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Mapping'!$B:$B,57)</f>
        <v>Santiago Hernandez Arevalo</v>
      </c>
      <c r="C81" s="634" t="str">
        <f>INDEX('REVIEW - Complete Role Mapping'!$C:$C,57)</f>
        <v>Systems Analyst</v>
      </c>
      <c r="D81" s="612" t="str">
        <f>INDEX('REVIEW - Complete Role Mapping'!$AK:$AK,57)</f>
        <v>Filled</v>
      </c>
      <c r="E81" s="612" t="inlineStr">
        <is>
          <t>Filled</t>
        </is>
      </c>
      <c r="F81" s="634" t="str">
        <f>IF(INDEX('REVIEW - Complete Role Mapping'!$AR:$AR,57)="Squad",INDEX('REVIEW - Complete Role Mapping'!$AP:$AP,57),INDEX('REVIEW - Complete Role Mapping'!$AR:$AR,57))</f>
        <v>Network &amp; QSR</v>
      </c>
      <c r="G81" s="627">
        <f>INDEX('REVIEW - Complete Role Mapping'!$AA:$AA,57)</f>
        <v>206150.7</v>
      </c>
      <c r="H81" s="627">
        <f>$G81*IFERROR(INDEX(Lists!$AD:$AD,MATCH($E81,Lists!$AC:$AC,0)),1)</f>
        <v>206150.7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Mapping'!$B:$B,99)</f>
        <v>Vanessa Trujillo Munoz</v>
      </c>
      <c r="C82" s="634" t="str">
        <f>INDEX('REVIEW - Complete Role Mapping'!$C:$C,99)</f>
        <v>Delivery Lead</v>
      </c>
      <c r="D82" s="612" t="str">
        <f>INDEX('REVIEW - Complete Role Mapping'!$AK:$AK,99)</f>
        <v>Filled</v>
      </c>
      <c r="E82" s="612" t="inlineStr">
        <is>
          <t>Filled</t>
        </is>
      </c>
      <c r="F82" s="634" t="str">
        <f>IF(INDEX('REVIEW - Complete Role Mapping'!$AR:$AR,99)="Squad",INDEX('REVIEW - Complete Role Mapping'!$AP:$AP,99),INDEX('REVIEW - Complete Role Mapping'!$AR:$AR,99))</f>
        <v>Network &amp; QSR</v>
      </c>
      <c r="G82" s="627">
        <f>INDEX('REVIEW - Complete Role Mapping'!$AA:$AA,99)</f>
        <v>182454.45</v>
      </c>
      <c r="H82" s="627">
        <f>$G82*IFERROR(INDEX(Lists!$AD:$AD,MATCH($E82,Lists!$AC:$AC,0)),1)</f>
        <v>182454.45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Mapping'!$B:$B,68)</f>
        <v>Vacant</v>
      </c>
      <c r="C83" s="634" t="str">
        <f>INDEX('REVIEW - Complete Role Mapping'!$C:$C,68)</f>
        <v>Business Analyst</v>
      </c>
      <c r="D83" s="612" t="str">
        <f>INDEX('REVIEW - Complete Role Mapping'!$AK:$AK,68)</f>
        <v>Vacant</v>
      </c>
      <c r="E83" s="612" t="inlineStr">
        <is>
          <t>Hold</t>
        </is>
      </c>
      <c r="F83" s="634" t="str">
        <f>IF(INDEX('REVIEW - Complete Role Mapping'!$AR:$AR,68)="Squad",INDEX('REVIEW - Complete Role Mapping'!$AP:$AP,68),INDEX('REVIEW - Complete Role Mapping'!$AR:$AR,68))</f>
        <v>Network &amp; QSR</v>
      </c>
      <c r="G83" s="627">
        <f>INDEX('REVIEW - Complete Role Mapping'!$AA:$AA,68)</f>
        <v>202853.25</v>
      </c>
      <c r="H83" s="627">
        <f>$G83*IFERROR(INDEX(Lists!$AD:$AD,MATCH($E83,Lists!$AC:$AC,0)),1)</f>
        <v>0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Mapping'!$B:$B,93)</f>
        <v>Vacant</v>
      </c>
      <c r="C84" s="646" t="str">
        <f>INDEX('REVIEW - Complete Role Mapping'!$C:$C,93)</f>
        <v>Systems Analyst</v>
      </c>
      <c r="D84" s="646" t="str">
        <f>INDEX('REVIEW - Complete Role Mapping'!$AK:$AK,93)</f>
        <v>Vacant</v>
      </c>
      <c r="E84" s="646" t="inlineStr">
        <is>
          <t>Hold</t>
        </is>
      </c>
      <c r="F84" s="646" t="str">
        <f>IF(INDEX('REVIEW - Complete Role Mapping'!$AR:$AR,93)="Squad",INDEX('REVIEW - Complete Role Mapping'!$AP:$AP,93),INDEX('REVIEW - Complete Role Mapping'!$AR:$AR,93))</f>
        <v>Network &amp; QSR</v>
      </c>
      <c r="G84" s="627">
        <f>INDEX('REVIEW - Complete Role Mapping'!$AA:$AA,93)</f>
        <v>231689.25</v>
      </c>
      <c r="H84" s="627">
        <f>$G84*IFERROR(INDEX(Lists!$AD:$AD,MATCH($E84,Lists!$AC:$AC,0)),1)</f>
        <v>0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Mapping'!$B:$B,8)</f>
        <v>Aniket Banerji</v>
      </c>
      <c r="C85" s="634" t="str">
        <f>INDEX('REVIEW - Complete Role Mapping'!$C:$C,8)</f>
        <v>Deployment Lead</v>
      </c>
      <c r="D85" s="612" t="str">
        <f>INDEX('REVIEW - Complete Role Mapping'!$AK:$AK,8)</f>
        <v>Filled</v>
      </c>
      <c r="E85" s="647" t="inlineStr">
        <is>
          <t>Filled</t>
        </is>
      </c>
      <c r="F85" s="648" t="str">
        <f>IF(INDEX('REVIEW - Complete Role Mapping'!$AR:$AR,8)="Squad",INDEX('REVIEW - Complete Role Mapping'!$AP:$AP,8),INDEX('REVIEW - Complete Role Mapping'!$AR:$AR,8))</f>
        <v>Deployment</v>
      </c>
      <c r="G85" s="627">
        <f>INDEX('REVIEW - Complete Role Mapping'!$AA:$AA,8)</f>
        <v>200250</v>
      </c>
      <c r="H85" s="627">
        <f>$G85*IFERROR(INDEX(Lists!$AD:$AD,MATCH($E85,Lists!$AC:$AC,0)),1)</f>
        <v>200250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Mapping'!$B:$B,11)</f>
        <v>Anthony Dumbrell</v>
      </c>
      <c r="C86" s="634" t="str">
        <f>INDEX('REVIEW - Complete Role Mapping'!$C:$C,11)</f>
        <v>Technology &amp; Lab Specialist Stores</v>
      </c>
      <c r="D86" s="612" t="str">
        <f>INDEX('REVIEW - Complete Role Mapping'!$AK:$AK,11)</f>
        <v>Filled</v>
      </c>
      <c r="E86" s="647" t="inlineStr">
        <is>
          <t>Filled</t>
        </is>
      </c>
      <c r="F86" s="648" t="str">
        <f>IF(INDEX('REVIEW - Complete Role Mapping'!$AR:$AR,11)="Squad",INDEX('REVIEW - Complete Role Mapping'!$AP:$AP,11),INDEX('REVIEW - Complete Role Mapping'!$AR:$AR,11))</f>
        <v>Deployment</v>
      </c>
      <c r="G86" s="627">
        <f>INDEX('REVIEW - Complete Role Mapping'!$AA:$AA,11)</f>
        <v>206070.6</v>
      </c>
      <c r="H86" s="627">
        <f>$G86*IFERROR(INDEX(Lists!$AD:$AD,MATCH($E86,Lists!$AC:$AC,0)),1)</f>
        <v>206070.6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Mapping'!$B:$B,22)</f>
        <v>Deepak Kubendran</v>
      </c>
      <c r="C87" s="634" t="str">
        <f>INDEX('REVIEW - Complete Role Mapping'!$C:$C,22)</f>
        <v>Project Manager – Deployments</v>
      </c>
      <c r="D87" s="612" t="str">
        <f>INDEX('REVIEW - Complete Role Mapping'!$AK:$AK,22)</f>
        <v>Filled</v>
      </c>
      <c r="E87" s="647" t="inlineStr">
        <is>
          <t>Filled</t>
        </is>
      </c>
      <c r="F87" s="648" t="str">
        <f>IF(INDEX('REVIEW - Complete Role Mapping'!$AR:$AR,22)="Squad",INDEX('REVIEW - Complete Role Mapping'!$AP:$AP,22),INDEX('REVIEW - Complete Role Mapping'!$AR:$AR,22))</f>
        <v>Deployment</v>
      </c>
      <c r="G87" s="627">
        <f>INDEX('REVIEW - Complete Role Mapping'!$AA:$AA,22)</f>
        <v>205483.2</v>
      </c>
      <c r="H87" s="627">
        <f>$G87*IFERROR(INDEX(Lists!$AD:$AD,MATCH($E87,Lists!$AC:$AC,0)),1)</f>
        <v>205483.2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Mapping'!$B:$B,48)</f>
        <v>Matthew Patane</v>
      </c>
      <c r="C88" s="634" t="str">
        <f>INDEX('REVIEW - Complete Role Mapping'!$C:$C,48)</f>
        <v>Release &amp; Deployment Manager</v>
      </c>
      <c r="D88" s="612" t="str">
        <f>INDEX('REVIEW - Complete Role Mapping'!$AK:$AK,48)</f>
        <v>Filled</v>
      </c>
      <c r="E88" s="647" t="inlineStr">
        <is>
          <t>Filled</t>
        </is>
      </c>
      <c r="F88" s="648" t="str">
        <f>IF(INDEX('REVIEW - Complete Role Mapping'!$AR:$AR,48)="Squad",INDEX('REVIEW - Complete Role Mapping'!$AP:$AP,48),INDEX('REVIEW - Complete Role Mapping'!$AR:$AR,48))</f>
        <v>Deployment</v>
      </c>
      <c r="G88" s="627">
        <f>INDEX('REVIEW - Complete Role Mapping'!$AA:$AA,48)</f>
        <v>136461.432</v>
      </c>
      <c r="H88" s="627">
        <f>$G88*IFERROR(INDEX(Lists!$AD:$AD,MATCH($E88,Lists!$AC:$AC,0)),1)</f>
        <v>136461.432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Mapping'!$B:$B,103)</f>
        <v>Violeta Trajkovski</v>
      </c>
      <c r="C89" s="634" t="str">
        <f>INDEX('REVIEW - Complete Role Mapping'!$C:$C,103)</f>
        <v>Deployment Coordinator</v>
      </c>
      <c r="D89" s="612" t="str">
        <f>INDEX('REVIEW - Complete Role Mapping'!$AK:$AK,103)</f>
        <v>Filled</v>
      </c>
      <c r="E89" s="647" t="inlineStr">
        <is>
          <t>Filled</t>
        </is>
      </c>
      <c r="F89" s="648" t="str">
        <f>IF(INDEX('REVIEW - Complete Role Mapping'!$AR:$AR,103)="Squad",INDEX('REVIEW - Complete Role Mapping'!$AP:$AP,103),INDEX('REVIEW - Complete Role Mapping'!$AR:$AR,103))</f>
        <v>Deployment</v>
      </c>
      <c r="G89" s="627">
        <f>INDEX('REVIEW - Complete Role Mapping'!$AA:$AA,103)</f>
        <v>145570.5</v>
      </c>
      <c r="H89" s="627">
        <f>$G89*IFERROR(INDEX(Lists!$AD:$AD,MATCH($E89,Lists!$AC:$AC,0)),1)</f>
        <v>145570.5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Mapping'!$B:$B,14)</f>
        <v>Beenu Murali</v>
      </c>
      <c r="C90" s="634" t="str">
        <f>INDEX('REVIEW - Complete Role Mapping'!$C:$C,14)</f>
        <v>Quality Assurance</v>
      </c>
      <c r="D90" s="612" t="str">
        <f>INDEX('REVIEW - Complete Role Mapping'!$AK:$AK,14)</f>
        <v>Filled</v>
      </c>
      <c r="E90" s="647" t="inlineStr">
        <is>
          <t>Filled</t>
        </is>
      </c>
      <c r="F90" s="648" t="str">
        <f>IF(INDEX('REVIEW - Complete Role Mapping'!$AR:$AR,14)="Squad",INDEX('REVIEW - Complete Role Mapping'!$AP:$AP,14),INDEX('REVIEW - Complete Role Mapping'!$AR:$AR,14))</f>
        <v>Payments</v>
      </c>
      <c r="G90" s="627">
        <f>INDEX('REVIEW - Complete Role Mapping'!$AA:$AA,14)</f>
        <v>146083.35</v>
      </c>
      <c r="H90" s="627">
        <f>$G90*IFERROR(INDEX(Lists!$AD:$AD,MATCH($E90,Lists!$AC:$AC,0)),1)</f>
        <v>146083.35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Mapping'!$B:$B,59)</f>
        <v>Sayan Kar</v>
      </c>
      <c r="C91" s="634" t="str">
        <f>INDEX('REVIEW - Complete Role Mapping'!$C:$C,59)</f>
        <v>Systems Analyst</v>
      </c>
      <c r="D91" s="612" t="str">
        <f>INDEX('REVIEW - Complete Role Mapping'!$AK:$AK,59)</f>
        <v>Filled</v>
      </c>
      <c r="E91" s="647" t="inlineStr">
        <is>
          <t>Filled</t>
        </is>
      </c>
      <c r="F91" s="648" t="str">
        <f>IF(INDEX('REVIEW - Complete Role Mapping'!$AR:$AR,59)="Squad",INDEX('REVIEW - Complete Role Mapping'!$AP:$AP,59),INDEX('REVIEW - Complete Role Mapping'!$AR:$AR,59))</f>
        <v>Payments</v>
      </c>
      <c r="G91" s="627">
        <f>INDEX('REVIEW - Complete Role Mapping'!$AA:$AA,59)</f>
        <v>259243.65</v>
      </c>
      <c r="H91" s="627">
        <f>$G91*IFERROR(INDEX(Lists!$AD:$AD,MATCH($E91,Lists!$AC:$AC,0)),1)</f>
        <v>259243.65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Mapping'!$B:$B,101)</f>
        <v>Venkat Kedharanathan</v>
      </c>
      <c r="C92" s="634" t="str">
        <f>INDEX('REVIEW - Complete Role Mapping'!$C:$C,101)</f>
        <v>Senior Business Analyst</v>
      </c>
      <c r="D92" s="612" t="str">
        <f>INDEX('REVIEW - Complete Role Mapping'!$AK:$AK,101)</f>
        <v>Filled</v>
      </c>
      <c r="E92" s="647" t="inlineStr">
        <is>
          <t>Filled</t>
        </is>
      </c>
      <c r="F92" s="648" t="str">
        <f>IF(INDEX('REVIEW - Complete Role Mapping'!$AR:$AR,101)="Squad",INDEX('REVIEW - Complete Role Mapping'!$AP:$AP,101),INDEX('REVIEW - Complete Role Mapping'!$AR:$AR,101))</f>
        <v>Payments</v>
      </c>
      <c r="G92" s="627">
        <f>INDEX('REVIEW - Complete Role Mapping'!$AA:$AA,101)</f>
        <v>213600</v>
      </c>
      <c r="H92" s="627">
        <f>$G92*IFERROR(INDEX(Lists!$AD:$AD,MATCH($E92,Lists!$AC:$AC,0)),1)</f>
        <v>213600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Mapping'!$B:$B,94)</f>
        <v>Vacant</v>
      </c>
      <c r="C93" s="646" t="str">
        <f>INDEX('REVIEW - Complete Role Mapping'!$C:$C,94)</f>
        <v>Systems Analyst</v>
      </c>
      <c r="D93" s="646" t="str">
        <f>INDEX('REVIEW - Complete Role Mapping'!$AK:$AK,94)</f>
        <v>Vacant</v>
      </c>
      <c r="E93" s="646" t="inlineStr">
        <is>
          <t>Hold</t>
        </is>
      </c>
      <c r="F93" s="646" t="str">
        <f>IF(INDEX('REVIEW - Complete Role Mapping'!$AR:$AR,94)="Squad",INDEX('REVIEW - Complete Role Mapping'!$AP:$AP,94),INDEX('REVIEW - Complete Role Mapping'!$AR:$AR,94))</f>
        <v>Payments</v>
      </c>
      <c r="G93" s="627">
        <f>INDEX('REVIEW - Complete Role Mapping'!$AA:$AA,94)</f>
        <v>170501.585</v>
      </c>
      <c r="H93" s="627">
        <f>$G93*IFERROR(INDEX(Lists!$AD:$AD,MATCH($E93,Lists!$AC:$AC,0)),1)</f>
        <v>0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Mapping'!$B:$B,104)</f>
        <v>Viren Khatri</v>
      </c>
      <c r="C94" s="634" t="str">
        <f>INDEX('REVIEW - Complete Role Mapping'!$C:$C,104)</f>
        <v>Data Migration Lead</v>
      </c>
      <c r="D94" s="612" t="str">
        <f>INDEX('REVIEW - Complete Role Mapping'!$AK:$AK,104)</f>
        <v>Filled</v>
      </c>
      <c r="E94" s="647" t="inlineStr">
        <is>
          <t>Filled</t>
        </is>
      </c>
      <c r="F94" s="648" t="str">
        <f>IF(INDEX('REVIEW - Complete Role Mapping'!$AR:$AR,104)="Squad",INDEX('REVIEW - Complete Role Mapping'!$AP:$AP,104),INDEX('REVIEW - Complete Role Mapping'!$AR:$AR,104))</f>
        <v>EGI TDD</v>
      </c>
      <c r="G94" s="627">
        <f>INDEX('REVIEW - Complete Role Mapping'!$AA:$AA,104)</f>
        <v>299700</v>
      </c>
      <c r="H94" s="627">
        <f>$G94*IFERROR(INDEX(Lists!$AD:$AD,MATCH($E94,Lists!$AC:$AC,0)),1)</f>
        <v>299700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str">
        <f>INDEX('REVIEW - Complete Role Mapping'!$B:$B,42)</f>
        <v>Madan Murthy</v>
      </c>
      <c r="C95" s="634" t="str">
        <f>INDEX('REVIEW - Complete Role Mapping'!$C:$C,42)</f>
        <v>Head of Technology, AU Retail</v>
      </c>
      <c r="D95" s="612" t="str">
        <f>INDEX('REVIEW - Complete Role Mapping'!$AK:$AK,42)</f>
        <v>Filled</v>
      </c>
      <c r="E95" s="647" t="inlineStr">
        <is>
          <t>Filled</t>
        </is>
      </c>
      <c r="F95" s="648" t="str">
        <f>IF(INDEX('REVIEW - Complete Role Mapping'!$AR:$AR,42)="Squad",INDEX('REVIEW - Complete Role Mapping'!$AP:$AP,42),INDEX('REVIEW - Complete Role Mapping'!$AR:$AR,42))</f>
        <v>Head of Technology</v>
      </c>
      <c r="G95" s="627">
        <f>INDEX('REVIEW - Complete Role Mapping'!$AA:$AA,42)</f>
        <v>186032.25</v>
      </c>
      <c r="H95" s="627">
        <f>$G95*IFERROR(INDEX(Lists!$AD:$AD,MATCH($E95,Lists!$AC:$AC,0)),1)</f>
        <v>186032.25</v>
      </c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str">
        <f>INDEX('REVIEW - Complete Role Mapping'!$B:$B,97)</f>
        <v>Vanessa Allen</v>
      </c>
      <c r="C96" s="634" t="str">
        <f>INDEX('REVIEW - Complete Role Mapping'!$C:$C,97)</f>
        <v>Delivery Manager</v>
      </c>
      <c r="D96" s="612" t="str">
        <f>INDEX('REVIEW - Complete Role Mapping'!$AK:$AK,97)</f>
        <v>Filled</v>
      </c>
      <c r="E96" s="647" t="inlineStr">
        <is>
          <t>Filled</t>
        </is>
      </c>
      <c r="F96" s="648" t="str">
        <f>IF(INDEX('REVIEW - Complete Role Mapping'!$AR:$AR,97)="Squad",INDEX('REVIEW - Complete Role Mapping'!$AP:$AP,97),INDEX('REVIEW - Complete Role Mapping'!$AR:$AR,97))</f>
        <v>Delivery Manager</v>
      </c>
      <c r="G96" s="627">
        <f>INDEX('REVIEW - Complete Role Mapping'!$AA:$AA,97)</f>
        <v>302937.35</v>
      </c>
      <c r="H96" s="627">
        <f>$G96*IFERROR(INDEX(Lists!$AD:$AD,MATCH($E96,Lists!$AC:$AC,0)),1)</f>
        <v>302937.35</v>
      </c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str">
        <f>INDEX('REVIEW - Complete Role Mapping'!$B:$B,64)</f>
        <v>Tracy Lee Reaper</v>
      </c>
      <c r="C97" s="634" t="str">
        <f>INDEX('REVIEW - Complete Role Mapping'!$C:$C,64)</f>
        <v>Technology Manager, Merchandising &amp; WFM</v>
      </c>
      <c r="D97" s="612" t="str">
        <f>INDEX('REVIEW - Complete Role Mapping'!$AK:$AK,64)</f>
        <v>Filled</v>
      </c>
      <c r="E97" s="647" t="inlineStr">
        <is>
          <t>Filled</t>
        </is>
      </c>
      <c r="F97" s="648" t="str">
        <f>IF(INDEX('REVIEW - Complete Role Mapping'!$AR:$AR,64)="Squad",INDEX('REVIEW - Complete Role Mapping'!$AP:$AP,64),INDEX('REVIEW - Complete Role Mapping'!$AR:$AR,64))</f>
        <v>Technology Manager</v>
      </c>
      <c r="G97" s="627">
        <f>INDEX('REVIEW - Complete Role Mapping'!$AA:$AA,64)</f>
        <v>224341.488</v>
      </c>
      <c r="H97" s="627">
        <f>$G97*IFERROR(INDEX(Lists!$AD:$AD,MATCH($E97,Lists!$AC:$AC,0)),1)</f>
        <v>224341.488</v>
      </c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str">
        <f>INDEX('REVIEW - Complete Role Mapping'!$B:$B,96)</f>
        <v>Vaishnavi Viswanathan</v>
      </c>
      <c r="C98" s="634" t="str">
        <f>INDEX('REVIEW - Complete Role Mapping'!$C:$C,96)</f>
        <v>Technology Manager, Store Platform</v>
      </c>
      <c r="D98" s="612" t="str">
        <f>INDEX('REVIEW - Complete Role Mapping'!$AK:$AK,96)</f>
        <v>Filled</v>
      </c>
      <c r="E98" s="647" t="inlineStr">
        <is>
          <t>Filled</t>
        </is>
      </c>
      <c r="F98" s="648" t="str">
        <f>IF(INDEX('REVIEW - Complete Role Mapping'!$AR:$AR,96)="Squad",INDEX('REVIEW - Complete Role Mapping'!$AP:$AP,96),INDEX('REVIEW - Complete Role Mapping'!$AR:$AR,96))</f>
        <v>Technology Manager</v>
      </c>
      <c r="G98" s="627">
        <f>INDEX('REVIEW - Complete Role Mapping'!$AA:$AA,96)</f>
        <v>257754.875</v>
      </c>
      <c r="H98" s="627">
        <f>$G98*IFERROR(INDEX(Lists!$AD:$AD,MATCH($E98,Lists!$AC:$AC,0)),1)</f>
        <v>257754.875</v>
      </c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str">
        <f>INDEX('REVIEW - Complete Role Mapping'!$B:$B,100)</f>
        <v>Vedran Jukic</v>
      </c>
      <c r="C99" s="634" t="str">
        <f>INDEX('REVIEW - Complete Role Mapping'!$C:$C,100)</f>
        <v>Technology Manager, Retail</v>
      </c>
      <c r="D99" s="612" t="str">
        <f>INDEX('REVIEW - Complete Role Mapping'!$AK:$AK,100)</f>
        <v>Filled</v>
      </c>
      <c r="E99" s="647" t="inlineStr">
        <is>
          <t>Filled</t>
        </is>
      </c>
      <c r="F99" s="648" t="str">
        <f>IF(INDEX('REVIEW - Complete Role Mapping'!$AR:$AR,100)="Squad",INDEX('REVIEW - Complete Role Mapping'!$AP:$AP,100),INDEX('REVIEW - Complete Role Mapping'!$AR:$AR,100))</f>
        <v>Technology Manager</v>
      </c>
      <c r="G99" s="627">
        <f>INDEX('REVIEW - Complete Role Mapping'!$AA:$AA,100)</f>
        <v>284550</v>
      </c>
      <c r="H99" s="627">
        <f>$G99*IFERROR(INDEX(Lists!$AD:$AD,MATCH($E99,Lists!$AC:$AC,0)),1)</f>
        <v>284550</v>
      </c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30:E99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4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7" t="inlineStr">
        <is>
          <t>Change from decisions ($m)</t>
        </is>
      </c>
      <c r="Q5" s="1247" t="inlineStr">
        <is>
          <t>Vacant cost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Customer'!$B$29:$B$56,0)),"No archetype for this squad")</f>
        <v>Product</v>
      </c>
      <c r="D6" s="1249">
        <f>IFERROR(INDEX('0.3 Squad Archetypes'!$F$5:$F$23,MATCH($C6&amp;"|"&amp;$R6,'0.3 Squad Archetypes'!$A$5:$A$23,0)),"-")</f>
        <v>12</v>
      </c>
      <c r="E6" s="1250">
        <f>COUNTIFS($F$32:$F$114,$B6)</f>
        <v>14</v>
      </c>
      <c r="F6" s="1250">
        <f>IFERROR($E6-$D6,"-")</f>
        <v>2</v>
      </c>
      <c r="G6" s="1250">
        <f>COUNTIFS($F$32:$F$114,$B6,$D$32:$D$114,"Vacant")</f>
        <v>0</v>
      </c>
      <c r="H6" s="1250">
        <f>COUNTIFS($F$32:$F$114,$B6,$D$32:$D$114,"Vacant",$E$32:$E$114,"Hire")+COUNTIFS($F$32:$F$114,$B6,$D$32:$D$114,"Vacant",$E$32:$E$114,"Offshore")</f>
        <v>0</v>
      </c>
      <c r="I6" s="1250">
        <f>COUNTIFS($F$32:$F$114,$B6,$D$32:$D$114,"Vacant",$E$32:$E$114,"Hold")</f>
        <v>0</v>
      </c>
      <c r="J6" s="1250">
        <f>$E6-COUNTIFS($F$32:$F$114,$B6,$E$32:$E$114,"Hold")</f>
        <v>14</v>
      </c>
      <c r="K6" s="634" t="str">
        <f>IF(NOT(ISNUMBER($D6)),"No archetype - see 0.3",IF($J6&gt;$D6,"Over archetype after decisions",IF($J6&lt;$D6,"Under archetype","On archetype")))</f>
        <v>Over archetype after decisions</v>
      </c>
      <c r="L6" s="1260">
        <f>IFERROR(INDEX('0.3 Squad Archetypes'!$G$5:$G$23,MATCH($C6&amp;"|"&amp;$R6,'0.3 Squad Archetypes'!$A$5:$A$23,0)),"-")</f>
        <v>2.8</v>
      </c>
      <c r="M6" s="1252">
        <f>SUMIFS($G$32:$G$114,$F$32:$F$114,$B6)/1000000</f>
        <v>3.36059233</v>
      </c>
      <c r="N6" s="1252">
        <f>IFERROR($M6-$L6,"-")</f>
        <v>0.56059233</v>
      </c>
      <c r="O6" s="1252">
        <f>SUMIFS($H$32:$H$114,$F$32:$F$114,$B6)/1000000</f>
        <v>3.36059233</v>
      </c>
      <c r="P6" s="1252">
        <f>$O6-$M6</f>
        <v>0</v>
      </c>
      <c r="Q6" s="1252">
        <f>SUMIFS($G$32:$G$114,$F$32:$F$114,$B6,$D$32:$D$114,"Vacant")/1000000</f>
        <v>0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Customer'!$B$29:$B$56,0)),"No archetype for this squad")</f>
        <v>Product</v>
      </c>
      <c r="D7" s="1249">
        <f>IFERROR(INDEX('0.3 Squad Archetypes'!$F$5:$F$23,MATCH($C7&amp;"|"&amp;$R7,'0.3 Squad Archetypes'!$A$5:$A$23,0)),"-")</f>
        <v>12</v>
      </c>
      <c r="E7" s="1250">
        <f>COUNTIFS($F$32:$F$114,$B7)</f>
        <v>12</v>
      </c>
      <c r="F7" s="1250">
        <f>IFERROR($E7-$D7,"-")</f>
        <v>0</v>
      </c>
      <c r="G7" s="1250">
        <f>COUNTIFS($F$32:$F$114,$B7,$D$32:$D$114,"Vacant")</f>
        <v>0</v>
      </c>
      <c r="H7" s="1250">
        <f>COUNTIFS($F$32:$F$114,$B7,$D$32:$D$114,"Vacant",$E$32:$E$114,"Hire")+COUNTIFS($F$32:$F$114,$B7,$D$32:$D$114,"Vacant",$E$32:$E$114,"Offshore")</f>
        <v>0</v>
      </c>
      <c r="I7" s="1250">
        <f>COUNTIFS($F$32:$F$114,$B7,$D$32:$D$114,"Vacant",$E$32:$E$114,"Hold")</f>
        <v>0</v>
      </c>
      <c r="J7" s="1250">
        <f>$E7-COUNTIFS($F$32:$F$114,$B7,$E$32:$E$114,"Hold")</f>
        <v>12</v>
      </c>
      <c r="K7" s="634" t="str">
        <f>IF(NOT(ISNUMBER($D7)),"No archetype - see 0.3",IF($J7&gt;$D7,"Over archetype after decisions",IF($J7&lt;$D7,"Under archetype","On archetype")))</f>
        <v>On archetype</v>
      </c>
      <c r="L7" s="1260">
        <f>IFERROR(INDEX('0.3 Squad Archetypes'!$G$5:$G$23,MATCH($C7&amp;"|"&amp;$R7,'0.3 Squad Archetypes'!$A$5:$A$23,0)),"-")</f>
        <v>2.8</v>
      </c>
      <c r="M7" s="1252">
        <f>SUMIFS($G$32:$G$114,$F$32:$F$114,$B7)/1000000</f>
        <v>2.565623522</v>
      </c>
      <c r="N7" s="1252">
        <f>IFERROR($M7-$L7,"-")</f>
        <v>-0.234376478</v>
      </c>
      <c r="O7" s="1252">
        <f>SUMIFS($H$32:$H$114,$F$32:$F$114,$B7)/1000000</f>
        <v>2.565623522</v>
      </c>
      <c r="P7" s="1252">
        <f>$O7-$M7</f>
        <v>0</v>
      </c>
      <c r="Q7" s="1252">
        <f>SUMIFS($G$32:$G$114,$F$32:$F$114,$B7,$D$32:$D$114,"Vacant")/1000000</f>
        <v>0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Energy Martech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COUNTIFS($F$32:$F$114,$B8)</f>
        <v>10</v>
      </c>
      <c r="F8" s="1250" t="str">
        <f>IFERROR($E8-$D8,"-")</f>
        <v>-</v>
      </c>
      <c r="G8" s="1250">
        <f>COUNTIFS($F$32:$F$114,$B8,$D$32:$D$114,"Vacant")</f>
        <v>0</v>
      </c>
      <c r="H8" s="1250">
        <f>COUNTIFS($F$32:$F$114,$B8,$D$32:$D$114,"Vacant",$E$32:$E$114,"Hire")+COUNTIFS($F$32:$F$114,$B8,$D$32:$D$114,"Vacant",$E$32:$E$114,"Offshore")</f>
        <v>0</v>
      </c>
      <c r="I8" s="1250">
        <f>COUNTIFS($F$32:$F$114,$B8,$D$32:$D$114,"Vacant",$E$32:$E$114,"Hold")</f>
        <v>0</v>
      </c>
      <c r="J8" s="1250">
        <f>$E8-COUNTIFS($F$32:$F$114,$B8,$E$32:$E$114,"Hold")</f>
        <v>10</v>
      </c>
      <c r="K8" s="634" t="str">
        <f>IF(NOT(ISNUMBER($D8)),"No archetype - see 0.3",IF($J8&gt;$D8,"Over archetype after decisions",IF($J8&lt;$D8,"Under archetype","On archetype")))</f>
        <v>No archetype - see 0.3</v>
      </c>
      <c r="L8" s="1260" t="str">
        <f>IFERROR(INDEX('0.3 Squad Archetypes'!$G$5:$G$23,MATCH($C8&amp;"|"&amp;$R8,'0.3 Squad Archetypes'!$A$5:$A$23,0)),"-")</f>
        <v>-</v>
      </c>
      <c r="M8" s="1252">
        <f>SUMIFS($G$32:$G$114,$F$32:$F$114,$B8)/1000000</f>
        <v>2.208135308</v>
      </c>
      <c r="N8" s="1252" t="str">
        <f>IFERROR($M8-$L8,"-")</f>
        <v>-</v>
      </c>
      <c r="O8" s="1252">
        <f>SUMIFS($H$32:$H$114,$F$32:$F$114,$B8)/1000000</f>
        <v>2.208135308</v>
      </c>
      <c r="P8" s="1252">
        <f>$O8-$M8</f>
        <v>0</v>
      </c>
      <c r="Q8" s="1252">
        <f>SUMIFS($G$32:$G$114,$F$32:$F$114,$B8,$D$32:$D$114,"Vacant")/1000000</f>
        <v>0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</row>
    <row r="9">
      <c r="A9" s="949" t="n"/>
      <c r="B9" s="640" t="inlineStr">
        <is>
          <t>Ampol Web</t>
        </is>
      </c>
      <c r="C9" s="635" t="str">
        <f>IFERROR(INDEX('1.2 Customer'!$C$29:$C$56,MATCH($S9,'1.2 Customer'!$B$29:$B$56,0)),"No archetype for this squad")</f>
        <v>Product</v>
      </c>
      <c r="D9" s="1249">
        <f>IFERROR(INDEX('0.3 Squad Archetypes'!$F$5:$F$23,MATCH($C9&amp;"|"&amp;$R9,'0.3 Squad Archetypes'!$A$5:$A$23,0)),"-")</f>
        <v>8.5</v>
      </c>
      <c r="E9" s="1250">
        <f>COUNTIFS($F$32:$F$114,$B9)</f>
        <v>8</v>
      </c>
      <c r="F9" s="1250">
        <f>IFERROR($E9-$D9,"-")</f>
        <v>-0.5</v>
      </c>
      <c r="G9" s="1250">
        <f>COUNTIFS($F$32:$F$114,$B9,$D$32:$D$114,"Vacant")</f>
        <v>0</v>
      </c>
      <c r="H9" s="1250">
        <f>COUNTIFS($F$32:$F$114,$B9,$D$32:$D$114,"Vacant",$E$32:$E$114,"Hire")+COUNTIFS($F$32:$F$114,$B9,$D$32:$D$114,"Vacant",$E$32:$E$114,"Offshore")</f>
        <v>0</v>
      </c>
      <c r="I9" s="1250">
        <f>COUNTIFS($F$32:$F$114,$B9,$D$32:$D$114,"Vacant",$E$32:$E$114,"Hold")</f>
        <v>0</v>
      </c>
      <c r="J9" s="1250">
        <f>$E9-COUNTIFS($F$32:$F$114,$B9,$E$32:$E$114,"Hold")</f>
        <v>8</v>
      </c>
      <c r="K9" s="634" t="str">
        <f>IF(NOT(ISNUMBER($D9)),"No archetype - see 0.3",IF($J9&gt;$D9,"Over archetype after decisions",IF($J9&lt;$D9,"Under archetype","On archetype")))</f>
        <v>Under archetype</v>
      </c>
      <c r="L9" s="1260">
        <f>IFERROR(INDEX('0.3 Squad Archetypes'!$G$5:$G$23,MATCH($C9&amp;"|"&amp;$R9,'0.3 Squad Archetypes'!$A$5:$A$23,0)),"-")</f>
        <v>1.9</v>
      </c>
      <c r="M9" s="1252">
        <f>SUMIFS($G$32:$G$114,$F$32:$F$114,$B9)/1000000</f>
        <v>1.59122945</v>
      </c>
      <c r="N9" s="1252">
        <f>IFERROR($M9-$L9,"-")</f>
        <v>-0.30877055</v>
      </c>
      <c r="O9" s="1252">
        <f>SUMIFS($H$32:$H$114,$F$32:$F$114,$B9)/1000000</f>
        <v>1.59122945</v>
      </c>
      <c r="P9" s="1252">
        <f>$O9-$M9</f>
        <v>0</v>
      </c>
      <c r="Q9" s="1252">
        <f>SUMIFS($G$32:$G$114,$F$32:$F$114,$B9,$D$32:$D$114,"Vacant")/1000000</f>
        <v>0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Ampol Web</v>
      </c>
    </row>
    <row r="10">
      <c r="A10" s="949" t="n"/>
      <c r="B10" s="634" t="inlineStr">
        <is>
          <t>Ampol Loyalty &amp; Martech</t>
        </is>
      </c>
      <c r="C10" s="635" t="str">
        <f>IFERROR(INDEX('1.2 Customer'!$C$29:$C$56,MATCH($S10,'1.2 Customer'!$B$29:$B$56,0)),"No archetype for this squad")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COUNTIFS($F$32:$F$114,$B10)</f>
        <v>7</v>
      </c>
      <c r="F10" s="1250">
        <f>IFERROR($E10-$D10,"-")</f>
        <v>-1.5</v>
      </c>
      <c r="G10" s="1250">
        <f>COUNTIFS($F$32:$F$114,$B10,$D$32:$D$114,"Vacant")</f>
        <v>4</v>
      </c>
      <c r="H10" s="1250">
        <f>COUNTIFS($F$32:$F$114,$B10,$D$32:$D$114,"Vacant",$E$32:$E$114,"Hire")+COUNTIFS($F$32:$F$114,$B10,$D$32:$D$114,"Vacant",$E$32:$E$114,"Offshore")</f>
        <v>0</v>
      </c>
      <c r="I10" s="1250">
        <f>COUNTIFS($F$32:$F$114,$B10,$D$32:$D$114,"Vacant",$E$32:$E$114,"Hold")</f>
        <v>4</v>
      </c>
      <c r="J10" s="1250">
        <f>$E10-COUNTIFS($F$32:$F$114,$B10,$E$32:$E$114,"Hold")</f>
        <v>3</v>
      </c>
      <c r="K10" s="634" t="str">
        <f>IF(NOT(ISNUMBER($D10)),"No archetype - see 0.3",IF($J10&gt;$D10,"Over archetype after decisions",IF($J10&lt;$D10,"Under archetype","On archetype")))</f>
        <v>Under archetype</v>
      </c>
      <c r="L10" s="1260">
        <f>IFERROR(INDEX('0.3 Squad Archetypes'!$G$5:$G$23,MATCH($C10&amp;"|"&amp;$R10,'0.3 Squad Archetypes'!$A$5:$A$23,0)),"-")</f>
        <v>1.9</v>
      </c>
      <c r="M10" s="1252">
        <f>SUMIFS($G$32:$G$114,$F$32:$F$114,$B10)/1000000</f>
        <v>1.08729156</v>
      </c>
      <c r="N10" s="1252">
        <f>IFERROR($M10-$L10,"-")</f>
        <v>-0.81270844</v>
      </c>
      <c r="O10" s="1252">
        <f>SUMIFS($H$32:$H$114,$F$32:$F$114,$B10)/1000000</f>
        <v>0.6059565</v>
      </c>
      <c r="P10" s="1252">
        <f>$O10-$M10</f>
        <v>-0.48133506</v>
      </c>
      <c r="Q10" s="1252">
        <f>SUMIFS($G$32:$G$114,$F$32:$F$114,$B10,$D$32:$D$114,"Vacant")/1000000</f>
        <v>0.48133506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AU CRM &amp; Martech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Customer'!$B$29:$B$56,0)),"No archetype for this squad")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COUNTIFS($F$32:$F$114,$B11)</f>
        <v>7</v>
      </c>
      <c r="F11" s="1250">
        <f>IFERROR($E11-$D11,"-")</f>
        <v>1</v>
      </c>
      <c r="G11" s="1250">
        <f>COUNTIFS($F$32:$F$114,$B11,$D$32:$D$114,"Vacant")</f>
        <v>3</v>
      </c>
      <c r="H11" s="1250">
        <f>COUNTIFS($F$32:$F$114,$B11,$D$32:$D$114,"Vacant",$E$32:$E$114,"Hire")+COUNTIFS($F$32:$F$114,$B11,$D$32:$D$114,"Vacant",$E$32:$E$114,"Offshore")</f>
        <v>0</v>
      </c>
      <c r="I11" s="1250">
        <f>COUNTIFS($F$32:$F$114,$B11,$D$32:$D$114,"Vacant",$E$32:$E$114,"Hold")</f>
        <v>3</v>
      </c>
      <c r="J11" s="1250">
        <f>$E11-COUNTIFS($F$32:$F$114,$B11,$E$32:$E$114,"Hold")</f>
        <v>4</v>
      </c>
      <c r="K11" s="634" t="str">
        <f>IF(NOT(ISNUMBER($D11)),"No archetype - see 0.3",IF($J11&gt;$D11,"Over archetype after decisions",IF($J11&lt;$D11,"Under archetype","On archetype")))</f>
        <v>Under archetype</v>
      </c>
      <c r="L11" s="1260">
        <f>IFERROR(INDEX('0.3 Squad Archetypes'!$G$5:$G$23,MATCH($C11&amp;"|"&amp;$R11,'0.3 Squad Archetypes'!$A$5:$A$23,0)),"-")</f>
        <v>1.4</v>
      </c>
      <c r="M11" s="1252">
        <f>SUMIFS($G$32:$G$114,$F$32:$F$114,$B11)/1000000</f>
        <v>1.303645928</v>
      </c>
      <c r="N11" s="1252">
        <f>IFERROR($M11-$L11,"-")</f>
        <v>-0.0963540719999998</v>
      </c>
      <c r="O11" s="1252">
        <f>SUMIFS($H$32:$H$114,$F$32:$F$114,$B11)/1000000</f>
        <v>0.897842088</v>
      </c>
      <c r="P11" s="1252">
        <f>$O11-$M11</f>
        <v>-0.40580384</v>
      </c>
      <c r="Q11" s="1252">
        <f>SUMIFS($G$32:$G$114,$F$32:$F$114,$B11,$D$32:$D$114,"Vacant")/1000000</f>
        <v>0.40580384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</row>
    <row r="12">
      <c r="A12" s="949" t="n"/>
      <c r="B12" s="634" t="inlineStr">
        <is>
          <t>Leadership</t>
        </is>
      </c>
      <c r="C12" s="635" t="str">
        <f>IFERROR(INDEX('1.2 Customer'!$C$29:$C$56,MATCH($S12,'1.2 Customer'!$B$29:$B$56,0)),"No archetype for this squad")</f>
        <v>No archetype for this squad</v>
      </c>
      <c r="D12" s="1249" t="str">
        <f>IFERROR(INDEX('0.3 Squad Archetypes'!$F$5:$F$23,MATCH($C12&amp;"|"&amp;$R12,'0.3 Squad Archetypes'!$A$5:$A$23,0)),"-")</f>
        <v>-</v>
      </c>
      <c r="E12" s="1250">
        <f>COUNTIFS($F$32:$F$114,$B12)</f>
        <v>5</v>
      </c>
      <c r="F12" s="1250" t="str">
        <f>IFERROR($E12-$D12,"-")</f>
        <v>-</v>
      </c>
      <c r="G12" s="1250">
        <f>COUNTIFS($F$32:$F$114,$B12,$D$32:$D$114,"Vacant")</f>
        <v>1</v>
      </c>
      <c r="H12" s="1250">
        <f>COUNTIFS($F$32:$F$114,$B12,$D$32:$D$114,"Vacant",$E$32:$E$114,"Hire")+COUNTIFS($F$32:$F$114,$B12,$D$32:$D$114,"Vacant",$E$32:$E$114,"Offshore")</f>
        <v>0</v>
      </c>
      <c r="I12" s="1250">
        <f>COUNTIFS($F$32:$F$114,$B12,$D$32:$D$114,"Vacant",$E$32:$E$114,"Hold")</f>
        <v>1</v>
      </c>
      <c r="J12" s="1250">
        <f>$E12-COUNTIFS($F$32:$F$114,$B12,$E$32:$E$114,"Hold")</f>
        <v>4</v>
      </c>
      <c r="K12" s="634" t="str">
        <f>IF(NOT(ISNUMBER($D12)),"No archetype - see 0.3",IF($J12&gt;$D12,"Over archetype after decisions",IF($J12&lt;$D12,"Under archetype","On archetype")))</f>
        <v>No archetype - see 0.3</v>
      </c>
      <c r="L12" s="1260" t="str">
        <f>IFERROR(INDEX('0.3 Squad Archetypes'!$G$5:$G$23,MATCH($C12&amp;"|"&amp;$R12,'0.3 Squad Archetypes'!$A$5:$A$23,0)),"-")</f>
        <v>-</v>
      </c>
      <c r="M12" s="1252">
        <f>SUMIFS($G$32:$G$114,$F$32:$F$114,$B12)/1000000</f>
        <v>1.048250048</v>
      </c>
      <c r="N12" s="1252" t="str">
        <f>IFERROR($M12-$L12,"-")</f>
        <v>-</v>
      </c>
      <c r="O12" s="1252">
        <f>SUMIFS($H$32:$H$114,$F$32:$F$114,$B12)/1000000</f>
        <v>0.884652848</v>
      </c>
      <c r="P12" s="1252">
        <f>$O12-$M12</f>
        <v>-0.1635972</v>
      </c>
      <c r="Q12" s="1252">
        <f>SUMIFS($G$32:$G$114,$F$32:$F$114,$B12,$D$32:$D$114,"Vacant")/1000000</f>
        <v>0.1635972</v>
      </c>
      <c r="R12" s="635" t="str">
        <f>IFERROR(IF(INDEX('1.2 Customer'!$D$29:$D$56,MATCH($S12,'1.2 Customer'!$B$29:$B$56,0))="","-",INDEX('1.2 Customer'!$D$29:$D$56,MATCH($S12,'1.2 Customer'!$B$29:$B$56,0))),"-")</f>
        <v>-</v>
      </c>
      <c r="S12" t="str">
        <f>IFERROR(INDEX(Lists!$AA:$AA,MATCH($B12,Lists!$Z:$Z,0)),$B12)</f>
        <v>Leadership</v>
      </c>
    </row>
    <row r="13">
      <c r="A13" s="949" t="n"/>
      <c r="B13" s="640" t="inlineStr">
        <is>
          <t>Z App and Web</t>
        </is>
      </c>
      <c r="C13" s="635" t="str">
        <f>IFERROR(INDEX('1.2 Customer'!$C$29:$C$56,MATCH($S13,'1.2 Customer'!$B$29:$B$56,0)),"No archetype for this squad")</f>
        <v>Product</v>
      </c>
      <c r="D13" s="1249">
        <f>IFERROR(INDEX('0.3 Squad Archetypes'!$F$5:$F$23,MATCH($C13&amp;"|"&amp;$R13,'0.3 Squad Archetypes'!$A$5:$A$23,0)),"-")</f>
        <v>5.5</v>
      </c>
      <c r="E13" s="1250">
        <f>COUNTIFS($F$32:$F$114,$B13)</f>
        <v>5</v>
      </c>
      <c r="F13" s="1250">
        <f>IFERROR($E13-$D13,"-")</f>
        <v>-0.5</v>
      </c>
      <c r="G13" s="1250">
        <f>COUNTIFS($F$32:$F$114,$B13,$D$32:$D$114,"Vacant")</f>
        <v>0</v>
      </c>
      <c r="H13" s="1250">
        <f>COUNTIFS($F$32:$F$114,$B13,$D$32:$D$114,"Vacant",$E$32:$E$114,"Hire")+COUNTIFS($F$32:$F$114,$B13,$D$32:$D$114,"Vacant",$E$32:$E$114,"Offshore")</f>
        <v>0</v>
      </c>
      <c r="I13" s="1250">
        <f>COUNTIFS($F$32:$F$114,$B13,$D$32:$D$114,"Vacant",$E$32:$E$114,"Hold")</f>
        <v>0</v>
      </c>
      <c r="J13" s="1250">
        <f>$E13-COUNTIFS($F$32:$F$114,$B13,$E$32:$E$114,"Hold")</f>
        <v>5</v>
      </c>
      <c r="K13" s="634" t="str">
        <f>IF(NOT(ISNUMBER($D13)),"No archetype - see 0.3",IF($J13&gt;$D13,"Over archetype after decisions",IF($J13&lt;$D13,"Under archetype","On archetype")))</f>
        <v>Under archetype</v>
      </c>
      <c r="L13" s="1260">
        <f>IFERROR(INDEX('0.3 Squad Archetypes'!$G$5:$G$23,MATCH($C13&amp;"|"&amp;$R13,'0.3 Squad Archetypes'!$A$5:$A$23,0)),"-")</f>
        <v>1.3</v>
      </c>
      <c r="M13" s="1252">
        <f>SUMIFS($G$32:$G$114,$F$32:$F$114,$B13)/1000000</f>
        <v>1.223286048</v>
      </c>
      <c r="N13" s="1252">
        <f>IFERROR($M13-$L13,"-")</f>
        <v>-0.0767139520000002</v>
      </c>
      <c r="O13" s="1252">
        <f>SUMIFS($H$32:$H$114,$F$32:$F$114,$B13)/1000000</f>
        <v>1.223286048</v>
      </c>
      <c r="P13" s="1252">
        <f>$O13-$M13</f>
        <v>0</v>
      </c>
      <c r="Q13" s="1252">
        <f>SUMIFS($G$32:$G$114,$F$32:$F$114,$B13,$D$32:$D$114,"Vacant")/1000000</f>
        <v>0</v>
      </c>
      <c r="R13" s="635" t="str">
        <f>IFERROR(IF(INDEX('1.2 Customer'!$D$29:$D$56,MATCH($S13,'1.2 Customer'!$B$29:$B$56,0))="","-",INDEX('1.2 Customer'!$D$29:$D$56,MATCH($S13,'1.2 Customer'!$B$29:$B$56,0))),"-")</f>
        <v>S</v>
      </c>
      <c r="S13" t="str">
        <f>IFERROR(INDEX(Lists!$AA:$AA,MATCH($B13,Lists!$Z:$Z,0)),$B13)</f>
        <v>Z Energy Apps</v>
      </c>
    </row>
    <row r="14">
      <c r="A14" s="949" t="n"/>
      <c r="B14" s="634" t="inlineStr">
        <is>
          <t>AU CRM &amp; Martech</t>
        </is>
      </c>
      <c r="C14" s="635" t="str">
        <f>IFERROR(INDEX('1.2 Customer'!$C$29:$C$56,MATCH($S14,'1.2 Customer'!$B$29:$B$56,0)),"No archetype for this squad")</f>
        <v>Product</v>
      </c>
      <c r="D14" s="1249">
        <f>IFERROR(INDEX('0.3 Squad Archetypes'!$F$5:$F$23,MATCH($C14&amp;"|"&amp;$R14,'0.3 Squad Archetypes'!$A$5:$A$23,0)),"-")</f>
        <v>8.5</v>
      </c>
      <c r="E14" s="1250">
        <f>COUNTIFS($F$32:$F$114,$B14)</f>
        <v>2</v>
      </c>
      <c r="F14" s="1250">
        <f>IFERROR($E14-$D14,"-")</f>
        <v>-6.5</v>
      </c>
      <c r="G14" s="1250">
        <f>COUNTIFS($F$32:$F$114,$B14,$D$32:$D$114,"Vacant")</f>
        <v>2</v>
      </c>
      <c r="H14" s="1250">
        <f>COUNTIFS($F$32:$F$114,$B14,$D$32:$D$114,"Vacant",$E$32:$E$114,"Hire")+COUNTIFS($F$32:$F$114,$B14,$D$32:$D$114,"Vacant",$E$32:$E$114,"Offshore")</f>
        <v>0</v>
      </c>
      <c r="I14" s="1250">
        <f>COUNTIFS($F$32:$F$114,$B14,$D$32:$D$114,"Vacant",$E$32:$E$114,"Hold")</f>
        <v>2</v>
      </c>
      <c r="J14" s="1250">
        <f>$E14-COUNTIFS($F$32:$F$114,$B14,$E$32:$E$114,"Hold")</f>
        <v>0</v>
      </c>
      <c r="K14" s="634" t="str">
        <f>IF(NOT(ISNUMBER($D14)),"No archetype - see 0.3",IF($J14&gt;$D14,"Over archetype after decisions",IF($J14&lt;$D14,"Under archetype","On archetype")))</f>
        <v>Under archetype</v>
      </c>
      <c r="L14" s="1260">
        <f>IFERROR(INDEX('0.3 Squad Archetypes'!$G$5:$G$23,MATCH($C14&amp;"|"&amp;$R14,'0.3 Squad Archetypes'!$A$5:$A$23,0)),"-")</f>
        <v>1.9</v>
      </c>
      <c r="M14" s="1252">
        <f>SUMIFS($G$32:$G$114,$F$32:$F$114,$B14)/1000000</f>
        <v>0.243934428</v>
      </c>
      <c r="N14" s="1252">
        <f>IFERROR($M14-$L14,"-")</f>
        <v>-1.656065572</v>
      </c>
      <c r="O14" s="1252">
        <f>SUMIFS($H$32:$H$114,$F$32:$F$114,$B14)/1000000</f>
        <v>0</v>
      </c>
      <c r="P14" s="1252">
        <f>$O14-$M14</f>
        <v>-0.243934428</v>
      </c>
      <c r="Q14" s="1252">
        <f>SUMIFS($G$32:$G$114,$F$32:$F$114,$B14,$D$32:$D$114,"Vacant")/1000000</f>
        <v>0.243934428</v>
      </c>
      <c r="R14" s="635" t="str">
        <f>IFERROR(IF(INDEX('1.2 Customer'!$D$29:$D$56,MATCH($S14,'1.2 Customer'!$B$29:$B$56,0))="","-",INDEX('1.2 Customer'!$D$29:$D$56,MATCH($S14,'1.2 Customer'!$B$29:$B$56,0))),"-")</f>
        <v>M</v>
      </c>
      <c r="S14" t="str">
        <f>IFERROR(INDEX(Lists!$AA:$AA,MATCH($B14,Lists!$Z:$Z,0)),$B14)</f>
        <v>AU CRM &amp; Martech</v>
      </c>
    </row>
    <row r="15" customFormat="1" s="949">
      <c r="A15" s="949" t="n"/>
      <c r="B15" s="634" t="inlineStr">
        <is>
          <t>Customer AI</t>
        </is>
      </c>
      <c r="C15" s="635" t="str">
        <f>IFERROR(INDEX('1.2 Customer'!$C$29:$C$56,MATCH($S15,'1.2 Customer'!$B$29:$B$56,0)),"No archetype for this squad")</f>
        <v>Engineering</v>
      </c>
      <c r="D15" s="1249">
        <f>IFERROR(INDEX('0.3 Squad Archetypes'!$F$5:$F$23,MATCH($C15&amp;"|"&amp;$R15,'0.3 Squad Archetypes'!$A$5:$A$23,0)),"-")</f>
        <v>4.5</v>
      </c>
      <c r="E15" s="1250">
        <f>COUNTIFS($F$32:$F$114,$B15)</f>
        <v>2</v>
      </c>
      <c r="F15" s="1250">
        <f>IFERROR($E15-$D15,"-")</f>
        <v>-2.5</v>
      </c>
      <c r="G15" s="1250">
        <f>COUNTIFS($F$32:$F$114,$B15,$D$32:$D$114,"Vacant")</f>
        <v>2</v>
      </c>
      <c r="H15" s="1250">
        <f>COUNTIFS($F$32:$F$114,$B15,$D$32:$D$114,"Vacant",$E$32:$E$114,"Hire")+COUNTIFS($F$32:$F$114,$B15,$D$32:$D$114,"Vacant",$E$32:$E$114,"Offshore")</f>
        <v>0</v>
      </c>
      <c r="I15" s="1250">
        <f>COUNTIFS($F$32:$F$114,$B15,$D$32:$D$114,"Vacant",$E$32:$E$114,"Hold")</f>
        <v>2</v>
      </c>
      <c r="J15" s="1250">
        <f>$E15-COUNTIFS($F$32:$F$114,$B15,$E$32:$E$114,"Hold")</f>
        <v>0</v>
      </c>
      <c r="K15" s="634" t="str">
        <f>IF(NOT(ISNUMBER($D15)),"No archetype - see 0.3",IF($J15&gt;$D15,"Over archetype after decisions",IF($J15&lt;$D15,"Under archetype","On archetype")))</f>
        <v>Under archetype</v>
      </c>
      <c r="L15" s="1260">
        <f>IFERROR(INDEX('0.3 Squad Archetypes'!$G$5:$G$23,MATCH($C15&amp;"|"&amp;$R15,'0.3 Squad Archetypes'!$A$5:$A$23,0)),"-")</f>
        <v>0.8</v>
      </c>
      <c r="M15" s="1252">
        <f>SUMIFS($G$32:$G$114,$F$32:$F$114,$B15)/1000000</f>
        <v>0.17103768</v>
      </c>
      <c r="N15" s="1252">
        <f>IFERROR($M15-$L15,"-")</f>
        <v>-0.62896232</v>
      </c>
      <c r="O15" s="1252">
        <f>SUMIFS($H$32:$H$114,$F$32:$F$114,$B15)/1000000</f>
        <v>0</v>
      </c>
      <c r="P15" s="1252">
        <f>$O15-$M15</f>
        <v>-0.17103768</v>
      </c>
      <c r="Q15" s="1252">
        <f>SUMIFS($G$32:$G$114,$F$32:$F$114,$B15,$D$32:$D$114,"Vacant")/1000000</f>
        <v>0.17103768</v>
      </c>
      <c r="R15" s="635" t="str">
        <f>IFERROR(IF(INDEX('1.2 Customer'!$D$29:$D$56,MATCH($S15,'1.2 Customer'!$B$29:$B$56,0))="","-",INDEX('1.2 Customer'!$D$29:$D$56,MATCH($S15,'1.2 Customer'!$B$29:$B$56,0))),"-")</f>
        <v>S</v>
      </c>
      <c r="S15" t="str">
        <f>IFERROR(INDEX(Lists!$AA:$AA,MATCH($B15,Lists!$Z:$Z,0)),$B15)</f>
        <v>Customer AI</v>
      </c>
    </row>
    <row r="16">
      <c r="A16" s="949" t="n"/>
      <c r="B16" s="641" t="inlineStr">
        <is>
          <t>Z Energy Martech</t>
        </is>
      </c>
      <c r="C16" s="641" t="str">
        <f>IFERROR(INDEX('1.2 Customer'!$C$29:$C$56,MATCH($S16,'1.2 Customer'!$B$29:$B$56,0)),"No archetype for this squad")</f>
        <v>Product</v>
      </c>
      <c r="D16" s="1255">
        <f>IFERROR(INDEX('0.3 Squad Archetypes'!$F$5:$F$23,MATCH($C16&amp;"|"&amp;$R16,'0.3 Squad Archetypes'!$A$5:$A$23,0)),"-")</f>
        <v>12</v>
      </c>
      <c r="E16" s="1255">
        <f>COUNTIFS($F$32:$F$114,$B16)</f>
        <v>2</v>
      </c>
      <c r="F16" s="1255">
        <f>IFERROR($E16-$D16,"-")</f>
        <v>-10</v>
      </c>
      <c r="G16" s="1255">
        <f>COUNTIFS($F$32:$F$114,$B16,$D$32:$D$114,"Vacant")</f>
        <v>0</v>
      </c>
      <c r="H16" s="1255">
        <f>COUNTIFS($F$32:$F$114,$B16,$D$32:$D$114,"Vacant",$E$32:$E$114,"Hire")+COUNTIFS($F$32:$F$114,$B16,$D$32:$D$114,"Vacant",$E$32:$E$114,"Offshore")</f>
        <v>0</v>
      </c>
      <c r="I16" s="1255">
        <f>COUNTIFS($F$32:$F$114,$B16,$D$32:$D$114,"Vacant",$E$32:$E$114,"Hold")</f>
        <v>0</v>
      </c>
      <c r="J16" s="1255">
        <f>$E16-COUNTIFS($F$32:$F$114,$B16,$E$32:$E$114,"Hold")</f>
        <v>2</v>
      </c>
      <c r="K16" s="641" t="str">
        <f>IF(NOT(ISNUMBER($D16)),"No archetype - see 0.3",IF($J16&gt;$D16,"Over archetype after decisions",IF($J16&lt;$D16,"Under archetype","On archetype")))</f>
        <v>Under archetype</v>
      </c>
      <c r="L16" s="1257">
        <f>IFERROR(INDEX('0.3 Squad Archetypes'!$G$5:$G$23,MATCH($C16&amp;"|"&amp;$R16,'0.3 Squad Archetypes'!$A$5:$A$23,0)),"-")</f>
        <v>2.8</v>
      </c>
      <c r="M16" s="1257">
        <f>SUMIFS($G$32:$G$114,$F$32:$F$114,$B16)/1000000</f>
        <v>0.38037825</v>
      </c>
      <c r="N16" s="1257">
        <f>IFERROR($M16-$L16,"-")</f>
        <v>-2.41962175</v>
      </c>
      <c r="O16" s="1257">
        <f>SUMIFS($H$32:$H$114,$F$32:$F$114,$B16)/1000000</f>
        <v>0.38037825</v>
      </c>
      <c r="P16" s="1257">
        <f>$O16-$M16</f>
        <v>0</v>
      </c>
      <c r="Q16" s="1257">
        <f>SUMIFS($G$32:$G$114,$F$32:$F$114,$B16,$D$32:$D$114,"Vacant")/1000000</f>
        <v>0</v>
      </c>
      <c r="R16" s="641" t="str">
        <f>IFERROR(IF(INDEX('1.2 Customer'!$D$29:$D$56,MATCH($S16,'1.2 Customer'!$B$29:$B$56,0))="","-",INDEX('1.2 Customer'!$D$29:$D$56,MATCH($S16,'1.2 Customer'!$B$29:$B$56,0))),"-")</f>
        <v>L</v>
      </c>
      <c r="S16" t="str">
        <f>IFERROR(INDEX(Lists!$AA:$AA,MATCH($B16,Lists!$Z:$Z,0)),$B16)</f>
        <v>Z Energy Martech</v>
      </c>
    </row>
    <row r="17">
      <c r="A17" s="949" t="n"/>
      <c r="B17" s="504" t="inlineStr">
        <is>
          <t>Energy</t>
        </is>
      </c>
      <c r="C17" s="949" t="str">
        <f>IFERROR(INDEX('1.2 Customer'!$C$29:$C$56,MATCH($S17,'1.2 Customer'!$B$29:$B$56,0)),"No archetype for this squad")</f>
        <v>No archetype for this squad</v>
      </c>
      <c r="D17" s="1261" t="str">
        <f>IFERROR(INDEX('0.3 Squad Archetypes'!$F$5:$F$23,MATCH($C17&amp;"|"&amp;$R17,'0.3 Squad Archetypes'!$A$5:$A$23,0)),"-")</f>
        <v>-</v>
      </c>
      <c r="E17" s="1262">
        <f>COUNTIFS($F$32:$F$114,$B17)</f>
        <v>1</v>
      </c>
      <c r="F17" s="1262" t="str">
        <f>IFERROR($E17-$D17,"-")</f>
        <v>-</v>
      </c>
      <c r="G17" s="1261">
        <f>COUNTIFS($F$32:$F$114,$B17,$D$32:$D$114,"Vacant")</f>
        <v>0</v>
      </c>
      <c r="H17" s="1261">
        <f>COUNTIFS($F$32:$F$114,$B17,$D$32:$D$114,"Vacant",$E$32:$E$114,"Hire")+COUNTIFS($F$32:$F$114,$B17,$D$32:$D$114,"Vacant",$E$32:$E$114,"Offshore")</f>
        <v>0</v>
      </c>
      <c r="I17" s="1261">
        <f>COUNTIFS($F$32:$F$114,$B17,$D$32:$D$114,"Vacant",$E$32:$E$114,"Hold")</f>
        <v>0</v>
      </c>
      <c r="J17" s="1261">
        <f>$E17-COUNTIFS($F$32:$F$114,$B17,$E$32:$E$114,"Hold")</f>
        <v>1</v>
      </c>
      <c r="K17" s="949" t="str">
        <f>IF(NOT(ISNUMBER($D17)),"No archetype - see 0.3",IF($J17&gt;$D17,"Over archetype after decisions",IF($J17&lt;$D17,"Under archetype","On archetype")))</f>
        <v>No archetype - see 0.3</v>
      </c>
      <c r="L17" s="1263" t="str">
        <f>IFERROR(INDEX('0.3 Squad Archetypes'!$G$5:$G$23,MATCH($C17&amp;"|"&amp;$R17,'0.3 Squad Archetypes'!$A$5:$A$23,0)),"-")</f>
        <v>-</v>
      </c>
      <c r="M17" s="1263">
        <f>SUMIFS($G$32:$G$114,$F$32:$F$114,$B17)/1000000</f>
        <v>0.17048975</v>
      </c>
      <c r="N17" s="1263" t="str">
        <f>IFERROR($M17-$L17,"-")</f>
        <v>-</v>
      </c>
      <c r="O17" s="1263">
        <f>SUMIFS($H$32:$H$114,$F$32:$F$114,$B17)/1000000</f>
        <v>0.17048975</v>
      </c>
      <c r="P17" s="1263">
        <f>$O17-$M17</f>
        <v>0</v>
      </c>
      <c r="Q17" s="1263">
        <f>SUMIFS($G$32:$G$114,$F$32:$F$114,$B17,$D$32:$D$114,"Vacant")/1000000</f>
        <v>0</v>
      </c>
      <c r="R17" s="949" t="str">
        <f>IFERROR(IF(INDEX('1.2 Customer'!$D$29:$D$56,MATCH($S17,'1.2 Customer'!$B$29:$B$56,0))="","-",INDEX('1.2 Customer'!$D$29:$D$56,MATCH($S17,'1.2 Customer'!$B$29:$B$56,0))),"-")</f>
        <v>-</v>
      </c>
      <c r="S17" t="str">
        <f>IFERROR(INDEX(Lists!$AA:$AA,MATCH($B17,Lists!$Z:$Z,0)),$B17)</f>
        <v>Energy</v>
      </c>
    </row>
    <row r="18">
      <c r="A18" s="949" t="n"/>
      <c r="B18" s="1226" t="inlineStr">
        <is>
          <t>Delivery squads</t>
        </is>
      </c>
      <c r="C18" s="949" t="n"/>
      <c r="D18" s="1261">
        <f>SUM(D6:D17)</f>
        <v>77.5</v>
      </c>
      <c r="E18" s="1262">
        <f>SUM(E6:E17)</f>
        <v>75</v>
      </c>
      <c r="F18" s="1262">
        <f>SUM(F6:F17)</f>
        <v>-18.5</v>
      </c>
      <c r="G18" s="1261">
        <f>SUM(G6:G17)</f>
        <v>12</v>
      </c>
      <c r="H18" s="1261">
        <f>SUM(H6:H17)</f>
        <v>0</v>
      </c>
      <c r="I18" s="1261">
        <f>SUM(I6:I17)</f>
        <v>12</v>
      </c>
      <c r="J18" s="1261">
        <f>SUM(J6:J17)</f>
        <v>63</v>
      </c>
      <c r="K18" s="949" t="n"/>
      <c r="L18" s="1263">
        <f>SUM(L6:L17)</f>
        <v>17.6</v>
      </c>
      <c r="M18" s="1263">
        <f>SUM(M6:M17)</f>
        <v>15.353894302</v>
      </c>
      <c r="N18" s="1263">
        <f>SUM(N6:N17)</f>
        <v>-5.672980804</v>
      </c>
      <c r="O18" s="1263">
        <f>SUM(O6:O17)</f>
        <v>13.888186094</v>
      </c>
      <c r="P18" s="1263">
        <f>SUM(P6:P17)</f>
        <v>-1.465708208</v>
      </c>
      <c r="Q18" s="1263">
        <f>SUM(Q6:Q17)</f>
        <v>1.465708208</v>
      </c>
      <c r="R18" s="949" t="n"/>
    </row>
    <row r="19">
      <c r="A19" s="949" t="n"/>
      <c r="B19" s="994" t="inlineStr">
        <is>
          <t>Overhead roles inside this portfolio - compared to the allowance</t>
        </is>
      </c>
      <c r="C19" s="442" t="n"/>
      <c r="D19" s="1281" t="n"/>
      <c r="E19" s="1262" t="n"/>
      <c r="F19" s="1262" t="n"/>
      <c r="G19" s="1281" t="n"/>
      <c r="H19" s="1281" t="n"/>
      <c r="I19" s="1281" t="n"/>
      <c r="J19" s="1281" t="n"/>
      <c r="K19" s="442" t="n"/>
      <c r="L19" s="1282" t="n"/>
      <c r="M19" s="1282" t="n"/>
      <c r="N19" s="1282" t="n"/>
      <c r="O19" s="1282" t="n"/>
      <c r="P19" s="1282" t="n"/>
      <c r="Q19" s="1282" t="n"/>
      <c r="R19" s="949" t="n"/>
    </row>
    <row r="20">
      <c r="A20" s="949" t="n"/>
      <c r="B20" s="994" t="inlineStr">
        <is>
          <t>Head of Technology</t>
        </is>
      </c>
      <c r="C20" s="442" t="str">
        <f>"Overhead - see 3.2"</f>
        <v>Overhead - see 3.2</v>
      </c>
      <c r="D20" s="1281" t="str">
        <f>"-"</f>
        <v>-</v>
      </c>
      <c r="E20" s="1262">
        <f>COUNTIFS($F$32:$F$114,$B20)</f>
        <v>2</v>
      </c>
      <c r="F20" s="1262" t="str">
        <f>"-"</f>
        <v>-</v>
      </c>
      <c r="G20" s="1281">
        <f>COUNTIFS($F$32:$F$114,$B20,$D$32:$D$114,"Vacant")</f>
        <v>0</v>
      </c>
      <c r="H20" s="1281">
        <f>COUNTIFS($F$32:$F$114,$B20,$D$32:$D$114,"Vacant",$E$32:$E$114,"Hire")+COUNTIFS($F$32:$F$114,$B20,$D$32:$D$114,"Vacant",$E$32:$E$114,"Offshore")</f>
        <v>0</v>
      </c>
      <c r="I20" s="1281">
        <f>COUNTIFS($F$32:$F$114,$B20,$D$32:$D$114,"Vacant",$E$32:$E$114,"Hold")</f>
        <v>0</v>
      </c>
      <c r="J20" s="1281">
        <f>$E20-COUNTIFS($F$32:$F$114,$B20,$E$32:$E$114,"Hold")</f>
        <v>2</v>
      </c>
      <c r="K20" s="442" t="str">
        <f>"Overhead"</f>
        <v>Overhead</v>
      </c>
      <c r="L20" s="1282" t="str">
        <f>"-"</f>
        <v>-</v>
      </c>
      <c r="M20" s="1282">
        <f>SUMIFS($G$32:$G$114,$F$32:$F$114,$B20)/1000000</f>
        <v>0.5360151</v>
      </c>
      <c r="N20" s="1282" t="str">
        <f>"-"</f>
        <v>-</v>
      </c>
      <c r="O20" s="1282">
        <f>SUMIFS($H$32:$H$114,$F$32:$F$114,$B20)/1000000</f>
        <v>0.5360151</v>
      </c>
      <c r="P20" s="1282">
        <f>$O20-$M20</f>
        <v>0</v>
      </c>
      <c r="Q20" s="1282">
        <f>SUMIFS($G$32:$G$114,$F$32:$F$114,$B20,$D$32:$D$114,"Vacant")/1000000</f>
        <v>0</v>
      </c>
      <c r="R20" s="949" t="str">
        <f>"-"</f>
        <v>-</v>
      </c>
    </row>
    <row r="21">
      <c r="A21" s="949" t="n"/>
      <c r="B21" s="994" t="inlineStr">
        <is>
          <t>Delivery Manager</t>
        </is>
      </c>
      <c r="C21" s="430" t="str">
        <f>"Overhead - see 3.2"</f>
        <v>Overhead - see 3.2</v>
      </c>
      <c r="D21" s="1280" t="str">
        <f>"-"</f>
        <v>-</v>
      </c>
      <c r="E21" s="1280">
        <f>COUNTIFS($F$32:$F$114,$B21)</f>
        <v>2</v>
      </c>
      <c r="F21" s="1280" t="str">
        <f>"-"</f>
        <v>-</v>
      </c>
      <c r="G21" s="1280">
        <f>COUNTIFS($F$32:$F$114,$B21,$D$32:$D$114,"Vacant")</f>
        <v>0</v>
      </c>
      <c r="H21" s="1261">
        <f>COUNTIFS($F$32:$F$114,$B21,$D$32:$D$114,"Vacant",$E$32:$E$114,"Hire")+COUNTIFS($F$32:$F$114,$B21,$D$32:$D$114,"Vacant",$E$32:$E$114,"Offshore")</f>
        <v>0</v>
      </c>
      <c r="I21" s="1261">
        <f>COUNTIFS($F$32:$F$114,$B21,$D$32:$D$114,"Vacant",$E$32:$E$114,"Hold")</f>
        <v>0</v>
      </c>
      <c r="J21" s="1261">
        <f>$E21-COUNTIFS($F$32:$F$114,$B21,$E$32:$E$114,"Hold")</f>
        <v>2</v>
      </c>
      <c r="K21" s="949" t="str">
        <f>"Overhead"</f>
        <v>Overhead</v>
      </c>
      <c r="L21" s="1263" t="str">
        <f>"-"</f>
        <v>-</v>
      </c>
      <c r="M21" s="1263">
        <f>SUMIFS($G$32:$G$114,$F$32:$F$114,$B21)/1000000</f>
        <v>0.4208721</v>
      </c>
      <c r="N21" s="1263" t="str">
        <f>"-"</f>
        <v>-</v>
      </c>
      <c r="O21" s="1263">
        <f>SUMIFS($H$32:$H$114,$F$32:$F$114,$B21)/1000000</f>
        <v>0.4208721</v>
      </c>
      <c r="P21" s="1263">
        <f>$O21-$M21</f>
        <v>0</v>
      </c>
      <c r="Q21" s="1263">
        <f>SUMIFS($G$32:$G$114,$F$32:$F$114,$B21,$D$32:$D$114,"Vacant")/1000000</f>
        <v>0</v>
      </c>
      <c r="R21" s="949" t="str">
        <f>"-"</f>
        <v>-</v>
      </c>
    </row>
    <row r="22">
      <c r="A22" s="949" t="n"/>
      <c r="B22" s="994" t="inlineStr">
        <is>
          <t>Technology Manager</t>
        </is>
      </c>
      <c r="C22" s="645" t="str">
        <f>"Overhead - see 3.2"</f>
        <v>Overhead - see 3.2</v>
      </c>
      <c r="D22" s="1286" t="str">
        <f>"-"</f>
        <v>-</v>
      </c>
      <c r="E22" s="1286">
        <f>COUNTIFS($F$32:$F$114,$B22)</f>
        <v>4</v>
      </c>
      <c r="F22" s="1286" t="str">
        <f>"-"</f>
        <v>-</v>
      </c>
      <c r="G22" s="1261">
        <f>COUNTIFS($F$32:$F$114,$B22,$D$32:$D$114,"Vacant")</f>
        <v>1</v>
      </c>
      <c r="H22" s="1261">
        <f>COUNTIFS($F$32:$F$114,$B22,$D$32:$D$114,"Vacant",$E$32:$E$114,"Hire")+COUNTIFS($F$32:$F$114,$B22,$D$32:$D$114,"Vacant",$E$32:$E$114,"Offshore")</f>
        <v>0</v>
      </c>
      <c r="I22" s="1261">
        <f>COUNTIFS($F$32:$F$114,$B22,$D$32:$D$114,"Vacant",$E$32:$E$114,"Hold")</f>
        <v>1</v>
      </c>
      <c r="J22" s="1261">
        <f>$E22-COUNTIFS($F$32:$F$114,$B22,$E$32:$E$114,"Hold")</f>
        <v>3</v>
      </c>
      <c r="K22" s="949" t="str">
        <f>"Overhead"</f>
        <v>Overhead</v>
      </c>
      <c r="L22" s="1263" t="str">
        <f>"-"</f>
        <v>-</v>
      </c>
      <c r="M22" s="1263">
        <f>SUMIFS($G$32:$G$114,$F$32:$F$114,$B22)/1000000</f>
        <v>0.816085638</v>
      </c>
      <c r="N22" s="1263" t="str">
        <f>"-"</f>
        <v>-</v>
      </c>
      <c r="O22" s="1263">
        <f>SUMIFS($H$32:$H$114,$F$32:$F$114,$B22)/1000000</f>
        <v>0.62965275</v>
      </c>
      <c r="P22" s="1263">
        <f>$O22-$M22</f>
        <v>-0.186432888</v>
      </c>
      <c r="Q22" s="1263">
        <f>SUMIFS($G$32:$G$114,$F$32:$F$114,$B22,$D$32:$D$114,"Vacant")/1000000</f>
        <v>0.186432888</v>
      </c>
      <c r="R22" s="949" t="str">
        <f>"-"</f>
        <v>-</v>
      </c>
    </row>
    <row r="23" ht="15.65" customHeight="1">
      <c r="A23" s="949" t="n"/>
      <c r="B23" s="1226" t="inlineStr">
        <is>
          <t>Overhead roles</t>
        </is>
      </c>
      <c r="C23" s="434" t="n"/>
      <c r="D23" s="1287" t="n"/>
      <c r="E23" s="1261">
        <f>SUM(E20:E22)</f>
        <v>8</v>
      </c>
      <c r="F23" s="1261" t="n"/>
      <c r="G23" s="1261">
        <f>SUM(G20:G22)</f>
        <v>1</v>
      </c>
      <c r="H23" s="1261">
        <f>SUM(H20:H22)</f>
        <v>0</v>
      </c>
      <c r="I23" s="1261">
        <f>SUM(I20:I22)</f>
        <v>1</v>
      </c>
      <c r="J23" s="1261">
        <f>SUM(J20:J22)</f>
        <v>7</v>
      </c>
      <c r="K23" s="949" t="n"/>
      <c r="L23" s="1263" t="n"/>
      <c r="M23" s="1263">
        <f>SUM(M20:M22)</f>
        <v>1.772972838</v>
      </c>
      <c r="N23" s="1263" t="n"/>
      <c r="O23" s="1263">
        <f>SUM(O20:O22)</f>
        <v>1.58653995</v>
      </c>
      <c r="P23" s="1263">
        <f>SUM(P20:P22)</f>
        <v>-0.186432888</v>
      </c>
      <c r="Q23" s="1263">
        <f>SUM(Q20:Q22)</f>
        <v>0.186432888</v>
      </c>
      <c r="R23" s="949" t="n"/>
    </row>
    <row r="24">
      <c r="A24" s="949" t="n"/>
      <c r="B24" s="1232" t="n"/>
      <c r="C24" s="533" t="n"/>
      <c r="D24" s="1288" t="n"/>
      <c r="E24" s="1288" t="n"/>
      <c r="F24" s="1288" t="n"/>
      <c r="G24" s="1288" t="n"/>
      <c r="H24" s="1261" t="n"/>
      <c r="I24" s="1261" t="n"/>
      <c r="J24" s="1261" t="n"/>
      <c r="K24" s="949" t="n"/>
      <c r="L24" s="1263" t="n"/>
      <c r="M24" s="1263" t="n"/>
      <c r="N24" s="1263" t="n"/>
      <c r="O24" s="1263" t="n"/>
      <c r="P24" s="1263" t="n"/>
      <c r="Q24" s="1263" t="n"/>
      <c r="R24" s="949" t="n"/>
    </row>
    <row r="25">
      <c r="A25" s="949" t="n"/>
      <c r="B25" s="1264" t="inlineStr">
        <is>
          <t>Total portfolio</t>
        </is>
      </c>
      <c r="C25" s="1264" t="n"/>
      <c r="D25" s="1289">
        <f>$D18</f>
        <v>77.5</v>
      </c>
      <c r="E25" s="1289">
        <f>$E18+$E23</f>
        <v>83</v>
      </c>
      <c r="F25" s="1289">
        <f>IFERROR($E18-$D18,"-")</f>
        <v>-2.5</v>
      </c>
      <c r="G25" s="1289">
        <f>$G18+$G23</f>
        <v>13</v>
      </c>
      <c r="H25" s="1290">
        <f>$H18+$H23</f>
        <v>0</v>
      </c>
      <c r="I25" s="1261">
        <f>$I18+$I23</f>
        <v>13</v>
      </c>
      <c r="J25" s="1261">
        <f>$J18+$J23</f>
        <v>70</v>
      </c>
      <c r="K25" s="949" t="n"/>
      <c r="L25" s="1263">
        <f>$L18</f>
        <v>17.6</v>
      </c>
      <c r="M25" s="1263">
        <f>$M18+$M23</f>
        <v>17.12686714</v>
      </c>
      <c r="N25" s="1263">
        <f>IFERROR($M18-$L18,"-")</f>
        <v>-2.246105698</v>
      </c>
      <c r="O25" s="1263">
        <f>$O18+$O23</f>
        <v>15.474726044</v>
      </c>
      <c r="P25" s="1263">
        <f>$P18+$P23</f>
        <v>-1.652141096</v>
      </c>
      <c r="Q25" s="1263">
        <f>$Q18+$Q23</f>
        <v>1.652141096</v>
      </c>
      <c r="R25" s="949" t="n"/>
    </row>
    <row r="26">
      <c r="A26" s="949" t="n"/>
      <c r="B26" s="1234" t="inlineStr">
        <is>
          <t>Archetype columns D, F, L and N cover the delivery squads only - overhead is not priced by a squad archetype.</t>
        </is>
      </c>
      <c r="C26" s="634" t="n"/>
      <c r="D26" s="612" t="n"/>
      <c r="E26" s="612" t="n"/>
      <c r="F26" s="981" t="n"/>
      <c r="G26" s="1265" t="n"/>
      <c r="H26" s="627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</row>
    <row r="27">
      <c r="A27" s="949" t="n"/>
      <c r="B27" s="1234" t="inlineStr">
        <is>
          <t>Control - roles vs the ledger, must be 0</t>
        </is>
      </c>
      <c r="C27" s="634" t="n"/>
      <c r="D27" s="612" t="n"/>
      <c r="E27" s="612">
        <f>COUNTIFS('REVIEW - Complete Role Mapping'!$AJ$2:$AJ$528,"Customer")-$E25</f>
        <v>0</v>
      </c>
      <c r="F27" s="981" t="n"/>
      <c r="G27" s="1265" t="n"/>
      <c r="H27" s="627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1234" t="inlineStr">
        <is>
          <t>Control - cost vs the ledger ($m), must be 0</t>
        </is>
      </c>
      <c r="C28" s="634" t="n"/>
      <c r="D28" s="612" t="n"/>
      <c r="E28" s="612" t="n"/>
      <c r="F28" s="981" t="n"/>
      <c r="G28" s="1265" t="n"/>
      <c r="H28" s="627" t="n"/>
      <c r="I28" s="949" t="n"/>
      <c r="J28" s="949" t="n"/>
      <c r="K28" s="949" t="n"/>
      <c r="L28" s="949" t="n"/>
      <c r="M28" s="949">
        <f>ROUND(SUMIFS('REVIEW - Complete Role Mapping'!$AA$2:$AA$528,'REVIEW - Complete Role Mapping'!$AJ$2:$AJ$528,"Customer")/1000000-$M25,6)</f>
        <v>0</v>
      </c>
      <c r="N28" s="949" t="n"/>
      <c r="O28" s="949" t="n"/>
      <c r="P28" s="949" t="n"/>
      <c r="Q28" s="949" t="n"/>
      <c r="R28" s="949" t="n"/>
    </row>
    <row r="29">
      <c r="A29" s="949" t="n"/>
      <c r="B29" s="634" t="n"/>
      <c r="C29" s="634" t="n"/>
      <c r="D29" s="612" t="n"/>
      <c r="E29" s="612" t="n"/>
      <c r="F29" s="981" t="n"/>
      <c r="G29" s="1265" t="n"/>
      <c r="H29" s="627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1234" t="inlineStr">
        <is>
          <t>Customer roles - one row per named role, from REVIEW</t>
        </is>
      </c>
      <c r="C30" s="634" t="n"/>
      <c r="D30" s="612" t="n"/>
      <c r="E30" s="612" t="n"/>
      <c r="F30" s="981" t="n"/>
      <c r="G30" s="1265" t="n"/>
      <c r="H30" s="627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1264" t="inlineStr">
        <is>
          <t>Name</t>
        </is>
      </c>
      <c r="C31" s="1264" t="inlineStr">
        <is>
          <t>Role</t>
        </is>
      </c>
      <c r="D31" s="1264" t="inlineStr">
        <is>
          <t>Status</t>
        </is>
      </c>
      <c r="E31" s="1264" t="inlineStr">
        <is>
          <t>Vacancy lever</t>
        </is>
      </c>
      <c r="F31" s="1259" t="inlineStr">
        <is>
          <t>Squad or overhead line</t>
        </is>
      </c>
      <c r="G31" s="1291" t="inlineStr">
        <is>
          <t>Cost if hired ($)</t>
        </is>
      </c>
      <c r="H31" s="1285" t="inlineStr">
        <is>
          <t>Effective cost ($)</t>
        </is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Mapping'!$B:$B,112)</f>
        <v>Alisha Allport</v>
      </c>
      <c r="C32" s="634" t="str">
        <f>INDEX('REVIEW - Complete Role Mapping'!$C:$C,112)</f>
        <v>Principal Experience Designer</v>
      </c>
      <c r="D32" s="612" t="str">
        <f>INDEX('REVIEW - Complete Role Mapping'!$AK:$AK,112)</f>
        <v>Filled</v>
      </c>
      <c r="E32" s="612" t="inlineStr">
        <is>
          <t>Filled</t>
        </is>
      </c>
      <c r="F32" s="981" t="str">
        <f>IF(INDEX('REVIEW - Complete Role Mapping'!$AR:$AR,112)="Squad",INDEX('REVIEW - Complete Role Mapping'!$AP:$AP,112),INDEX('REVIEW - Complete Role Mapping'!$AR:$AR,112))</f>
        <v>Ampol App</v>
      </c>
      <c r="G32" s="1265">
        <f>INDEX('REVIEW - Complete Role Mapping'!$AA:$AA,112)</f>
        <v>146464.7</v>
      </c>
      <c r="H32" s="627">
        <f>$G32*IFERROR(INDEX(Lists!$AD:$AD,MATCH($E32,Lists!$AC:$AC,0)),1)</f>
        <v>146464.7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Mapping'!$B:$B,116)</f>
        <v>Annabel Phu</v>
      </c>
      <c r="C33" s="634" t="str">
        <f>INDEX('REVIEW - Complete Role Mapping'!$C:$C,116)</f>
        <v>Engineer - Mobile</v>
      </c>
      <c r="D33" s="612" t="str">
        <f>INDEX('REVIEW - Complete Role Mapping'!$AK:$AK,116)</f>
        <v>Filled</v>
      </c>
      <c r="E33" s="612" t="inlineStr">
        <is>
          <t>Filled</t>
        </is>
      </c>
      <c r="F33" s="981" t="str">
        <f>IF(INDEX('REVIEW - Complete Role Mapping'!$AR:$AR,116)="Squad",INDEX('REVIEW - Complete Role Mapping'!$AP:$AP,116),INDEX('REVIEW - Complete Role Mapping'!$AR:$AR,116))</f>
        <v>Ampol App</v>
      </c>
      <c r="G33" s="1265">
        <f>INDEX('REVIEW - Complete Role Mapping'!$AA:$AA,116)</f>
        <v>266400</v>
      </c>
      <c r="H33" s="627">
        <f>$G33*IFERROR(INDEX(Lists!$AD:$AD,MATCH($E33,Lists!$AC:$AC,0)),1)</f>
        <v>266400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Mapping'!$B:$B,119)</f>
        <v>Anup Antony</v>
      </c>
      <c r="C34" s="634" t="str">
        <f>INDEX('REVIEW - Complete Role Mapping'!$C:$C,119)</f>
        <v>Engineer - BE</v>
      </c>
      <c r="D34" s="612" t="str">
        <f>INDEX('REVIEW - Complete Role Mapping'!$AK:$AK,119)</f>
        <v>Filled</v>
      </c>
      <c r="E34" s="612" t="inlineStr">
        <is>
          <t>Filled</t>
        </is>
      </c>
      <c r="F34" s="981" t="str">
        <f>IF(INDEX('REVIEW - Complete Role Mapping'!$AR:$AR,119)="Squad",INDEX('REVIEW - Complete Role Mapping'!$AP:$AP,119),INDEX('REVIEW - Complete Role Mapping'!$AR:$AR,119))</f>
        <v>Ampol App</v>
      </c>
      <c r="G34" s="1265">
        <f>INDEX('REVIEW - Complete Role Mapping'!$AA:$AA,119)</f>
        <v>255300</v>
      </c>
      <c r="H34" s="627">
        <f>$G34*IFERROR(INDEX(Lists!$AD:$AD,MATCH($E34,Lists!$AC:$AC,0)),1)</f>
        <v>255300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Mapping'!$B:$B,122)</f>
        <v>Binumon Mathai</v>
      </c>
      <c r="C35" s="646" t="str">
        <f>INDEX('REVIEW - Complete Role Mapping'!$C:$C,122)</f>
        <v>Senior Quality Assurance</v>
      </c>
      <c r="D35" s="612" t="str">
        <f>INDEX('REVIEW - Complete Role Mapping'!$AK:$AK,122)</f>
        <v>Filled</v>
      </c>
      <c r="E35" s="612" t="inlineStr">
        <is>
          <t>Filled</t>
        </is>
      </c>
      <c r="F35" s="981" t="str">
        <f>IF(INDEX('REVIEW - Complete Role Mapping'!$AR:$AR,122)="Squad",INDEX('REVIEW - Complete Role Mapping'!$AP:$AP,122),INDEX('REVIEW - Complete Role Mapping'!$AR:$AR,122))</f>
        <v>Ampol App</v>
      </c>
      <c r="G35" s="1265">
        <f>INDEX('REVIEW - Complete Role Mapping'!$AA:$AA,122)</f>
        <v>223776</v>
      </c>
      <c r="H35" s="627">
        <f>$G35*IFERROR(INDEX(Lists!$AD:$AD,MATCH($E35,Lists!$AC:$AC,0)),1)</f>
        <v>223776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Mapping'!$B:$B,132)</f>
        <v>Edwin Justin</v>
      </c>
      <c r="C36" s="634" t="str">
        <f>INDEX('REVIEW - Complete Role Mapping'!$C:$C,132)</f>
        <v>Senior Engineer - BE</v>
      </c>
      <c r="D36" s="612" t="str">
        <f>INDEX('REVIEW - Complete Role Mapping'!$AK:$AK,132)</f>
        <v>Filled</v>
      </c>
      <c r="E36" s="612" t="inlineStr">
        <is>
          <t>Filled</t>
        </is>
      </c>
      <c r="F36" s="981" t="str">
        <f>IF(INDEX('REVIEW - Complete Role Mapping'!$AR:$AR,132)="Squad",INDEX('REVIEW - Complete Role Mapping'!$AP:$AP,132),INDEX('REVIEW - Complete Role Mapping'!$AR:$AR,132))</f>
        <v>Ampol App</v>
      </c>
      <c r="G36" s="1265">
        <f>INDEX('REVIEW - Complete Role Mapping'!$AA:$AA,132)</f>
        <v>194789.85</v>
      </c>
      <c r="H36" s="627">
        <f>$G36*IFERROR(INDEX(Lists!$AD:$AD,MATCH($E36,Lists!$AC:$AC,0)),1)</f>
        <v>194789.85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Mapping'!$B:$B,134)</f>
        <v>Ethan Laffan</v>
      </c>
      <c r="C37" s="634" t="str">
        <f>INDEX('REVIEW - Complete Role Mapping'!$C:$C,134)</f>
        <v>Associate Experience Designer</v>
      </c>
      <c r="D37" s="612" t="str">
        <f>INDEX('REVIEW - Complete Role Mapping'!$AK:$AK,134)</f>
        <v>Filled</v>
      </c>
      <c r="E37" s="612" t="inlineStr">
        <is>
          <t>Filled</t>
        </is>
      </c>
      <c r="F37" s="981" t="str">
        <f>IF(INDEX('REVIEW - Complete Role Mapping'!$AR:$AR,134)="Squad",INDEX('REVIEW - Complete Role Mapping'!$AP:$AP,134),INDEX('REVIEW - Complete Role Mapping'!$AR:$AR,134))</f>
        <v>Ampol App</v>
      </c>
      <c r="G37" s="1265">
        <f>INDEX('REVIEW - Complete Role Mapping'!$AA:$AA,134)</f>
        <v>201585</v>
      </c>
      <c r="H37" s="627">
        <f>$G37*IFERROR(INDEX(Lists!$AD:$AD,MATCH($E37,Lists!$AC:$AC,0)),1)</f>
        <v>201585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Mapping'!$B:$B,145)</f>
        <v>Khalid Mahmud</v>
      </c>
      <c r="C38" s="634" t="str">
        <f>INDEX('REVIEW - Complete Role Mapping'!$C:$C,145)</f>
        <v>Lead Engineer - BE</v>
      </c>
      <c r="D38" s="612" t="str">
        <f>INDEX('REVIEW - Complete Role Mapping'!$AK:$AK,145)</f>
        <v>Filled</v>
      </c>
      <c r="E38" s="612" t="inlineStr">
        <is>
          <t>Filled</t>
        </is>
      </c>
      <c r="F38" s="981" t="str">
        <f>IF(INDEX('REVIEW - Complete Role Mapping'!$AR:$AR,145)="Squad",INDEX('REVIEW - Complete Role Mapping'!$AP:$AP,145),INDEX('REVIEW - Complete Role Mapping'!$AR:$AR,145))</f>
        <v>Ampol App</v>
      </c>
      <c r="G38" s="1265">
        <f>INDEX('REVIEW - Complete Role Mapping'!$AA:$AA,145)</f>
        <v>266400</v>
      </c>
      <c r="H38" s="627">
        <f>$G38*IFERROR(INDEX(Lists!$AD:$AD,MATCH($E38,Lists!$AC:$AC,0)),1)</f>
        <v>266400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Mapping'!$B:$B,149)</f>
        <v>Maria Salman</v>
      </c>
      <c r="C39" s="634" t="str">
        <f>INDEX('REVIEW - Complete Role Mapping'!$C:$C,149)</f>
        <v>Experience Designer</v>
      </c>
      <c r="D39" s="612" t="str">
        <f>INDEX('REVIEW - Complete Role Mapping'!$AK:$AK,149)</f>
        <v>Filled</v>
      </c>
      <c r="E39" s="612" t="inlineStr">
        <is>
          <t>Filled</t>
        </is>
      </c>
      <c r="F39" s="981" t="str">
        <f>IF(INDEX('REVIEW - Complete Role Mapping'!$AR:$AR,149)="Squad",INDEX('REVIEW - Complete Role Mapping'!$AP:$AP,149),INDEX('REVIEW - Complete Role Mapping'!$AR:$AR,149))</f>
        <v>Ampol App</v>
      </c>
      <c r="G39" s="1265">
        <f>INDEX('REVIEW - Complete Role Mapping'!$AA:$AA,149)</f>
        <v>240834.48</v>
      </c>
      <c r="H39" s="627">
        <f>$G39*IFERROR(INDEX(Lists!$AD:$AD,MATCH($E39,Lists!$AC:$AC,0)),1)</f>
        <v>240834.48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Mapping'!$B:$B,154)</f>
        <v>Penny Pennisi</v>
      </c>
      <c r="C40" s="634" t="str">
        <f>INDEX('REVIEW - Complete Role Mapping'!$C:$C,154)</f>
        <v>Delivery Lead</v>
      </c>
      <c r="D40" s="612" t="str">
        <f>INDEX('REVIEW - Complete Role Mapping'!$AK:$AK,154)</f>
        <v>Filled</v>
      </c>
      <c r="E40" s="612" t="inlineStr">
        <is>
          <t>Filled</t>
        </is>
      </c>
      <c r="F40" s="981" t="str">
        <f>IF(INDEX('REVIEW - Complete Role Mapping'!$AR:$AR,154)="Squad",INDEX('REVIEW - Complete Role Mapping'!$AP:$AP,154),INDEX('REVIEW - Complete Role Mapping'!$AR:$AR,154))</f>
        <v>Ampol App</v>
      </c>
      <c r="G40" s="1265">
        <f>INDEX('REVIEW - Complete Role Mapping'!$AA:$AA,154)</f>
        <v>299700</v>
      </c>
      <c r="H40" s="627">
        <f>$G40*IFERROR(INDEX(Lists!$AD:$AD,MATCH($E40,Lists!$AC:$AC,0)),1)</f>
        <v>299700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Mapping'!$B:$B,155)</f>
        <v>Peter Lee</v>
      </c>
      <c r="C41" s="634" t="str">
        <f>INDEX('REVIEW - Complete Role Mapping'!$C:$C,155)</f>
        <v>Snr Business Analyst</v>
      </c>
      <c r="D41" s="612" t="str">
        <f>INDEX('REVIEW - Complete Role Mapping'!$AK:$AK,155)</f>
        <v>Filled</v>
      </c>
      <c r="E41" s="612" t="inlineStr">
        <is>
          <t>Filled</t>
        </is>
      </c>
      <c r="F41" s="981" t="str">
        <f>IF(INDEX('REVIEW - Complete Role Mapping'!$AR:$AR,155)="Squad",INDEX('REVIEW - Complete Role Mapping'!$AP:$AP,155),INDEX('REVIEW - Complete Role Mapping'!$AR:$AR,155))</f>
        <v>Ampol App</v>
      </c>
      <c r="G41" s="1265">
        <f>INDEX('REVIEW - Complete Role Mapping'!$AA:$AA,155)</f>
        <v>243984.6</v>
      </c>
      <c r="H41" s="627">
        <f>$G41*IFERROR(INDEX(Lists!$AD:$AD,MATCH($E41,Lists!$AC:$AC,0)),1)</f>
        <v>243984.6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Mapping'!$B:$B,156)</f>
        <v>Phillip Kewley</v>
      </c>
      <c r="C42" s="634" t="str">
        <f>INDEX('REVIEW - Complete Role Mapping'!$C:$C,156)</f>
        <v>Quality Assurance</v>
      </c>
      <c r="D42" s="612" t="str">
        <f>INDEX('REVIEW - Complete Role Mapping'!$AK:$AK,156)</f>
        <v>Filled</v>
      </c>
      <c r="E42" s="612" t="inlineStr">
        <is>
          <t>Filled</t>
        </is>
      </c>
      <c r="F42" s="981" t="str">
        <f>IF(INDEX('REVIEW - Complete Role Mapping'!$AR:$AR,156)="Squad",INDEX('REVIEW - Complete Role Mapping'!$AP:$AP,156),INDEX('REVIEW - Complete Role Mapping'!$AR:$AR,156))</f>
        <v>Ampol App</v>
      </c>
      <c r="G42" s="1265">
        <f>INDEX('REVIEW - Complete Role Mapping'!$AA:$AA,156)</f>
        <v>213600</v>
      </c>
      <c r="H42" s="627">
        <f>$G42*IFERROR(INDEX(Lists!$AD:$AD,MATCH($E42,Lists!$AC:$AC,0)),1)</f>
        <v>213600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Mapping'!$B:$B,157)</f>
        <v>Raj Ganesan</v>
      </c>
      <c r="C43" s="634" t="str">
        <f>INDEX('REVIEW - Complete Role Mapping'!$C:$C,157)</f>
        <v>Engineer - Mobile (ios)</v>
      </c>
      <c r="D43" s="612" t="str">
        <f>INDEX('REVIEW - Complete Role Mapping'!$AK:$AK,157)</f>
        <v>Filled</v>
      </c>
      <c r="E43" s="612" t="inlineStr">
        <is>
          <t>Filled</t>
        </is>
      </c>
      <c r="F43" s="981" t="str">
        <f>IF(INDEX('REVIEW - Complete Role Mapping'!$AR:$AR,157)="Squad",INDEX('REVIEW - Complete Role Mapping'!$AP:$AP,157),INDEX('REVIEW - Complete Role Mapping'!$AR:$AR,157))</f>
        <v>Ampol App</v>
      </c>
      <c r="G43" s="1265">
        <f>INDEX('REVIEW - Complete Role Mapping'!$AA:$AA,157)</f>
        <v>230880</v>
      </c>
      <c r="H43" s="627">
        <f>$G43*IFERROR(INDEX(Lists!$AD:$AD,MATCH($E43,Lists!$AC:$AC,0)),1)</f>
        <v>230880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Mapping'!$B:$B,166)</f>
        <v>Sheetal Karkera</v>
      </c>
      <c r="C44" s="634" t="str">
        <f>INDEX('REVIEW - Complete Role Mapping'!$C:$C,166)</f>
        <v>Lead Engineer - Mobile</v>
      </c>
      <c r="D44" s="612" t="str">
        <f>INDEX('REVIEW - Complete Role Mapping'!$AK:$AK,166)</f>
        <v>Filled</v>
      </c>
      <c r="E44" s="612" t="inlineStr">
        <is>
          <t>Filled</t>
        </is>
      </c>
      <c r="F44" s="981" t="str">
        <f>IF(INDEX('REVIEW - Complete Role Mapping'!$AR:$AR,166)="Squad",INDEX('REVIEW - Complete Role Mapping'!$AP:$AP,166),INDEX('REVIEW - Complete Role Mapping'!$AR:$AR,166))</f>
        <v>Ampol App</v>
      </c>
      <c r="G44" s="1265">
        <f>INDEX('REVIEW - Complete Role Mapping'!$AA:$AA,166)</f>
        <v>301067.45</v>
      </c>
      <c r="H44" s="627">
        <f>$G44*IFERROR(INDEX(Lists!$AD:$AD,MATCH($E44,Lists!$AC:$AC,0)),1)</f>
        <v>301067.45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Mapping'!$B:$B,173)</f>
        <v>Toby Clark</v>
      </c>
      <c r="C45" s="634" t="str">
        <f>INDEX('REVIEW - Complete Role Mapping'!$C:$C,173)</f>
        <v>Engineer - Mobile (iOS)</v>
      </c>
      <c r="D45" s="612" t="str">
        <f>INDEX('REVIEW - Complete Role Mapping'!$AK:$AK,173)</f>
        <v>Filled</v>
      </c>
      <c r="E45" s="612" t="inlineStr">
        <is>
          <t>Filled</t>
        </is>
      </c>
      <c r="F45" s="981" t="str">
        <f>IF(INDEX('REVIEW - Complete Role Mapping'!$AR:$AR,173)="Squad",INDEX('REVIEW - Complete Role Mapping'!$AP:$AP,173),INDEX('REVIEW - Complete Role Mapping'!$AR:$AR,173))</f>
        <v>Ampol App</v>
      </c>
      <c r="G45" s="1265">
        <f>INDEX('REVIEW - Complete Role Mapping'!$AA:$AA,173)</f>
        <v>275810.25</v>
      </c>
      <c r="H45" s="627">
        <f>$G45*IFERROR(INDEX(Lists!$AD:$AD,MATCH($E45,Lists!$AC:$AC,0)),1)</f>
        <v>275810.25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Mapping'!$B:$B,117)</f>
        <v>Anthony Gen</v>
      </c>
      <c r="C46" s="646" t="str">
        <f>INDEX('REVIEW - Complete Role Mapping'!$C:$C,117)</f>
        <v>Data Analyst</v>
      </c>
      <c r="D46" s="612" t="str">
        <f>INDEX('REVIEW - Complete Role Mapping'!$AK:$AK,117)</f>
        <v>Filled</v>
      </c>
      <c r="E46" s="612" t="inlineStr">
        <is>
          <t>Filled</t>
        </is>
      </c>
      <c r="F46" s="981" t="str">
        <f>IF(INDEX('REVIEW - Complete Role Mapping'!$AR:$AR,117)="Squad",INDEX('REVIEW - Complete Role Mapping'!$AP:$AP,117),INDEX('REVIEW - Complete Role Mapping'!$AR:$AR,117))</f>
        <v>Z Loyalty &amp; Martech</v>
      </c>
      <c r="G46" s="1265">
        <f>INDEX('REVIEW - Complete Role Mapping'!$AA:$AA,117)</f>
        <v>179198.4</v>
      </c>
      <c r="H46" s="627">
        <f>$G46*IFERROR(INDEX(Lists!$AD:$AD,MATCH($E46,Lists!$AC:$AC,0)),1)</f>
        <v>179198.4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Mapping'!$B:$B,121)</f>
        <v>Bharat Talreja</v>
      </c>
      <c r="C47" s="634" t="str">
        <f>INDEX('REVIEW - Complete Role Mapping'!$C:$C,121)</f>
        <v>Marketing Technology Lead</v>
      </c>
      <c r="D47" s="612" t="str">
        <f>INDEX('REVIEW - Complete Role Mapping'!$AK:$AK,121)</f>
        <v>Filled</v>
      </c>
      <c r="E47" s="612" t="inlineStr">
        <is>
          <t>Filled</t>
        </is>
      </c>
      <c r="F47" s="981" t="str">
        <f>IF(INDEX('REVIEW - Complete Role Mapping'!$AR:$AR,121)="Squad",INDEX('REVIEW - Complete Role Mapping'!$AP:$AP,121),INDEX('REVIEW - Complete Role Mapping'!$AR:$AR,121))</f>
        <v>Z Loyalty &amp; Martech</v>
      </c>
      <c r="G47" s="1265">
        <f>INDEX('REVIEW - Complete Role Mapping'!$AA:$AA,121)</f>
        <v>266400</v>
      </c>
      <c r="H47" s="627">
        <f>$G47*IFERROR(INDEX(Lists!$AD:$AD,MATCH($E47,Lists!$AC:$AC,0)),1)</f>
        <v>266400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Mapping'!$B:$B,124)</f>
        <v>Carianne Monast</v>
      </c>
      <c r="C48" s="634" t="str">
        <f>INDEX('REVIEW - Complete Role Mapping'!$C:$C,124)</f>
        <v>Martech Specialist</v>
      </c>
      <c r="D48" s="612" t="str">
        <f>INDEX('REVIEW - Complete Role Mapping'!$AK:$AK,124)</f>
        <v>Filled</v>
      </c>
      <c r="E48" s="612" t="inlineStr">
        <is>
          <t>Filled</t>
        </is>
      </c>
      <c r="F48" s="981" t="str">
        <f>IF(INDEX('REVIEW - Complete Role Mapping'!$AR:$AR,124)="Squad",INDEX('REVIEW - Complete Role Mapping'!$AP:$AP,124),INDEX('REVIEW - Complete Role Mapping'!$AR:$AR,124))</f>
        <v>Z Loyalty &amp; Martech</v>
      </c>
      <c r="G48" s="1265">
        <f>INDEX('REVIEW - Complete Role Mapping'!$AA:$AA,124)</f>
        <v>207352.2</v>
      </c>
      <c r="H48" s="627">
        <f>$G48*IFERROR(INDEX(Lists!$AD:$AD,MATCH($E48,Lists!$AC:$AC,0)),1)</f>
        <v>207352.2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Mapping'!$B:$B,125)</f>
        <v>Celia Voysey</v>
      </c>
      <c r="C49" s="634" t="str">
        <f>INDEX('REVIEW - Complete Role Mapping'!$C:$C,125)</f>
        <v>Delivery Lead</v>
      </c>
      <c r="D49" s="612" t="str">
        <f>INDEX('REVIEW - Complete Role Mapping'!$AK:$AK,125)</f>
        <v>Filled</v>
      </c>
      <c r="E49" s="612" t="inlineStr">
        <is>
          <t>Filled</t>
        </is>
      </c>
      <c r="F49" s="981" t="str">
        <f>IF(INDEX('REVIEW - Complete Role Mapping'!$AR:$AR,125)="Squad",INDEX('REVIEW - Complete Role Mapping'!$AP:$AP,125),INDEX('REVIEW - Complete Role Mapping'!$AR:$AR,125))</f>
        <v>Z Loyalty &amp; Martech</v>
      </c>
      <c r="G49" s="1265">
        <f>INDEX('REVIEW - Complete Role Mapping'!$AA:$AA,125)</f>
        <v>240300</v>
      </c>
      <c r="H49" s="627">
        <f>$G49*IFERROR(INDEX(Lists!$AD:$AD,MATCH($E49,Lists!$AC:$AC,0)),1)</f>
        <v>240300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Mapping'!$B:$B,142)</f>
        <v>Jordan Kettles</v>
      </c>
      <c r="C50" s="634" t="str">
        <f>INDEX('REVIEW - Complete Role Mapping'!$C:$C,142)</f>
        <v>Engineer, Sotware</v>
      </c>
      <c r="D50" s="612" t="str">
        <f>INDEX('REVIEW - Complete Role Mapping'!$AK:$AK,142)</f>
        <v>Filled</v>
      </c>
      <c r="E50" s="612" t="inlineStr">
        <is>
          <t>Filled</t>
        </is>
      </c>
      <c r="F50" s="981" t="str">
        <f>IF(INDEX('REVIEW - Complete Role Mapping'!$AR:$AR,142)="Squad",INDEX('REVIEW - Complete Role Mapping'!$AP:$AP,142),INDEX('REVIEW - Complete Role Mapping'!$AR:$AR,142))</f>
        <v>Z Loyalty &amp; Martech</v>
      </c>
      <c r="G50" s="1265">
        <f>INDEX('REVIEW - Complete Role Mapping'!$AA:$AA,142)</f>
        <v>165860.95</v>
      </c>
      <c r="H50" s="627">
        <f>$G50*IFERROR(INDEX(Lists!$AD:$AD,MATCH($E50,Lists!$AC:$AC,0)),1)</f>
        <v>165860.95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Mapping'!$B:$B,143)</f>
        <v>Kaye Javier</v>
      </c>
      <c r="C51" s="634" t="str">
        <f>INDEX('REVIEW - Complete Role Mapping'!$C:$C,143)</f>
        <v>QA Analyst</v>
      </c>
      <c r="D51" s="612" t="str">
        <f>INDEX('REVIEW - Complete Role Mapping'!$AK:$AK,143)</f>
        <v>Filled</v>
      </c>
      <c r="E51" s="612" t="inlineStr">
        <is>
          <t>Filled</t>
        </is>
      </c>
      <c r="F51" s="981" t="str">
        <f>IF(INDEX('REVIEW - Complete Role Mapping'!$AR:$AR,143)="Squad",INDEX('REVIEW - Complete Role Mapping'!$AP:$AP,143),INDEX('REVIEW - Complete Role Mapping'!$AR:$AR,143))</f>
        <v>Z Loyalty &amp; Martech</v>
      </c>
      <c r="G51" s="1265">
        <f>INDEX('REVIEW - Complete Role Mapping'!$AA:$AA,143)</f>
        <v>214587.9</v>
      </c>
      <c r="H51" s="627">
        <f>$G51*IFERROR(INDEX(Lists!$AD:$AD,MATCH($E51,Lists!$AC:$AC,0)),1)</f>
        <v>214587.9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Mapping'!$B:$B,144)</f>
        <v>Kellie Gathergood</v>
      </c>
      <c r="C52" s="634" t="str">
        <f>INDEX('REVIEW - Complete Role Mapping'!$C:$C,144)</f>
        <v>Lead Quality Assurance</v>
      </c>
      <c r="D52" s="612" t="str">
        <f>INDEX('REVIEW - Complete Role Mapping'!$AK:$AK,144)</f>
        <v>Filled</v>
      </c>
      <c r="E52" s="612" t="inlineStr">
        <is>
          <t>Filled</t>
        </is>
      </c>
      <c r="F52" s="981" t="str">
        <f>IF(INDEX('REVIEW - Complete Role Mapping'!$AR:$AR,144)="Squad",INDEX('REVIEW - Complete Role Mapping'!$AP:$AP,144),INDEX('REVIEW - Complete Role Mapping'!$AR:$AR,144))</f>
        <v>Z Loyalty &amp; Martech</v>
      </c>
      <c r="G52" s="1265">
        <f>INDEX('REVIEW - Complete Role Mapping'!$AA:$AA,144)</f>
        <v>257788.5</v>
      </c>
      <c r="H52" s="627">
        <f>$G52*IFERROR(INDEX(Lists!$AD:$AD,MATCH($E52,Lists!$AC:$AC,0)),1)</f>
        <v>257788.5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Mapping'!$B:$B,146)</f>
        <v>Kishore Ganesan</v>
      </c>
      <c r="C53" s="634" t="str">
        <f>INDEX('REVIEW - Complete Role Mapping'!$C:$C,146)</f>
        <v>Intermediate Quality Assurance</v>
      </c>
      <c r="D53" s="612" t="str">
        <f>INDEX('REVIEW - Complete Role Mapping'!$AK:$AK,146)</f>
        <v>Filled</v>
      </c>
      <c r="E53" s="612" t="inlineStr">
        <is>
          <t>Filled</t>
        </is>
      </c>
      <c r="F53" s="981" t="str">
        <f>IF(INDEX('REVIEW - Complete Role Mapping'!$AR:$AR,146)="Squad",INDEX('REVIEW - Complete Role Mapping'!$AP:$AP,146),INDEX('REVIEW - Complete Role Mapping'!$AR:$AR,146))</f>
        <v>Z Loyalty &amp; Martech</v>
      </c>
      <c r="G53" s="1265">
        <f>INDEX('REVIEW - Complete Role Mapping'!$AA:$AA,146)</f>
        <v>202853.25</v>
      </c>
      <c r="H53" s="627">
        <f>$G53*IFERROR(INDEX(Lists!$AD:$AD,MATCH($E53,Lists!$AC:$AC,0)),1)</f>
        <v>202853.25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Mapping'!$B:$B,151)</f>
        <v>Megan Rodgers</v>
      </c>
      <c r="C54" s="634" t="str">
        <f>INDEX('REVIEW - Complete Role Mapping'!$C:$C,151)</f>
        <v>Business Analyst</v>
      </c>
      <c r="D54" s="612" t="str">
        <f>INDEX('REVIEW - Complete Role Mapping'!$AK:$AK,151)</f>
        <v>Filled</v>
      </c>
      <c r="E54" s="612" t="inlineStr">
        <is>
          <t>Filled</t>
        </is>
      </c>
      <c r="F54" s="981" t="str">
        <f>IF(INDEX('REVIEW - Complete Role Mapping'!$AR:$AR,151)="Squad",INDEX('REVIEW - Complete Role Mapping'!$AP:$AP,151),INDEX('REVIEW - Complete Role Mapping'!$AR:$AR,151))</f>
        <v>Z Loyalty &amp; Martech</v>
      </c>
      <c r="G54" s="1265">
        <f>INDEX('REVIEW - Complete Role Mapping'!$AA:$AA,151)</f>
        <v>138702</v>
      </c>
      <c r="H54" s="627">
        <f>$G54*IFERROR(INDEX(Lists!$AD:$AD,MATCH($E54,Lists!$AC:$AC,0)),1)</f>
        <v>138702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Mapping'!$B:$B,153)</f>
        <v>Nimi Rose</v>
      </c>
      <c r="C55" s="634" t="str">
        <f>INDEX('REVIEW - Complete Role Mapping'!$C:$C,153)</f>
        <v>Marketing Technology Lead</v>
      </c>
      <c r="D55" s="612" t="str">
        <f>INDEX('REVIEW - Complete Role Mapping'!$AK:$AK,153)</f>
        <v>Filled</v>
      </c>
      <c r="E55" s="612" t="inlineStr">
        <is>
          <t>Filled</t>
        </is>
      </c>
      <c r="F55" s="981" t="str">
        <f>IF(INDEX('REVIEW - Complete Role Mapping'!$AR:$AR,153)="Squad",INDEX('REVIEW - Complete Role Mapping'!$AP:$AP,153),INDEX('REVIEW - Complete Role Mapping'!$AR:$AR,153))</f>
        <v>Z Loyalty &amp; Martech</v>
      </c>
      <c r="G55" s="1265">
        <f>INDEX('REVIEW - Complete Role Mapping'!$AA:$AA,153)</f>
        <v>197993.85</v>
      </c>
      <c r="H55" s="627">
        <f>$G55*IFERROR(INDEX(Lists!$AD:$AD,MATCH($E55,Lists!$AC:$AC,0)),1)</f>
        <v>197993.85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Mapping'!$B:$B,164)</f>
        <v>Scott Cullen</v>
      </c>
      <c r="C56" s="634" t="str">
        <f>INDEX('REVIEW - Complete Role Mapping'!$C:$C,164)</f>
        <v>Engineer, Dev Ops</v>
      </c>
      <c r="D56" s="612" t="str">
        <f>INDEX('REVIEW - Complete Role Mapping'!$AK:$AK,164)</f>
        <v>Filled</v>
      </c>
      <c r="E56" s="612" t="inlineStr">
        <is>
          <t>Filled</t>
        </is>
      </c>
      <c r="F56" s="981" t="str">
        <f>IF(INDEX('REVIEW - Complete Role Mapping'!$AR:$AR,164)="Squad",INDEX('REVIEW - Complete Role Mapping'!$AP:$AP,164),INDEX('REVIEW - Complete Role Mapping'!$AR:$AR,164))</f>
        <v>Z Loyalty &amp; Martech</v>
      </c>
      <c r="G56" s="1265">
        <f>INDEX('REVIEW - Complete Role Mapping'!$AA:$AA,164)</f>
        <v>220275</v>
      </c>
      <c r="H56" s="627">
        <f>$G56*IFERROR(INDEX(Lists!$AD:$AD,MATCH($E56,Lists!$AC:$AC,0)),1)</f>
        <v>220275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Mapping'!$B:$B,167)</f>
        <v>Shinal Chamberlain</v>
      </c>
      <c r="C57" s="634" t="str">
        <f>INDEX('REVIEW - Complete Role Mapping'!$C:$C,167)</f>
        <v>Business Analyst</v>
      </c>
      <c r="D57" s="612" t="str">
        <f>INDEX('REVIEW - Complete Role Mapping'!$AK:$AK,167)</f>
        <v>Filled</v>
      </c>
      <c r="E57" s="612" t="inlineStr">
        <is>
          <t>Filled</t>
        </is>
      </c>
      <c r="F57" s="981" t="str">
        <f>IF(INDEX('REVIEW - Complete Role Mapping'!$AR:$AR,167)="Squad",INDEX('REVIEW - Complete Role Mapping'!$AP:$AP,167),INDEX('REVIEW - Complete Role Mapping'!$AR:$AR,167))</f>
        <v>Z Loyalty &amp; Martech</v>
      </c>
      <c r="G57" s="1265">
        <f>INDEX('REVIEW - Complete Role Mapping'!$AA:$AA,167)</f>
        <v>274311.472</v>
      </c>
      <c r="H57" s="627">
        <f>$G57*IFERROR(INDEX(Lists!$AD:$AD,MATCH($E57,Lists!$AC:$AC,0)),1)</f>
        <v>274311.472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Mapping'!$B:$B,111)</f>
        <v>Alan Peng</v>
      </c>
      <c r="C58" s="634" t="str">
        <f>INDEX('REVIEW - Complete Role Mapping'!$C:$C,111)</f>
        <v>Delivery Lead</v>
      </c>
      <c r="D58" s="612" t="str">
        <f>INDEX('REVIEW - Complete Role Mapping'!$AK:$AK,111)</f>
        <v>Filled</v>
      </c>
      <c r="E58" s="612" t="inlineStr">
        <is>
          <t>Filled</t>
        </is>
      </c>
      <c r="F58" s="981" t="str">
        <f>IF(INDEX('REVIEW - Complete Role Mapping'!$AR:$AR,111)="Squad",INDEX('REVIEW - Complete Role Mapping'!$AP:$AP,111),INDEX('REVIEW - Complete Role Mapping'!$AR:$AR,111))</f>
        <v>EGI Customer</v>
      </c>
      <c r="G58" s="1265">
        <f>INDEX('REVIEW - Complete Role Mapping'!$AA:$AA,111)</f>
        <v>216043.05</v>
      </c>
      <c r="H58" s="627">
        <f>$G58*IFERROR(INDEX(Lists!$AD:$AD,MATCH($E58,Lists!$AC:$AC,0)),1)</f>
        <v>216043.05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Mapping'!$B:$B,115)</f>
        <v>Angie Ng</v>
      </c>
      <c r="C59" s="634" t="str">
        <f>INDEX('REVIEW - Complete Role Mapping'!$C:$C,115)</f>
        <v>Snr Engineer - BE</v>
      </c>
      <c r="D59" s="612" t="str">
        <f>INDEX('REVIEW - Complete Role Mapping'!$AK:$AK,115)</f>
        <v>Filled</v>
      </c>
      <c r="E59" s="612" t="inlineStr">
        <is>
          <t>Filled</t>
        </is>
      </c>
      <c r="F59" s="981" t="str">
        <f>IF(INDEX('REVIEW - Complete Role Mapping'!$AR:$AR,115)="Squad",INDEX('REVIEW - Complete Role Mapping'!$AP:$AP,115),INDEX('REVIEW - Complete Role Mapping'!$AR:$AR,115))</f>
        <v>EGI Customer</v>
      </c>
      <c r="G59" s="1265">
        <f>INDEX('REVIEW - Complete Role Mapping'!$AA:$AA,115)</f>
        <v>254958.3</v>
      </c>
      <c r="H59" s="627">
        <f>$G59*IFERROR(INDEX(Lists!$AD:$AD,MATCH($E59,Lists!$AC:$AC,0)),1)</f>
        <v>254958.3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Mapping'!$B:$B,129)</f>
        <v>Dasha Fothergill</v>
      </c>
      <c r="C60" s="634" t="str">
        <f>INDEX('REVIEW - Complete Role Mapping'!$C:$C,129)</f>
        <v>Data Analyst</v>
      </c>
      <c r="D60" s="612" t="str">
        <f>INDEX('REVIEW - Complete Role Mapping'!$AK:$AK,129)</f>
        <v>Filled</v>
      </c>
      <c r="E60" s="612" t="inlineStr">
        <is>
          <t>Filled</t>
        </is>
      </c>
      <c r="F60" s="981" t="str">
        <f>IF(INDEX('REVIEW - Complete Role Mapping'!$AR:$AR,129)="Squad",INDEX('REVIEW - Complete Role Mapping'!$AP:$AP,129),INDEX('REVIEW - Complete Role Mapping'!$AR:$AR,129))</f>
        <v>EGI Customer</v>
      </c>
      <c r="G60" s="1265">
        <f>INDEX('REVIEW - Complete Role Mapping'!$AA:$AA,129)</f>
        <v>188492.4</v>
      </c>
      <c r="H60" s="627">
        <f>$G60*IFERROR(INDEX(Lists!$AD:$AD,MATCH($E60,Lists!$AC:$AC,0)),1)</f>
        <v>188492.4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Mapping'!$B:$B,158)</f>
        <v>Ramez Haider</v>
      </c>
      <c r="C61" s="646" t="str">
        <f>INDEX('REVIEW - Complete Role Mapping'!$C:$C,158)</f>
        <v>Solution Architect</v>
      </c>
      <c r="D61" s="612" t="str">
        <f>INDEX('REVIEW - Complete Role Mapping'!$AK:$AK,158)</f>
        <v>Filled</v>
      </c>
      <c r="E61" s="612" t="inlineStr">
        <is>
          <t>Filled</t>
        </is>
      </c>
      <c r="F61" s="981" t="str">
        <f>IF(INDEX('REVIEW - Complete Role Mapping'!$AR:$AR,158)="Squad",INDEX('REVIEW - Complete Role Mapping'!$AP:$AP,158),INDEX('REVIEW - Complete Role Mapping'!$AR:$AR,158))</f>
        <v>EGI Customer</v>
      </c>
      <c r="G61" s="1265">
        <f>INDEX('REVIEW - Complete Role Mapping'!$AA:$AA,158)</f>
        <v>247530</v>
      </c>
      <c r="H61" s="627">
        <f>$G61*IFERROR(INDEX(Lists!$AD:$AD,MATCH($E61,Lists!$AC:$AC,0)),1)</f>
        <v>247530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Mapping'!$B:$B,159)</f>
        <v>Rishabh Bhatia</v>
      </c>
      <c r="C62" s="634" t="str">
        <f>INDEX('REVIEW - Complete Role Mapping'!$C:$C,159)</f>
        <v>Engineer - Mobile (Android)</v>
      </c>
      <c r="D62" s="612" t="str">
        <f>INDEX('REVIEW - Complete Role Mapping'!$AK:$AK,159)</f>
        <v>Filled</v>
      </c>
      <c r="E62" s="612" t="inlineStr">
        <is>
          <t>Filled</t>
        </is>
      </c>
      <c r="F62" s="981" t="str">
        <f>IF(INDEX('REVIEW - Complete Role Mapping'!$AR:$AR,159)="Squad",INDEX('REVIEW - Complete Role Mapping'!$AP:$AP,159),INDEX('REVIEW - Complete Role Mapping'!$AR:$AR,159))</f>
        <v>EGI Customer</v>
      </c>
      <c r="G62" s="1265">
        <f>INDEX('REVIEW - Complete Role Mapping'!$AA:$AA,159)</f>
        <v>136760</v>
      </c>
      <c r="H62" s="627">
        <f>$G62*IFERROR(INDEX(Lists!$AD:$AD,MATCH($E62,Lists!$AC:$AC,0)),1)</f>
        <v>136760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Mapping'!$B:$B,160)</f>
        <v>Rob Jadrjevic</v>
      </c>
      <c r="C63" s="634" t="str">
        <f>INDEX('REVIEW - Complete Role Mapping'!$C:$C,160)</f>
        <v>Engineer - BE</v>
      </c>
      <c r="D63" s="612" t="str">
        <f>INDEX('REVIEW - Complete Role Mapping'!$AK:$AK,160)</f>
        <v>Filled</v>
      </c>
      <c r="E63" s="612" t="inlineStr">
        <is>
          <t>Filled</t>
        </is>
      </c>
      <c r="F63" s="981" t="str">
        <f>IF(INDEX('REVIEW - Complete Role Mapping'!$AR:$AR,160)="Squad",INDEX('REVIEW - Complete Role Mapping'!$AP:$AP,160),INDEX('REVIEW - Complete Role Mapping'!$AR:$AR,160))</f>
        <v>EGI Customer</v>
      </c>
      <c r="G63" s="1265">
        <f>INDEX('REVIEW - Complete Role Mapping'!$AA:$AA,160)</f>
        <v>202853.25</v>
      </c>
      <c r="H63" s="627">
        <f>$G63*IFERROR(INDEX(Lists!$AD:$AD,MATCH($E63,Lists!$AC:$AC,0)),1)</f>
        <v>202853.25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Mapping'!$B:$B,161)</f>
        <v>Safiq Iqbal</v>
      </c>
      <c r="C64" s="634" t="str">
        <f>INDEX('REVIEW - Complete Role Mapping'!$C:$C,161)</f>
        <v>Principal Engineer</v>
      </c>
      <c r="D64" s="612" t="str">
        <f>INDEX('REVIEW - Complete Role Mapping'!$AK:$AK,161)</f>
        <v>Filled</v>
      </c>
      <c r="E64" s="612" t="inlineStr">
        <is>
          <t>Filled</t>
        </is>
      </c>
      <c r="F64" s="981" t="str">
        <f>IF(INDEX('REVIEW - Complete Role Mapping'!$AR:$AR,161)="Squad",INDEX('REVIEW - Complete Role Mapping'!$AP:$AP,161),INDEX('REVIEW - Complete Role Mapping'!$AR:$AR,161))</f>
        <v>EGI Customer</v>
      </c>
      <c r="G64" s="1265">
        <f>INDEX('REVIEW - Complete Role Mapping'!$AA:$AA,161)</f>
        <v>213600</v>
      </c>
      <c r="H64" s="627">
        <f>$G64*IFERROR(INDEX(Lists!$AD:$AD,MATCH($E64,Lists!$AC:$AC,0)),1)</f>
        <v>213600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Mapping'!$B:$B,170)</f>
        <v>Sri Balan Raj</v>
      </c>
      <c r="C65" s="962" t="str">
        <f>INDEX('REVIEW - Complete Role Mapping'!$C:$C,170)</f>
        <v>Business Analyst</v>
      </c>
      <c r="D65" s="612" t="str">
        <f>INDEX('REVIEW - Complete Role Mapping'!$AK:$AK,170)</f>
        <v>Filled</v>
      </c>
      <c r="E65" s="612" t="inlineStr">
        <is>
          <t>Filled</t>
        </is>
      </c>
      <c r="F65" s="981" t="str">
        <f>IF(INDEX('REVIEW - Complete Role Mapping'!$AR:$AR,170)="Squad",INDEX('REVIEW - Complete Role Mapping'!$AP:$AP,170),INDEX('REVIEW - Complete Role Mapping'!$AR:$AR,170))</f>
        <v>EGI Customer</v>
      </c>
      <c r="G65" s="1265">
        <f>INDEX('REVIEW - Complete Role Mapping'!$AA:$AA,170)</f>
        <v>275810.25</v>
      </c>
      <c r="H65" s="627">
        <f>$G65*IFERROR(INDEX(Lists!$AD:$AD,MATCH($E65,Lists!$AC:$AC,0)),1)</f>
        <v>275810.25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Mapping'!$B:$B,171)</f>
        <v>Swapnil Pithwa</v>
      </c>
      <c r="C66" s="634" t="str">
        <f>INDEX('REVIEW - Complete Role Mapping'!$C:$C,171)</f>
        <v>Engineer - BE</v>
      </c>
      <c r="D66" s="612" t="str">
        <f>INDEX('REVIEW - Complete Role Mapping'!$AK:$AK,171)</f>
        <v>Filled</v>
      </c>
      <c r="E66" s="612" t="inlineStr">
        <is>
          <t>Filled</t>
        </is>
      </c>
      <c r="F66" s="981" t="str">
        <f>IF(INDEX('REVIEW - Complete Role Mapping'!$AR:$AR,171)="Squad",INDEX('REVIEW - Complete Role Mapping'!$AP:$AP,171),INDEX('REVIEW - Complete Role Mapping'!$AR:$AR,171))</f>
        <v>EGI Customer</v>
      </c>
      <c r="G66" s="1265">
        <f>INDEX('REVIEW - Complete Role Mapping'!$AA:$AA,171)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Mapping'!$B:$B,187)</f>
        <v>Waheed Malek</v>
      </c>
      <c r="C67" s="962" t="str">
        <f>INDEX('REVIEW - Complete Role Mapping'!$C:$C,187)</f>
        <v>Quality Assurance</v>
      </c>
      <c r="D67" s="612" t="str">
        <f>INDEX('REVIEW - Complete Role Mapping'!$AK:$AK,187)</f>
        <v>Filled</v>
      </c>
      <c r="E67" s="612" t="inlineStr">
        <is>
          <t>Filled</t>
        </is>
      </c>
      <c r="F67" s="981" t="str">
        <f>IF(INDEX('REVIEW - Complete Role Mapping'!$AR:$AR,187)="Squad",INDEX('REVIEW - Complete Role Mapping'!$AP:$AP,187),INDEX('REVIEW - Complete Role Mapping'!$AR:$AR,187))</f>
        <v>EGI Customer</v>
      </c>
      <c r="G67" s="1265">
        <f>INDEX('REVIEW - Complete Role Mapping'!$AA:$AA,187)</f>
        <v>196277.808</v>
      </c>
      <c r="H67" s="627">
        <f>$G67*IFERROR(INDEX(Lists!$AD:$AD,MATCH($E67,Lists!$AC:$AC,0)),1)</f>
        <v>196277.808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Mapping'!$B:$B,108)</f>
        <v>Aaron Lu</v>
      </c>
      <c r="C68" s="962" t="str">
        <f>INDEX('REVIEW - Complete Role Mapping'!$C:$C,108)</f>
        <v>Engineer - BE</v>
      </c>
      <c r="D68" s="612" t="str">
        <f>INDEX('REVIEW - Complete Role Mapping'!$AK:$AK,108)</f>
        <v>Filled</v>
      </c>
      <c r="E68" s="612" t="inlineStr">
        <is>
          <t>Filled</t>
        </is>
      </c>
      <c r="F68" s="981" t="str">
        <f>IF(INDEX('REVIEW - Complete Role Mapping'!$AR:$AR,108)="Squad",INDEX('REVIEW - Complete Role Mapping'!$AP:$AP,108),INDEX('REVIEW - Complete Role Mapping'!$AR:$AR,108))</f>
        <v>Ampol Web</v>
      </c>
      <c r="G68" s="1265">
        <f>INDEX('REVIEW - Complete Role Mapping'!$AA:$AA,108)</f>
        <v>235333.8</v>
      </c>
      <c r="H68" s="627">
        <f>$G68*IFERROR(INDEX(Lists!$AD:$AD,MATCH($E68,Lists!$AC:$AC,0)),1)</f>
        <v>235333.8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Mapping'!$B:$B,120)</f>
        <v>Ashwini Gaikwad</v>
      </c>
      <c r="C69" s="646" t="str">
        <f>INDEX('REVIEW - Complete Role Mapping'!$C:$C,120)</f>
        <v>Quality Assurance</v>
      </c>
      <c r="D69" s="612" t="str">
        <f>INDEX('REVIEW - Complete Role Mapping'!$AK:$AK,120)</f>
        <v>Filled</v>
      </c>
      <c r="E69" s="612" t="inlineStr">
        <is>
          <t>Filled</t>
        </is>
      </c>
      <c r="F69" s="981" t="str">
        <f>IF(INDEX('REVIEW - Complete Role Mapping'!$AR:$AR,120)="Squad",INDEX('REVIEW - Complete Role Mapping'!$AP:$AP,120),INDEX('REVIEW - Complete Role Mapping'!$AR:$AR,120))</f>
        <v>Ampol Web</v>
      </c>
      <c r="G69" s="1265">
        <f>INDEX('REVIEW - Complete Role Mapping'!$AA:$AA,120)</f>
        <v>168677.25</v>
      </c>
      <c r="H69" s="627">
        <f>$G69*IFERROR(INDEX(Lists!$AD:$AD,MATCH($E69,Lists!$AC:$AC,0)),1)</f>
        <v>168677.25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Mapping'!$B:$B,128)</f>
        <v>Darwin Morales</v>
      </c>
      <c r="C70" s="634" t="str">
        <f>INDEX('REVIEW - Complete Role Mapping'!$C:$C,128)</f>
        <v>Snr Engineer - FE</v>
      </c>
      <c r="D70" s="612" t="str">
        <f>INDEX('REVIEW - Complete Role Mapping'!$AK:$AK,128)</f>
        <v>Filled</v>
      </c>
      <c r="E70" s="612" t="inlineStr">
        <is>
          <t>Filled</t>
        </is>
      </c>
      <c r="F70" s="981" t="str">
        <f>IF(INDEX('REVIEW - Complete Role Mapping'!$AR:$AR,128)="Squad",INDEX('REVIEW - Complete Role Mapping'!$AP:$AP,128),INDEX('REVIEW - Complete Role Mapping'!$AR:$AR,128))</f>
        <v>Ampol Web</v>
      </c>
      <c r="G70" s="1265">
        <f>INDEX('REVIEW - Complete Role Mapping'!$AA:$AA,128)</f>
        <v>243090.15</v>
      </c>
      <c r="H70" s="627">
        <f>$G70*IFERROR(INDEX(Lists!$AD:$AD,MATCH($E70,Lists!$AC:$AC,0)),1)</f>
        <v>243090.15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Mapping'!$B:$B,140)</f>
        <v>Jin Zhong</v>
      </c>
      <c r="C71" s="634" t="str">
        <f>INDEX('REVIEW - Complete Role Mapping'!$C:$C,140)</f>
        <v>Lead Engineer - BE</v>
      </c>
      <c r="D71" s="612" t="str">
        <f>INDEX('REVIEW - Complete Role Mapping'!$AK:$AK,140)</f>
        <v>Filled</v>
      </c>
      <c r="E71" s="612" t="inlineStr">
        <is>
          <t>Filled</t>
        </is>
      </c>
      <c r="F71" s="981" t="str">
        <f>IF(INDEX('REVIEW - Complete Role Mapping'!$AR:$AR,140)="Squad",INDEX('REVIEW - Complete Role Mapping'!$AP:$AP,140),INDEX('REVIEW - Complete Role Mapping'!$AR:$AR,140))</f>
        <v>Ampol Web</v>
      </c>
      <c r="G71" s="1265">
        <f>INDEX('REVIEW - Complete Role Mapping'!$AA:$AA,140)</f>
        <v>202853.25</v>
      </c>
      <c r="H71" s="627">
        <f>$G71*IFERROR(INDEX(Lists!$AD:$AD,MATCH($E71,Lists!$AC:$AC,0)),1)</f>
        <v>202853.25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Mapping'!$B:$B,141)</f>
        <v>Jordan Askwith</v>
      </c>
      <c r="C72" s="634" t="str">
        <f>INDEX('REVIEW - Complete Role Mapping'!$C:$C,141)</f>
        <v>Solution Architect</v>
      </c>
      <c r="D72" s="612" t="str">
        <f>INDEX('REVIEW - Complete Role Mapping'!$AK:$AK,141)</f>
        <v>Filled</v>
      </c>
      <c r="E72" s="612" t="inlineStr">
        <is>
          <t>Filled</t>
        </is>
      </c>
      <c r="F72" s="981" t="str">
        <f>IF(INDEX('REVIEW - Complete Role Mapping'!$AR:$AR,141)="Squad",INDEX('REVIEW - Complete Role Mapping'!$AP:$AP,141),INDEX('REVIEW - Complete Role Mapping'!$AR:$AR,141))</f>
        <v>Ampol Web</v>
      </c>
      <c r="G72" s="1265">
        <f>INDEX('REVIEW - Complete Role Mapping'!$AA:$AA,141)</f>
        <v>202853.25</v>
      </c>
      <c r="H72" s="627">
        <f>$G72*IFERROR(INDEX(Lists!$AD:$AD,MATCH($E72,Lists!$AC:$AC,0)),1)</f>
        <v>202853.25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Mapping'!$B:$B,148)</f>
        <v>Lily Fong</v>
      </c>
      <c r="C73" s="634" t="str">
        <f>INDEX('REVIEW - Complete Role Mapping'!$C:$C,148)</f>
        <v>Snr Business Analyst</v>
      </c>
      <c r="D73" s="612" t="str">
        <f>INDEX('REVIEW - Complete Role Mapping'!$AK:$AK,148)</f>
        <v>Filled</v>
      </c>
      <c r="E73" s="612" t="inlineStr">
        <is>
          <t>Filled</t>
        </is>
      </c>
      <c r="F73" s="981" t="str">
        <f>IF(INDEX('REVIEW - Complete Role Mapping'!$AR:$AR,148)="Squad",INDEX('REVIEW - Complete Role Mapping'!$AP:$AP,148),INDEX('REVIEW - Complete Role Mapping'!$AR:$AR,148))</f>
        <v>Ampol Web</v>
      </c>
      <c r="G73" s="1265">
        <f>INDEX('REVIEW - Complete Role Mapping'!$AA:$AA,148)</f>
        <v>170489.75</v>
      </c>
      <c r="H73" s="627">
        <f>$G73*IFERROR(INDEX(Lists!$AD:$AD,MATCH($E73,Lists!$AC:$AC,0)),1)</f>
        <v>170489.75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Mapping'!$B:$B,163)</f>
        <v>Saugata Acharya</v>
      </c>
      <c r="C74" s="634" t="str">
        <f>INDEX('REVIEW - Complete Role Mapping'!$C:$C,163)</f>
        <v>Delivery Lead</v>
      </c>
      <c r="D74" s="612" t="str">
        <f>INDEX('REVIEW - Complete Role Mapping'!$AK:$AK,163)</f>
        <v>Filled</v>
      </c>
      <c r="E74" s="612" t="inlineStr">
        <is>
          <t>Filled</t>
        </is>
      </c>
      <c r="F74" s="981" t="str">
        <f>IF(INDEX('REVIEW - Complete Role Mapping'!$AR:$AR,163)="Squad",INDEX('REVIEW - Complete Role Mapping'!$AP:$AP,163),INDEX('REVIEW - Complete Role Mapping'!$AR:$AR,163))</f>
        <v>Ampol Web</v>
      </c>
      <c r="G74" s="1265">
        <f>INDEX('REVIEW - Complete Role Mapping'!$AA:$AA,163)</f>
        <v>217914</v>
      </c>
      <c r="H74" s="627">
        <f>$G74*IFERROR(INDEX(Lists!$AD:$AD,MATCH($E74,Lists!$AC:$AC,0)),1)</f>
        <v>217914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Mapping'!$B:$B,190)</f>
        <v>Zohan Sim</v>
      </c>
      <c r="C75" s="634" t="str">
        <f>INDEX('REVIEW - Complete Role Mapping'!$C:$C,190)</f>
        <v>Engineer - BE</v>
      </c>
      <c r="D75" s="612" t="str">
        <f>INDEX('REVIEW - Complete Role Mapping'!$AK:$AK,190)</f>
        <v>Filled</v>
      </c>
      <c r="E75" s="612" t="inlineStr">
        <is>
          <t>Filled</t>
        </is>
      </c>
      <c r="F75" s="981" t="str">
        <f>IF(INDEX('REVIEW - Complete Role Mapping'!$AR:$AR,190)="Squad",INDEX('REVIEW - Complete Role Mapping'!$AP:$AP,190),INDEX('REVIEW - Complete Role Mapping'!$AR:$AR,190))</f>
        <v>Ampol Web</v>
      </c>
      <c r="G75" s="1265">
        <f>INDEX('REVIEW - Complete Role Mapping'!$AA:$AA,190)</f>
        <v>150018</v>
      </c>
      <c r="H75" s="627">
        <f>$G75*IFERROR(INDEX(Lists!$AD:$AD,MATCH($E75,Lists!$AC:$AC,0)),1)</f>
        <v>150018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Mapping'!$B:$B,114)</f>
        <v>Angela Gilbert</v>
      </c>
      <c r="C76" s="634" t="str">
        <f>INDEX('REVIEW - Complete Role Mapping'!$C:$C,114)</f>
        <v>Martech Lead - Dynamics</v>
      </c>
      <c r="D76" s="612" t="str">
        <f>INDEX('REVIEW - Complete Role Mapping'!$AK:$AK,114)</f>
        <v>Filled</v>
      </c>
      <c r="E76" s="612" t="inlineStr">
        <is>
          <t>Filled</t>
        </is>
      </c>
      <c r="F76" s="981" t="str">
        <f>IF(INDEX('REVIEW - Complete Role Mapping'!$AR:$AR,114)="Squad",INDEX('REVIEW - Complete Role Mapping'!$AP:$AP,114),INDEX('REVIEW - Complete Role Mapping'!$AR:$AR,114))</f>
        <v>Ampol Loyalty &amp; Martech</v>
      </c>
      <c r="G76" s="1265">
        <f>INDEX('REVIEW - Complete Role Mapping'!$AA:$AA,114)</f>
        <v>200250</v>
      </c>
      <c r="H76" s="627">
        <f>$G76*IFERROR(INDEX(Lists!$AD:$AD,MATCH($E76,Lists!$AC:$AC,0)),1)</f>
        <v>200250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Mapping'!$B:$B,137)</f>
        <v>Jawad Hassan</v>
      </c>
      <c r="C77" s="634" t="str">
        <f>INDEX('REVIEW - Complete Role Mapping'!$C:$C,137)</f>
        <v>Engineer Data (Snowflake)</v>
      </c>
      <c r="D77" s="612" t="str">
        <f>INDEX('REVIEW - Complete Role Mapping'!$AK:$AK,137)</f>
        <v>Filled</v>
      </c>
      <c r="E77" s="612" t="inlineStr">
        <is>
          <t>Filled</t>
        </is>
      </c>
      <c r="F77" s="981" t="str">
        <f>IF(INDEX('REVIEW - Complete Role Mapping'!$AR:$AR,137)="Squad",INDEX('REVIEW - Complete Role Mapping'!$AP:$AP,137),INDEX('REVIEW - Complete Role Mapping'!$AR:$AR,137))</f>
        <v>Ampol Loyalty &amp; Martech</v>
      </c>
      <c r="G77" s="1265">
        <f>INDEX('REVIEW - Complete Role Mapping'!$AA:$AA,137)</f>
        <v>202853.25</v>
      </c>
      <c r="H77" s="627">
        <f>$G77*IFERROR(INDEX(Lists!$AD:$AD,MATCH($E77,Lists!$AC:$AC,0)),1)</f>
        <v>202853.25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Mapping'!$B:$B,138)</f>
        <v>Jeremy Xu</v>
      </c>
      <c r="C78" s="634" t="str">
        <f>INDEX('REVIEW - Complete Role Mapping'!$C:$C,138)</f>
        <v>Data Analyst</v>
      </c>
      <c r="D78" s="612" t="str">
        <f>INDEX('REVIEW - Complete Role Mapping'!$AK:$AK,138)</f>
        <v>Filled</v>
      </c>
      <c r="E78" s="612" t="inlineStr">
        <is>
          <t>Filled</t>
        </is>
      </c>
      <c r="F78" s="981" t="str">
        <f>IF(INDEX('REVIEW - Complete Role Mapping'!$AR:$AR,138)="Squad",INDEX('REVIEW - Complete Role Mapping'!$AP:$AP,138),INDEX('REVIEW - Complete Role Mapping'!$AR:$AR,138))</f>
        <v>Ampol Loyalty &amp; Martech</v>
      </c>
      <c r="G78" s="1265">
        <f>INDEX('REVIEW - Complete Role Mapping'!$AA:$AA,138)</f>
        <v>202853.25</v>
      </c>
      <c r="H78" s="627">
        <f>$G78*IFERROR(INDEX(Lists!$AD:$AD,MATCH($E78,Lists!$AC:$AC,0)),1)</f>
        <v>202853.25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Mapping'!$B:$B,178)</f>
        <v>Vacant</v>
      </c>
      <c r="C79" s="634" t="str">
        <f>INDEX('REVIEW - Complete Role Mapping'!$C:$C,178)</f>
        <v>Engineer, Software</v>
      </c>
      <c r="D79" s="612" t="str">
        <f>INDEX('REVIEW - Complete Role Mapping'!$AK:$AK,178)</f>
        <v>Vacant</v>
      </c>
      <c r="E79" s="612" t="inlineStr">
        <is>
          <t>Hold</t>
        </is>
      </c>
      <c r="F79" s="981" t="str">
        <f>IF(INDEX('REVIEW - Complete Role Mapping'!$AR:$AR,178)="Squad",INDEX('REVIEW - Complete Role Mapping'!$AP:$AP,178),INDEX('REVIEW - Complete Role Mapping'!$AR:$AR,178))</f>
        <v>Ampol Loyalty &amp; Martech</v>
      </c>
      <c r="G79" s="1265">
        <f>INDEX('REVIEW - Complete Role Mapping'!$AA:$AA,178)</f>
        <v>155676</v>
      </c>
      <c r="H79" s="627">
        <f>$G79*IFERROR(INDEX(Lists!$AD:$AD,MATCH($E79,Lists!$AC:$AC,0)),1)</f>
        <v>0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Mapping'!$B:$B,179)</f>
        <v>Vacant</v>
      </c>
      <c r="C80" s="634" t="str">
        <f>INDEX('REVIEW - Complete Role Mapping'!$C:$C,179)</f>
        <v>Snr Engineer, Data</v>
      </c>
      <c r="D80" s="612" t="str">
        <f>INDEX('REVIEW - Complete Role Mapping'!$AK:$AK,179)</f>
        <v>Vacant</v>
      </c>
      <c r="E80" s="612" t="inlineStr">
        <is>
          <t>Hold</t>
        </is>
      </c>
      <c r="F80" s="981" t="str">
        <f>IF(INDEX('REVIEW - Complete Role Mapping'!$AR:$AR,179)="Squad",INDEX('REVIEW - Complete Role Mapping'!$AP:$AP,179),INDEX('REVIEW - Complete Role Mapping'!$AR:$AR,179))</f>
        <v>Ampol Loyalty &amp; Martech</v>
      </c>
      <c r="G80" s="1265">
        <f>INDEX('REVIEW - Complete Role Mapping'!$AA:$AA,179)</f>
        <v>174743.46</v>
      </c>
      <c r="H80" s="627">
        <f>$G80*IFERROR(INDEX(Lists!$AD:$AD,MATCH($E80,Lists!$AC:$AC,0)),1)</f>
        <v>0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Mapping'!$B:$B,180)</f>
        <v>Vacant</v>
      </c>
      <c r="C81" s="634" t="str">
        <f>INDEX('REVIEW - Complete Role Mapping'!$C:$C,180)</f>
        <v>Solution Architect</v>
      </c>
      <c r="D81" s="612" t="str">
        <f>INDEX('REVIEW - Complete Role Mapping'!$AK:$AK,180)</f>
        <v>Vacant</v>
      </c>
      <c r="E81" s="612" t="inlineStr">
        <is>
          <t>Hold</t>
        </is>
      </c>
      <c r="F81" s="981" t="str">
        <f>IF(INDEX('REVIEW - Complete Role Mapping'!$AR:$AR,180)="Squad",INDEX('REVIEW - Complete Role Mapping'!$AP:$AP,180),INDEX('REVIEW - Complete Role Mapping'!$AR:$AR,180))</f>
        <v>Ampol Loyalty &amp; Martech</v>
      </c>
      <c r="G81" s="1265">
        <f>INDEX('REVIEW - Complete Role Mapping'!$AA:$AA,180)</f>
        <v>75457.8</v>
      </c>
      <c r="H81" s="627">
        <f>$G81*IFERROR(INDEX(Lists!$AD:$AD,MATCH($E81,Lists!$AC:$AC,0)),1)</f>
        <v>0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Mapping'!$B:$B,181)</f>
        <v>Vacant</v>
      </c>
      <c r="C82" s="962" t="str">
        <f>INDEX('REVIEW - Complete Role Mapping'!$C:$C,181)</f>
        <v>Data Analyst</v>
      </c>
      <c r="D82" s="612" t="str">
        <f>INDEX('REVIEW - Complete Role Mapping'!$AK:$AK,181)</f>
        <v>Vacant</v>
      </c>
      <c r="E82" s="612" t="inlineStr">
        <is>
          <t>Hold</t>
        </is>
      </c>
      <c r="F82" s="981" t="str">
        <f>IF(INDEX('REVIEW - Complete Role Mapping'!$AR:$AR,181)="Squad",INDEX('REVIEW - Complete Role Mapping'!$AP:$AP,181),INDEX('REVIEW - Complete Role Mapping'!$AR:$AR,181))</f>
        <v>Ampol Loyalty &amp; Martech</v>
      </c>
      <c r="G82" s="1265">
        <f>INDEX('REVIEW - Complete Role Mapping'!$AA:$AA,181)</f>
        <v>75457.8</v>
      </c>
      <c r="H82" s="627">
        <f>$G82*IFERROR(INDEX(Lists!$AD:$AD,MATCH($E82,Lists!$AC:$AC,0)),1)</f>
        <v>0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Mapping'!$B:$B,127)</f>
        <v>Daniel Arban</v>
      </c>
      <c r="C83" s="962" t="str">
        <f>INDEX('REVIEW - Complete Role Mapping'!$C:$C,127)</f>
        <v>Service Delivery Lead</v>
      </c>
      <c r="D83" s="612" t="str">
        <f>INDEX('REVIEW - Complete Role Mapping'!$AK:$AK,127)</f>
        <v>Filled</v>
      </c>
      <c r="E83" s="612" t="inlineStr">
        <is>
          <t>Filled</t>
        </is>
      </c>
      <c r="F83" s="981" t="str">
        <f>IF(INDEX('REVIEW - Complete Role Mapping'!$AR:$AR,127)="Squad",INDEX('REVIEW - Complete Role Mapping'!$AP:$AP,127),INDEX('REVIEW - Complete Role Mapping'!$AR:$AR,127))</f>
        <v>Digital Operations</v>
      </c>
      <c r="G83" s="1265">
        <f>INDEX('REVIEW - Complete Role Mapping'!$AA:$AA,127)</f>
        <v>248640</v>
      </c>
      <c r="H83" s="627">
        <f>$G83*IFERROR(INDEX(Lists!$AD:$AD,MATCH($E83,Lists!$AC:$AC,0)),1)</f>
        <v>248640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Mapping'!$B:$B,133)</f>
        <v>Emile Violi</v>
      </c>
      <c r="C84" s="962" t="str">
        <f>INDEX('REVIEW - Complete Role Mapping'!$C:$C,133)</f>
        <v>Engineer - BE</v>
      </c>
      <c r="D84" s="612" t="str">
        <f>INDEX('REVIEW - Complete Role Mapping'!$AK:$AK,133)</f>
        <v>Filled</v>
      </c>
      <c r="E84" s="612" t="inlineStr">
        <is>
          <t>Filled</t>
        </is>
      </c>
      <c r="F84" s="981" t="str">
        <f>IF(INDEX('REVIEW - Complete Role Mapping'!$AR:$AR,133)="Squad",INDEX('REVIEW - Complete Role Mapping'!$AP:$AP,133),INDEX('REVIEW - Complete Role Mapping'!$AR:$AR,133))</f>
        <v>Digital Operations</v>
      </c>
      <c r="G84" s="1265">
        <f>INDEX('REVIEW - Complete Role Mapping'!$AA:$AA,133)</f>
        <v>154465.188</v>
      </c>
      <c r="H84" s="627">
        <f>$G84*IFERROR(INDEX(Lists!$AD:$AD,MATCH($E84,Lists!$AC:$AC,0)),1)</f>
        <v>154465.188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Mapping'!$B:$B,150)</f>
        <v>Mark Wilson</v>
      </c>
      <c r="C85" s="634" t="str">
        <f>INDEX('REVIEW - Complete Role Mapping'!$C:$C,150)</f>
        <v>Digital Support Manager (AU)</v>
      </c>
      <c r="D85" s="612" t="str">
        <f>INDEX('REVIEW - Complete Role Mapping'!$AK:$AK,150)</f>
        <v>Filled</v>
      </c>
      <c r="E85" s="612" t="inlineStr">
        <is>
          <t>Filled</t>
        </is>
      </c>
      <c r="F85" s="981" t="str">
        <f>IF(INDEX('REVIEW - Complete Role Mapping'!$AR:$AR,150)="Squad",INDEX('REVIEW - Complete Role Mapping'!$AP:$AP,150),INDEX('REVIEW - Complete Role Mapping'!$AR:$AR,150))</f>
        <v>Digital Operations</v>
      </c>
      <c r="G85" s="1265">
        <f>INDEX('REVIEW - Complete Role Mapping'!$AA:$AA,150)</f>
        <v>218926.65</v>
      </c>
      <c r="H85" s="627">
        <f>$G85*IFERROR(INDEX(Lists!$AD:$AD,MATCH($E85,Lists!$AC:$AC,0)),1)</f>
        <v>218926.65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Mapping'!$B:$B,169)</f>
        <v>Shreema Das</v>
      </c>
      <c r="C86" s="646" t="str">
        <f>INDEX('REVIEW - Complete Role Mapping'!$C:$C,169)</f>
        <v>Solution Architect</v>
      </c>
      <c r="D86" s="612" t="str">
        <f>INDEX('REVIEW - Complete Role Mapping'!$AK:$AK,169)</f>
        <v>Filled</v>
      </c>
      <c r="E86" s="612" t="inlineStr">
        <is>
          <t>Filled</t>
        </is>
      </c>
      <c r="F86" s="981" t="str">
        <f>IF(INDEX('REVIEW - Complete Role Mapping'!$AR:$AR,169)="Squad",INDEX('REVIEW - Complete Role Mapping'!$AP:$AP,169),INDEX('REVIEW - Complete Role Mapping'!$AR:$AR,169))</f>
        <v>Digital Operations</v>
      </c>
      <c r="G86" s="1265">
        <f>INDEX('REVIEW - Complete Role Mapping'!$AA:$AA,169)</f>
        <v>275810.25</v>
      </c>
      <c r="H86" s="627">
        <f>$G86*IFERROR(INDEX(Lists!$AD:$AD,MATCH($E86,Lists!$AC:$AC,0)),1)</f>
        <v>275810.25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Mapping'!$B:$B,182)</f>
        <v>Vacant</v>
      </c>
      <c r="C87" s="634" t="str">
        <f>INDEX('REVIEW - Complete Role Mapping'!$C:$C,182)</f>
        <v>.NET Back End Developer / Mid</v>
      </c>
      <c r="D87" s="612" t="str">
        <f>INDEX('REVIEW - Complete Role Mapping'!$AK:$AK,182)</f>
        <v>Vacant</v>
      </c>
      <c r="E87" s="612" t="inlineStr">
        <is>
          <t>Hold</t>
        </is>
      </c>
      <c r="F87" s="981" t="str">
        <f>IF(INDEX('REVIEW - Complete Role Mapping'!$AR:$AR,182)="Squad",INDEX('REVIEW - Complete Role Mapping'!$AP:$AP,182),INDEX('REVIEW - Complete Role Mapping'!$AR:$AR,182))</f>
        <v>Digital Operations</v>
      </c>
      <c r="G87" s="1265">
        <f>INDEX('REVIEW - Complete Role Mapping'!$AA:$AA,182)</f>
        <v>106519.664</v>
      </c>
      <c r="H87" s="627">
        <f>$G87*IFERROR(INDEX(Lists!$AD:$AD,MATCH($E87,Lists!$AC:$AC,0)),1)</f>
        <v>0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Mapping'!$B:$B,183)</f>
        <v>Vacant</v>
      </c>
      <c r="C88" s="634" t="str">
        <f>INDEX('REVIEW - Complete Role Mapping'!$C:$C,183)</f>
        <v>.NET Back End Developer / Mid</v>
      </c>
      <c r="D88" s="612" t="str">
        <f>INDEX('REVIEW - Complete Role Mapping'!$AK:$AK,183)</f>
        <v>Vacant</v>
      </c>
      <c r="E88" s="612" t="inlineStr">
        <is>
          <t>Hold</t>
        </is>
      </c>
      <c r="F88" s="981" t="str">
        <f>IF(INDEX('REVIEW - Complete Role Mapping'!$AR:$AR,183)="Squad",INDEX('REVIEW - Complete Role Mapping'!$AP:$AP,183),INDEX('REVIEW - Complete Role Mapping'!$AR:$AR,183))</f>
        <v>Digital Operations</v>
      </c>
      <c r="G88" s="1265">
        <f>INDEX('REVIEW - Complete Role Mapping'!$AA:$AA,183)</f>
        <v>105043.248</v>
      </c>
      <c r="H88" s="627">
        <f>$G88*IFERROR(INDEX(Lists!$AD:$AD,MATCH($E88,Lists!$AC:$AC,0)),1)</f>
        <v>0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Mapping'!$B:$B,184)</f>
        <v>Vacant</v>
      </c>
      <c r="C89" s="634" t="str">
        <f>INDEX('REVIEW - Complete Role Mapping'!$C:$C,184)</f>
        <v>QA / Tester / Mid</v>
      </c>
      <c r="D89" s="612" t="str">
        <f>INDEX('REVIEW - Complete Role Mapping'!$AK:$AK,184)</f>
        <v>Vacant</v>
      </c>
      <c r="E89" s="612" t="inlineStr">
        <is>
          <t>Hold</t>
        </is>
      </c>
      <c r="F89" s="981" t="str">
        <f>IF(INDEX('REVIEW - Complete Role Mapping'!$AR:$AR,184)="Squad",INDEX('REVIEW - Complete Role Mapping'!$AP:$AP,184),INDEX('REVIEW - Complete Role Mapping'!$AR:$AR,184))</f>
        <v>Digital Operations</v>
      </c>
      <c r="G89" s="1265">
        <f>INDEX('REVIEW - Complete Role Mapping'!$AA:$AA,184)</f>
        <v>194240.928</v>
      </c>
      <c r="H89" s="627">
        <f>$G89*IFERROR(INDEX(Lists!$AD:$AD,MATCH($E89,Lists!$AC:$AC,0)),1)</f>
        <v>0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Mapping'!$B:$B,109)</f>
        <v>Abhilash Reddy</v>
      </c>
      <c r="C90" s="634" t="str">
        <f>INDEX('REVIEW - Complete Role Mapping'!$C:$C,109)</f>
        <v>Project Manager</v>
      </c>
      <c r="D90" s="612" t="str">
        <f>INDEX('REVIEW - Complete Role Mapping'!$AK:$AK,109)</f>
        <v>Filled</v>
      </c>
      <c r="E90" s="612" t="inlineStr">
        <is>
          <t>Filled</t>
        </is>
      </c>
      <c r="F90" s="981" t="str">
        <f>IF(INDEX('REVIEW - Complete Role Mapping'!$AR:$AR,109)="Squad",INDEX('REVIEW - Complete Role Mapping'!$AP:$AP,109),INDEX('REVIEW - Complete Role Mapping'!$AR:$AR,109))</f>
        <v>Leadership</v>
      </c>
      <c r="G90" s="1265">
        <f>INDEX('REVIEW - Complete Role Mapping'!$AA:$AA,109)</f>
        <v>266400</v>
      </c>
      <c r="H90" s="627">
        <f>$G90*IFERROR(INDEX(Lists!$AD:$AD,MATCH($E90,Lists!$AC:$AC,0)),1)</f>
        <v>266400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Mapping'!$B:$B,123)</f>
        <v>Byron Thornhill</v>
      </c>
      <c r="C91" s="634" t="str">
        <f>INDEX('REVIEW - Complete Role Mapping'!$C:$C,123)</f>
        <v>Design Manager</v>
      </c>
      <c r="D91" s="612" t="str">
        <f>INDEX('REVIEW - Complete Role Mapping'!$AK:$AK,123)</f>
        <v>Filled</v>
      </c>
      <c r="E91" s="612" t="inlineStr">
        <is>
          <t>Filled</t>
        </is>
      </c>
      <c r="F91" s="981" t="str">
        <f>IF(INDEX('REVIEW - Complete Role Mapping'!$AR:$AR,123)="Squad",INDEX('REVIEW - Complete Role Mapping'!$AP:$AP,123),INDEX('REVIEW - Complete Role Mapping'!$AR:$AR,123))</f>
        <v>Leadership</v>
      </c>
      <c r="G91" s="1265">
        <f>INDEX('REVIEW - Complete Role Mapping'!$AA:$AA,123)</f>
        <v>157668.5</v>
      </c>
      <c r="H91" s="627">
        <f>$G91*IFERROR(INDEX(Lists!$AD:$AD,MATCH($E91,Lists!$AC:$AC,0)),1)</f>
        <v>157668.5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Mapping'!$B:$B,126)</f>
        <v>Christian Lazano</v>
      </c>
      <c r="C92" s="646" t="str">
        <f>INDEX('REVIEW - Complete Role Mapping'!$C:$C,126)</f>
        <v>Business Analyst</v>
      </c>
      <c r="D92" s="612" t="str">
        <f>INDEX('REVIEW - Complete Role Mapping'!$AK:$AK,126)</f>
        <v>Filled</v>
      </c>
      <c r="E92" s="612" t="inlineStr">
        <is>
          <t>Filled</t>
        </is>
      </c>
      <c r="F92" s="981" t="str">
        <f>IF(INDEX('REVIEW - Complete Role Mapping'!$AR:$AR,126)="Squad",INDEX('REVIEW - Complete Role Mapping'!$AP:$AP,126),INDEX('REVIEW - Complete Role Mapping'!$AR:$AR,126))</f>
        <v>Leadership</v>
      </c>
      <c r="G92" s="1265">
        <f>INDEX('REVIEW - Complete Role Mapping'!$AA:$AA,126)</f>
        <v>266400</v>
      </c>
      <c r="H92" s="627">
        <f>$G92*IFERROR(INDEX(Lists!$AD:$AD,MATCH($E92,Lists!$AC:$AC,0)),1)</f>
        <v>266400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Mapping'!$B:$B,131)</f>
        <v>Ed Tacey</v>
      </c>
      <c r="C93" s="634" t="str">
        <f>INDEX('REVIEW - Complete Role Mapping'!$C:$C,131)</f>
        <v>AI Enablement Lead</v>
      </c>
      <c r="D93" s="612" t="str">
        <f>INDEX('REVIEW - Complete Role Mapping'!$AK:$AK,131)</f>
        <v>Filled</v>
      </c>
      <c r="E93" s="612" t="inlineStr">
        <is>
          <t>Filled</t>
        </is>
      </c>
      <c r="F93" s="981" t="str">
        <f>IF(INDEX('REVIEW - Complete Role Mapping'!$AR:$AR,131)="Squad",INDEX('REVIEW - Complete Role Mapping'!$AP:$AP,131),INDEX('REVIEW - Complete Role Mapping'!$AR:$AR,131))</f>
        <v>Leadership</v>
      </c>
      <c r="G93" s="1265">
        <f>INDEX('REVIEW - Complete Role Mapping'!$AA:$AA,131)</f>
        <v>194184.348</v>
      </c>
      <c r="H93" s="627">
        <f>$G93*IFERROR(INDEX(Lists!$AD:$AD,MATCH($E93,Lists!$AC:$AC,0)),1)</f>
        <v>194184.348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Mapping'!$B:$B,177)</f>
        <v>Vacant</v>
      </c>
      <c r="C94" s="634" t="str">
        <f>INDEX('REVIEW - Complete Role Mapping'!$C:$C,177)</f>
        <v>Program Manager</v>
      </c>
      <c r="D94" s="612" t="str">
        <f>INDEX('REVIEW - Complete Role Mapping'!$AK:$AK,177)</f>
        <v>Vacant</v>
      </c>
      <c r="E94" s="612" t="inlineStr">
        <is>
          <t>Hold</t>
        </is>
      </c>
      <c r="F94" s="981" t="str">
        <f>IF(INDEX('REVIEW - Complete Role Mapping'!$AR:$AR,177)="Squad",INDEX('REVIEW - Complete Role Mapping'!$AP:$AP,177),INDEX('REVIEW - Complete Role Mapping'!$AR:$AR,177))</f>
        <v>Leadership</v>
      </c>
      <c r="G94" s="1265">
        <f>INDEX('REVIEW - Complete Role Mapping'!$AA:$AA,177)</f>
        <v>163597.2</v>
      </c>
      <c r="H94" s="627">
        <f>$G94*IFERROR(INDEX(Lists!$AD:$AD,MATCH($E94,Lists!$AC:$AC,0)),1)</f>
        <v>0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Mapping'!$B:$B,118)</f>
        <v>Ants Jackson</v>
      </c>
      <c r="C95" s="634" t="str">
        <f>INDEX('REVIEW - Complete Role Mapping'!$C:$C,118)</f>
        <v>Experience Designer</v>
      </c>
      <c r="D95" s="612" t="str">
        <f>INDEX('REVIEW - Complete Role Mapping'!$AK:$AK,118)</f>
        <v>Filled</v>
      </c>
      <c r="E95" s="612" t="inlineStr">
        <is>
          <t>Filled</t>
        </is>
      </c>
      <c r="F95" s="981" t="str">
        <f>IF(INDEX('REVIEW - Complete Role Mapping'!$AR:$AR,118)="Squad",INDEX('REVIEW - Complete Role Mapping'!$AP:$AP,118),INDEX('REVIEW - Complete Role Mapping'!$AR:$AR,118))</f>
        <v>Z App and Web</v>
      </c>
      <c r="G95" s="1265">
        <f>INDEX('REVIEW - Complete Role Mapping'!$AA:$AA,118)</f>
        <v>220275</v>
      </c>
      <c r="H95" s="627">
        <f>$G95*IFERROR(INDEX(Lists!$AD:$AD,MATCH($E95,Lists!$AC:$AC,0)),1)</f>
        <v>220275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Mapping'!$B:$B,135)</f>
        <v>James Nicolle</v>
      </c>
      <c r="C96" s="634" t="str">
        <f>INDEX('REVIEW - Complete Role Mapping'!$C:$C,135)</f>
        <v>Delivery Lead</v>
      </c>
      <c r="D96" s="612" t="str">
        <f>INDEX('REVIEW - Complete Role Mapping'!$AK:$AK,135)</f>
        <v>Filled</v>
      </c>
      <c r="E96" s="612" t="inlineStr">
        <is>
          <t>Filled</t>
        </is>
      </c>
      <c r="F96" s="981" t="str">
        <f>IF(INDEX('REVIEW - Complete Role Mapping'!$AR:$AR,135)="Squad",INDEX('REVIEW - Complete Role Mapping'!$AP:$AP,135),INDEX('REVIEW - Complete Role Mapping'!$AR:$AR,135))</f>
        <v>Z App and Web</v>
      </c>
      <c r="G96" s="1265">
        <f>INDEX('REVIEW - Complete Role Mapping'!$AA:$AA,135)</f>
        <v>202853.25</v>
      </c>
      <c r="H96" s="627">
        <f>$G96*IFERROR(INDEX(Lists!$AD:$AD,MATCH($E96,Lists!$AC:$AC,0)),1)</f>
        <v>202853.25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Mapping'!$B:$B,162)</f>
        <v>Sam Turnball</v>
      </c>
      <c r="C97" s="962" t="str">
        <f>INDEX('REVIEW - Complete Role Mapping'!$C:$C,162)</f>
        <v>Associate Experience Designer</v>
      </c>
      <c r="D97" s="612" t="str">
        <f>INDEX('REVIEW - Complete Role Mapping'!$AK:$AK,162)</f>
        <v>Filled</v>
      </c>
      <c r="E97" s="612" t="inlineStr">
        <is>
          <t>Filled</t>
        </is>
      </c>
      <c r="F97" s="981" t="str">
        <f>IF(INDEX('REVIEW - Complete Role Mapping'!$AR:$AR,162)="Squad",INDEX('REVIEW - Complete Role Mapping'!$AP:$AP,162),INDEX('REVIEW - Complete Role Mapping'!$AR:$AR,162))</f>
        <v>Z App and Web</v>
      </c>
      <c r="G97" s="1265">
        <f>INDEX('REVIEW - Complete Role Mapping'!$AA:$AA,162)</f>
        <v>301148.976</v>
      </c>
      <c r="H97" s="627">
        <f>$G97*IFERROR(INDEX(Lists!$AD:$AD,MATCH($E97,Lists!$AC:$AC,0)),1)</f>
        <v>301148.976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Mapping'!$B:$B,165)</f>
        <v>Shane Abrahams</v>
      </c>
      <c r="C98" s="962" t="str">
        <f>INDEX('REVIEW - Complete Role Mapping'!$C:$C,165)</f>
        <v>Digital Support Manager - NZ</v>
      </c>
      <c r="D98" s="612" t="str">
        <f>INDEX('REVIEW - Complete Role Mapping'!$AK:$AK,165)</f>
        <v>Filled</v>
      </c>
      <c r="E98" s="612" t="inlineStr">
        <is>
          <t>Filled</t>
        </is>
      </c>
      <c r="F98" s="981" t="str">
        <f>IF(INDEX('REVIEW - Complete Role Mapping'!$AR:$AR,165)="Squad",INDEX('REVIEW - Complete Role Mapping'!$AP:$AP,165),INDEX('REVIEW - Complete Role Mapping'!$AR:$AR,165))</f>
        <v>Z App and Web</v>
      </c>
      <c r="G98" s="1265">
        <f>INDEX('REVIEW - Complete Role Mapping'!$AA:$AA,165)</f>
        <v>223198.572</v>
      </c>
      <c r="H98" s="627">
        <f>$G98*IFERROR(INDEX(Lists!$AD:$AD,MATCH($E98,Lists!$AC:$AC,0)),1)</f>
        <v>223198.572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Mapping'!$B:$B,172)</f>
        <v>Tim Corin</v>
      </c>
      <c r="C99" s="962" t="str">
        <f>INDEX('REVIEW - Complete Role Mapping'!$C:$C,172)</f>
        <v>Experience Designer</v>
      </c>
      <c r="D99" s="612" t="str">
        <f>INDEX('REVIEW - Complete Role Mapping'!$AK:$AK,172)</f>
        <v>Filled</v>
      </c>
      <c r="E99" s="612" t="inlineStr">
        <is>
          <t>Filled</t>
        </is>
      </c>
      <c r="F99" s="981" t="str">
        <f>IF(INDEX('REVIEW - Complete Role Mapping'!$AR:$AR,172)="Squad",INDEX('REVIEW - Complete Role Mapping'!$AP:$AP,172),INDEX('REVIEW - Complete Role Mapping'!$AR:$AR,172))</f>
        <v>Z App and Web</v>
      </c>
      <c r="G99" s="1265">
        <f>INDEX('REVIEW - Complete Role Mapping'!$AA:$AA,172)</f>
        <v>275810.25</v>
      </c>
      <c r="H99" s="627">
        <f>$G99*IFERROR(INDEX(Lists!$AD:$AD,MATCH($E99,Lists!$AC:$AC,0)),1)</f>
        <v>275810.25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Mapping'!$B:$B,185)</f>
        <v>Vacant</v>
      </c>
      <c r="C100" s="646" t="str">
        <f>INDEX('REVIEW - Complete Role Mapping'!$C:$C,185)</f>
        <v>QA / Tester / Mid</v>
      </c>
      <c r="D100" s="612" t="str">
        <f>INDEX('REVIEW - Complete Role Mapping'!$AK:$AK,185)</f>
        <v>Vacant</v>
      </c>
      <c r="E100" s="612" t="inlineStr">
        <is>
          <t>Hold</t>
        </is>
      </c>
      <c r="F100" s="981" t="str">
        <f>IF(INDEX('REVIEW - Complete Role Mapping'!$AR:$AR,185)="Squad",INDEX('REVIEW - Complete Role Mapping'!$AP:$AP,185),INDEX('REVIEW - Complete Role Mapping'!$AR:$AR,185))</f>
        <v>AU CRM &amp; Martech</v>
      </c>
      <c r="G100" s="1265">
        <f>INDEX('REVIEW - Complete Role Mapping'!$AA:$AA,185)</f>
        <v>95579.88</v>
      </c>
      <c r="H100" s="1266">
        <f>$G100*IFERROR(INDEX(Lists!$AD:$AD,MATCH($E100,Lists!$AC:$AC,0)),1)</f>
        <v>0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Mapping'!$B:$B,186)</f>
        <v>Vacant</v>
      </c>
      <c r="C101" s="962" t="str">
        <f>INDEX('REVIEW - Complete Role Mapping'!$C:$C,186)</f>
        <v>Systems Analyst / Mid</v>
      </c>
      <c r="D101" s="612" t="str">
        <f>INDEX('REVIEW - Complete Role Mapping'!$AK:$AK,186)</f>
        <v>Vacant</v>
      </c>
      <c r="E101" s="612" t="inlineStr">
        <is>
          <t>Hold</t>
        </is>
      </c>
      <c r="F101" s="981" t="str">
        <f>IF(INDEX('REVIEW - Complete Role Mapping'!$AR:$AR,186)="Squad",INDEX('REVIEW - Complete Role Mapping'!$AP:$AP,186),INDEX('REVIEW - Complete Role Mapping'!$AR:$AR,186))</f>
        <v>AU CRM &amp; Martech</v>
      </c>
      <c r="G101" s="1265">
        <f>INDEX('REVIEW - Complete Role Mapping'!$AA:$AA,186)</f>
        <v>148354.548</v>
      </c>
      <c r="H101" s="1266">
        <f>$G101*IFERROR(INDEX(Lists!$AD:$AD,MATCH($E101,Lists!$AC:$AC,0)),1)</f>
        <v>0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Mapping'!$B:$B,174)</f>
        <v>Vacant</v>
      </c>
      <c r="C102" s="962" t="str">
        <f>INDEX('REVIEW - Complete Role Mapping'!$C:$C,174)</f>
        <v>AI Engineer - Front End</v>
      </c>
      <c r="D102" s="612" t="str">
        <f>INDEX('REVIEW - Complete Role Mapping'!$AK:$AK,174)</f>
        <v>Vacant</v>
      </c>
      <c r="E102" s="612" t="inlineStr">
        <is>
          <t>Hold</t>
        </is>
      </c>
      <c r="F102" s="981" t="str">
        <f>IF(INDEX('REVIEW - Complete Role Mapping'!$AR:$AR,174)="Squad",INDEX('REVIEW - Complete Role Mapping'!$AP:$AP,174),INDEX('REVIEW - Complete Role Mapping'!$AR:$AR,174))</f>
        <v>Customer AI</v>
      </c>
      <c r="G102" s="1265">
        <f>INDEX('REVIEW - Complete Role Mapping'!$AA:$AA,174)</f>
        <v>85518.84</v>
      </c>
      <c r="H102" s="1266">
        <f>$G102*IFERROR(INDEX(Lists!$AD:$AD,MATCH($E102,Lists!$AC:$AC,0)),1)</f>
        <v>0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Mapping'!$B:$B,175)</f>
        <v>Vacant</v>
      </c>
      <c r="C103" s="646" t="str">
        <f>INDEX('REVIEW - Complete Role Mapping'!$C:$C,175)</f>
        <v>AI Engineer - Full Stack </v>
      </c>
      <c r="D103" s="612" t="str">
        <f>INDEX('REVIEW - Complete Role Mapping'!$AK:$AK,175)</f>
        <v>Vacant</v>
      </c>
      <c r="E103" s="612" t="inlineStr">
        <is>
          <t>Hold</t>
        </is>
      </c>
      <c r="F103" s="981" t="str">
        <f>IF(INDEX('REVIEW - Complete Role Mapping'!$AR:$AR,175)="Squad",INDEX('REVIEW - Complete Role Mapping'!$AP:$AP,175),INDEX('REVIEW - Complete Role Mapping'!$AR:$AR,175))</f>
        <v>Customer AI</v>
      </c>
      <c r="G103" s="1265">
        <f>INDEX('REVIEW - Complete Role Mapping'!$AA:$AA,175)</f>
        <v>85518.84</v>
      </c>
      <c r="H103" s="1266">
        <f>$G103*IFERROR(INDEX(Lists!$AD:$AD,MATCH($E103,Lists!$AC:$AC,0)),1)</f>
        <v>0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Mapping'!$B:$B,130)</f>
        <v>Denise Esguerra</v>
      </c>
      <c r="C104" s="634" t="str">
        <f>INDEX('REVIEW - Complete Role Mapping'!$C:$C,130)</f>
        <v>Martech Specialist</v>
      </c>
      <c r="D104" s="612" t="str">
        <f>INDEX('REVIEW - Complete Role Mapping'!$AK:$AK,130)</f>
        <v>Filled</v>
      </c>
      <c r="E104" s="612" t="inlineStr">
        <is>
          <t>Filled</t>
        </is>
      </c>
      <c r="F104" s="981" t="str">
        <f>IF(INDEX('REVIEW - Complete Role Mapping'!$AR:$AR,130)="Squad",INDEX('REVIEW - Complete Role Mapping'!$AP:$AP,130),INDEX('REVIEW - Complete Role Mapping'!$AR:$AR,130))</f>
        <v>Z Energy Martech</v>
      </c>
      <c r="G104" s="1265">
        <f>INDEX('REVIEW - Complete Role Mapping'!$AA:$AA,130)</f>
        <v>177525</v>
      </c>
      <c r="H104" s="1266">
        <f>$G104*IFERROR(INDEX(Lists!$AD:$AD,MATCH($E104,Lists!$AC:$AC,0)),1)</f>
        <v>177525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Mapping'!$B:$B,188)</f>
        <v>Yash Thakkar</v>
      </c>
      <c r="C105" s="634" t="str">
        <f>INDEX('REVIEW - Complete Role Mapping'!$C:$C,188)</f>
        <v>Martech Specialist</v>
      </c>
      <c r="D105" s="612" t="str">
        <f>INDEX('REVIEW - Complete Role Mapping'!$AK:$AK,188)</f>
        <v>Filled</v>
      </c>
      <c r="E105" s="612" t="inlineStr">
        <is>
          <t>Filled</t>
        </is>
      </c>
      <c r="F105" s="981" t="str">
        <f>IF(INDEX('REVIEW - Complete Role Mapping'!$AR:$AR,188)="Squad",INDEX('REVIEW - Complete Role Mapping'!$AP:$AP,188),INDEX('REVIEW - Complete Role Mapping'!$AR:$AR,188))</f>
        <v>Z Energy Martech</v>
      </c>
      <c r="G105" s="1265">
        <f>INDEX('REVIEW - Complete Role Mapping'!$AA:$AA,188)</f>
        <v>202853.25</v>
      </c>
      <c r="H105" s="627">
        <f>$G105*IFERROR(INDEX(Lists!$AD:$AD,MATCH($E105,Lists!$AC:$AC,0)),1)</f>
        <v>202853.25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Mapping'!$B:$B,136)</f>
        <v>Jasper Na</v>
      </c>
      <c r="C106" s="634" t="str">
        <f>INDEX('REVIEW - Complete Role Mapping'!$C:$C,136)</f>
        <v>Associate Engineer - BE</v>
      </c>
      <c r="D106" s="612" t="str">
        <f>INDEX('REVIEW - Complete Role Mapping'!$AK:$AK,136)</f>
        <v>Filled</v>
      </c>
      <c r="E106" s="612" t="inlineStr">
        <is>
          <t>Filled</t>
        </is>
      </c>
      <c r="F106" s="981" t="str">
        <f>IF(INDEX('REVIEW - Complete Role Mapping'!$AR:$AR,136)="Squad",INDEX('REVIEW - Complete Role Mapping'!$AP:$AP,136),INDEX('REVIEW - Complete Role Mapping'!$AR:$AR,136))</f>
        <v>Energy</v>
      </c>
      <c r="G106" s="1265">
        <f>INDEX('REVIEW - Complete Role Mapping'!$AA:$AA,136)</f>
        <v>170489.75</v>
      </c>
      <c r="H106" s="1267">
        <f>$G106*IFERROR(INDEX(Lists!$AD:$AD,MATCH($E106,Lists!$AC:$AC,0)),1)</f>
        <v>170489.75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Mapping'!$B:$B,113)</f>
        <v>Andy Stewart</v>
      </c>
      <c r="C107" s="634" t="str">
        <f>INDEX('REVIEW - Complete Role Mapping'!$C:$C,113)</f>
        <v>Head of Technology, Loyalty &amp; Martech</v>
      </c>
      <c r="D107" s="612" t="str">
        <f>INDEX('REVIEW - Complete Role Mapping'!$AK:$AK,113)</f>
        <v>Filled</v>
      </c>
      <c r="E107" s="612" t="inlineStr">
        <is>
          <t>Filled</t>
        </is>
      </c>
      <c r="F107" s="981" t="str">
        <f>IF(INDEX('REVIEW - Complete Role Mapping'!$AR:$AR,113)="Squad",INDEX('REVIEW - Complete Role Mapping'!$AP:$AP,113),INDEX('REVIEW - Complete Role Mapping'!$AR:$AR,113))</f>
        <v>Head of Technology</v>
      </c>
      <c r="G107" s="1265">
        <f>INDEX('REVIEW - Complete Role Mapping'!$AA:$AA,113)</f>
        <v>260204.85</v>
      </c>
      <c r="H107" s="1267">
        <f>$G107*IFERROR(INDEX(Lists!$AD:$AD,MATCH($E107,Lists!$AC:$AC,0)),1)</f>
        <v>260204.85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Mapping'!$B:$B,168)</f>
        <v>Shona Paul</v>
      </c>
      <c r="C108" s="634" t="str">
        <f>INDEX('REVIEW - Complete Role Mapping'!$C:$C,168)</f>
        <v>Head of Technology - Digital</v>
      </c>
      <c r="D108" s="612" t="str">
        <f>INDEX('REVIEW - Complete Role Mapping'!$AK:$AK,168)</f>
        <v>Filled</v>
      </c>
      <c r="E108" s="612" t="inlineStr">
        <is>
          <t>Filled</t>
        </is>
      </c>
      <c r="F108" s="981" t="str">
        <f>IF(INDEX('REVIEW - Complete Role Mapping'!$AR:$AR,168)="Squad",INDEX('REVIEW - Complete Role Mapping'!$AP:$AP,168),INDEX('REVIEW - Complete Role Mapping'!$AR:$AR,168))</f>
        <v>Head of Technology</v>
      </c>
      <c r="G108" s="1265">
        <f>INDEX('REVIEW - Complete Role Mapping'!$AA:$AA,168)</f>
        <v>275810.25</v>
      </c>
      <c r="H108" s="1267">
        <f>$G108*IFERROR(INDEX(Lists!$AD:$AD,MATCH($E108,Lists!$AC:$AC,0)),1)</f>
        <v>275810.25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str">
        <f>INDEX('REVIEW - Complete Role Mapping'!$B:$B,110)</f>
        <v>Adriel Jeyanandhan</v>
      </c>
      <c r="C109" s="634" t="str">
        <f>INDEX('REVIEW - Complete Role Mapping'!$C:$C,110)</f>
        <v>Delivery Manager</v>
      </c>
      <c r="D109" s="612" t="str">
        <f>INDEX('REVIEW - Complete Role Mapping'!$AK:$AK,110)</f>
        <v>Filled</v>
      </c>
      <c r="E109" s="612" t="inlineStr">
        <is>
          <t>Filled</t>
        </is>
      </c>
      <c r="F109" s="612" t="str">
        <f>IF(INDEX('REVIEW - Complete Role Mapping'!$AR:$AR,110)="Squad",INDEX('REVIEW - Complete Role Mapping'!$AP:$AP,110),INDEX('REVIEW - Complete Role Mapping'!$AR:$AR,110))</f>
        <v>Delivery Manager</v>
      </c>
      <c r="G109" s="1292">
        <f>INDEX('REVIEW - Complete Role Mapping'!$AA:$AA,110)</f>
        <v>218018.85</v>
      </c>
      <c r="H109" s="1267">
        <f>$G109*IFERROR(INDEX(Lists!$AD:$AD,MATCH($E109,Lists!$AC:$AC,0)),1)</f>
        <v>218018.85</v>
      </c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str">
        <f>INDEX('REVIEW - Complete Role Mapping'!$B:$B,139)</f>
        <v>Jill Martin</v>
      </c>
      <c r="C110" s="634" t="str">
        <f>INDEX('REVIEW - Complete Role Mapping'!$C:$C,139)</f>
        <v>Delivery Manager</v>
      </c>
      <c r="D110" s="612" t="str">
        <f>INDEX('REVIEW - Complete Role Mapping'!$AK:$AK,139)</f>
        <v>Filled</v>
      </c>
      <c r="E110" s="612" t="inlineStr">
        <is>
          <t>Filled</t>
        </is>
      </c>
      <c r="F110" s="612" t="str">
        <f>IF(INDEX('REVIEW - Complete Role Mapping'!$AR:$AR,139)="Squad",INDEX('REVIEW - Complete Role Mapping'!$AP:$AP,139),INDEX('REVIEW - Complete Role Mapping'!$AR:$AR,139))</f>
        <v>Delivery Manager</v>
      </c>
      <c r="G110" s="1292">
        <f>INDEX('REVIEW - Complete Role Mapping'!$AA:$AA,139)</f>
        <v>202853.25</v>
      </c>
      <c r="H110" s="1267">
        <f>$G110*IFERROR(INDEX(Lists!$AD:$AD,MATCH($E110,Lists!$AC:$AC,0)),1)</f>
        <v>202853.25</v>
      </c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  <row r="111">
      <c r="B111" t="str">
        <f>INDEX('REVIEW - Complete Role Mapping'!$B:$B,147)</f>
        <v>Kris Hamilton</v>
      </c>
      <c r="C111" t="str">
        <f>INDEX('REVIEW - Complete Role Mapping'!$C:$C,147)</f>
        <v>Technology Manager - Loyalty &amp; Martech</v>
      </c>
      <c r="D111" t="str">
        <f>INDEX('REVIEW - Complete Role Mapping'!$AK:$AK,147)</f>
        <v>Filled</v>
      </c>
      <c r="E111" t="inlineStr">
        <is>
          <t>Filled</t>
        </is>
      </c>
      <c r="F111" t="str">
        <f>IF(INDEX('REVIEW - Complete Role Mapping'!$AR:$AR,147)="Squad",INDEX('REVIEW - Complete Role Mapping'!$AP:$AP,147),INDEX('REVIEW - Complete Role Mapping'!$AR:$AR,147))</f>
        <v>Technology Manager</v>
      </c>
      <c r="G111" s="1274">
        <f>INDEX('REVIEW - Complete Role Mapping'!$AA:$AA,147)</f>
        <v>202853.25</v>
      </c>
      <c r="H111" s="1274">
        <f>$G111*IFERROR(INDEX(Lists!$AD:$AD,MATCH($E111,Lists!$AC:$AC,0)),1)</f>
        <v>202853.25</v>
      </c>
    </row>
    <row r="112">
      <c r="B112" t="str">
        <f>INDEX('REVIEW - Complete Role Mapping'!$B:$B,152)</f>
        <v>Mitesh Shah</v>
      </c>
      <c r="C112" t="str">
        <f>INDEX('REVIEW - Complete Role Mapping'!$C:$C,152)</f>
        <v>Technology Manager - Digital</v>
      </c>
      <c r="D112" t="str">
        <f>INDEX('REVIEW - Complete Role Mapping'!$AK:$AK,152)</f>
        <v>Filled</v>
      </c>
      <c r="E112" t="inlineStr">
        <is>
          <t>Filled</t>
        </is>
      </c>
      <c r="F112" t="str">
        <f>IF(INDEX('REVIEW - Complete Role Mapping'!$AR:$AR,152)="Squad",INDEX('REVIEW - Complete Role Mapping'!$AP:$AP,152),INDEX('REVIEW - Complete Role Mapping'!$AR:$AR,152))</f>
        <v>Technology Manager</v>
      </c>
      <c r="G112" s="1274">
        <f>INDEX('REVIEW - Complete Role Mapping'!$AA:$AA,152)</f>
        <v>223946.25</v>
      </c>
      <c r="H112" s="1274">
        <f>$G112*IFERROR(INDEX(Lists!$AD:$AD,MATCH($E112,Lists!$AC:$AC,0)),1)</f>
        <v>223946.25</v>
      </c>
    </row>
    <row r="113">
      <c r="B113" t="str">
        <f>INDEX('REVIEW - Complete Role Mapping'!$B:$B,189)</f>
        <v>Zoe Udy</v>
      </c>
      <c r="C113" t="str">
        <f>INDEX('REVIEW - Complete Role Mapping'!$C:$C,189)</f>
        <v>Technology Manager – Data &amp; Engineering</v>
      </c>
      <c r="D113" t="str">
        <f>INDEX('REVIEW - Complete Role Mapping'!$AK:$AK,189)</f>
        <v>Filled</v>
      </c>
      <c r="E113" t="inlineStr">
        <is>
          <t>Filled</t>
        </is>
      </c>
      <c r="F113" t="str">
        <f>IF(INDEX('REVIEW - Complete Role Mapping'!$AR:$AR,189)="Squad",INDEX('REVIEW - Complete Role Mapping'!$AP:$AP,189),INDEX('REVIEW - Complete Role Mapping'!$AR:$AR,189))</f>
        <v>Technology Manager</v>
      </c>
      <c r="G113" s="1274">
        <f>INDEX('REVIEW - Complete Role Mapping'!$AA:$AA,189)</f>
        <v>202853.25</v>
      </c>
      <c r="H113" s="1274">
        <f>$G113*IFERROR(INDEX(Lists!$AD:$AD,MATCH($E113,Lists!$AC:$AC,0)),1)</f>
        <v>202853.25</v>
      </c>
    </row>
    <row r="114">
      <c r="B114" t="str">
        <f>INDEX('REVIEW - Complete Role Mapping'!$B:$B,176)</f>
        <v>Vacant</v>
      </c>
      <c r="C114" t="str">
        <f>INDEX('REVIEW - Complete Role Mapping'!$C:$C,176)</f>
        <v>Technology Manager, Engineering</v>
      </c>
      <c r="D114" t="str">
        <f>INDEX('REVIEW - Complete Role Mapping'!$AK:$AK,176)</f>
        <v>Vacant</v>
      </c>
      <c r="E114" t="inlineStr">
        <is>
          <t>Hold</t>
        </is>
      </c>
      <c r="F114" t="str">
        <f>IF(INDEX('REVIEW - Complete Role Mapping'!$AR:$AR,176)="Squad",INDEX('REVIEW - Complete Role Mapping'!$AP:$AP,176),INDEX('REVIEW - Complete Role Mapping'!$AR:$AR,176))</f>
        <v>Technology Manager</v>
      </c>
      <c r="G114" s="1274">
        <f>INDEX('REVIEW - Complete Role Mapping'!$AA:$AA,176)</f>
        <v>186432.888</v>
      </c>
      <c r="H114" s="1274">
        <f>$G114*IFERROR(INDEX(Lists!$AD:$AD,MATCH($E114,Lists!$AC:$AC,0)),1)</f>
        <v>0</v>
      </c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32:E114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Data'!$B$25:$B$38,0)),"No archetype for this squad")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COUNTIFS($F$23:$F$52,$B6)</f>
        <v>12</v>
      </c>
      <c r="F6" s="1250">
        <f>IFERROR($E6-$D6,"-")</f>
        <v>4.5</v>
      </c>
      <c r="G6" s="1250">
        <f>COUNTIFS($F$23:$F$52,$B6,$D$23:$D$52,"Vacant")</f>
        <v>3</v>
      </c>
      <c r="H6" s="1250">
        <f>COUNTIFS($F$23:$F$52,$B6,$D$23:$D$52,"Vacant",$E$23:$E$52,"Hire")+COUNTIFS($F$23:$F$52,$B6,$D$23:$D$52,"Vacant",$E$23:$E$52,"Offshore")</f>
        <v>0</v>
      </c>
      <c r="I6" s="1250">
        <f>COUNTIFS($F$23:$F$52,$B6,$D$23:$D$52,"Vacant",$E$23:$E$52,"Hold")</f>
        <v>3</v>
      </c>
      <c r="J6" s="1251">
        <f>$E6-COUNTIFS($F$23:$F$52,$B6,$E$23:$E$52,"Hold")</f>
        <v>9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1.7</v>
      </c>
      <c r="M6" s="1252">
        <f>SUMIFS($G$23:$G$52,$F$23:$F$52,$B6)/1000000</f>
        <v>2.7648117</v>
      </c>
      <c r="N6" s="1252">
        <f>IFERROR($M6-$L6,"-")</f>
        <v>1.0648117</v>
      </c>
      <c r="O6" s="1253">
        <f>SUMIFS($H$23:$H$52,$F$23:$F$52,$B6)/1000000</f>
        <v>2.15625195</v>
      </c>
      <c r="P6" s="1254">
        <f>$O6-$M6</f>
        <v>-0.60855975</v>
      </c>
      <c r="Q6" s="1254">
        <f>SUMIFS($G$23:$G$52,$F$23:$F$52,$B6,$D$23:$D$52,"Vacant")/1000000</f>
        <v>0.60855975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Data'!$B$25:$B$38,0)),"No archetype for this squad")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COUNTIFS($F$23:$F$52,$B7)</f>
        <v>9</v>
      </c>
      <c r="F7" s="1250">
        <f>IFERROR($E7-$D7,"-")</f>
        <v>1.5</v>
      </c>
      <c r="G7" s="1250">
        <f>COUNTIFS($F$23:$F$52,$B7,$D$23:$D$52,"Vacant")</f>
        <v>6</v>
      </c>
      <c r="H7" s="1250">
        <f>COUNTIFS($F$23:$F$52,$B7,$D$23:$D$52,"Vacant",$E$23:$E$52,"Hire")+COUNTIFS($F$23:$F$52,$B7,$D$23:$D$52,"Vacant",$E$23:$E$52,"Offshore")</f>
        <v>0</v>
      </c>
      <c r="I7" s="1250">
        <f>COUNTIFS($F$23:$F$52,$B7,$D$23:$D$52,"Vacant",$E$23:$E$52,"Hold")</f>
        <v>6</v>
      </c>
      <c r="J7" s="1251">
        <f>$E7-COUNTIFS($F$23:$F$52,$B7,$E$23:$E$52,"Hold")</f>
        <v>3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1.7</v>
      </c>
      <c r="M7" s="1252">
        <f>SUMIFS($G$23:$G$52,$F$23:$F$52,$B7)/1000000</f>
        <v>1.786160296</v>
      </c>
      <c r="N7" s="1252">
        <f>IFERROR($M7-$L7,"-")</f>
        <v>0.0861602960000001</v>
      </c>
      <c r="O7" s="1253">
        <f>SUMIFS($H$23:$H$52,$F$23:$F$52,$B7)/1000000</f>
        <v>0.633767796</v>
      </c>
      <c r="P7" s="1254">
        <f>$O7-$M7</f>
        <v>-1.1523925</v>
      </c>
      <c r="Q7" s="1254">
        <f>SUMIFS($G$23:$G$52,$F$23:$F$52,$B7,$D$23:$D$52,"Vacant")/1000000</f>
        <v>1.1523925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Data'!$B$25:$B$38,0)),"No archetype for this squad")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COUNTIFS($F$23:$F$52,$B8)</f>
        <v>4</v>
      </c>
      <c r="F8" s="1250">
        <f>IFERROR($E8-$D8,"-")</f>
        <v>0</v>
      </c>
      <c r="G8" s="1250">
        <f>COUNTIFS($F$23:$F$52,$B8,$D$23:$D$52,"Vacant")</f>
        <v>0</v>
      </c>
      <c r="H8" s="1250">
        <f>COUNTIFS($F$23:$F$52,$B8,$D$23:$D$52,"Vacant",$E$23:$E$52,"Hire")+COUNTIFS($F$23:$F$52,$B8,$D$23:$D$52,"Vacant",$E$23:$E$52,"Offshore")</f>
        <v>0</v>
      </c>
      <c r="I8" s="1250">
        <f>COUNTIFS($F$23:$F$52,$B8,$D$23:$D$52,"Vacant",$E$23:$E$52,"Hold")</f>
        <v>0</v>
      </c>
      <c r="J8" s="1251">
        <f>$E8-COUNTIFS($F$23:$F$52,$B8,$E$23:$E$52,"Hold")</f>
        <v>4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IFERROR(INDEX('0.3 Squad Archetypes'!$G$5:$G$23,MATCH($C8&amp;"|"&amp;$R8,'0.3 Squad Archetypes'!$A$5:$A$23,0)),"-")</f>
        <v>0.9</v>
      </c>
      <c r="M8" s="1252">
        <f>SUMIFS($G$23:$G$52,$F$23:$F$52,$B8)/1000000</f>
        <v>0.80639733</v>
      </c>
      <c r="N8" s="1252">
        <f>IFERROR($M8-$L8,"-")</f>
        <v>-0.0936026700000001</v>
      </c>
      <c r="O8" s="1253">
        <f>SUMIFS($H$23:$H$52,$F$23:$F$52,$B8)/1000000</f>
        <v>0.80639733</v>
      </c>
      <c r="P8" s="1254">
        <f>$O8-$M8</f>
        <v>0</v>
      </c>
      <c r="Q8" s="1254">
        <f>SUMIFS($G$23:$G$52,$F$23:$F$52,$B8,$D$23:$D$52,"Vacant")/1000000</f>
        <v>0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</row>
    <row r="9">
      <c r="A9" s="949" t="n"/>
      <c r="B9" s="640" t="inlineStr">
        <is>
          <t>Leadership</t>
        </is>
      </c>
      <c r="C9" s="635" t="str">
        <f>IFERROR(INDEX('1.3 Enterprise Data'!$C$25:$C$38,MATCH($S9,'1.3 Enterprise Data'!$B$25:$B$38,0)),"No archetype for this squad")</f>
        <v>No archetype for this squad</v>
      </c>
      <c r="D9" s="1249" t="str">
        <f>IFERROR(INDEX('0.3 Squad Archetypes'!$F$5:$F$23,MATCH($C9&amp;"|"&amp;$R9,'0.3 Squad Archetypes'!$A$5:$A$23,0)),"-")</f>
        <v>-</v>
      </c>
      <c r="E9" s="1250">
        <f>COUNTIFS($F$23:$F$52,$B9)</f>
        <v>2</v>
      </c>
      <c r="F9" s="1250" t="str">
        <f>IFERROR($E9-$D9,"-")</f>
        <v>-</v>
      </c>
      <c r="G9" s="1250">
        <f>COUNTIFS($F$23:$F$52,$B9,$D$23:$D$52,"Vacant")</f>
        <v>1</v>
      </c>
      <c r="H9" s="1250">
        <f>COUNTIFS($F$23:$F$52,$B9,$D$23:$D$52,"Vacant",$E$23:$E$52,"Hire")+COUNTIFS($F$23:$F$52,$B9,$D$23:$D$52,"Vacant",$E$23:$E$52,"Offshore")</f>
        <v>0</v>
      </c>
      <c r="I9" s="1250">
        <f>COUNTIFS($F$23:$F$52,$B9,$D$23:$D$52,"Vacant",$E$23:$E$52,"Hold")</f>
        <v>1</v>
      </c>
      <c r="J9" s="1251">
        <f>$E9-COUNTIFS($F$23:$F$52,$B9,$E$23:$E$52,"Hold")</f>
        <v>1</v>
      </c>
      <c r="K9" s="1152" t="str">
        <f>IF(NOT(ISNUMBER($D9)),"No archetype - see 0.3",IF($J9&gt;$D9,"Over archetype after decisions",IF($J9&lt;$D9,"Under archetype","On archetype")))</f>
        <v>No archetype - see 0.3</v>
      </c>
      <c r="L9" s="1252" t="str">
        <f>IFERROR(INDEX('0.3 Squad Archetypes'!$G$5:$G$23,MATCH($C9&amp;"|"&amp;$R9,'0.3 Squad Archetypes'!$A$5:$A$23,0)),"-")</f>
        <v>-</v>
      </c>
      <c r="M9" s="1252">
        <f>SUMIFS($G$23:$G$52,$F$23:$F$52,$B9)/1000000</f>
        <v>0.4987717</v>
      </c>
      <c r="N9" s="1252" t="str">
        <f>IFERROR($M9-$L9,"-")</f>
        <v>-</v>
      </c>
      <c r="O9" s="1253">
        <f>SUMIFS($H$23:$H$52,$F$23:$F$52,$B9)/1000000</f>
        <v>0.29591845</v>
      </c>
      <c r="P9" s="1254">
        <f>$O9-$M9</f>
        <v>-0.20285325</v>
      </c>
      <c r="Q9" s="1254">
        <f>SUMIFS($G$23:$G$52,$F$23:$F$52,$B9,$D$23:$D$52,"Vacant")/1000000</f>
        <v>0.20285325</v>
      </c>
      <c r="R9" t="str">
        <f>IFERROR(IF(INDEX('1.3 Enterprise Data'!$D$25:$D$38,MATCH($S9,'1.3 Enterprise Data'!$B$25:$B$38,0))="","-",INDEX('1.3 Enterprise Data'!$D$25:$D$38,MATCH($S9,'1.3 Enterprise Data'!$B$25:$B$38,0))),"-")</f>
        <v>-</v>
      </c>
      <c r="S9" t="str">
        <f>IFERROR(INDEX(Lists!$AA:$AA,MATCH($B9,Lists!$Z:$Z,0)),$B9)</f>
        <v>Leadership</v>
      </c>
    </row>
    <row r="10">
      <c r="A10" s="949" t="n"/>
      <c r="B10" s="1212" t="inlineStr">
        <is>
          <t>Delivery squads</t>
        </is>
      </c>
      <c r="C10" s="635" t="n"/>
      <c r="D10" s="1249">
        <f>SUM(D6:D9)</f>
        <v>19</v>
      </c>
      <c r="E10" s="1250">
        <f>SUM(E6:E9)</f>
        <v>27</v>
      </c>
      <c r="F10" s="1250">
        <f>SUM(F6:F9)</f>
        <v>6</v>
      </c>
      <c r="G10" s="1250">
        <f>SUM(G6:G9)</f>
        <v>10</v>
      </c>
      <c r="H10" s="1250">
        <f>SUM(H6:H9)</f>
        <v>0</v>
      </c>
      <c r="I10" s="1250">
        <f>SUM(I6:I9)</f>
        <v>10</v>
      </c>
      <c r="J10" s="1251">
        <f>SUM(J6:J9)</f>
        <v>17</v>
      </c>
      <c r="K10" s="1152" t="n"/>
      <c r="L10" s="1252">
        <f>SUM(L6:L9)</f>
        <v>4.3</v>
      </c>
      <c r="M10" s="1252">
        <f>SUM(M6:M9)</f>
        <v>5.856141026</v>
      </c>
      <c r="N10" s="1252">
        <f>SUM(N6:N9)</f>
        <v>1.057369326</v>
      </c>
      <c r="O10" s="1253">
        <f>SUM(O6:O9)</f>
        <v>3.892335526</v>
      </c>
      <c r="P10" s="1254">
        <f>SUM(P6:P9)</f>
        <v>-1.9638055</v>
      </c>
      <c r="Q10" s="1254">
        <f>SUM(Q6:Q9)</f>
        <v>1.9638055</v>
      </c>
    </row>
    <row r="11">
      <c r="A11" s="949" t="n"/>
      <c r="B11" s="1293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1234" t="inlineStr">
        <is>
          <t>Head of Technology</t>
        </is>
      </c>
      <c r="C12" s="635" t="str">
        <f>"Overhead - see 3.2"</f>
        <v>Overhead - see 3.2</v>
      </c>
      <c r="D12" s="1249" t="str">
        <f>"-"</f>
        <v>-</v>
      </c>
      <c r="E12" s="1250">
        <f>COUNTIFS($F$23:$F$52,$B12)</f>
        <v>1</v>
      </c>
      <c r="F12" s="1250" t="str">
        <f>"-"</f>
        <v>-</v>
      </c>
      <c r="G12" s="1250">
        <f>COUNTIFS($F$23:$F$52,$B12,$D$23:$D$52,"Vacant")</f>
        <v>0</v>
      </c>
      <c r="H12" s="1250">
        <f>COUNTIFS($F$23:$F$52,$B12,$D$23:$D$52,"Vacant",$E$23:$E$52,"Hire")+COUNTIFS($F$23:$F$52,$B12,$D$23:$D$52,"Vacant",$E$23:$E$52,"Offshore")</f>
        <v>0</v>
      </c>
      <c r="I12" s="1250">
        <f>COUNTIFS($F$23:$F$52,$B12,$D$23:$D$52,"Vacant",$E$23:$E$52,"Hold")</f>
        <v>0</v>
      </c>
      <c r="J12" s="1251">
        <f>$E12-COUNTIFS($F$23:$F$52,$B12,$E$23:$E$52,"Hold")</f>
        <v>1</v>
      </c>
      <c r="K12" s="1152" t="str">
        <f>"Overhead"</f>
        <v>Overhead</v>
      </c>
      <c r="L12" s="1252" t="str">
        <f>"-"</f>
        <v>-</v>
      </c>
      <c r="M12" s="1252">
        <f>SUMIFS($G$23:$G$52,$F$23:$F$52,$B12)/1000000</f>
        <v>0.4097557</v>
      </c>
      <c r="N12" s="1252" t="str">
        <f>"-"</f>
        <v>-</v>
      </c>
      <c r="O12" s="1253">
        <f>SUMIFS($H$23:$H$52,$F$23:$F$52,$B12)/1000000</f>
        <v>0.4097557</v>
      </c>
      <c r="P12" s="1254">
        <f>$O12-$M12</f>
        <v>0</v>
      </c>
      <c r="Q12" s="1254">
        <f>SUMIFS($G$23:$G$52,$F$23:$F$52,$B12,$D$23:$D$52,"Vacant")/1000000</f>
        <v>0</v>
      </c>
      <c r="R12" t="str">
        <f>"-"</f>
        <v>-</v>
      </c>
    </row>
    <row r="13">
      <c r="A13" s="949" t="n"/>
      <c r="B13" s="1235" t="inlineStr">
        <is>
          <t>Technology Manager</t>
        </is>
      </c>
      <c r="C13" s="641" t="str">
        <f>"Overhead - see 3.2"</f>
        <v>Overhead - see 3.2</v>
      </c>
      <c r="D13" s="1255" t="str">
        <f>"-"</f>
        <v>-</v>
      </c>
      <c r="E13" s="1255">
        <f>COUNTIFS($F$23:$F$52,$B13)</f>
        <v>2</v>
      </c>
      <c r="F13" s="1255" t="str">
        <f>"-"</f>
        <v>-</v>
      </c>
      <c r="G13" s="1255">
        <f>COUNTIFS($F$23:$F$52,$B13,$D$23:$D$52,"Vacant")</f>
        <v>0</v>
      </c>
      <c r="H13" s="1255">
        <f>COUNTIFS($F$23:$F$52,$B13,$D$23:$D$52,"Vacant",$E$23:$E$52,"Hire")+COUNTIFS($F$23:$F$52,$B13,$D$23:$D$52,"Vacant",$E$23:$E$52,"Offshore")</f>
        <v>0</v>
      </c>
      <c r="I13" s="1255">
        <f>COUNTIFS($F$23:$F$52,$B13,$D$23:$D$52,"Vacant",$E$23:$E$52,"Hold")</f>
        <v>0</v>
      </c>
      <c r="J13" s="1256">
        <f>$E13-COUNTIFS($F$23:$F$52,$B13,$E$23:$E$52,"Hold")</f>
        <v>2</v>
      </c>
      <c r="K13" s="1155" t="str">
        <f>"Overhead"</f>
        <v>Overhead</v>
      </c>
      <c r="L13" s="1257" t="str">
        <f>"-"</f>
        <v>-</v>
      </c>
      <c r="M13" s="1257">
        <f>SUMIFS($G$23:$G$52,$F$23:$F$52,$B13)/1000000</f>
        <v>0.65127875</v>
      </c>
      <c r="N13" s="1257" t="str">
        <f>"-"</f>
        <v>-</v>
      </c>
      <c r="O13" s="1258">
        <f>SUMIFS($H$23:$H$52,$F$23:$F$52,$B13)/1000000</f>
        <v>0.65127875</v>
      </c>
      <c r="P13" s="1254">
        <f>$O13-$M13</f>
        <v>0</v>
      </c>
      <c r="Q13" s="1254">
        <f>SUMIFS($G$23:$G$52,$F$23:$F$52,$B13,$D$23:$D$52,"Vacant")/1000000</f>
        <v>0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2">
        <f>SUM(E12:E13)</f>
        <v>3</v>
      </c>
      <c r="F14" s="1261" t="n"/>
      <c r="G14" s="1261">
        <f>SUM(G12:G13)</f>
        <v>0</v>
      </c>
      <c r="H14" s="1261">
        <f>SUM(H12:H13)</f>
        <v>0</v>
      </c>
      <c r="I14" s="1261">
        <f>SUM(I12:I13)</f>
        <v>0</v>
      </c>
      <c r="J14" s="1261">
        <f>SUM(J12:J13)</f>
        <v>3</v>
      </c>
      <c r="K14" s="949" t="n"/>
      <c r="L14" s="1263" t="n"/>
      <c r="M14" s="1263">
        <f>SUM(M12:M13)</f>
        <v>1.06103445</v>
      </c>
      <c r="N14" s="1263" t="n"/>
      <c r="O14" s="1263">
        <f>SUM(O12:O13)</f>
        <v>1.06103445</v>
      </c>
      <c r="P14" s="1254">
        <f>SUM(P12:P13)</f>
        <v>0</v>
      </c>
      <c r="Q14" s="1254">
        <f>SUM(Q12:Q13)</f>
        <v>0</v>
      </c>
    </row>
    <row r="15">
      <c r="A15" s="949" t="n"/>
      <c r="B15" s="504" t="n"/>
      <c r="C15" s="949" t="n"/>
      <c r="D15" s="1261" t="n"/>
      <c r="E15" s="1262" t="n"/>
      <c r="F15" s="1261" t="n"/>
      <c r="G15" s="1261" t="n"/>
      <c r="H15" s="1261" t="n"/>
      <c r="I15" s="1261" t="n"/>
      <c r="J15" s="1261" t="n"/>
      <c r="K15" s="949" t="n"/>
      <c r="L15" s="1263" t="n"/>
      <c r="M15" s="1263" t="n"/>
      <c r="N15" s="1263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432" t="n"/>
      <c r="D16" s="1279">
        <f>$D10</f>
        <v>19</v>
      </c>
      <c r="E16" s="1279">
        <f>$E10+$E14</f>
        <v>30</v>
      </c>
      <c r="F16" s="1279">
        <f>IFERROR($E10-$D10,"-")</f>
        <v>8</v>
      </c>
      <c r="G16" s="1280">
        <f>$G10+$G14</f>
        <v>10</v>
      </c>
      <c r="H16" s="1280">
        <f>$H10+$H14</f>
        <v>0</v>
      </c>
      <c r="I16" s="1280">
        <f>$I10+$I14</f>
        <v>10</v>
      </c>
      <c r="J16" s="1280">
        <f>$J10+$J14</f>
        <v>20</v>
      </c>
      <c r="K16" s="949" t="n"/>
      <c r="L16" s="1263">
        <f>$L10</f>
        <v>4.3</v>
      </c>
      <c r="M16" s="1263">
        <f>$M10+$M14</f>
        <v>6.917175476</v>
      </c>
      <c r="N16" s="1263">
        <f>IFERROR($M10-$L10,"-")</f>
        <v>1.556141026</v>
      </c>
      <c r="O16" s="1263">
        <f>$O10+$O14</f>
        <v>4.953369976</v>
      </c>
      <c r="P16" s="1254">
        <f>$P10+$P14</f>
        <v>-1.9638055</v>
      </c>
      <c r="Q16" s="1254">
        <f>$Q10+$Q14</f>
        <v>1.9638055</v>
      </c>
    </row>
    <row r="17">
      <c r="A17" s="949" t="n"/>
      <c r="B17" s="128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994" t="inlineStr">
        <is>
          <t>Control - roles vs the ledger, must be 0</t>
        </is>
      </c>
      <c r="C18" s="442" t="n"/>
      <c r="D18" s="442" t="n"/>
      <c r="E18" s="1156">
        <f>COUNTIFS('REVIEW - Complete Role Mapping'!$AJ$2:$AJ$528,"Enterprise Data")-$E16</f>
        <v>0</v>
      </c>
      <c r="F18" s="442" t="n"/>
      <c r="G18" s="1267" t="n"/>
      <c r="H18" s="1267" t="n"/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994" t="inlineStr">
        <is>
          <t>Control - cost vs the ledger ($m), must be 0</t>
        </is>
      </c>
      <c r="C19" s="442" t="n"/>
      <c r="D19" s="442" t="n"/>
      <c r="E19" s="1156" t="n"/>
      <c r="F19" s="442" t="n"/>
      <c r="G19" s="1267" t="n"/>
      <c r="H19" s="1267" t="n"/>
      <c r="I19" s="442" t="n"/>
      <c r="J19" s="442" t="n"/>
      <c r="K19" s="442" t="n"/>
      <c r="L19" s="442" t="n"/>
      <c r="M19" s="442">
        <f>ROUND(SUMIFS('REVIEW - Complete Role Mapping'!$AA$2:$AA$528,'REVIEW - Complete Role Mapping'!$AJ$2:$AJ$528,"Enterprise Data")/1000000-$M16,6)</f>
        <v>0</v>
      </c>
      <c r="N19" s="442" t="n"/>
      <c r="O19" s="949" t="n"/>
    </row>
    <row r="20" ht="15.65" customHeight="1">
      <c r="A20" s="949" t="n"/>
      <c r="B20" s="433" t="n"/>
      <c r="C20" s="434" t="n"/>
      <c r="D20" s="434" t="n"/>
      <c r="E20" s="645" t="n"/>
      <c r="F20" s="4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32" t="inlineStr">
        <is>
          <t>Enterprise Data roles - one row per named role, from REVIEW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Mapping'!$B:$B,279)</f>
        <v>Abdul Ghaffar</v>
      </c>
      <c r="C23" s="634" t="str">
        <f>INDEX('REVIEW - Complete Role Mapping'!$C:$C,279)</f>
        <v>Applications Specialist - Demand Planning</v>
      </c>
      <c r="D23" s="612" t="str">
        <f>INDEX('REVIEW - Complete Role Mapping'!$AK:$AK,279)</f>
        <v>Filled</v>
      </c>
      <c r="E23" s="612" t="inlineStr">
        <is>
          <t>Filled</t>
        </is>
      </c>
      <c r="F23" s="634" t="str">
        <f>IF(INDEX('REVIEW - Complete Role Mapping'!$AR:$AR,279)="Squad",INDEX('REVIEW - Complete Role Mapping'!$AP:$AP,279),INDEX('REVIEW - Complete Role Mapping'!$AR:$AR,279))</f>
        <v>Reporting &amp; Analytics</v>
      </c>
      <c r="G23" s="627">
        <f>INDEX('REVIEW - Complete Role Mapping'!$AA:$AA,279)</f>
        <v>240300</v>
      </c>
      <c r="H23" s="627">
        <f>$G23*IFERROR(INDEX(Lists!$AD:$AD,MATCH($E23,Lists!$AC:$AC,0)),1)</f>
        <v>240300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Mapping'!$B:$B,280)</f>
        <v>Bobby Mason</v>
      </c>
      <c r="C24" s="634" t="str">
        <f>INDEX('REVIEW - Complete Role Mapping'!$C:$C,280)</f>
        <v>Reporting Analyst</v>
      </c>
      <c r="D24" s="612" t="str">
        <f>INDEX('REVIEW - Complete Role Mapping'!$AK:$AK,280)</f>
        <v>Filled</v>
      </c>
      <c r="E24" s="612" t="inlineStr">
        <is>
          <t>Filled</t>
        </is>
      </c>
      <c r="F24" s="634" t="str">
        <f>IF(INDEX('REVIEW - Complete Role Mapping'!$AR:$AR,280)="Squad",INDEX('REVIEW - Complete Role Mapping'!$AP:$AP,280),INDEX('REVIEW - Complete Role Mapping'!$AR:$AR,280))</f>
        <v>Reporting &amp; Analytics</v>
      </c>
      <c r="G24" s="627">
        <f>INDEX('REVIEW - Complete Role Mapping'!$AA:$AA,280)</f>
        <v>222357.6</v>
      </c>
      <c r="H24" s="627">
        <f>$G24*IFERROR(INDEX(Lists!$AD:$AD,MATCH($E24,Lists!$AC:$AC,0)),1)</f>
        <v>222357.6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Mapping'!$B:$B,290)</f>
        <v>Kina Birkby</v>
      </c>
      <c r="C25" s="634" t="str">
        <f>INDEX('REVIEW - Complete Role Mapping'!$C:$C,290)</f>
        <v>Delivery Lead</v>
      </c>
      <c r="D25" s="612" t="str">
        <f>INDEX('REVIEW - Complete Role Mapping'!$AK:$AK,290)</f>
        <v>Filled</v>
      </c>
      <c r="E25" s="612" t="inlineStr">
        <is>
          <t>Filled</t>
        </is>
      </c>
      <c r="F25" s="634" t="str">
        <f>IF(INDEX('REVIEW - Complete Role Mapping'!$AR:$AR,290)="Squad",INDEX('REVIEW - Complete Role Mapping'!$AP:$AP,290),INDEX('REVIEW - Complete Role Mapping'!$AR:$AR,290))</f>
        <v>Reporting &amp; Analytics</v>
      </c>
      <c r="G25" s="627">
        <f>INDEX('REVIEW - Complete Role Mapping'!$AA:$AA,290)</f>
        <v>263235.3</v>
      </c>
      <c r="H25" s="627">
        <f>$G25*IFERROR(INDEX(Lists!$AD:$AD,MATCH($E25,Lists!$AC:$AC,0)),1)</f>
        <v>263235.3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Mapping'!$B:$B,297)</f>
        <v>Prashanth Krishnankutty</v>
      </c>
      <c r="C26" s="634" t="str">
        <f>INDEX('REVIEW - Complete Role Mapping'!$C:$C,297)</f>
        <v>Lead Reporting &amp; Insights</v>
      </c>
      <c r="D26" s="612" t="str">
        <f>INDEX('REVIEW - Complete Role Mapping'!$AK:$AK,297)</f>
        <v>Filled</v>
      </c>
      <c r="E26" s="612" t="inlineStr">
        <is>
          <t>Filled</t>
        </is>
      </c>
      <c r="F26" s="634" t="str">
        <f>IF(INDEX('REVIEW - Complete Role Mapping'!$AR:$AR,297)="Squad",INDEX('REVIEW - Complete Role Mapping'!$AP:$AP,297),INDEX('REVIEW - Complete Role Mapping'!$AR:$AR,297))</f>
        <v>Reporting &amp; Analytics</v>
      </c>
      <c r="G26" s="627">
        <f>INDEX('REVIEW - Complete Role Mapping'!$AA:$AA,297)</f>
        <v>255372.15</v>
      </c>
      <c r="H26" s="627">
        <f>$G26*IFERROR(INDEX(Lists!$AD:$AD,MATCH($E26,Lists!$AC:$AC,0)),1)</f>
        <v>255372.15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Mapping'!$B:$B,298)</f>
        <v>Rakshit Kaul</v>
      </c>
      <c r="C27" s="634" t="str">
        <f>INDEX('REVIEW - Complete Role Mapping'!$C:$C,298)</f>
        <v>Applications Specialist</v>
      </c>
      <c r="D27" s="612" t="str">
        <f>INDEX('REVIEW - Complete Role Mapping'!$AK:$AK,298)</f>
        <v>Filled</v>
      </c>
      <c r="E27" s="612" t="inlineStr">
        <is>
          <t>Filled</t>
        </is>
      </c>
      <c r="F27" s="634" t="str">
        <f>IF(INDEX('REVIEW - Complete Role Mapping'!$AR:$AR,298)="Squad",INDEX('REVIEW - Complete Role Mapping'!$AP:$AP,298),INDEX('REVIEW - Complete Role Mapping'!$AR:$AR,298))</f>
        <v>Reporting &amp; Analytics</v>
      </c>
      <c r="G27" s="627">
        <f>INDEX('REVIEW - Complete Role Mapping'!$AA:$AA,298)</f>
        <v>237763.5</v>
      </c>
      <c r="H27" s="627">
        <f>$G27*IFERROR(INDEX(Lists!$AD:$AD,MATCH($E27,Lists!$AC:$AC,0)),1)</f>
        <v>237763.5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Mapping'!$B:$B,308)</f>
        <v>Sai Konka</v>
      </c>
      <c r="C28" s="634" t="str">
        <f>INDEX('REVIEW - Complete Role Mapping'!$C:$C,308)</f>
        <v>Application &amp; Analytics Manager</v>
      </c>
      <c r="D28" s="612" t="str">
        <f>INDEX('REVIEW - Complete Role Mapping'!$AK:$AK,308)</f>
        <v>Filled</v>
      </c>
      <c r="E28" s="612" t="inlineStr">
        <is>
          <t>Filled</t>
        </is>
      </c>
      <c r="F28" s="634" t="str">
        <f>IF(INDEX('REVIEW - Complete Role Mapping'!$AR:$AR,308)="Squad",INDEX('REVIEW - Complete Role Mapping'!$AP:$AP,308),INDEX('REVIEW - Complete Role Mapping'!$AR:$AR,308))</f>
        <v>Reporting &amp; Analytics</v>
      </c>
      <c r="G28" s="627">
        <f>INDEX('REVIEW - Complete Role Mapping'!$AA:$AA,308)</f>
        <v>263635.8</v>
      </c>
      <c r="H28" s="627">
        <f>$G28*IFERROR(INDEX(Lists!$AD:$AD,MATCH($E28,Lists!$AC:$AC,0)),1)</f>
        <v>263635.8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Mapping'!$B:$B,310)</f>
        <v>Steve Murray</v>
      </c>
      <c r="C29" s="634" t="str">
        <f>INDEX('REVIEW - Complete Role Mapping'!$C:$C,310)</f>
        <v>Applications Specialist</v>
      </c>
      <c r="D29" s="612" t="str">
        <f>INDEX('REVIEW - Complete Role Mapping'!$AK:$AK,310)</f>
        <v>Filled</v>
      </c>
      <c r="E29" s="612" t="inlineStr">
        <is>
          <t>Filled</t>
        </is>
      </c>
      <c r="F29" s="634" t="str">
        <f>IF(INDEX('REVIEW - Complete Role Mapping'!$AR:$AR,310)="Squad",INDEX('REVIEW - Complete Role Mapping'!$AP:$AP,310),INDEX('REVIEW - Complete Role Mapping'!$AR:$AR,310))</f>
        <v>Reporting &amp; Analytics</v>
      </c>
      <c r="G29" s="627">
        <f>INDEX('REVIEW - Complete Role Mapping'!$AA:$AA,310)</f>
        <v>242970</v>
      </c>
      <c r="H29" s="627">
        <f>$G29*IFERROR(INDEX(Lists!$AD:$AD,MATCH($E29,Lists!$AC:$AC,0)),1)</f>
        <v>242970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Mapping'!$B:$B,311)</f>
        <v>Sumathi Manikkampichai</v>
      </c>
      <c r="C30" s="634" t="str">
        <f>INDEX('REVIEW - Complete Role Mapping'!$C:$C,311)</f>
        <v>Data Architect</v>
      </c>
      <c r="D30" s="612" t="str">
        <f>INDEX('REVIEW - Complete Role Mapping'!$AK:$AK,311)</f>
        <v>Filled</v>
      </c>
      <c r="E30" s="612" t="inlineStr">
        <is>
          <t>Filled</t>
        </is>
      </c>
      <c r="F30" s="634" t="str">
        <f>IF(INDEX('REVIEW - Complete Role Mapping'!$AR:$AR,311)="Squad",INDEX('REVIEW - Complete Role Mapping'!$AP:$AP,311),INDEX('REVIEW - Complete Role Mapping'!$AR:$AR,311))</f>
        <v>Reporting &amp; Analytics</v>
      </c>
      <c r="G30" s="627">
        <f>INDEX('REVIEW - Complete Role Mapping'!$AA:$AA,311)</f>
        <v>250993.35</v>
      </c>
      <c r="H30" s="627">
        <f>$G30*IFERROR(INDEX(Lists!$AD:$AD,MATCH($E30,Lists!$AC:$AC,0)),1)</f>
        <v>250993.35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Mapping'!$B:$B,331)</f>
        <v>Vincent Lu</v>
      </c>
      <c r="C31" s="634" t="str">
        <f>INDEX('REVIEW - Complete Role Mapping'!$C:$C,331)</f>
        <v>Reporting Analyst</v>
      </c>
      <c r="D31" s="612" t="str">
        <f>INDEX('REVIEW - Complete Role Mapping'!$AK:$AK,331)</f>
        <v>Filled</v>
      </c>
      <c r="E31" s="612" t="inlineStr">
        <is>
          <t>Filled</t>
        </is>
      </c>
      <c r="F31" s="634" t="str">
        <f>IF(INDEX('REVIEW - Complete Role Mapping'!$AR:$AR,331)="Squad",INDEX('REVIEW - Complete Role Mapping'!$AP:$AP,331),INDEX('REVIEW - Complete Role Mapping'!$AR:$AR,331))</f>
        <v>Reporting &amp; Analytics</v>
      </c>
      <c r="G31" s="627">
        <f>INDEX('REVIEW - Complete Role Mapping'!$AA:$AA,331)</f>
        <v>179624.25</v>
      </c>
      <c r="H31" s="627">
        <f>$G31*IFERROR(INDEX(Lists!$AD:$AD,MATCH($E31,Lists!$AC:$AC,0)),1)</f>
        <v>179624.25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Mapping'!$B:$B,318)</f>
        <v>Vacant</v>
      </c>
      <c r="C32" s="634" t="str">
        <f>INDEX('REVIEW - Complete Role Mapping'!$C:$C,318)</f>
        <v>Business Analyst</v>
      </c>
      <c r="D32" s="612" t="str">
        <f>INDEX('REVIEW - Complete Role Mapping'!$AK:$AK,318)</f>
        <v>Vacant</v>
      </c>
      <c r="E32" s="647" t="inlineStr">
        <is>
          <t>Hold</t>
        </is>
      </c>
      <c r="F32" s="648" t="str">
        <f>IF(INDEX('REVIEW - Complete Role Mapping'!$AR:$AR,318)="Squad",INDEX('REVIEW - Complete Role Mapping'!$AP:$AP,318),INDEX('REVIEW - Complete Role Mapping'!$AR:$AR,318))</f>
        <v>Reporting &amp; Analytics</v>
      </c>
      <c r="G32" s="627">
        <f>INDEX('REVIEW - Complete Role Mapping'!$AA:$AA,318)</f>
        <v>202853.25</v>
      </c>
      <c r="H32" s="627">
        <f>$G32*IFERROR(INDEX(Lists!$AD:$AD,MATCH($E32,Lists!$AC:$AC,0)),1)</f>
        <v>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Mapping'!$B:$B,329)</f>
        <v>Vacant</v>
      </c>
      <c r="C33" s="634" t="str">
        <f>INDEX('REVIEW - Complete Role Mapping'!$C:$C,329)</f>
        <v>Applications Specialist - Strategic Programs</v>
      </c>
      <c r="D33" s="612" t="str">
        <f>INDEX('REVIEW - Complete Role Mapping'!$AK:$AK,329)</f>
        <v>Vacant</v>
      </c>
      <c r="E33" s="647" t="inlineStr">
        <is>
          <t>Hold</t>
        </is>
      </c>
      <c r="F33" s="648" t="str">
        <f>IF(INDEX('REVIEW - Complete Role Mapping'!$AR:$AR,329)="Squad",INDEX('REVIEW - Complete Role Mapping'!$AP:$AP,329),INDEX('REVIEW - Complete Role Mapping'!$AR:$AR,329))</f>
        <v>Reporting &amp; Analytics</v>
      </c>
      <c r="G33" s="627">
        <f>INDEX('REVIEW - Complete Role Mapping'!$AA:$AA,329)</f>
        <v>202853.25</v>
      </c>
      <c r="H33" s="627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Mapping'!$B:$B,330)</f>
        <v>Vacant</v>
      </c>
      <c r="C34" s="634" t="str">
        <f>INDEX('REVIEW - Complete Role Mapping'!$C:$C,330)</f>
        <v>Reporting analysts - Strategic Programs</v>
      </c>
      <c r="D34" s="612" t="str">
        <f>INDEX('REVIEW - Complete Role Mapping'!$AK:$AK,330)</f>
        <v>Vacant</v>
      </c>
      <c r="E34" s="612" t="inlineStr">
        <is>
          <t>Hold</t>
        </is>
      </c>
      <c r="F34" s="634" t="str">
        <f>IF(INDEX('REVIEW - Complete Role Mapping'!$AR:$AR,330)="Squad",INDEX('REVIEW - Complete Role Mapping'!$AP:$AP,330),INDEX('REVIEW - Complete Role Mapping'!$AR:$AR,330))</f>
        <v>Reporting &amp; Analytics</v>
      </c>
      <c r="G34" s="627">
        <f>INDEX('REVIEW - Complete Role Mapping'!$AA:$AA,330)</f>
        <v>202853.25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Mapping'!$B:$B,284)</f>
        <v>Dinesh Chandrasekaran</v>
      </c>
      <c r="C35" s="646" t="str">
        <f>INDEX('REVIEW - Complete Role Mapping'!$C:$C,284)</f>
        <v>Lead Engineer (Snowflake)</v>
      </c>
      <c r="D35" s="646" t="str">
        <f>INDEX('REVIEW - Complete Role Mapping'!$AK:$AK,284)</f>
        <v>Filled</v>
      </c>
      <c r="E35" s="646" t="inlineStr">
        <is>
          <t>Filled</t>
        </is>
      </c>
      <c r="F35" s="646" t="str">
        <f>IF(INDEX('REVIEW - Complete Role Mapping'!$AR:$AR,284)="Squad",INDEX('REVIEW - Complete Role Mapping'!$AP:$AP,284),INDEX('REVIEW - Complete Role Mapping'!$AR:$AR,284))</f>
        <v>Data Platforms</v>
      </c>
      <c r="G35" s="627">
        <f>INDEX('REVIEW - Complete Role Mapping'!$AA:$AA,284)</f>
        <v>243984.6</v>
      </c>
      <c r="H35" s="627">
        <f>$G35*IFERROR(INDEX(Lists!$AD:$AD,MATCH($E35,Lists!$AC:$AC,0)),1)</f>
        <v>243984.6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Mapping'!$B:$B,307)</f>
        <v>Roozbeh Shahbazirad</v>
      </c>
      <c r="C36" s="634" t="str">
        <f>INDEX('REVIEW - Complete Role Mapping'!$C:$C,307)</f>
        <v>Lead Engineer</v>
      </c>
      <c r="D36" s="612" t="str">
        <f>INDEX('REVIEW - Complete Role Mapping'!$AK:$AK,307)</f>
        <v>Filled</v>
      </c>
      <c r="E36" s="612" t="inlineStr">
        <is>
          <t>Filled</t>
        </is>
      </c>
      <c r="F36" s="634" t="str">
        <f>IF(INDEX('REVIEW - Complete Role Mapping'!$AR:$AR,307)="Squad",INDEX('REVIEW - Complete Role Mapping'!$AP:$AP,307),INDEX('REVIEW - Complete Role Mapping'!$AR:$AR,307))</f>
        <v>Data Platforms</v>
      </c>
      <c r="G36" s="627">
        <f>INDEX('REVIEW - Complete Role Mapping'!$AA:$AA,307)</f>
        <v>204006.636</v>
      </c>
      <c r="H36" s="627">
        <f>$G36*IFERROR(INDEX(Lists!$AD:$AD,MATCH($E36,Lists!$AC:$AC,0)),1)</f>
        <v>204006.636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Mapping'!$B:$B,312)</f>
        <v>Tim Snedden</v>
      </c>
      <c r="C37" s="634" t="str">
        <f>INDEX('REVIEW - Complete Role Mapping'!$C:$C,312)</f>
        <v>Delivery Lead</v>
      </c>
      <c r="D37" s="612" t="str">
        <f>INDEX('REVIEW - Complete Role Mapping'!$AK:$AK,312)</f>
        <v>Filled</v>
      </c>
      <c r="E37" s="612" t="inlineStr">
        <is>
          <t>Filled</t>
        </is>
      </c>
      <c r="F37" s="634" t="str">
        <f>IF(INDEX('REVIEW - Complete Role Mapping'!$AR:$AR,312)="Squad",INDEX('REVIEW - Complete Role Mapping'!$AP:$AP,312),INDEX('REVIEW - Complete Role Mapping'!$AR:$AR,312))</f>
        <v>Data Platforms</v>
      </c>
      <c r="G37" s="627">
        <f>INDEX('REVIEW - Complete Role Mapping'!$AA:$AA,312)</f>
        <v>185776.56</v>
      </c>
      <c r="H37" s="627">
        <f>$G37*IFERROR(INDEX(Lists!$AD:$AD,MATCH($E37,Lists!$AC:$AC,0)),1)</f>
        <v>185776.56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Mapping'!$B:$B,314)</f>
        <v>Vacant</v>
      </c>
      <c r="C38" s="634" t="str">
        <f>INDEX('REVIEW - Complete Role Mapping'!$C:$C,314)</f>
        <v>Engineer Data  </v>
      </c>
      <c r="D38" s="612" t="str">
        <f>INDEX('REVIEW - Complete Role Mapping'!$AK:$AK,314)</f>
        <v>Vacant</v>
      </c>
      <c r="E38" s="612" t="inlineStr">
        <is>
          <t>Hold</t>
        </is>
      </c>
      <c r="F38" s="634" t="str">
        <f>IF(INDEX('REVIEW - Complete Role Mapping'!$AR:$AR,314)="Squad",INDEX('REVIEW - Complete Role Mapping'!$AP:$AP,314),INDEX('REVIEW - Complete Role Mapping'!$AR:$AR,314))</f>
        <v>Data Platforms</v>
      </c>
      <c r="G38" s="627">
        <f>INDEX('REVIEW - Complete Role Mapping'!$AA:$AA,314)</f>
        <v>202853.25</v>
      </c>
      <c r="H38" s="627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Mapping'!$B:$B,315)</f>
        <v>Vacant</v>
      </c>
      <c r="C39" s="634" t="str">
        <f>INDEX('REVIEW - Complete Role Mapping'!$C:$C,315)</f>
        <v>Quality Assurance</v>
      </c>
      <c r="D39" s="612" t="str">
        <f>INDEX('REVIEW - Complete Role Mapping'!$AK:$AK,315)</f>
        <v>Vacant</v>
      </c>
      <c r="E39" s="612" t="inlineStr">
        <is>
          <t>Hold</t>
        </is>
      </c>
      <c r="F39" s="634" t="str">
        <f>IF(INDEX('REVIEW - Complete Role Mapping'!$AR:$AR,315)="Squad",INDEX('REVIEW - Complete Role Mapping'!$AP:$AP,315),INDEX('REVIEW - Complete Role Mapping'!$AR:$AR,315))</f>
        <v>Data Platforms</v>
      </c>
      <c r="G39" s="627">
        <f>INDEX('REVIEW - Complete Role Mapping'!$AA:$AA,315)</f>
        <v>170489.75</v>
      </c>
      <c r="H39" s="627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Mapping'!$B:$B,316)</f>
        <v>Vacant</v>
      </c>
      <c r="C40" s="646" t="str">
        <f>INDEX('REVIEW - Complete Role Mapping'!$C:$C,316)</f>
        <v>Engineer - DevOps</v>
      </c>
      <c r="D40" s="646" t="str">
        <f>INDEX('REVIEW - Complete Role Mapping'!$AK:$AK,316)</f>
        <v>Vacant</v>
      </c>
      <c r="E40" s="646" t="inlineStr">
        <is>
          <t>Hold</t>
        </is>
      </c>
      <c r="F40" s="646" t="str">
        <f>IF(INDEX('REVIEW - Complete Role Mapping'!$AR:$AR,316)="Squad",INDEX('REVIEW - Complete Role Mapping'!$AP:$AP,316),INDEX('REVIEW - Complete Role Mapping'!$AR:$AR,316))</f>
        <v>Data Platforms</v>
      </c>
      <c r="G40" s="627">
        <f>INDEX('REVIEW - Complete Role Mapping'!$AA:$AA,316)</f>
        <v>202853.25</v>
      </c>
      <c r="H40" s="627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Mapping'!$B:$B,317)</f>
        <v>Vacant</v>
      </c>
      <c r="C41" s="634" t="str">
        <f>INDEX('REVIEW - Complete Role Mapping'!$C:$C,317)</f>
        <v>Business Analyst</v>
      </c>
      <c r="D41" s="612" t="str">
        <f>INDEX('REVIEW - Complete Role Mapping'!$AK:$AK,317)</f>
        <v>Vacant</v>
      </c>
      <c r="E41" s="612" t="inlineStr">
        <is>
          <t>Hold</t>
        </is>
      </c>
      <c r="F41" s="634" t="str">
        <f>IF(INDEX('REVIEW - Complete Role Mapping'!$AR:$AR,317)="Squad",INDEX('REVIEW - Complete Role Mapping'!$AP:$AP,317),INDEX('REVIEW - Complete Role Mapping'!$AR:$AR,317))</f>
        <v>Data Platforms</v>
      </c>
      <c r="G41" s="627">
        <f>INDEX('REVIEW - Complete Role Mapping'!$AA:$AA,317)</f>
        <v>202853.25</v>
      </c>
      <c r="H41" s="627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Mapping'!$B:$B,319)</f>
        <v>Vacant</v>
      </c>
      <c r="C42" s="646" t="str">
        <f>INDEX('REVIEW - Complete Role Mapping'!$C:$C,319)</f>
        <v>Engineer - Data</v>
      </c>
      <c r="D42" s="646" t="str">
        <f>INDEX('REVIEW - Complete Role Mapping'!$AK:$AK,319)</f>
        <v>Vacant</v>
      </c>
      <c r="E42" s="646" t="inlineStr">
        <is>
          <t>Hold</t>
        </is>
      </c>
      <c r="F42" s="646" t="str">
        <f>IF(INDEX('REVIEW - Complete Role Mapping'!$AR:$AR,319)="Squad",INDEX('REVIEW - Complete Role Mapping'!$AP:$AP,319),INDEX('REVIEW - Complete Role Mapping'!$AR:$AR,319))</f>
        <v>Data Platforms</v>
      </c>
      <c r="G42" s="627">
        <f>INDEX('REVIEW - Complete Role Mapping'!$AA:$AA,319)</f>
        <v>202853.25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Mapping'!$B:$B,320)</f>
        <v>Vacant</v>
      </c>
      <c r="C43" s="634" t="str">
        <f>INDEX('REVIEW - Complete Role Mapping'!$C:$C,320)</f>
        <v>Quality Assurance</v>
      </c>
      <c r="D43" s="612" t="str">
        <f>INDEX('REVIEW - Complete Role Mapping'!$AK:$AK,320)</f>
        <v>Vacant</v>
      </c>
      <c r="E43" s="612" t="inlineStr">
        <is>
          <t>Hold</t>
        </is>
      </c>
      <c r="F43" s="634" t="str">
        <f>IF(INDEX('REVIEW - Complete Role Mapping'!$AR:$AR,320)="Squad",INDEX('REVIEW - Complete Role Mapping'!$AP:$AP,320),INDEX('REVIEW - Complete Role Mapping'!$AR:$AR,320))</f>
        <v>Data Platforms</v>
      </c>
      <c r="G43" s="627">
        <f>INDEX('REVIEW - Complete Role Mapping'!$AA:$AA,320)</f>
        <v>170489.75</v>
      </c>
      <c r="H43" s="627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Mapping'!$B:$B,281)</f>
        <v>Carol Kuang</v>
      </c>
      <c r="C44" s="634" t="str">
        <f>INDEX('REVIEW - Complete Role Mapping'!$C:$C,281)</f>
        <v>Senior Data Scientist</v>
      </c>
      <c r="D44" s="612" t="str">
        <f>INDEX('REVIEW - Complete Role Mapping'!$AK:$AK,281)</f>
        <v>Filled</v>
      </c>
      <c r="E44" s="612" t="inlineStr">
        <is>
          <t>Filled</t>
        </is>
      </c>
      <c r="F44" s="634" t="str">
        <f>IF(INDEX('REVIEW - Complete Role Mapping'!$AR:$AR,281)="Squad",INDEX('REVIEW - Complete Role Mapping'!$AP:$AP,281),INDEX('REVIEW - Complete Role Mapping'!$AR:$AR,281))</f>
        <v>Data Science</v>
      </c>
      <c r="G44" s="627">
        <f>INDEX('REVIEW - Complete Role Mapping'!$AA:$AA,281)</f>
        <v>184871.28</v>
      </c>
      <c r="H44" s="627">
        <f>$G44*IFERROR(INDEX(Lists!$AD:$AD,MATCH($E44,Lists!$AC:$AC,0)),1)</f>
        <v>184871.28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Mapping'!$B:$B,295)</f>
        <v>Om Singh</v>
      </c>
      <c r="C45" s="634" t="str">
        <f>INDEX('REVIEW - Complete Role Mapping'!$C:$C,295)</f>
        <v>Data Scientist</v>
      </c>
      <c r="D45" s="612" t="str">
        <f>INDEX('REVIEW - Complete Role Mapping'!$AK:$AK,295)</f>
        <v>Filled</v>
      </c>
      <c r="E45" s="647" t="inlineStr">
        <is>
          <t>Filled</t>
        </is>
      </c>
      <c r="F45" s="648" t="str">
        <f>IF(INDEX('REVIEW - Complete Role Mapping'!$AR:$AR,295)="Squad",INDEX('REVIEW - Complete Role Mapping'!$AP:$AP,295),INDEX('REVIEW - Complete Role Mapping'!$AR:$AR,295))</f>
        <v>Data Science</v>
      </c>
      <c r="G45" s="627">
        <f>INDEX('REVIEW - Complete Role Mapping'!$AA:$AA,295)</f>
        <v>181470</v>
      </c>
      <c r="H45" s="627">
        <f>$G45*IFERROR(INDEX(Lists!$AD:$AD,MATCH($E45,Lists!$AC:$AC,0)),1)</f>
        <v>181470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Mapping'!$B:$B,296)</f>
        <v>Prashant Tataskar</v>
      </c>
      <c r="C46" s="634" t="str">
        <f>INDEX('REVIEW - Complete Role Mapping'!$C:$C,296)</f>
        <v>Data Scientist</v>
      </c>
      <c r="D46" s="612" t="str">
        <f>INDEX('REVIEW - Complete Role Mapping'!$AK:$AK,296)</f>
        <v>Filled</v>
      </c>
      <c r="E46" s="647" t="inlineStr">
        <is>
          <t>Filled</t>
        </is>
      </c>
      <c r="F46" s="648" t="str">
        <f>IF(INDEX('REVIEW - Complete Role Mapping'!$AR:$AR,296)="Squad",INDEX('REVIEW - Complete Role Mapping'!$AP:$AP,296),INDEX('REVIEW - Complete Role Mapping'!$AR:$AR,296))</f>
        <v>Data Science</v>
      </c>
      <c r="G46" s="627">
        <f>INDEX('REVIEW - Complete Role Mapping'!$AA:$AA,296)</f>
        <v>208473.6</v>
      </c>
      <c r="H46" s="627">
        <f>$G46*IFERROR(INDEX(Lists!$AD:$AD,MATCH($E46,Lists!$AC:$AC,0)),1)</f>
        <v>208473.6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Mapping'!$B:$B,332)</f>
        <v>Yu Chen</v>
      </c>
      <c r="C47" s="634" t="str">
        <f>INDEX('REVIEW - Complete Role Mapping'!$C:$C,332)</f>
        <v>Senior Data Scientist</v>
      </c>
      <c r="D47" s="612" t="str">
        <f>INDEX('REVIEW - Complete Role Mapping'!$AK:$AK,332)</f>
        <v>Filled</v>
      </c>
      <c r="E47" s="647" t="inlineStr">
        <is>
          <t>Filled</t>
        </is>
      </c>
      <c r="F47" s="648" t="str">
        <f>IF(INDEX('REVIEW - Complete Role Mapping'!$AR:$AR,332)="Squad",INDEX('REVIEW - Complete Role Mapping'!$AP:$AP,332),INDEX('REVIEW - Complete Role Mapping'!$AR:$AR,332))</f>
        <v>Data Science</v>
      </c>
      <c r="G47" s="627">
        <f>INDEX('REVIEW - Complete Role Mapping'!$AA:$AA,332)</f>
        <v>231582.45</v>
      </c>
      <c r="H47" s="627">
        <f>$G47*IFERROR(INDEX(Lists!$AD:$AD,MATCH($E47,Lists!$AC:$AC,0)),1)</f>
        <v>231582.45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Mapping'!$B:$B,283)</f>
        <v>Deepali Mahajan</v>
      </c>
      <c r="C48" s="634" t="str">
        <f>INDEX('REVIEW - Complete Role Mapping'!$C:$C,283)</f>
        <v>Data Operations Manager</v>
      </c>
      <c r="D48" s="612" t="str">
        <f>INDEX('REVIEW - Complete Role Mapping'!$AK:$AK,283)</f>
        <v>Filled</v>
      </c>
      <c r="E48" s="647" t="inlineStr">
        <is>
          <t>Filled</t>
        </is>
      </c>
      <c r="F48" s="648" t="str">
        <f>IF(INDEX('REVIEW - Complete Role Mapping'!$AR:$AR,283)="Squad",INDEX('REVIEW - Complete Role Mapping'!$AP:$AP,283),INDEX('REVIEW - Complete Role Mapping'!$AR:$AR,283))</f>
        <v>Leadership</v>
      </c>
      <c r="G48" s="627">
        <f>INDEX('REVIEW - Complete Role Mapping'!$AA:$AA,283)</f>
        <v>295918.45</v>
      </c>
      <c r="H48" s="627">
        <f>$G48*IFERROR(INDEX(Lists!$AD:$AD,MATCH($E48,Lists!$AC:$AC,0)),1)</f>
        <v>295918.45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Mapping'!$B:$B,313)</f>
        <v>Vacant</v>
      </c>
      <c r="C49" s="634" t="str">
        <f>INDEX('REVIEW - Complete Role Mapping'!$C:$C,313)</f>
        <v>Service Transition Lead</v>
      </c>
      <c r="D49" s="612" t="str">
        <f>INDEX('REVIEW - Complete Role Mapping'!$AK:$AK,313)</f>
        <v>Vacant</v>
      </c>
      <c r="E49" s="647" t="inlineStr">
        <is>
          <t>Hold</t>
        </is>
      </c>
      <c r="F49" s="648" t="str">
        <f>IF(INDEX('REVIEW - Complete Role Mapping'!$AR:$AR,313)="Squad",INDEX('REVIEW - Complete Role Mapping'!$AP:$AP,313),INDEX('REVIEW - Complete Role Mapping'!$AR:$AR,313))</f>
        <v>Leadership</v>
      </c>
      <c r="G49" s="627">
        <f>INDEX('REVIEW - Complete Role Mapping'!$AA:$AA,313)</f>
        <v>202853.25</v>
      </c>
      <c r="H49" s="627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Mapping'!$B:$B,285)</f>
        <v>James Holgate</v>
      </c>
      <c r="C50" s="634" t="str">
        <f>INDEX('REVIEW - Complete Role Mapping'!$C:$C,285)</f>
        <v>Head of Technology,  Group Data</v>
      </c>
      <c r="D50" s="612" t="str">
        <f>INDEX('REVIEW - Complete Role Mapping'!$AK:$AK,285)</f>
        <v>Filled</v>
      </c>
      <c r="E50" s="647" t="inlineStr">
        <is>
          <t>Filled</t>
        </is>
      </c>
      <c r="F50" s="648" t="str">
        <f>IF(INDEX('REVIEW - Complete Role Mapping'!$AR:$AR,285)="Squad",INDEX('REVIEW - Complete Role Mapping'!$AP:$AP,285),INDEX('REVIEW - Complete Role Mapping'!$AR:$AR,285))</f>
        <v>Head of Technology</v>
      </c>
      <c r="G50" s="627">
        <f>INDEX('REVIEW - Complete Role Mapping'!$AA:$AA,285)</f>
        <v>409755.7</v>
      </c>
      <c r="H50" s="627">
        <f>$G50*IFERROR(INDEX(Lists!$AD:$AD,MATCH($E50,Lists!$AC:$AC,0)),1)</f>
        <v>409755.7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str">
        <f>INDEX('REVIEW - Complete Role Mapping'!$B:$B,286)</f>
        <v>Jason Gleason</v>
      </c>
      <c r="C51" s="646" t="str">
        <f>INDEX('REVIEW - Complete Role Mapping'!$C:$C,286)</f>
        <v>Technology Manager, Data Engineering &amp; Platforms</v>
      </c>
      <c r="D51" s="646" t="str">
        <f>INDEX('REVIEW - Complete Role Mapping'!$AK:$AK,286)</f>
        <v>Filled</v>
      </c>
      <c r="E51" s="646" t="inlineStr">
        <is>
          <t>Filled</t>
        </is>
      </c>
      <c r="F51" s="646" t="str">
        <f>IF(INDEX('REVIEW - Complete Role Mapping'!$AR:$AR,286)="Squad",INDEX('REVIEW - Complete Role Mapping'!$AP:$AP,286),INDEX('REVIEW - Complete Role Mapping'!$AR:$AR,286))</f>
        <v>Technology Manager</v>
      </c>
      <c r="G51" s="627">
        <f>INDEX('REVIEW - Complete Role Mapping'!$AA:$AA,286)</f>
        <v>320862</v>
      </c>
      <c r="H51" s="627">
        <f>$G51*IFERROR(INDEX(Lists!$AD:$AD,MATCH($E51,Lists!$AC:$AC,0)),1)</f>
        <v>320862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Mapping'!$B:$B,289)</f>
        <v>Jonathan Robinson</v>
      </c>
      <c r="C52" s="634" t="str">
        <f>INDEX('REVIEW - Complete Role Mapping'!$C:$C,289)</f>
        <v>Technology Manager  Data Science</v>
      </c>
      <c r="D52" s="612" t="str">
        <f>INDEX('REVIEW - Complete Role Mapping'!$AK:$AK,289)</f>
        <v>Filled</v>
      </c>
      <c r="E52" s="612" t="inlineStr">
        <is>
          <t>Filled</t>
        </is>
      </c>
      <c r="F52" s="634" t="str">
        <f>IF(INDEX('REVIEW - Complete Role Mapping'!$AR:$AR,289)="Squad",INDEX('REVIEW - Complete Role Mapping'!$AP:$AP,289),INDEX('REVIEW - Complete Role Mapping'!$AR:$AR,289))</f>
        <v>Technology Manager</v>
      </c>
      <c r="G52" s="627">
        <f>INDEX('REVIEW - Complete Role Mapping'!$AA:$AA,289)</f>
        <v>330416.75</v>
      </c>
      <c r="H52" s="627">
        <f>$G52*IFERROR(INDEX(Lists!$AD:$AD,MATCH($E52,Lists!$AC:$AC,0)),1)</f>
        <v>330416.75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2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Functions'!$B$19:$B$31,0)),"No archetype for this squad")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COUNTIFS($F$25:$F$70,$B6)</f>
        <v>12</v>
      </c>
      <c r="F6" s="1250">
        <f>IFERROR($E6-$D6,"-")</f>
        <v>6</v>
      </c>
      <c r="G6" s="1250">
        <f>COUNTIFS($F$25:$F$70,$B6,$D$25:$D$70,"Vacant")</f>
        <v>1</v>
      </c>
      <c r="H6" s="1250">
        <f>COUNTIFS($F$25:$F$70,$B6,$D$25:$D$70,"Vacant",$E$25:$E$70,"Hire")+COUNTIFS($F$25:$F$70,$B6,$D$25:$D$70,"Vacant",$E$25:$E$70,"Offshore")</f>
        <v>0</v>
      </c>
      <c r="I6" s="1250">
        <f>COUNTIFS($F$25:$F$70,$B6,$D$25:$D$70,"Vacant",$E$25:$E$70,"Hold")</f>
        <v>1</v>
      </c>
      <c r="J6" s="1251">
        <f>$E6-COUNTIFS($F$25:$F$70,$B6,$E$25:$E$70,"Hold")</f>
        <v>11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1.4</v>
      </c>
      <c r="M6" s="1252">
        <f>SUMIFS($G$25:$G$70,$F$25:$F$70,$B6)/1000000</f>
        <v>2.8267209564</v>
      </c>
      <c r="N6" s="1252">
        <f>IFERROR($M6-$L6,"-")</f>
        <v>1.4267209564</v>
      </c>
      <c r="O6" s="1253">
        <f>SUMIFS($H$25:$H$70,$F$25:$F$70,$B6)/1000000</f>
        <v>2.6238677064</v>
      </c>
      <c r="P6" s="1254">
        <f>$O6-$M6</f>
        <v>-0.20285325</v>
      </c>
      <c r="Q6" s="1254">
        <f>SUMIFS($G$25:$G$70,$F$25:$F$70,$B6,$D$25:$D$70,"Vacant")/1000000</f>
        <v>0.20285325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Network &amp; Infrastructure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COUNTIFS($F$25:$F$70,$B7)</f>
        <v>10</v>
      </c>
      <c r="F7" s="1250">
        <f>IFERROR($E7-$D7,"-")</f>
        <v>1</v>
      </c>
      <c r="G7" s="1250">
        <f>COUNTIFS($F$25:$F$70,$B7,$D$25:$D$70,"Vacant")</f>
        <v>2</v>
      </c>
      <c r="H7" s="1250">
        <f>COUNTIFS($F$25:$F$70,$B7,$D$25:$D$70,"Vacant",$E$25:$E$70,"Hire")+COUNTIFS($F$25:$F$70,$B7,$D$25:$D$70,"Vacant",$E$25:$E$70,"Offshore")</f>
        <v>0</v>
      </c>
      <c r="I7" s="1250">
        <f>COUNTIFS($F$25:$F$70,$B7,$D$25:$D$70,"Vacant",$E$25:$E$70,"Hold")</f>
        <v>2</v>
      </c>
      <c r="J7" s="1251">
        <f>$E7-COUNTIFS($F$25:$F$70,$B7,$E$25:$E$70,"Hold")</f>
        <v>8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2.1</v>
      </c>
      <c r="M7" s="1252">
        <f>SUMIFS($G$25:$G$70,$F$25:$F$70,$B7)/1000000</f>
        <v>1.815247746</v>
      </c>
      <c r="N7" s="1252">
        <f>IFERROR($M7-$L7,"-")</f>
        <v>-0.284752254</v>
      </c>
      <c r="O7" s="1253">
        <f>SUMIFS($H$25:$H$70,$F$25:$F$70,$B7)/1000000</f>
        <v>1.381973496</v>
      </c>
      <c r="P7" s="1254">
        <f>$O7-$M7</f>
        <v>-0.43327425</v>
      </c>
      <c r="Q7" s="1254">
        <f>SUMIFS($G$25:$G$70,$F$25:$F$70,$B7,$D$25:$D$70,"Vacant")/1000000</f>
        <v>0.43327425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Functions'!$B$19:$B$31,0)),"No archetype for this squad")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COUNTIFS($F$25:$F$70,$B8)</f>
        <v>8</v>
      </c>
      <c r="F8" s="1250">
        <f>IFERROR($E8-$D8,"-")</f>
        <v>3.5</v>
      </c>
      <c r="G8" s="1250">
        <f>COUNTIFS($F$25:$F$70,$B8,$D$25:$D$70,"Vacant")</f>
        <v>4</v>
      </c>
      <c r="H8" s="1250">
        <f>COUNTIFS($F$25:$F$70,$B8,$D$25:$D$70,"Vacant",$E$25:$E$70,"Hire")+COUNTIFS($F$25:$F$70,$B8,$D$25:$D$70,"Vacant",$E$25:$E$70,"Offshore")</f>
        <v>0</v>
      </c>
      <c r="I8" s="1250">
        <f>COUNTIFS($F$25:$F$70,$B8,$D$25:$D$70,"Vacant",$E$25:$E$70,"Hold")</f>
        <v>4</v>
      </c>
      <c r="J8" s="1251">
        <f>$E8-COUNTIFS($F$25:$F$70,$B8,$E$25:$E$70,"Hold")</f>
        <v>4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0.8</v>
      </c>
      <c r="M8" s="1252">
        <f>SUMIFS($G$25:$G$70,$F$25:$F$70,$B8)/1000000</f>
        <v>1.581591798</v>
      </c>
      <c r="N8" s="1252">
        <f>IFERROR($M8-$L8,"-")</f>
        <v>0.781591798</v>
      </c>
      <c r="O8" s="1253">
        <f>SUMIFS($H$25:$H$70,$F$25:$F$70,$B8)/1000000</f>
        <v>0.712506798</v>
      </c>
      <c r="P8" s="1254">
        <f>$O8-$M8</f>
        <v>-0.869085</v>
      </c>
      <c r="Q8" s="1254">
        <f>SUMIFS($G$25:$G$70,$F$25:$F$70,$B8,$D$25:$D$70,"Vacant")/1000000</f>
        <v>0.869085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Engineering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Functions'!$B$19:$B$31,0)),"No archetype for this squad")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COUNTIFS($F$25:$F$70,$B9)</f>
        <v>6</v>
      </c>
      <c r="F9" s="1250">
        <f>IFERROR($E9-$D9,"-")</f>
        <v>0</v>
      </c>
      <c r="G9" s="1250">
        <f>COUNTIFS($F$25:$F$70,$B9,$D$25:$D$70,"Vacant")</f>
        <v>2</v>
      </c>
      <c r="H9" s="1250">
        <f>COUNTIFS($F$25:$F$70,$B9,$D$25:$D$70,"Vacant",$E$25:$E$70,"Hire")+COUNTIFS($F$25:$F$70,$B9,$D$25:$D$70,"Vacant",$E$25:$E$70,"Offshore")</f>
        <v>0</v>
      </c>
      <c r="I9" s="1250">
        <f>COUNTIFS($F$25:$F$70,$B9,$D$25:$D$70,"Vacant",$E$25:$E$70,"Hold")</f>
        <v>2</v>
      </c>
      <c r="J9" s="1251">
        <f>$E9-COUNTIFS($F$25:$F$70,$B9,$E$25:$E$70,"Hold")</f>
        <v>4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1.4</v>
      </c>
      <c r="M9" s="1252">
        <f>SUMIFS($G$25:$G$70,$F$25:$F$70,$B9)/1000000</f>
        <v>1.117329222</v>
      </c>
      <c r="N9" s="1252">
        <f>IFERROR($M9-$L9,"-")</f>
        <v>-0.282670778</v>
      </c>
      <c r="O9" s="1253">
        <f>SUMIFS($H$25:$H$70,$F$25:$F$70,$B9)/1000000</f>
        <v>0.712890972</v>
      </c>
      <c r="P9" s="1254">
        <f>$O9-$M9</f>
        <v>-0.40443825</v>
      </c>
      <c r="Q9" s="1254">
        <f>SUMIFS($G$25:$G$70,$F$25:$F$70,$B9,$D$25:$D$70,"Vacant")/1000000</f>
        <v>0.40443825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Functions'!$B$19:$B$31,0)),"No archetype for this squad")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COUNTIFS($F$25:$F$70,$B10)</f>
        <v>4</v>
      </c>
      <c r="F10" s="1250" t="str">
        <f>IFERROR($E10-$D10,"-")</f>
        <v>-</v>
      </c>
      <c r="G10" s="1250">
        <f>COUNTIFS($F$25:$F$70,$B10,$D$25:$D$70,"Vacant")</f>
        <v>0</v>
      </c>
      <c r="H10" s="1250">
        <f>COUNTIFS($F$25:$F$70,$B10,$D$25:$D$70,"Vacant",$E$25:$E$70,"Hire")+COUNTIFS($F$25:$F$70,$B10,$D$25:$D$70,"Vacant",$E$25:$E$70,"Offshore")</f>
        <v>0</v>
      </c>
      <c r="I10" s="1250">
        <f>COUNTIFS($F$25:$F$70,$B10,$D$25:$D$70,"Vacant",$E$25:$E$70,"Hold")</f>
        <v>0</v>
      </c>
      <c r="J10" s="1251">
        <f>$E10-COUNTIFS($F$25:$F$70,$B10,$E$25:$E$70,"Hold")</f>
        <v>4</v>
      </c>
      <c r="K10" s="1152" t="str">
        <f>IF(NOT(ISNUMBER($D10)),"No archetype - see 0.3",IF($J10&gt;$D10,"Over archetype after decisions",IF($J10&lt;$D10,"Under archetype","On archetype")))</f>
        <v>No archetype - see 0.3</v>
      </c>
      <c r="L10" s="1252" t="str">
        <f>IFERROR(INDEX('0.3 Squad Archetypes'!$G$5:$G$23,MATCH($C10&amp;"|"&amp;$R10,'0.3 Squad Archetypes'!$A$5:$A$23,0)),"-")</f>
        <v>-</v>
      </c>
      <c r="M10" s="1252">
        <f>SUMIFS($G$25:$G$70,$F$25:$F$70,$B10)/1000000</f>
        <v>1.02484851</v>
      </c>
      <c r="N10" s="1252" t="str">
        <f>IFERROR($M10-$L10,"-")</f>
        <v>-</v>
      </c>
      <c r="O10" s="1253">
        <f>SUMIFS($H$25:$H$70,$F$25:$F$70,$B10)/1000000</f>
        <v>1.02484851</v>
      </c>
      <c r="P10" s="1254">
        <f>$O10-$M10</f>
        <v>0</v>
      </c>
      <c r="Q10" s="1254">
        <f>SUMIFS($G$25:$G$70,$F$25:$F$70,$B10,$D$25:$D$70,"Vacant")/1000000</f>
        <v>0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</row>
    <row r="11">
      <c r="A11" s="949" t="n"/>
      <c r="B11" s="1237" t="inlineStr">
        <is>
          <t>Delivery squads</t>
        </is>
      </c>
      <c r="C11" s="635" t="n"/>
      <c r="D11" s="1249">
        <f>SUM(D6:D10)</f>
        <v>25.5</v>
      </c>
      <c r="E11" s="1250">
        <f>SUM(E6:E10)</f>
        <v>40</v>
      </c>
      <c r="F11" s="1250">
        <f>SUM(F6:F10)</f>
        <v>10.5</v>
      </c>
      <c r="G11" s="1250">
        <f>SUM(G6:G10)</f>
        <v>9</v>
      </c>
      <c r="H11" s="1250">
        <f>SUM(H6:H10)</f>
        <v>0</v>
      </c>
      <c r="I11" s="1250">
        <f>SUM(I6:I10)</f>
        <v>9</v>
      </c>
      <c r="J11" s="1251">
        <f>SUM(J6:J10)</f>
        <v>31</v>
      </c>
      <c r="K11" s="1152" t="n"/>
      <c r="L11" s="1252">
        <f>SUM(L6:L10)</f>
        <v>5.7</v>
      </c>
      <c r="M11" s="1252">
        <f>SUM(M6:M10)</f>
        <v>8.3657382324</v>
      </c>
      <c r="N11" s="1252">
        <f>SUM(N6:N10)</f>
        <v>1.6408897224</v>
      </c>
      <c r="O11" s="1253">
        <f>SUM(O6:O10)</f>
        <v>6.4560874824</v>
      </c>
      <c r="P11" s="1254">
        <f>SUM(P6:P10)</f>
        <v>-1.90965075</v>
      </c>
      <c r="Q11" s="1254">
        <f>SUM(Q6:Q10)</f>
        <v>1.90965075</v>
      </c>
    </row>
    <row r="12">
      <c r="A12" s="949" t="n"/>
      <c r="B12" s="1234" t="inlineStr">
        <is>
          <t>Overhead roles inside this portfolio - compared to the allowance</t>
        </is>
      </c>
      <c r="C12" s="635" t="n"/>
      <c r="D12" s="1249" t="n"/>
      <c r="E12" s="1250" t="n"/>
      <c r="F12" s="1250" t="n"/>
      <c r="G12" s="1250" t="n"/>
      <c r="H12" s="1250" t="n"/>
      <c r="I12" s="1250" t="n"/>
      <c r="J12" s="1251" t="n"/>
      <c r="K12" s="1152" t="n"/>
      <c r="L12" s="1252" t="n"/>
      <c r="M12" s="1252" t="n"/>
      <c r="N12" s="1252" t="n"/>
      <c r="O12" s="1253" t="n"/>
      <c r="P12" s="1254" t="n"/>
      <c r="Q12" s="1254" t="n"/>
    </row>
    <row r="13">
      <c r="A13" s="949" t="n"/>
      <c r="B13" s="641" t="inlineStr">
        <is>
          <t>Head of Technology</t>
        </is>
      </c>
      <c r="C13" s="641" t="str">
        <f>"Overhead - see 3.2"</f>
        <v>Overhead - see 3.2</v>
      </c>
      <c r="D13" s="1255" t="str">
        <f>"-"</f>
        <v>-</v>
      </c>
      <c r="E13" s="1255">
        <f>COUNTIFS($F$25:$F$70,$B13)</f>
        <v>1</v>
      </c>
      <c r="F13" s="1255" t="str">
        <f>"-"</f>
        <v>-</v>
      </c>
      <c r="G13" s="1255">
        <f>COUNTIFS($F$25:$F$70,$B13,$D$25:$D$70,"Vacant")</f>
        <v>1</v>
      </c>
      <c r="H13" s="1255">
        <f>COUNTIFS($F$25:$F$70,$B13,$D$25:$D$70,"Vacant",$E$25:$E$70,"Hire")+COUNTIFS($F$25:$F$70,$B13,$D$25:$D$70,"Vacant",$E$25:$E$70,"Offshore")</f>
        <v>0</v>
      </c>
      <c r="I13" s="1255">
        <f>COUNTIFS($F$25:$F$70,$B13,$D$25:$D$70,"Vacant",$E$25:$E$70,"Hold")</f>
        <v>1</v>
      </c>
      <c r="J13" s="1256">
        <f>$E13-COUNTIFS($F$25:$F$70,$B13,$E$25:$E$70,"Hold")</f>
        <v>0</v>
      </c>
      <c r="K13" s="1155" t="str">
        <f>"Overhead"</f>
        <v>Overhead</v>
      </c>
      <c r="L13" s="1257" t="str">
        <f>"-"</f>
        <v>-</v>
      </c>
      <c r="M13" s="1257">
        <f>SUMIFS($G$25:$G$70,$F$25:$F$70,$B13)/1000000</f>
        <v>0.33302025</v>
      </c>
      <c r="N13" s="1257" t="str">
        <f>"-"</f>
        <v>-</v>
      </c>
      <c r="O13" s="1258">
        <f>SUMIFS($H$25:$H$70,$F$25:$F$70,$B13)/1000000</f>
        <v>0</v>
      </c>
      <c r="P13" s="1254">
        <f>$O13-$M13</f>
        <v>-0.33302025</v>
      </c>
      <c r="Q13" s="1254">
        <f>SUMIFS($G$25:$G$70,$F$25:$F$70,$B13,$D$25:$D$70,"Vacant")/1000000</f>
        <v>0.33302025</v>
      </c>
      <c r="R13" t="str">
        <f>"-"</f>
        <v>-</v>
      </c>
    </row>
    <row r="14">
      <c r="A14" s="949" t="n"/>
      <c r="B14" s="994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COUNTIFS($F$25:$F$70,$B14)</f>
        <v>1</v>
      </c>
      <c r="F14" s="1261" t="str">
        <f>"-"</f>
        <v>-</v>
      </c>
      <c r="G14" s="1261">
        <f>COUNTIFS($F$25:$F$70,$B14,$D$25:$D$70,"Vacant")</f>
        <v>1</v>
      </c>
      <c r="H14" s="1261">
        <f>COUNTIFS($F$25:$F$70,$B14,$D$25:$D$70,"Vacant",$E$25:$E$70,"Hire")+COUNTIFS($F$25:$F$70,$B14,$D$25:$D$70,"Vacant",$E$25:$E$70,"Offshore")</f>
        <v>0</v>
      </c>
      <c r="I14" s="1261">
        <f>COUNTIFS($F$25:$F$70,$B14,$D$25:$D$70,"Vacant",$E$25:$E$70,"Hold")</f>
        <v>1</v>
      </c>
      <c r="J14" s="1261">
        <f>$E14-COUNTIFS($F$25:$F$70,$B14,$E$25:$E$70,"Hold")</f>
        <v>0</v>
      </c>
      <c r="K14" s="949" t="str">
        <f>"Overhead"</f>
        <v>Overhead</v>
      </c>
      <c r="L14" s="1263" t="str">
        <f>"-"</f>
        <v>-</v>
      </c>
      <c r="M14" s="1263">
        <f>SUMIFS($G$25:$G$70,$F$25:$F$70,$B14)/1000000</f>
        <v>0.27581025</v>
      </c>
      <c r="N14" s="1263" t="str">
        <f>"-"</f>
        <v>-</v>
      </c>
      <c r="O14" s="1263">
        <f>SUMIFS($H$25:$H$70,$F$25:$F$70,$B14)/1000000</f>
        <v>0</v>
      </c>
      <c r="P14" s="1254">
        <f>$O14-$M14</f>
        <v>-0.27581025</v>
      </c>
      <c r="Q14" s="1254">
        <f>SUMIFS($G$25:$G$70,$F$25:$F$70,$B14,$D$25:$D$70,"Vacant")/1000000</f>
        <v>0.27581025</v>
      </c>
      <c r="R14" t="str">
        <f>"-"</f>
        <v>-</v>
      </c>
    </row>
    <row r="15">
      <c r="A15" s="949" t="n"/>
      <c r="B15" s="994" t="inlineStr">
        <is>
          <t>Technology Manager</t>
        </is>
      </c>
      <c r="C15" s="949" t="str">
        <f>"Overhead - see 3.2"</f>
        <v>Overhead - see 3.2</v>
      </c>
      <c r="D15" s="1261" t="str">
        <f>"-"</f>
        <v>-</v>
      </c>
      <c r="E15" s="1262">
        <f>COUNTIFS($F$25:$F$70,$B15)</f>
        <v>4</v>
      </c>
      <c r="F15" s="1261" t="str">
        <f>"-"</f>
        <v>-</v>
      </c>
      <c r="G15" s="1261">
        <f>COUNTIFS($F$25:$F$70,$B15,$D$25:$D$70,"Vacant")</f>
        <v>3</v>
      </c>
      <c r="H15" s="1261">
        <f>COUNTIFS($F$25:$F$70,$B15,$D$25:$D$70,"Vacant",$E$25:$E$70,"Hire")+COUNTIFS($F$25:$F$70,$B15,$D$25:$D$70,"Vacant",$E$25:$E$70,"Offshore")</f>
        <v>0</v>
      </c>
      <c r="I15" s="1261">
        <f>COUNTIFS($F$25:$F$70,$B15,$D$25:$D$70,"Vacant",$E$25:$E$70,"Hold")</f>
        <v>3</v>
      </c>
      <c r="J15" s="1261">
        <f>$E15-COUNTIFS($F$25:$F$70,$B15,$E$25:$E$70,"Hold")</f>
        <v>1</v>
      </c>
      <c r="K15" s="949" t="str">
        <f>"Overhead"</f>
        <v>Overhead</v>
      </c>
      <c r="L15" s="1263" t="str">
        <f>"-"</f>
        <v>-</v>
      </c>
      <c r="M15" s="1263">
        <f>SUMIFS($G$25:$G$70,$F$25:$F$70,$B15)/1000000</f>
        <v>1.05666075</v>
      </c>
      <c r="N15" s="1263" t="str">
        <f>"-"</f>
        <v>-</v>
      </c>
      <c r="O15" s="1263">
        <f>SUMIFS($H$25:$H$70,$F$25:$F$70,$B15)/1000000</f>
        <v>0.22923</v>
      </c>
      <c r="P15" s="1254">
        <f>$O15-$M15</f>
        <v>-0.82743075</v>
      </c>
      <c r="Q15" s="1254">
        <f>SUMIFS($G$25:$G$70,$F$25:$F$70,$B15,$D$25:$D$70,"Vacant")/1000000</f>
        <v>0.82743075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949" t="n"/>
      <c r="D16" s="1261" t="n"/>
      <c r="E16" s="1261">
        <f>SUM(E13:E15)</f>
        <v>6</v>
      </c>
      <c r="F16" s="1261" t="n"/>
      <c r="G16" s="1261">
        <f>SUM(G13:G15)</f>
        <v>5</v>
      </c>
      <c r="H16" s="1261">
        <f>SUM(H13:H15)</f>
        <v>0</v>
      </c>
      <c r="I16" s="1261">
        <f>SUM(I13:I15)</f>
        <v>5</v>
      </c>
      <c r="J16" s="1261">
        <f>SUM(J13:J15)</f>
        <v>1</v>
      </c>
      <c r="K16" s="949" t="n"/>
      <c r="L16" s="1263" t="n"/>
      <c r="M16" s="1263">
        <f>SUM(M13:M15)</f>
        <v>1.66549125</v>
      </c>
      <c r="N16" s="1263" t="n"/>
      <c r="O16" s="1263">
        <f>SUM(O13:O15)</f>
        <v>0.22923</v>
      </c>
      <c r="P16" s="1254">
        <f>SUM(P13:P15)</f>
        <v>-1.43626125</v>
      </c>
      <c r="Q16" s="1254">
        <f>SUM(Q13:Q15)</f>
        <v>1.43626125</v>
      </c>
    </row>
    <row r="17">
      <c r="A17" s="949" t="n"/>
      <c r="B17" s="431" t="n"/>
      <c r="C17" s="432" t="n"/>
      <c r="D17" s="1279" t="n"/>
      <c r="E17" s="1279" t="n"/>
      <c r="F17" s="1279" t="n"/>
      <c r="G17" s="1280" t="n"/>
      <c r="H17" s="1280" t="n"/>
      <c r="I17" s="1280" t="n"/>
      <c r="J17" s="1280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26" t="inlineStr">
        <is>
          <t>Total portfolio</t>
        </is>
      </c>
      <c r="C18" s="442" t="n"/>
      <c r="D18" s="1281">
        <f>$D11</f>
        <v>25.5</v>
      </c>
      <c r="E18" s="1262">
        <f>$E11+$E16</f>
        <v>46</v>
      </c>
      <c r="F18" s="1281">
        <f>IFERROR($E11-$D11,"-")</f>
        <v>14.5</v>
      </c>
      <c r="G18" s="1281">
        <f>$G11+$G16</f>
        <v>14</v>
      </c>
      <c r="H18" s="1281">
        <f>$H11+$H16</f>
        <v>0</v>
      </c>
      <c r="I18" s="1281">
        <f>$I11+$I16</f>
        <v>14</v>
      </c>
      <c r="J18" s="1281">
        <f>$J11+$J16</f>
        <v>32</v>
      </c>
      <c r="K18" s="442" t="n"/>
      <c r="L18" s="1282">
        <f>$L11</f>
        <v>5.7</v>
      </c>
      <c r="M18" s="1282">
        <f>$M11+$M16</f>
        <v>10.0312294824</v>
      </c>
      <c r="N18" s="1282">
        <f>IFERROR($M11-$L11,"-")</f>
        <v>2.6657382324</v>
      </c>
      <c r="O18" s="1263">
        <f>$O11+$O16</f>
        <v>6.6853174824</v>
      </c>
      <c r="P18" s="1254">
        <f>$P11+$P16</f>
        <v>-3.345912</v>
      </c>
      <c r="Q18" s="1254">
        <f>$Q11+$Q16</f>
        <v>3.345912</v>
      </c>
    </row>
    <row r="19">
      <c r="A19" s="949" t="n"/>
      <c r="B19" s="1283" t="inlineStr">
        <is>
          <t>Archetype columns D, F, L and N cover the delivery squads only - overhead is not priced by a squad archetype.</t>
        </is>
      </c>
      <c r="C19" s="1259" t="n"/>
      <c r="D19" s="1259" t="n"/>
      <c r="E19" s="1268" t="n"/>
      <c r="F19" s="1259" t="n"/>
      <c r="G19" s="1259" t="n"/>
      <c r="H19" s="1259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994" t="inlineStr">
        <is>
          <t>Control - roles vs the ledger, must be 0</t>
        </is>
      </c>
      <c r="C20" s="434" t="n"/>
      <c r="D20" s="434" t="n"/>
      <c r="E20" s="949">
        <f>COUNTIFS('REVIEW - Complete Role Mapping'!$AJ$2:$AJ$528,"TDD Group Functions")-$E18</f>
        <v>0</v>
      </c>
      <c r="F20" s="949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32" t="inlineStr">
        <is>
          <t>Control - cost vs the ledger ($m), must be 0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Mapping'!$AJ$2:$AJ$528,"TDD Group Functions")/1000000-$M18,6)</f>
        <v>0</v>
      </c>
      <c r="N21" s="949" t="n"/>
      <c r="O21" s="949" t="n"/>
    </row>
    <row r="22">
      <c r="A22" s="949" t="n"/>
      <c r="B22" s="646" t="n"/>
      <c r="C22" s="646" t="n"/>
      <c r="D22" s="646" t="n"/>
      <c r="E22" s="646" t="n"/>
      <c r="F22" s="646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34" t="inlineStr">
        <is>
          <t>TDD Group Functions roles - one row per named role, from REVIEW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Mapping'!$B:$B,468)</f>
        <v>C K Lau</v>
      </c>
      <c r="C25" s="634" t="str">
        <f>INDEX('REVIEW - Complete Role Mapping'!$C:$C,468)</f>
        <v>Delivery Lead (Cloud &amp; Network)</v>
      </c>
      <c r="D25" s="612" t="str">
        <f>INDEX('REVIEW - Complete Role Mapping'!$AK:$AK,468)</f>
        <v>Filled</v>
      </c>
      <c r="E25" s="612" t="inlineStr">
        <is>
          <t>Filled</t>
        </is>
      </c>
      <c r="F25" s="634" t="str">
        <f>IF(INDEX('REVIEW - Complete Role Mapping'!$AR:$AR,468)="Squad",INDEX('REVIEW - Complete Role Mapping'!$AP:$AP,468),INDEX('REVIEW - Complete Role Mapping'!$AR:$AR,468))</f>
        <v>Cloud, Network &amp; Infra Ops</v>
      </c>
      <c r="G25" s="627">
        <f>INDEX('REVIEW - Complete Role Mapping'!$AA:$AA,468)</f>
        <v>249164.4</v>
      </c>
      <c r="H25" s="627">
        <f>$G25*IFERROR(INDEX(Lists!$AD:$AD,MATCH($E25,Lists!$AC:$AC,0)),1)</f>
        <v>249164.4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Mapping'!$B:$B,469)</f>
        <v>Fan Zhang</v>
      </c>
      <c r="C26" s="634" t="str">
        <f>INDEX('REVIEW - Complete Role Mapping'!$C:$C,469)</f>
        <v>Infrastructure Engineer</v>
      </c>
      <c r="D26" s="612" t="str">
        <f>INDEX('REVIEW - Complete Role Mapping'!$AK:$AK,469)</f>
        <v>Filled</v>
      </c>
      <c r="E26" s="612" t="inlineStr">
        <is>
          <t>Filled</t>
        </is>
      </c>
      <c r="F26" s="634" t="str">
        <f>IF(INDEX('REVIEW - Complete Role Mapping'!$AR:$AR,469)="Squad",INDEX('REVIEW - Complete Role Mapping'!$AP:$AP,469),INDEX('REVIEW - Complete Role Mapping'!$AR:$AR,469))</f>
        <v>Cloud, Network &amp; Infra Ops</v>
      </c>
      <c r="G26" s="627">
        <f>INDEX('REVIEW - Complete Role Mapping'!$AA:$AA,469)</f>
        <v>133812.3564</v>
      </c>
      <c r="H26" s="627">
        <f>$G26*IFERROR(INDEX(Lists!$AD:$AD,MATCH($E26,Lists!$AC:$AC,0)),1)</f>
        <v>133812.3564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Mapping'!$B:$B,470)</f>
        <v>Jason Satoso</v>
      </c>
      <c r="C27" s="646" t="str">
        <f>INDEX('REVIEW - Complete Role Mapping'!$C:$C,470)</f>
        <v>Cloud Operations Engineer</v>
      </c>
      <c r="D27" s="646" t="str">
        <f>INDEX('REVIEW - Complete Role Mapping'!$AK:$AK,470)</f>
        <v>Filled</v>
      </c>
      <c r="E27" s="646" t="inlineStr">
        <is>
          <t>Filled</t>
        </is>
      </c>
      <c r="F27" s="646" t="str">
        <f>IF(INDEX('REVIEW - Complete Role Mapping'!$AR:$AR,470)="Squad",INDEX('REVIEW - Complete Role Mapping'!$AP:$AP,470),INDEX('REVIEW - Complete Role Mapping'!$AR:$AR,470))</f>
        <v>Cloud, Network &amp; Infra Ops</v>
      </c>
      <c r="G27" s="627">
        <f>INDEX('REVIEW - Complete Role Mapping'!$AA:$AA,470)</f>
        <v>206190.75</v>
      </c>
      <c r="H27" s="627">
        <f>$G27*IFERROR(INDEX(Lists!$AD:$AD,MATCH($E27,Lists!$AC:$AC,0)),1)</f>
        <v>206190.75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Mapping'!$B:$B,471)</f>
        <v>John McCormack</v>
      </c>
      <c r="C28" s="634" t="str">
        <f>INDEX('REVIEW - Complete Role Mapping'!$C:$C,471)</f>
        <v>Manager - Infrastructure Operations</v>
      </c>
      <c r="D28" s="612" t="str">
        <f>INDEX('REVIEW - Complete Role Mapping'!$AK:$AK,471)</f>
        <v>Filled</v>
      </c>
      <c r="E28" s="612" t="inlineStr">
        <is>
          <t>Filled</t>
        </is>
      </c>
      <c r="F28" s="634" t="str">
        <f>IF(INDEX('REVIEW - Complete Role Mapping'!$AR:$AR,471)="Squad",INDEX('REVIEW - Complete Role Mapping'!$AP:$AP,471),INDEX('REVIEW - Complete Role Mapping'!$AR:$AR,471))</f>
        <v>Cloud, Network &amp; Infra Ops</v>
      </c>
      <c r="G28" s="627">
        <f>INDEX('REVIEW - Complete Role Mapping'!$AA:$AA,471)</f>
        <v>246494.4</v>
      </c>
      <c r="H28" s="627">
        <f>$G28*IFERROR(INDEX(Lists!$AD:$AD,MATCH($E28,Lists!$AC:$AC,0)),1)</f>
        <v>246494.4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Mapping'!$B:$B,472)</f>
        <v>Muhammad Abubaker</v>
      </c>
      <c r="C29" s="634" t="str">
        <f>INDEX('REVIEW - Complete Role Mapping'!$C:$C,472)</f>
        <v>Network Operations Engineer</v>
      </c>
      <c r="D29" s="612" t="str">
        <f>INDEX('REVIEW - Complete Role Mapping'!$AK:$AK,472)</f>
        <v>Filled</v>
      </c>
      <c r="E29" s="612" t="inlineStr">
        <is>
          <t>Filled</t>
        </is>
      </c>
      <c r="F29" s="634" t="str">
        <f>IF(INDEX('REVIEW - Complete Role Mapping'!$AR:$AR,472)="Squad",INDEX('REVIEW - Complete Role Mapping'!$AP:$AP,472),INDEX('REVIEW - Complete Role Mapping'!$AR:$AR,472))</f>
        <v>Cloud, Network &amp; Infra Ops</v>
      </c>
      <c r="G29" s="627">
        <f>INDEX('REVIEW - Complete Role Mapping'!$AA:$AA,472)</f>
        <v>217658.4</v>
      </c>
      <c r="H29" s="627">
        <f>$G29*IFERROR(INDEX(Lists!$AD:$AD,MATCH($E29,Lists!$AC:$AC,0)),1)</f>
        <v>217658.4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Mapping'!$B:$B,473)</f>
        <v>Ring fenced selection</v>
      </c>
      <c r="C30" s="634" t="str">
        <f>INDEX('REVIEW - Complete Role Mapping'!$C:$C,473)</f>
        <v>Cloud Solutions Architect</v>
      </c>
      <c r="D30" s="612" t="str">
        <f>INDEX('REVIEW - Complete Role Mapping'!$AK:$AK,473)</f>
        <v>Filled</v>
      </c>
      <c r="E30" s="612" t="inlineStr">
        <is>
          <t>Filled</t>
        </is>
      </c>
      <c r="F30" s="634" t="str">
        <f>IF(INDEX('REVIEW - Complete Role Mapping'!$AR:$AR,473)="Squad",INDEX('REVIEW - Complete Role Mapping'!$AP:$AP,473),INDEX('REVIEW - Complete Role Mapping'!$AR:$AR,473))</f>
        <v>Cloud, Network &amp; Infra Ops</v>
      </c>
      <c r="G30" s="627">
        <f>INDEX('REVIEW - Complete Role Mapping'!$AA:$AA,473)</f>
        <v>267000</v>
      </c>
      <c r="H30" s="627">
        <f>$G30*IFERROR(INDEX(Lists!$AD:$AD,MATCH($E30,Lists!$AC:$AC,0)),1)</f>
        <v>267000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Mapping'!$B:$B,474)</f>
        <v>Ring fenced selection</v>
      </c>
      <c r="C31" s="634" t="str">
        <f>INDEX('REVIEW - Complete Role Mapping'!$C:$C,474)</f>
        <v>Cloud Solutions Architect</v>
      </c>
      <c r="D31" s="612" t="str">
        <f>INDEX('REVIEW - Complete Role Mapping'!$AK:$AK,474)</f>
        <v>Filled</v>
      </c>
      <c r="E31" s="612" t="inlineStr">
        <is>
          <t>Filled</t>
        </is>
      </c>
      <c r="F31" s="634" t="str">
        <f>IF(INDEX('REVIEW - Complete Role Mapping'!$AR:$AR,474)="Squad",INDEX('REVIEW - Complete Role Mapping'!$AP:$AP,474),INDEX('REVIEW - Complete Role Mapping'!$AR:$AR,474))</f>
        <v>Cloud, Network &amp; Infra Ops</v>
      </c>
      <c r="G31" s="627">
        <f>INDEX('REVIEW - Complete Role Mapping'!$AA:$AA,474)</f>
        <v>267000</v>
      </c>
      <c r="H31" s="627">
        <f>$G31*IFERROR(INDEX(Lists!$AD:$AD,MATCH($E31,Lists!$AC:$AC,0)),1)</f>
        <v>267000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Mapping'!$B:$B,475)</f>
        <v>Ring fenced selection</v>
      </c>
      <c r="C32" s="634" t="str">
        <f>INDEX('REVIEW - Complete Role Mapping'!$C:$C,475)</f>
        <v>Cloud Solutions Architect</v>
      </c>
      <c r="D32" s="612" t="str">
        <f>INDEX('REVIEW - Complete Role Mapping'!$AK:$AK,475)</f>
        <v>Filled</v>
      </c>
      <c r="E32" s="647" t="inlineStr">
        <is>
          <t>Filled</t>
        </is>
      </c>
      <c r="F32" s="648" t="str">
        <f>IF(INDEX('REVIEW - Complete Role Mapping'!$AR:$AR,475)="Squad",INDEX('REVIEW - Complete Role Mapping'!$AP:$AP,475),INDEX('REVIEW - Complete Role Mapping'!$AR:$AR,475))</f>
        <v>Cloud, Network &amp; Infra Ops</v>
      </c>
      <c r="G32" s="627">
        <f>INDEX('REVIEW - Complete Role Mapping'!$AA:$AA,475)</f>
        <v>267000</v>
      </c>
      <c r="H32" s="627">
        <f>$G32*IFERROR(INDEX(Lists!$AD:$AD,MATCH($E32,Lists!$AC:$AC,0)),1)</f>
        <v>267000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Mapping'!$B:$B,476)</f>
        <v>Ring fenced selection</v>
      </c>
      <c r="C33" s="634" t="str">
        <f>INDEX('REVIEW - Complete Role Mapping'!$C:$C,476)</f>
        <v>Cloud Solutions Architect</v>
      </c>
      <c r="D33" s="612" t="str">
        <f>INDEX('REVIEW - Complete Role Mapping'!$AK:$AK,476)</f>
        <v>Filled</v>
      </c>
      <c r="E33" s="647" t="inlineStr">
        <is>
          <t>Filled</t>
        </is>
      </c>
      <c r="F33" s="648" t="str">
        <f>IF(INDEX('REVIEW - Complete Role Mapping'!$AR:$AR,476)="Squad",INDEX('REVIEW - Complete Role Mapping'!$AP:$AP,476),INDEX('REVIEW - Complete Role Mapping'!$AR:$AR,476))</f>
        <v>Cloud, Network &amp; Infra Ops</v>
      </c>
      <c r="G33" s="627">
        <f>INDEX('REVIEW - Complete Role Mapping'!$AA:$AA,476)</f>
        <v>267000</v>
      </c>
      <c r="H33" s="627">
        <f>$G33*IFERROR(INDEX(Lists!$AD:$AD,MATCH($E33,Lists!$AC:$AC,0)),1)</f>
        <v>267000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Mapping'!$B:$B,477)</f>
        <v>Satish Chowdhary</v>
      </c>
      <c r="C34" s="634" t="str">
        <f>INDEX('REVIEW - Complete Role Mapping'!$C:$C,477)</f>
        <v>Nework Architect</v>
      </c>
      <c r="D34" s="612" t="str">
        <f>INDEX('REVIEW - Complete Role Mapping'!$AK:$AK,477)</f>
        <v>Filled</v>
      </c>
      <c r="E34" s="647" t="inlineStr">
        <is>
          <t>Filled</t>
        </is>
      </c>
      <c r="F34" s="648" t="str">
        <f>IF(INDEX('REVIEW - Complete Role Mapping'!$AR:$AR,477)="Squad",INDEX('REVIEW - Complete Role Mapping'!$AP:$AP,477),INDEX('REVIEW - Complete Role Mapping'!$AR:$AR,477))</f>
        <v>Cloud, Network &amp; Infra Ops</v>
      </c>
      <c r="G34" s="627">
        <f>INDEX('REVIEW - Complete Role Mapping'!$AA:$AA,477)</f>
        <v>259123.5</v>
      </c>
      <c r="H34" s="627">
        <f>$G34*IFERROR(INDEX(Lists!$AD:$AD,MATCH($E34,Lists!$AC:$AC,0)),1)</f>
        <v>259123.5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Mapping'!$B:$B,478)</f>
        <v>Steven Yong</v>
      </c>
      <c r="C35" s="634" t="str">
        <f>INDEX('REVIEW - Complete Role Mapping'!$C:$C,478)</f>
        <v>Nework Architect</v>
      </c>
      <c r="D35" s="612" t="str">
        <f>INDEX('REVIEW - Complete Role Mapping'!$AK:$AK,478)</f>
        <v>Filled</v>
      </c>
      <c r="E35" s="647" t="inlineStr">
        <is>
          <t>Filled</t>
        </is>
      </c>
      <c r="F35" s="648" t="str">
        <f>IF(INDEX('REVIEW - Complete Role Mapping'!$AR:$AR,478)="Squad",INDEX('REVIEW - Complete Role Mapping'!$AP:$AP,478),INDEX('REVIEW - Complete Role Mapping'!$AR:$AR,478))</f>
        <v>Cloud, Network &amp; Infra Ops</v>
      </c>
      <c r="G35" s="627">
        <f>INDEX('REVIEW - Complete Role Mapping'!$AA:$AA,478)</f>
        <v>243423.9</v>
      </c>
      <c r="H35" s="627">
        <f>$G35*IFERROR(INDEX(Lists!$AD:$AD,MATCH($E35,Lists!$AC:$AC,0)),1)</f>
        <v>243423.9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Mapping'!$B:$B,513)</f>
        <v>Vacant</v>
      </c>
      <c r="C36" s="634" t="str">
        <f>INDEX('REVIEW - Complete Role Mapping'!$C:$C,513)</f>
        <v>Infrastructure Operations Lead</v>
      </c>
      <c r="D36" s="612" t="str">
        <f>INDEX('REVIEW - Complete Role Mapping'!$AK:$AK,513)</f>
        <v>Vacant</v>
      </c>
      <c r="E36" s="612" t="inlineStr">
        <is>
          <t>Hold</t>
        </is>
      </c>
      <c r="F36" s="634" t="str">
        <f>IF(INDEX('REVIEW - Complete Role Mapping'!$AR:$AR,513)="Squad",INDEX('REVIEW - Complete Role Mapping'!$AP:$AP,513),INDEX('REVIEW - Complete Role Mapping'!$AR:$AR,513))</f>
        <v>Cloud, Network &amp; Infra Ops</v>
      </c>
      <c r="G36" s="627">
        <f>INDEX('REVIEW - Complete Role Mapping'!$AA:$AA,513)</f>
        <v>202853.25</v>
      </c>
      <c r="H36" s="627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Mapping'!$B:$B,483)</f>
        <v>Archana Chetiwal</v>
      </c>
      <c r="C37" s="634" t="str">
        <f>INDEX('REVIEW - Complete Role Mapping'!$C:$C,483)</f>
        <v>Snr Engineer</v>
      </c>
      <c r="D37" s="612" t="str">
        <f>INDEX('REVIEW - Complete Role Mapping'!$AK:$AK,483)</f>
        <v>Filled</v>
      </c>
      <c r="E37" s="612" t="inlineStr">
        <is>
          <t>Filled</t>
        </is>
      </c>
      <c r="F37" s="634" t="str">
        <f>IF(INDEX('REVIEW - Complete Role Mapping'!$AR:$AR,483)="Squad",INDEX('REVIEW - Complete Role Mapping'!$AP:$AP,483),INDEX('REVIEW - Complete Role Mapping'!$AR:$AR,483))</f>
        <v>Integration &amp; Process Automation</v>
      </c>
      <c r="G37" s="627">
        <f>INDEX('REVIEW - Complete Role Mapping'!$AA:$AA,483)</f>
        <v>186900</v>
      </c>
      <c r="H37" s="627">
        <f>$G37*IFERROR(INDEX(Lists!$AD:$AD,MATCH($E37,Lists!$AC:$AC,0)),1)</f>
        <v>186900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Mapping'!$B:$B,484)</f>
        <v>Bala Thiruvadi</v>
      </c>
      <c r="C38" s="634" t="str">
        <f>INDEX('REVIEW - Complete Role Mapping'!$C:$C,484)</f>
        <v>Integration Architect - Boomi</v>
      </c>
      <c r="D38" s="612" t="str">
        <f>INDEX('REVIEW - Complete Role Mapping'!$AK:$AK,484)</f>
        <v>Filled</v>
      </c>
      <c r="E38" s="647" t="inlineStr">
        <is>
          <t>Filled</t>
        </is>
      </c>
      <c r="F38" s="648" t="str">
        <f>IF(INDEX('REVIEW - Complete Role Mapping'!$AR:$AR,484)="Squad",INDEX('REVIEW - Complete Role Mapping'!$AP:$AP,484),INDEX('REVIEW - Complete Role Mapping'!$AR:$AR,484))</f>
        <v>Integration &amp; Process Automation</v>
      </c>
      <c r="G38" s="627">
        <f>INDEX('REVIEW - Complete Role Mapping'!$AA:$AA,484)</f>
        <v>271902.12</v>
      </c>
      <c r="H38" s="627">
        <f>$G38*IFERROR(INDEX(Lists!$AD:$AD,MATCH($E38,Lists!$AC:$AC,0)),1)</f>
        <v>271902.12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Mapping'!$B:$B,485)</f>
        <v>Joel Krijnen</v>
      </c>
      <c r="C39" s="646" t="str">
        <f>INDEX('REVIEW - Complete Role Mapping'!$C:$C,485)</f>
        <v>Lead Engineer Software</v>
      </c>
      <c r="D39" s="646" t="str">
        <f>INDEX('REVIEW - Complete Role Mapping'!$AK:$AK,485)</f>
        <v>Filled</v>
      </c>
      <c r="E39" s="646" t="inlineStr">
        <is>
          <t>Filled</t>
        </is>
      </c>
      <c r="F39" s="646" t="str">
        <f>IF(INDEX('REVIEW - Complete Role Mapping'!$AR:$AR,485)="Squad",INDEX('REVIEW - Complete Role Mapping'!$AP:$AP,485),INDEX('REVIEW - Complete Role Mapping'!$AR:$AR,485))</f>
        <v>Integration &amp; Process Automation</v>
      </c>
      <c r="G39" s="627">
        <f>INDEX('REVIEW - Complete Role Mapping'!$AA:$AA,485)</f>
        <v>178115.628</v>
      </c>
      <c r="H39" s="627">
        <f>$G39*IFERROR(INDEX(Lists!$AD:$AD,MATCH($E39,Lists!$AC:$AC,0)),1)</f>
        <v>178115.628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Mapping'!$B:$B,486)</f>
        <v>Lisa Rademakers</v>
      </c>
      <c r="C40" s="634" t="str">
        <f>INDEX('REVIEW - Complete Role Mapping'!$C:$C,486)</f>
        <v>Delivery Lead (Integrations)</v>
      </c>
      <c r="D40" s="612" t="str">
        <f>INDEX('REVIEW - Complete Role Mapping'!$AK:$AK,486)</f>
        <v>Filled</v>
      </c>
      <c r="E40" s="612" t="inlineStr">
        <is>
          <t>Filled</t>
        </is>
      </c>
      <c r="F40" s="634" t="str">
        <f>IF(INDEX('REVIEW - Complete Role Mapping'!$AR:$AR,486)="Squad",INDEX('REVIEW - Complete Role Mapping'!$AP:$AP,486),INDEX('REVIEW - Complete Role Mapping'!$AR:$AR,486))</f>
        <v>Integration &amp; Process Automation</v>
      </c>
      <c r="G40" s="627">
        <f>INDEX('REVIEW - Complete Role Mapping'!$AA:$AA,486)</f>
        <v>202320.552</v>
      </c>
      <c r="H40" s="627">
        <f>$G40*IFERROR(INDEX(Lists!$AD:$AD,MATCH($E40,Lists!$AC:$AC,0)),1)</f>
        <v>202320.552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Mapping'!$B:$B,487)</f>
        <v>Michael Weng</v>
      </c>
      <c r="C41" s="646" t="str">
        <f>INDEX('REVIEW - Complete Role Mapping'!$C:$C,487)</f>
        <v>Solution Architect</v>
      </c>
      <c r="D41" s="646" t="str">
        <f>INDEX('REVIEW - Complete Role Mapping'!$AK:$AK,487)</f>
        <v>Filled</v>
      </c>
      <c r="E41" s="646" t="inlineStr">
        <is>
          <t>Filled</t>
        </is>
      </c>
      <c r="F41" s="646" t="str">
        <f>IF(INDEX('REVIEW - Complete Role Mapping'!$AR:$AR,487)="Squad",INDEX('REVIEW - Complete Role Mapping'!$AP:$AP,487),INDEX('REVIEW - Complete Role Mapping'!$AR:$AR,487))</f>
        <v>Integration &amp; Process Automation</v>
      </c>
      <c r="G41" s="627">
        <f>INDEX('REVIEW - Complete Role Mapping'!$AA:$AA,487)</f>
        <v>216227.916</v>
      </c>
      <c r="H41" s="627">
        <f>$G41*IFERROR(INDEX(Lists!$AD:$AD,MATCH($E41,Lists!$AC:$AC,0)),1)</f>
        <v>216227.916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Mapping'!$B:$B,491)</f>
        <v>Nidhi Aggarwal</v>
      </c>
      <c r="C42" s="634" t="str">
        <f>INDEX('REVIEW - Complete Role Mapping'!$C:$C,491)</f>
        <v>Snr Engineer - Boomi</v>
      </c>
      <c r="D42" s="612" t="str">
        <f>INDEX('REVIEW - Complete Role Mapping'!$AK:$AK,491)</f>
        <v>Filled</v>
      </c>
      <c r="E42" s="612" t="inlineStr">
        <is>
          <t>Filled</t>
        </is>
      </c>
      <c r="F42" s="634" t="str">
        <f>IF(INDEX('REVIEW - Complete Role Mapping'!$AR:$AR,491)="Squad",INDEX('REVIEW - Complete Role Mapping'!$AP:$AP,491),INDEX('REVIEW - Complete Role Mapping'!$AR:$AR,491))</f>
        <v>Integration &amp; Process Automation</v>
      </c>
      <c r="G42" s="627">
        <f>INDEX('REVIEW - Complete Role Mapping'!$AA:$AA,491)</f>
        <v>0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Mapping'!$B:$B,489)</f>
        <v>Noel Morris</v>
      </c>
      <c r="C43" s="634" t="str">
        <f>INDEX('REVIEW - Complete Role Mapping'!$C:$C,489)</f>
        <v>Snr Engineer</v>
      </c>
      <c r="D43" s="612" t="str">
        <f>INDEX('REVIEW - Complete Role Mapping'!$AK:$AK,489)</f>
        <v>Filled</v>
      </c>
      <c r="E43" s="612" t="inlineStr">
        <is>
          <t>Filled</t>
        </is>
      </c>
      <c r="F43" s="634" t="str">
        <f>IF(INDEX('REVIEW - Complete Role Mapping'!$AR:$AR,489)="Squad",INDEX('REVIEW - Complete Role Mapping'!$AP:$AP,489),INDEX('REVIEW - Complete Role Mapping'!$AR:$AR,489))</f>
        <v>Integration &amp; Process Automation</v>
      </c>
      <c r="G43" s="627">
        <f>INDEX('REVIEW - Complete Role Mapping'!$AA:$AA,489)</f>
        <v>139607.28</v>
      </c>
      <c r="H43" s="627">
        <f>$G43*IFERROR(INDEX(Lists!$AD:$AD,MATCH($E43,Lists!$AC:$AC,0)),1)</f>
        <v>139607.28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Mapping'!$B:$B,490)</f>
        <v>Thandava Krishna Kakarala</v>
      </c>
      <c r="C44" s="634" t="str">
        <f>INDEX('REVIEW - Complete Role Mapping'!$C:$C,490)</f>
        <v>Snr Engineer - Boomi</v>
      </c>
      <c r="D44" s="612" t="str">
        <f>INDEX('REVIEW - Complete Role Mapping'!$AK:$AK,490)</f>
        <v>Filled</v>
      </c>
      <c r="E44" s="612" t="inlineStr">
        <is>
          <t>Filled</t>
        </is>
      </c>
      <c r="F44" s="634" t="str">
        <f>IF(INDEX('REVIEW - Complete Role Mapping'!$AR:$AR,490)="Squad",INDEX('REVIEW - Complete Role Mapping'!$AP:$AP,490),INDEX('REVIEW - Complete Role Mapping'!$AR:$AR,490))</f>
        <v>Integration &amp; Process Automation</v>
      </c>
      <c r="G44" s="627">
        <f>INDEX('REVIEW - Complete Role Mapping'!$AA:$AA,490)</f>
        <v>186900</v>
      </c>
      <c r="H44" s="627">
        <f>$G44*IFERROR(INDEX(Lists!$AD:$AD,MATCH($E44,Lists!$AC:$AC,0)),1)</f>
        <v>186900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Mapping'!$B:$B,514)</f>
        <v>Vacant</v>
      </c>
      <c r="C45" s="634" t="str">
        <f>INDEX('REVIEW - Complete Role Mapping'!$C:$C,514)</f>
        <v>RPA Lead</v>
      </c>
      <c r="D45" s="612" t="str">
        <f>INDEX('REVIEW - Complete Role Mapping'!$AK:$AK,514)</f>
        <v>Vacant</v>
      </c>
      <c r="E45" s="612" t="inlineStr">
        <is>
          <t>Hold</t>
        </is>
      </c>
      <c r="F45" s="634" t="str">
        <f>IF(INDEX('REVIEW - Complete Role Mapping'!$AR:$AR,514)="Squad",INDEX('REVIEW - Complete Role Mapping'!$AP:$AP,514),INDEX('REVIEW - Complete Role Mapping'!$AR:$AR,514))</f>
        <v>Integration &amp; Process Automation</v>
      </c>
      <c r="G45" s="627">
        <f>INDEX('REVIEW - Complete Role Mapping'!$AA:$AA,514)</f>
        <v>231689.25</v>
      </c>
      <c r="H45" s="627">
        <f>$G45*IFERROR(INDEX(Lists!$AD:$AD,MATCH($E45,Lists!$AC:$AC,0)),1)</f>
        <v>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Mapping'!$B:$B,516)</f>
        <v>Vacant</v>
      </c>
      <c r="C46" s="634" t="str">
        <f>INDEX('REVIEW - Complete Role Mapping'!$C:$C,516)</f>
        <v>Business Analyst (Integrations)</v>
      </c>
      <c r="D46" s="612" t="str">
        <f>INDEX('REVIEW - Complete Role Mapping'!$AK:$AK,516)</f>
        <v>Vacant</v>
      </c>
      <c r="E46" s="647" t="inlineStr">
        <is>
          <t>Hold</t>
        </is>
      </c>
      <c r="F46" s="648" t="str">
        <f>IF(INDEX('REVIEW - Complete Role Mapping'!$AR:$AR,516)="Squad",INDEX('REVIEW - Complete Role Mapping'!$AP:$AP,516),INDEX('REVIEW - Complete Role Mapping'!$AR:$AR,516))</f>
        <v>Integration &amp; Process Automation</v>
      </c>
      <c r="G46" s="627">
        <f>INDEX('REVIEW - Complete Role Mapping'!$AA:$AA,516)</f>
        <v>201585</v>
      </c>
      <c r="H46" s="627">
        <f>$G46*IFERROR(INDEX(Lists!$AD:$AD,MATCH($E46,Lists!$AC:$AC,0)),1)</f>
        <v>0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Mapping'!$B:$B,479)</f>
        <v>Lucas Wang</v>
      </c>
      <c r="C47" s="634" t="str">
        <f>INDEX('REVIEW - Complete Role Mapping'!$C:$C,479)</f>
        <v>Senior Engineer (Automation Test)</v>
      </c>
      <c r="D47" s="612" t="str">
        <f>INDEX('REVIEW - Complete Role Mapping'!$AK:$AK,479)</f>
        <v>Filled</v>
      </c>
      <c r="E47" s="647" t="inlineStr">
        <is>
          <t>Filled</t>
        </is>
      </c>
      <c r="F47" s="648" t="str">
        <f>IF(INDEX('REVIEW - Complete Role Mapping'!$AR:$AR,479)="Squad",INDEX('REVIEW - Complete Role Mapping'!$AP:$AP,479),INDEX('REVIEW - Complete Role Mapping'!$AR:$AR,479))</f>
        <v>DevOps &amp; QE</v>
      </c>
      <c r="G47" s="627">
        <f>INDEX('REVIEW - Complete Role Mapping'!$AA:$AA,479)</f>
        <v>194522.85</v>
      </c>
      <c r="H47" s="627">
        <f>$G47*IFERROR(INDEX(Lists!$AD:$AD,MATCH($E47,Lists!$AC:$AC,0)),1)</f>
        <v>194522.85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Mapping'!$B:$B,480)</f>
        <v>Luke Hamer</v>
      </c>
      <c r="C48" s="634" t="str">
        <f>INDEX('REVIEW - Complete Role Mapping'!$C:$C,480)</f>
        <v>Lead Engineer - Devops</v>
      </c>
      <c r="D48" s="612" t="str">
        <f>INDEX('REVIEW - Complete Role Mapping'!$AK:$AK,480)</f>
        <v>Filled</v>
      </c>
      <c r="E48" s="647" t="inlineStr">
        <is>
          <t>Filled</t>
        </is>
      </c>
      <c r="F48" s="648" t="str">
        <f>IF(INDEX('REVIEW - Complete Role Mapping'!$AR:$AR,480)="Squad",INDEX('REVIEW - Complete Role Mapping'!$AP:$AP,480),INDEX('REVIEW - Complete Role Mapping'!$AR:$AR,480))</f>
        <v>DevOps &amp; QE</v>
      </c>
      <c r="G48" s="627">
        <f>INDEX('REVIEW - Complete Role Mapping'!$AA:$AA,480)</f>
        <v>183060.72</v>
      </c>
      <c r="H48" s="627">
        <f>$G48*IFERROR(INDEX(Lists!$AD:$AD,MATCH($E48,Lists!$AC:$AC,0)),1)</f>
        <v>183060.72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Mapping'!$B:$B,481)</f>
        <v>Mike Lealamanu</v>
      </c>
      <c r="C49" s="634" t="str">
        <f>INDEX('REVIEW - Complete Role Mapping'!$C:$C,481)</f>
        <v>Quality Assurance</v>
      </c>
      <c r="D49" s="612" t="str">
        <f>INDEX('REVIEW - Complete Role Mapping'!$AK:$AK,481)</f>
        <v>Filled</v>
      </c>
      <c r="E49" s="647" t="inlineStr">
        <is>
          <t>Filled</t>
        </is>
      </c>
      <c r="F49" s="648" t="str">
        <f>IF(INDEX('REVIEW - Complete Role Mapping'!$AR:$AR,481)="Squad",INDEX('REVIEW - Complete Role Mapping'!$AP:$AP,481),INDEX('REVIEW - Complete Role Mapping'!$AR:$AR,481))</f>
        <v>DevOps &amp; QE</v>
      </c>
      <c r="G49" s="627">
        <f>INDEX('REVIEW - Complete Role Mapping'!$AA:$AA,481)</f>
        <v>133983.228</v>
      </c>
      <c r="H49" s="627">
        <f>$G49*IFERROR(INDEX(Lists!$AD:$AD,MATCH($E49,Lists!$AC:$AC,0)),1)</f>
        <v>133983.228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Mapping'!$B:$B,482)</f>
        <v>Sunny Arya</v>
      </c>
      <c r="C50" s="646" t="str">
        <f>INDEX('REVIEW - Complete Role Mapping'!$C:$C,482)</f>
        <v>Lead Engineer, Devops</v>
      </c>
      <c r="D50" s="646" t="str">
        <f>INDEX('REVIEW - Complete Role Mapping'!$AK:$AK,482)</f>
        <v>Filled</v>
      </c>
      <c r="E50" s="646" t="inlineStr">
        <is>
          <t>Filled</t>
        </is>
      </c>
      <c r="F50" s="646" t="str">
        <f>IF(INDEX('REVIEW - Complete Role Mapping'!$AR:$AR,482)="Squad",INDEX('REVIEW - Complete Role Mapping'!$AP:$AP,482),INDEX('REVIEW - Complete Role Mapping'!$AR:$AR,482))</f>
        <v>DevOps &amp; QE</v>
      </c>
      <c r="G50" s="627">
        <f>INDEX('REVIEW - Complete Role Mapping'!$AA:$AA,482)</f>
        <v>200940</v>
      </c>
      <c r="H50" s="627">
        <f>$G50*IFERROR(INDEX(Lists!$AD:$AD,MATCH($E50,Lists!$AC:$AC,0)),1)</f>
        <v>200940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Mapping'!$B:$B,515)</f>
        <v>Vacant</v>
      </c>
      <c r="C51" s="634" t="str">
        <f>INDEX('REVIEW - Complete Role Mapping'!$C:$C,515)</f>
        <v>Senior Engineer (Automation Test)</v>
      </c>
      <c r="D51" s="612" t="str">
        <f>INDEX('REVIEW - Complete Role Mapping'!$AK:$AK,515)</f>
        <v>Vacant</v>
      </c>
      <c r="E51" s="612" t="inlineStr">
        <is>
          <t>Hold</t>
        </is>
      </c>
      <c r="F51" s="634" t="str">
        <f>IF(INDEX('REVIEW - Complete Role Mapping'!$AR:$AR,515)="Squad",INDEX('REVIEW - Complete Role Mapping'!$AP:$AP,515),INDEX('REVIEW - Complete Role Mapping'!$AR:$AR,515))</f>
        <v>DevOps &amp; QE</v>
      </c>
      <c r="G51" s="627">
        <f>INDEX('REVIEW - Complete Role Mapping'!$AA:$AA,515)</f>
        <v>202853.25</v>
      </c>
      <c r="H51" s="627">
        <f>$G51*IFERROR(INDEX(Lists!$AD:$AD,MATCH($E51,Lists!$AC:$AC,0)),1)</f>
        <v>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Mapping'!$B:$B,520)</f>
        <v>Vacant</v>
      </c>
      <c r="C52" s="634" t="str">
        <f>INDEX('REVIEW - Complete Role Mapping'!$C:$C,520)</f>
        <v>Environments and Test Data Manager</v>
      </c>
      <c r="D52" s="612" t="str">
        <f>INDEX('REVIEW - Complete Role Mapping'!$AK:$AK,520)</f>
        <v>Vacant</v>
      </c>
      <c r="E52" s="612" t="inlineStr">
        <is>
          <t>Hold</t>
        </is>
      </c>
      <c r="F52" s="634" t="str">
        <f>IF(INDEX('REVIEW - Complete Role Mapping'!$AR:$AR,520)="Squad",INDEX('REVIEW - Complete Role Mapping'!$AP:$AP,520),INDEX('REVIEW - Complete Role Mapping'!$AR:$AR,520))</f>
        <v>DevOps &amp; QE</v>
      </c>
      <c r="G52" s="627">
        <f>INDEX('REVIEW - Complete Role Mapping'!$AA:$AA,520)</f>
        <v>202853.25</v>
      </c>
      <c r="H52" s="627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Mapping'!$B:$B,521)</f>
        <v>Vacant</v>
      </c>
      <c r="C53" s="634" t="str">
        <f>INDEX('REVIEW - Complete Role Mapping'!$C:$C,521)</f>
        <v>Lead Engineer (Automation Test)</v>
      </c>
      <c r="D53" s="612" t="str">
        <f>INDEX('REVIEW - Complete Role Mapping'!$AK:$AK,521)</f>
        <v>Vacant</v>
      </c>
      <c r="E53" s="612" t="inlineStr">
        <is>
          <t>Hold</t>
        </is>
      </c>
      <c r="F53" s="634" t="str">
        <f>IF(INDEX('REVIEW - Complete Role Mapping'!$AR:$AR,521)="Squad",INDEX('REVIEW - Complete Role Mapping'!$AP:$AP,521),INDEX('REVIEW - Complete Role Mapping'!$AR:$AR,521))</f>
        <v>DevOps &amp; QE</v>
      </c>
      <c r="G53" s="627">
        <f>INDEX('REVIEW - Complete Role Mapping'!$AA:$AA,521)</f>
        <v>231689.25</v>
      </c>
      <c r="H53" s="627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Mapping'!$B:$B,522)</f>
        <v>Vacant</v>
      </c>
      <c r="C54" s="634" t="str">
        <f>INDEX('REVIEW - Complete Role Mapping'!$C:$C,522)</f>
        <v>Lead Engineer Software</v>
      </c>
      <c r="D54" s="612" t="str">
        <f>INDEX('REVIEW - Complete Role Mapping'!$AK:$AK,522)</f>
        <v>Vacant</v>
      </c>
      <c r="E54" s="612" t="inlineStr">
        <is>
          <t>Hold</t>
        </is>
      </c>
      <c r="F54" s="634" t="str">
        <f>IF(INDEX('REVIEW - Complete Role Mapping'!$AR:$AR,522)="Squad",INDEX('REVIEW - Complete Role Mapping'!$AP:$AP,522),INDEX('REVIEW - Complete Role Mapping'!$AR:$AR,522))</f>
        <v>DevOps &amp; QE</v>
      </c>
      <c r="G54" s="627">
        <f>INDEX('REVIEW - Complete Role Mapping'!$AA:$AA,522)</f>
        <v>231689.25</v>
      </c>
      <c r="H54" s="627">
        <f>$G54*IFERROR(INDEX(Lists!$AD:$AD,MATCH($E54,Lists!$AC:$AC,0)),1)</f>
        <v>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Mapping'!$B:$B,492)</f>
        <v>Billie Connolly</v>
      </c>
      <c r="C55" s="634" t="str">
        <f>INDEX('REVIEW - Complete Role Mapping'!$C:$C,492)</f>
        <v>Engineer - Modern Workplaces</v>
      </c>
      <c r="D55" s="612" t="str">
        <f>INDEX('REVIEW - Complete Role Mapping'!$AK:$AK,492)</f>
        <v>Filled</v>
      </c>
      <c r="E55" s="612" t="inlineStr">
        <is>
          <t>Filled</t>
        </is>
      </c>
      <c r="F55" s="634" t="str">
        <f>IF(INDEX('REVIEW - Complete Role Mapping'!$AR:$AR,492)="Squad",INDEX('REVIEW - Complete Role Mapping'!$AP:$AP,492),INDEX('REVIEW - Complete Role Mapping'!$AR:$AR,492))</f>
        <v>Workplace &amp; Enterprise Tooling</v>
      </c>
      <c r="G55" s="627">
        <f>INDEX('REVIEW - Complete Role Mapping'!$AA:$AA,492)</f>
        <v>135906.948</v>
      </c>
      <c r="H55" s="627">
        <f>$G55*IFERROR(INDEX(Lists!$AD:$AD,MATCH($E55,Lists!$AC:$AC,0)),1)</f>
        <v>135906.948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Mapping'!$B:$B,493)</f>
        <v>Ken Thomson</v>
      </c>
      <c r="C56" s="634" t="str">
        <f>INDEX('REVIEW - Complete Role Mapping'!$C:$C,493)</f>
        <v>Servicenow Platform Specialist</v>
      </c>
      <c r="D56" s="612" t="str">
        <f>INDEX('REVIEW - Complete Role Mapping'!$AK:$AK,493)</f>
        <v>Filled</v>
      </c>
      <c r="E56" s="612" t="inlineStr">
        <is>
          <t>Filled</t>
        </is>
      </c>
      <c r="F56" s="634" t="str">
        <f>IF(INDEX('REVIEW - Complete Role Mapping'!$AR:$AR,493)="Squad",INDEX('REVIEW - Complete Role Mapping'!$AP:$AP,493),INDEX('REVIEW - Complete Role Mapping'!$AR:$AR,493))</f>
        <v>Workplace &amp; Enterprise Tooling</v>
      </c>
      <c r="G56" s="627">
        <f>INDEX('REVIEW - Complete Role Mapping'!$AA:$AA,493)</f>
        <v>220875.75</v>
      </c>
      <c r="H56" s="627">
        <f>$G56*IFERROR(INDEX(Lists!$AD:$AD,MATCH($E56,Lists!$AC:$AC,0)),1)</f>
        <v>220875.75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Mapping'!$B:$B,494)</f>
        <v>Nicholas McKay</v>
      </c>
      <c r="C57" s="634" t="str">
        <f>INDEX('REVIEW - Complete Role Mapping'!$C:$C,494)</f>
        <v>Workplace Tooling Specialist</v>
      </c>
      <c r="D57" s="612" t="str">
        <f>INDEX('REVIEW - Complete Role Mapping'!$AK:$AK,494)</f>
        <v>Filled</v>
      </c>
      <c r="E57" s="647" t="inlineStr">
        <is>
          <t>Filled</t>
        </is>
      </c>
      <c r="F57" s="648" t="str">
        <f>IF(INDEX('REVIEW - Complete Role Mapping'!$AR:$AR,494)="Squad",INDEX('REVIEW - Complete Role Mapping'!$AP:$AP,494),INDEX('REVIEW - Complete Role Mapping'!$AR:$AR,494))</f>
        <v>Workplace &amp; Enterprise Tooling</v>
      </c>
      <c r="G57" s="627">
        <f>INDEX('REVIEW - Complete Role Mapping'!$AA:$AA,494)</f>
        <v>212438.55</v>
      </c>
      <c r="H57" s="627">
        <f>$G57*IFERROR(INDEX(Lists!$AD:$AD,MATCH($E57,Lists!$AC:$AC,0)),1)</f>
        <v>212438.55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Mapping'!$B:$B,527)</f>
        <v>Rob Struthers</v>
      </c>
      <c r="C58" s="634" t="str">
        <f>INDEX('REVIEW - Complete Role Mapping'!$C:$C,527)</f>
        <v>Engineer - Modern Workplaces</v>
      </c>
      <c r="D58" s="612" t="str">
        <f>INDEX('REVIEW - Complete Role Mapping'!$AK:$AK,527)</f>
        <v>Filled</v>
      </c>
      <c r="E58" s="647" t="inlineStr">
        <is>
          <t>Filled</t>
        </is>
      </c>
      <c r="F58" s="648" t="str">
        <f>IF(INDEX('REVIEW - Complete Role Mapping'!$AR:$AR,527)="Squad",INDEX('REVIEW - Complete Role Mapping'!$AP:$AP,527),INDEX('REVIEW - Complete Role Mapping'!$AR:$AR,527))</f>
        <v>Workplace &amp; Enterprise Tooling</v>
      </c>
      <c r="G58" s="627">
        <f>INDEX('REVIEW - Complete Role Mapping'!$AA:$AA,527)</f>
        <v>143669.724</v>
      </c>
      <c r="H58" s="627">
        <f>$G58*IFERROR(INDEX(Lists!$AD:$AD,MATCH($E58,Lists!$AC:$AC,0)),1)</f>
        <v>143669.724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Mapping'!$B:$B,517)</f>
        <v>Vacant</v>
      </c>
      <c r="C59" s="646" t="str">
        <f>INDEX('REVIEW - Complete Role Mapping'!$C:$C,517)</f>
        <v>Business Analyst (Workplace &amp; Enterprise Tooling)</v>
      </c>
      <c r="D59" s="646" t="str">
        <f>INDEX('REVIEW - Complete Role Mapping'!$AK:$AK,517)</f>
        <v>Vacant</v>
      </c>
      <c r="E59" s="646" t="inlineStr">
        <is>
          <t>Hold</t>
        </is>
      </c>
      <c r="F59" s="646" t="str">
        <f>IF(INDEX('REVIEW - Complete Role Mapping'!$AR:$AR,517)="Squad",INDEX('REVIEW - Complete Role Mapping'!$AP:$AP,517),INDEX('REVIEW - Complete Role Mapping'!$AR:$AR,517))</f>
        <v>Workplace &amp; Enterprise Tooling</v>
      </c>
      <c r="G59" s="627">
        <f>INDEX('REVIEW - Complete Role Mapping'!$AA:$AA,517)</f>
        <v>201585</v>
      </c>
      <c r="H59" s="627">
        <f>$G59*IFERROR(INDEX(Lists!$AD:$AD,MATCH($E59,Lists!$AC:$AC,0)),1)</f>
        <v>0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Mapping'!$B:$B,519)</f>
        <v>Vacant</v>
      </c>
      <c r="C60" s="634" t="str">
        <f>INDEX('REVIEW - Complete Role Mapping'!$C:$C,519)</f>
        <v>Enterprise Systems Specialist</v>
      </c>
      <c r="D60" s="612" t="str">
        <f>INDEX('REVIEW - Complete Role Mapping'!$AK:$AK,519)</f>
        <v>Vacant</v>
      </c>
      <c r="E60" s="612" t="inlineStr">
        <is>
          <t>Hold</t>
        </is>
      </c>
      <c r="F60" s="634" t="str">
        <f>IF(INDEX('REVIEW - Complete Role Mapping'!$AR:$AR,519)="Squad",INDEX('REVIEW - Complete Role Mapping'!$AP:$AP,519),INDEX('REVIEW - Complete Role Mapping'!$AR:$AR,519))</f>
        <v>Workplace &amp; Enterprise Tooling</v>
      </c>
      <c r="G60" s="627">
        <f>INDEX('REVIEW - Complete Role Mapping'!$AA:$AA,519)</f>
        <v>202853.25</v>
      </c>
      <c r="H60" s="627">
        <f>$G60*IFERROR(INDEX(Lists!$AD:$AD,MATCH($E60,Lists!$AC:$AC,0)),1)</f>
        <v>0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Mapping'!$B:$B,449)</f>
        <v>Anjali Patra</v>
      </c>
      <c r="C61" s="634" t="str">
        <f>INDEX('REVIEW - Complete Role Mapping'!$C:$C,449)</f>
        <v>Delivery Lead - EGI</v>
      </c>
      <c r="D61" s="612" t="str">
        <f>INDEX('REVIEW - Complete Role Mapping'!$AK:$AK,449)</f>
        <v>Filled</v>
      </c>
      <c r="E61" s="612" t="inlineStr">
        <is>
          <t>Filled</t>
        </is>
      </c>
      <c r="F61" s="634" t="str">
        <f>IF(INDEX('REVIEW - Complete Role Mapping'!$AR:$AR,449)="Squad",INDEX('REVIEW - Complete Role Mapping'!$AP:$AP,449),INDEX('REVIEW - Complete Role Mapping'!$AR:$AR,449))</f>
        <v>EGI TDD</v>
      </c>
      <c r="G61" s="627">
        <f>INDEX('REVIEW - Complete Role Mapping'!$AA:$AA,449)</f>
        <v>210996.75</v>
      </c>
      <c r="H61" s="627">
        <f>$G61*IFERROR(INDEX(Lists!$AD:$AD,MATCH($E61,Lists!$AC:$AC,0)),1)</f>
        <v>210996.75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Mapping'!$B:$B,450)</f>
        <v>Arun Tahlan</v>
      </c>
      <c r="C62" s="634" t="str">
        <f>INDEX('REVIEW - Complete Role Mapping'!$C:$C,450)</f>
        <v>Integration Architect (C) - Boomi</v>
      </c>
      <c r="D62" s="612" t="str">
        <f>INDEX('REVIEW - Complete Role Mapping'!$AK:$AK,450)</f>
        <v>Filled</v>
      </c>
      <c r="E62" s="612" t="inlineStr">
        <is>
          <t>Filled</t>
        </is>
      </c>
      <c r="F62" s="634" t="str">
        <f>IF(INDEX('REVIEW - Complete Role Mapping'!$AR:$AR,450)="Squad",INDEX('REVIEW - Complete Role Mapping'!$AP:$AP,450),INDEX('REVIEW - Complete Role Mapping'!$AR:$AR,450))</f>
        <v>EGI TDD</v>
      </c>
      <c r="G62" s="627">
        <f>INDEX('REVIEW - Complete Role Mapping'!$AA:$AA,450)</f>
        <v>348096</v>
      </c>
      <c r="H62" s="627">
        <f>$G62*IFERROR(INDEX(Lists!$AD:$AD,MATCH($E62,Lists!$AC:$AC,0)),1)</f>
        <v>348096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Mapping'!$B:$B,452)</f>
        <v>Kris Thornley</v>
      </c>
      <c r="C63" s="634" t="str">
        <f>INDEX('REVIEW - Complete Role Mapping'!$C:$C,452)</f>
        <v>Integration Architect (C)</v>
      </c>
      <c r="D63" s="612" t="str">
        <f>INDEX('REVIEW - Complete Role Mapping'!$AK:$AK,452)</f>
        <v>Filled</v>
      </c>
      <c r="E63" s="647" t="inlineStr">
        <is>
          <t>Filled</t>
        </is>
      </c>
      <c r="F63" s="648" t="str">
        <f>IF(INDEX('REVIEW - Complete Role Mapping'!$AR:$AR,452)="Squad",INDEX('REVIEW - Complete Role Mapping'!$AP:$AP,452),INDEX('REVIEW - Complete Role Mapping'!$AR:$AR,452))</f>
        <v>EGI TDD</v>
      </c>
      <c r="G63" s="627">
        <f>INDEX('REVIEW - Complete Role Mapping'!$AA:$AA,452)</f>
        <v>266400</v>
      </c>
      <c r="H63" s="627">
        <f>$G63*IFERROR(INDEX(Lists!$AD:$AD,MATCH($E63,Lists!$AC:$AC,0)),1)</f>
        <v>266400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Mapping'!$B:$B,451)</f>
        <v>Shobhit Mittal</v>
      </c>
      <c r="C64" s="634" t="str">
        <f>INDEX('REVIEW - Complete Role Mapping'!$C:$C,451)</f>
        <v>Lead Engineer - Automation Test</v>
      </c>
      <c r="D64" s="612" t="str">
        <f>INDEX('REVIEW - Complete Role Mapping'!$AK:$AK,451)</f>
        <v>Filled</v>
      </c>
      <c r="E64" s="647" t="inlineStr">
        <is>
          <t>Filled</t>
        </is>
      </c>
      <c r="F64" s="648" t="str">
        <f>IF(INDEX('REVIEW - Complete Role Mapping'!$AR:$AR,451)="Squad",INDEX('REVIEW - Complete Role Mapping'!$AP:$AP,451),INDEX('REVIEW - Complete Role Mapping'!$AR:$AR,451))</f>
        <v>EGI TDD</v>
      </c>
      <c r="G64" s="627">
        <f>INDEX('REVIEW - Complete Role Mapping'!$AA:$AA,451)</f>
        <v>199355.76</v>
      </c>
      <c r="H64" s="627">
        <f>$G64*IFERROR(INDEX(Lists!$AD:$AD,MATCH($E64,Lists!$AC:$AC,0)),1)</f>
        <v>199355.76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Mapping'!$B:$B,512)</f>
        <v>Vacant</v>
      </c>
      <c r="C65" s="634" t="str">
        <f>INDEX('REVIEW - Complete Role Mapping'!$C:$C,512)</f>
        <v>Head of Technology - TDD &amp; Engineering Capability Lead</v>
      </c>
      <c r="D65" s="612" t="str">
        <f>INDEX('REVIEW - Complete Role Mapping'!$AK:$AK,512)</f>
        <v>Vacant</v>
      </c>
      <c r="E65" s="612" t="inlineStr">
        <is>
          <t>Hold</t>
        </is>
      </c>
      <c r="F65" s="634" t="str">
        <f>IF(INDEX('REVIEW - Complete Role Mapping'!$AR:$AR,512)="Squad",INDEX('REVIEW - Complete Role Mapping'!$AP:$AP,512),INDEX('REVIEW - Complete Role Mapping'!$AR:$AR,512))</f>
        <v>Head of Technology</v>
      </c>
      <c r="G65" s="627">
        <f>INDEX('REVIEW - Complete Role Mapping'!$AA:$AA,512)</f>
        <v>333020.25</v>
      </c>
      <c r="H65" s="627">
        <f>$G65*IFERROR(INDEX(Lists!$AD:$AD,MATCH($E65,Lists!$AC:$AC,0)),1)</f>
        <v>0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Mapping'!$B:$B,518)</f>
        <v>Vacant</v>
      </c>
      <c r="C66" s="646" t="str">
        <f>INDEX('REVIEW - Complete Role Mapping'!$C:$C,518)</f>
        <v>Delivery Manager</v>
      </c>
      <c r="D66" s="646" t="str">
        <f>INDEX('REVIEW - Complete Role Mapping'!$AK:$AK,518)</f>
        <v>Vacant</v>
      </c>
      <c r="E66" s="646" t="inlineStr">
        <is>
          <t>Hold</t>
        </is>
      </c>
      <c r="F66" s="646" t="str">
        <f>IF(INDEX('REVIEW - Complete Role Mapping'!$AR:$AR,518)="Squad",INDEX('REVIEW - Complete Role Mapping'!$AP:$AP,518),INDEX('REVIEW - Complete Role Mapping'!$AR:$AR,518))</f>
        <v>Delivery Manager</v>
      </c>
      <c r="G66" s="627">
        <f>INDEX('REVIEW - Complete Role Mapping'!$AA:$AA,518)</f>
        <v>275810.25</v>
      </c>
      <c r="H66" s="627">
        <f>$G66*IFERROR(INDEX(Lists!$AD:$AD,MATCH($E66,Lists!$AC:$AC,0)),1)</f>
        <v>0</v>
      </c>
      <c r="I66" s="949" t="n"/>
      <c r="J66" s="949" t="n"/>
      <c r="K66" s="949" t="n"/>
      <c r="L66" s="949" t="n"/>
      <c r="M66" s="949" t="n"/>
      <c r="N66" s="949" t="n"/>
    </row>
    <row r="67">
      <c r="B67" s="634" t="str">
        <f>INDEX('REVIEW - Complete Role Mapping'!$B:$B,488)</f>
        <v>Mike Seales</v>
      </c>
      <c r="C67" s="634" t="str">
        <f>INDEX('REVIEW - Complete Role Mapping'!$C:$C,488)</f>
        <v>Technology Manager, Integration &amp; Process Automation</v>
      </c>
      <c r="D67" s="612" t="str">
        <f>INDEX('REVIEW - Complete Role Mapping'!$AK:$AK,488)</f>
        <v>Filled</v>
      </c>
      <c r="E67" s="612" t="inlineStr">
        <is>
          <t>Filled</t>
        </is>
      </c>
      <c r="F67" s="634" t="str">
        <f>IF(INDEX('REVIEW - Complete Role Mapping'!$AR:$AR,488)="Squad",INDEX('REVIEW - Complete Role Mapping'!$AP:$AP,488),INDEX('REVIEW - Complete Role Mapping'!$AR:$AR,488))</f>
        <v>Technology Manager</v>
      </c>
      <c r="G67" s="627">
        <f>INDEX('REVIEW - Complete Role Mapping'!$AA:$AA,488)</f>
        <v>229230</v>
      </c>
      <c r="H67" s="627">
        <f>$G67*IFERROR(INDEX(Lists!$AD:$AD,MATCH($E67,Lists!$AC:$AC,0)),1)</f>
        <v>229230</v>
      </c>
      <c r="I67" s="949" t="n"/>
      <c r="J67" s="949" t="n"/>
      <c r="K67" s="949" t="n"/>
      <c r="L67" s="949" t="n"/>
      <c r="M67" s="949" t="n"/>
      <c r="N67" s="949" t="n"/>
    </row>
    <row r="68">
      <c r="B68" s="646" t="str">
        <f>INDEX('REVIEW - Complete Role Mapping'!$B:$B,523)</f>
        <v>Vacant</v>
      </c>
      <c r="C68" s="646" t="str">
        <f>INDEX('REVIEW - Complete Role Mapping'!$C:$C,523)</f>
        <v>Technology Manager – Cloud, Network and Infrastructure Operations</v>
      </c>
      <c r="D68" s="646" t="str">
        <f>INDEX('REVIEW - Complete Role Mapping'!$AK:$AK,523)</f>
        <v>Vacant</v>
      </c>
      <c r="E68" s="646" t="inlineStr">
        <is>
          <t>Hold</t>
        </is>
      </c>
      <c r="F68" s="646" t="str">
        <f>IF(INDEX('REVIEW - Complete Role Mapping'!$AR:$AR,523)="Squad",INDEX('REVIEW - Complete Role Mapping'!$AP:$AP,523),INDEX('REVIEW - Complete Role Mapping'!$AR:$AR,523))</f>
        <v>Technology Manager</v>
      </c>
      <c r="G68" s="1267">
        <f>INDEX('REVIEW - Complete Role Mapping'!$AA:$AA,523)</f>
        <v>275810.25</v>
      </c>
      <c r="H68" s="1267">
        <f>$G68*IFERROR(INDEX(Lists!$AD:$AD,MATCH($E68,Lists!$AC:$AC,0)),1)</f>
        <v>0</v>
      </c>
      <c r="I68" s="442" t="n"/>
      <c r="J68" s="442" t="n"/>
      <c r="K68" s="442" t="n"/>
      <c r="L68" s="442" t="n"/>
      <c r="M68" s="442" t="n"/>
      <c r="N68" s="442" t="n"/>
    </row>
    <row r="69">
      <c r="B69" s="634" t="str">
        <f>INDEX('REVIEW - Complete Role Mapping'!$B:$B,524)</f>
        <v>Vacant</v>
      </c>
      <c r="C69" s="634" t="str">
        <f>INDEX('REVIEW - Complete Role Mapping'!$C:$C,524)</f>
        <v>Technology Manager – DevOps and Quality Engineering</v>
      </c>
      <c r="D69" s="612" t="str">
        <f>INDEX('REVIEW - Complete Role Mapping'!$AK:$AK,524)</f>
        <v>Vacant</v>
      </c>
      <c r="E69" s="612" t="inlineStr">
        <is>
          <t>Hold</t>
        </is>
      </c>
      <c r="F69" s="634" t="str">
        <f>IF(INDEX('REVIEW - Complete Role Mapping'!$AR:$AR,524)="Squad",INDEX('REVIEW - Complete Role Mapping'!$AP:$AP,524),INDEX('REVIEW - Complete Role Mapping'!$AR:$AR,524))</f>
        <v>Technology Manager</v>
      </c>
      <c r="G69" s="1267">
        <f>INDEX('REVIEW - Complete Role Mapping'!$AA:$AA,524)</f>
        <v>275810.25</v>
      </c>
      <c r="H69" s="1267">
        <f>$G69*IFERROR(INDEX(Lists!$AD:$AD,MATCH($E69,Lists!$AC:$AC,0)),1)</f>
        <v>0</v>
      </c>
      <c r="I69" s="442" t="n"/>
      <c r="J69" s="442" t="n"/>
      <c r="K69" s="442" t="n"/>
      <c r="L69" s="442" t="n"/>
      <c r="M69" s="442" t="n"/>
      <c r="N69" s="442" t="n"/>
    </row>
    <row r="70">
      <c r="B70" s="634" t="str">
        <f>INDEX('REVIEW - Complete Role Mapping'!$B:$B,525)</f>
        <v>Vacant</v>
      </c>
      <c r="C70" s="634" t="str">
        <f>INDEX('REVIEW - Complete Role Mapping'!$C:$C,525)</f>
        <v>Technology Manager, Enterprise Tooling</v>
      </c>
      <c r="D70" s="612" t="str">
        <f>INDEX('REVIEW - Complete Role Mapping'!$AK:$AK,525)</f>
        <v>Vacant</v>
      </c>
      <c r="E70" s="612" t="inlineStr">
        <is>
          <t>Hold</t>
        </is>
      </c>
      <c r="F70" s="634" t="str">
        <f>IF(INDEX('REVIEW - Complete Role Mapping'!$AR:$AR,525)="Squad",INDEX('REVIEW - Complete Role Mapping'!$AP:$AP,525),INDEX('REVIEW - Complete Role Mapping'!$AR:$AR,525))</f>
        <v>Technology Manager</v>
      </c>
      <c r="G70" s="1267">
        <f>INDEX('REVIEW - Complete Role Mapping'!$AA:$AA,525)</f>
        <v>275810.25</v>
      </c>
      <c r="H70" s="1267">
        <f>$G70*IFERROR(INDEX(Lists!$AD:$AD,MATCH($E70,Lists!$AC:$AC,0)),1)</f>
        <v>0</v>
      </c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5:E70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40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COUNTIFS($F$23:$F$40,$B6)</f>
        <v>8</v>
      </c>
      <c r="F6" s="1250">
        <f>IFERROR($E6-$D6,"-")</f>
        <v>-1</v>
      </c>
      <c r="G6" s="1250">
        <f>COUNTIFS($F$23:$F$40,$B6,$D$23:$D$40,"Vacant")</f>
        <v>3</v>
      </c>
      <c r="H6" s="1250">
        <f>COUNTIFS($F$23:$F$40,$B6,$D$23:$D$40,"Vacant",$E$23:$E$40,"Hire")+COUNTIFS($F$23:$F$40,$B6,$D$23:$D$40,"Vacant",$E$23:$E$40,"Offshore")</f>
        <v>0</v>
      </c>
      <c r="I6" s="1250">
        <f>COUNTIFS($F$23:$F$40,$B6,$D$23:$D$40,"Vacant",$E$23:$E$40,"Hold")</f>
        <v>3</v>
      </c>
      <c r="J6" s="1251">
        <f>$E6-COUNTIFS($F$23:$F$40,$B6,$E$23:$E$40,"Hold")</f>
        <v>5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SUMIFS($G$23:$G$40,$F$23:$F$40,$B6)/1000000</f>
        <v>1.76551793</v>
      </c>
      <c r="N6" s="1252">
        <f>IFERROR($M6-$L6,"-")</f>
        <v>-0.33448207</v>
      </c>
      <c r="O6" s="1253">
        <f>SUMIFS($H$23:$H$40,$F$23:$F$40,$B6)/1000000</f>
        <v>1.18932168</v>
      </c>
      <c r="P6" s="1254">
        <f>$O6-$M6</f>
        <v>-0.57619625</v>
      </c>
      <c r="Q6" s="1254">
        <f>SUMIFS($G$23:$G$40,$F$23:$F$40,$B6,$D$23:$D$40,"Vacant")/1000000</f>
        <v>0.57619625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COUNTIFS($F$23:$F$40,$B7)</f>
        <v>6</v>
      </c>
      <c r="F7" s="1250">
        <f>IFERROR($E7-$D7,"-")</f>
        <v>0</v>
      </c>
      <c r="G7" s="1250">
        <f>COUNTIFS($F$23:$F$40,$B7,$D$23:$D$40,"Vacant")</f>
        <v>5</v>
      </c>
      <c r="H7" s="1250">
        <f>COUNTIFS($F$23:$F$40,$B7,$D$23:$D$40,"Vacant",$E$23:$E$40,"Hire")+COUNTIFS($F$23:$F$40,$B7,$D$23:$D$40,"Vacant",$E$23:$E$40,"Offshore")</f>
        <v>0</v>
      </c>
      <c r="I7" s="1250">
        <f>COUNTIFS($F$23:$F$40,$B7,$D$23:$D$40,"Vacant",$E$23:$E$40,"Hold")</f>
        <v>5</v>
      </c>
      <c r="J7" s="1251">
        <f>$E7-COUNTIFS($F$23:$F$40,$B7,$E$23:$E$40,"Hold")</f>
        <v>1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1.4</v>
      </c>
      <c r="M7" s="1252">
        <f>SUMIFS($G$23:$G$40,$F$23:$F$40,$B7)/1000000</f>
        <v>1.26408815</v>
      </c>
      <c r="N7" s="1252">
        <f>IFERROR($M7-$L7,"-")</f>
        <v>-0.13591185</v>
      </c>
      <c r="O7" s="1253">
        <f>SUMIFS($H$23:$H$40,$F$23:$F$40,$B7)/1000000</f>
        <v>0.2775</v>
      </c>
      <c r="P7" s="1254">
        <f>$O7-$M7</f>
        <v>-0.98658815</v>
      </c>
      <c r="Q7" s="1254">
        <f>SUMIFS($G$23:$G$40,$F$23:$F$40,$B7,$D$23:$D$40,"Vacant")/1000000</f>
        <v>0.98658815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- RTA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COUNTIFS($F$23:$F$40,$B8)</f>
        <v>1</v>
      </c>
      <c r="F8" s="1250" t="str">
        <f>IFERROR($E8-$D8,"-")</f>
        <v>-</v>
      </c>
      <c r="G8" s="1250">
        <f>COUNTIFS($F$23:$F$40,$B8,$D$23:$D$40,"Vacant")</f>
        <v>0</v>
      </c>
      <c r="H8" s="1250">
        <f>COUNTIFS($F$23:$F$40,$B8,$D$23:$D$40,"Vacant",$E$23:$E$40,"Hire")+COUNTIFS($F$23:$F$40,$B8,$D$23:$D$40,"Vacant",$E$23:$E$40,"Offshore")</f>
        <v>0</v>
      </c>
      <c r="I8" s="1250">
        <f>COUNTIFS($F$23:$F$40,$B8,$D$23:$D$40,"Vacant",$E$23:$E$40,"Hold")</f>
        <v>0</v>
      </c>
      <c r="J8" s="1251">
        <f>$E8-COUNTIFS($F$23:$F$40,$B8,$E$23:$E$40,"Hold")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SUMIFS($G$23:$G$40,$F$23:$F$40,$B8)/1000000</f>
        <v>0.238965</v>
      </c>
      <c r="N8" s="1252" t="str">
        <f>IFERROR($M8-$L8,"-")</f>
        <v>-</v>
      </c>
      <c r="O8" s="1253">
        <f>SUMIFS($H$23:$H$40,$F$23:$F$40,$B8)/1000000</f>
        <v>0.238965</v>
      </c>
      <c r="P8" s="1254">
        <f>$O8-$M8</f>
        <v>0</v>
      </c>
      <c r="Q8" s="1254">
        <f>SUMIFS($G$23:$G$40,$F$23:$F$40,$B8,$D$23:$D$40,"Vacant")/1000000</f>
        <v>0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</row>
    <row r="9">
      <c r="A9" s="949" t="n"/>
      <c r="B9" s="1231" t="inlineStr">
        <is>
          <t>Delivery squads</t>
        </is>
      </c>
      <c r="C9" s="641" t="n"/>
      <c r="D9" s="1255">
        <f>SUM(D6:D8)</f>
        <v>15</v>
      </c>
      <c r="E9" s="1255">
        <f>SUM(E6:E8)</f>
        <v>15</v>
      </c>
      <c r="F9" s="1255">
        <f>SUM(F6:F8)</f>
        <v>-1</v>
      </c>
      <c r="G9" s="1255">
        <f>SUM(G6:G8)</f>
        <v>8</v>
      </c>
      <c r="H9" s="1255">
        <f>SUM(H6:H8)</f>
        <v>0</v>
      </c>
      <c r="I9" s="1255">
        <f>SUM(I6:I8)</f>
        <v>8</v>
      </c>
      <c r="J9" s="1256">
        <f>SUM(J6:J8)</f>
        <v>7</v>
      </c>
      <c r="K9" s="1155" t="n"/>
      <c r="L9" s="1257">
        <f>SUM(L6:L8)</f>
        <v>3.5</v>
      </c>
      <c r="M9" s="1257">
        <f>SUM(M6:M8)</f>
        <v>3.26857108</v>
      </c>
      <c r="N9" s="1257">
        <f>SUM(N6:N8)</f>
        <v>-0.47039392</v>
      </c>
      <c r="O9" s="1258">
        <f>SUM(O6:O8)</f>
        <v>1.70578668</v>
      </c>
      <c r="P9" s="1254">
        <f>SUM(P6:P8)</f>
        <v>-1.5627844</v>
      </c>
      <c r="Q9" s="1254">
        <f>SUM(Q6:Q8)</f>
        <v>1.5627844</v>
      </c>
    </row>
    <row r="10">
      <c r="A10" s="949" t="n"/>
      <c r="B10" s="994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COUNTIFS($F$23:$F$40,$B11)</f>
        <v>1</v>
      </c>
      <c r="F11" s="1261" t="str">
        <f>"-"</f>
        <v>-</v>
      </c>
      <c r="G11" s="1261">
        <f>COUNTIFS($F$23:$F$40,$B11,$D$23:$D$40,"Vacant")</f>
        <v>0</v>
      </c>
      <c r="H11" s="1261">
        <f>COUNTIFS($F$23:$F$40,$B11,$D$23:$D$40,"Vacant",$E$23:$E$40,"Hire")+COUNTIFS($F$23:$F$40,$B11,$D$23:$D$40,"Vacant",$E$23:$E$40,"Offshore")</f>
        <v>0</v>
      </c>
      <c r="I11" s="1261">
        <f>COUNTIFS($F$23:$F$40,$B11,$D$23:$D$40,"Vacant",$E$23:$E$40,"Hold")</f>
        <v>0</v>
      </c>
      <c r="J11" s="1261">
        <f>$E11-COUNTIFS($F$23:$F$40,$B11,$E$23:$E$40,"Hold")</f>
        <v>1</v>
      </c>
      <c r="K11" s="949" t="str">
        <f>"Overhead"</f>
        <v>Overhead</v>
      </c>
      <c r="L11" s="1263" t="str">
        <f>"-"</f>
        <v>-</v>
      </c>
      <c r="M11" s="1263">
        <f>SUMIFS($G$23:$G$40,$F$23:$F$40,$B11)/1000000</f>
        <v>0.3642493</v>
      </c>
      <c r="N11" s="1263" t="str">
        <f>"-"</f>
        <v>-</v>
      </c>
      <c r="O11" s="1263">
        <f>SUMIFS($H$23:$H$40,$F$23:$F$40,$B11)/1000000</f>
        <v>0.3642493</v>
      </c>
      <c r="P11" s="1254">
        <f>$O11-$M11</f>
        <v>0</v>
      </c>
      <c r="Q11" s="1254">
        <f>SUMIFS($G$23:$G$40,$F$23:$F$40,$B11,$D$23:$D$40,"Vacant")/1000000</f>
        <v>0</v>
      </c>
      <c r="R11" t="str">
        <f>"-"</f>
        <v>-</v>
      </c>
    </row>
    <row r="12">
      <c r="A12" s="949" t="n"/>
      <c r="B12" s="994" t="inlineStr">
        <is>
          <t>Delivery Manager</t>
        </is>
      </c>
      <c r="C12" s="645" t="str">
        <f>"Overhead - see 3.2"</f>
        <v>Overhead - see 3.2</v>
      </c>
      <c r="D12" s="1281" t="str">
        <f>"-"</f>
        <v>-</v>
      </c>
      <c r="E12" s="1262">
        <f>COUNTIFS($F$23:$F$40,$B12)</f>
        <v>1</v>
      </c>
      <c r="F12" s="1281" t="str">
        <f>"-"</f>
        <v>-</v>
      </c>
      <c r="G12" s="1281">
        <f>COUNTIFS($F$23:$F$40,$B12,$D$23:$D$40,"Vacant")</f>
        <v>1</v>
      </c>
      <c r="H12" s="1281">
        <f>COUNTIFS($F$23:$F$40,$B12,$D$23:$D$40,"Vacant",$E$23:$E$40,"Hire")+COUNTIFS($F$23:$F$40,$B12,$D$23:$D$40,"Vacant",$E$23:$E$40,"Offshore")</f>
        <v>0</v>
      </c>
      <c r="I12" s="1281">
        <f>COUNTIFS($F$23:$F$40,$B12,$D$23:$D$40,"Vacant",$E$23:$E$40,"Hold")</f>
        <v>1</v>
      </c>
      <c r="J12" s="1281">
        <f>$E12-COUNTIFS($F$23:$F$40,$B12,$E$23:$E$40,"Hold")</f>
        <v>0</v>
      </c>
      <c r="K12" s="442" t="str">
        <f>"Overhead"</f>
        <v>Overhead</v>
      </c>
      <c r="L12" s="1282" t="str">
        <f>"-"</f>
        <v>-</v>
      </c>
      <c r="M12" s="1282">
        <f>SUMIFS($G$23:$G$40,$F$23:$F$40,$B12)/1000000</f>
        <v>0.27581025</v>
      </c>
      <c r="N12" s="1282" t="str">
        <f>"-"</f>
        <v>-</v>
      </c>
      <c r="O12" s="1263">
        <f>SUMIFS($H$23:$H$40,$F$23:$F$40,$B12)/1000000</f>
        <v>0</v>
      </c>
      <c r="P12" s="1254">
        <f>$O12-$M12</f>
        <v>-0.27581025</v>
      </c>
      <c r="Q12" s="1254">
        <f>SUMIFS($G$23:$G$40,$F$23:$F$40,$B12,$D$23:$D$40,"Vacant")/1000000</f>
        <v>0.27581025</v>
      </c>
      <c r="R12" t="str">
        <f>"-"</f>
        <v>-</v>
      </c>
    </row>
    <row r="13">
      <c r="A13" s="949" t="n"/>
      <c r="B13" s="994" t="inlineStr">
        <is>
          <t>Technology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COUNTIFS($F$23:$F$40,$B13)</f>
        <v>1</v>
      </c>
      <c r="F13" s="1281" t="str">
        <f>"-"</f>
        <v>-</v>
      </c>
      <c r="G13" s="1281">
        <f>COUNTIFS($F$23:$F$40,$B13,$D$23:$D$40,"Vacant")</f>
        <v>1</v>
      </c>
      <c r="H13" s="1281">
        <f>COUNTIFS($F$23:$F$40,$B13,$D$23:$D$40,"Vacant",$E$23:$E$40,"Hire")+COUNTIFS($F$23:$F$40,$B13,$D$23:$D$40,"Vacant",$E$23:$E$40,"Offshore")</f>
        <v>0</v>
      </c>
      <c r="I13" s="1281">
        <f>COUNTIFS($F$23:$F$40,$B13,$D$23:$D$40,"Vacant",$E$23:$E$40,"Hold")</f>
        <v>1</v>
      </c>
      <c r="J13" s="1281">
        <f>$E13-COUNTIFS($F$23:$F$40,$B13,$E$23:$E$40,"Hold")</f>
        <v>0</v>
      </c>
      <c r="K13" s="442" t="str">
        <f>"Overhead"</f>
        <v>Overhead</v>
      </c>
      <c r="L13" s="1282" t="str">
        <f>"-"</f>
        <v>-</v>
      </c>
      <c r="M13" s="1282">
        <f>SUMIFS($G$23:$G$40,$F$23:$F$40,$B13)/1000000</f>
        <v>0.27581025</v>
      </c>
      <c r="N13" s="1282" t="str">
        <f>"-"</f>
        <v>-</v>
      </c>
      <c r="O13" s="1263">
        <f>SUMIFS($H$23:$H$40,$F$23:$F$40,$B13)/1000000</f>
        <v>0</v>
      </c>
      <c r="P13" s="1254">
        <f>$O13-$M13</f>
        <v>-0.27581025</v>
      </c>
      <c r="Q13" s="1254">
        <f>SUMIFS($G$23:$G$40,$F$23:$F$40,$B13,$D$23:$D$40,"Vacant")/1000000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3</v>
      </c>
      <c r="F14" s="1261" t="n"/>
      <c r="G14" s="1261">
        <f>SUM(G11:G13)</f>
        <v>2</v>
      </c>
      <c r="H14" s="1261">
        <f>SUM(H11:H13)</f>
        <v>0</v>
      </c>
      <c r="I14" s="1261">
        <f>SUM(I11:I13)</f>
        <v>2</v>
      </c>
      <c r="J14" s="1261">
        <f>SUM(J11:J13)</f>
        <v>1</v>
      </c>
      <c r="K14" s="949" t="n"/>
      <c r="L14" s="1263" t="n"/>
      <c r="M14" s="1263">
        <f>SUM(M11:M13)</f>
        <v>0.9158698</v>
      </c>
      <c r="N14" s="1263" t="n"/>
      <c r="O14" s="1263">
        <f>SUM(O11:O13)</f>
        <v>0.3642493</v>
      </c>
      <c r="P14" s="1254">
        <f>SUM(P11:P13)</f>
        <v>-0.5516205</v>
      </c>
      <c r="Q14" s="1254">
        <f>SUM(Q11:Q13)</f>
        <v>0.5516205</v>
      </c>
    </row>
    <row r="15">
      <c r="A15" s="949" t="n"/>
      <c r="B15" s="432" t="n"/>
      <c r="C15" s="432" t="n"/>
      <c r="D15" s="1279" t="n"/>
      <c r="E15" s="1279" t="n"/>
      <c r="F15" s="1279" t="n"/>
      <c r="G15" s="1280" t="n"/>
      <c r="H15" s="1280" t="n"/>
      <c r="I15" s="1280" t="n"/>
      <c r="J15" s="1280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430" t="n"/>
      <c r="D16" s="1280">
        <f>$D9</f>
        <v>15</v>
      </c>
      <c r="E16" s="1280">
        <f>$E9+$E14</f>
        <v>18</v>
      </c>
      <c r="F16" s="1280">
        <f>IFERROR($E9-$D9,"-")</f>
        <v>0</v>
      </c>
      <c r="G16" s="1261">
        <f>$G9+$G14</f>
        <v>10</v>
      </c>
      <c r="H16" s="1261">
        <f>$H9+$H14</f>
        <v>0</v>
      </c>
      <c r="I16" s="1261">
        <f>$I9+$I14</f>
        <v>10</v>
      </c>
      <c r="J16" s="1261">
        <f>$J9+$J14</f>
        <v>8</v>
      </c>
      <c r="K16" s="949" t="n"/>
      <c r="L16" s="1263">
        <f>$L9</f>
        <v>3.5</v>
      </c>
      <c r="M16" s="1263">
        <f>$M9+$M14</f>
        <v>4.18444088</v>
      </c>
      <c r="N16" s="1263">
        <f>IFERROR($M9-$L9,"-")</f>
        <v>-0.23142892</v>
      </c>
      <c r="O16" s="1263">
        <f>$O9+$O14</f>
        <v>2.07003598</v>
      </c>
      <c r="P16" s="1254">
        <f>$P9+$P14</f>
        <v>-2.1144049</v>
      </c>
      <c r="Q16" s="1254">
        <f>$Q9+$Q14</f>
        <v>2.1144049</v>
      </c>
    </row>
    <row r="17">
      <c r="A17" s="949" t="n"/>
      <c r="B17" s="1294" t="inlineStr">
        <is>
          <t>Archetype columns D, F, L and N cover the delivery squads only - overhead is not priced by a squad archetype.</t>
        </is>
      </c>
      <c r="C17" s="1264" t="n"/>
      <c r="D17" s="1264" t="n"/>
      <c r="E17" s="1264" t="n"/>
      <c r="F17" s="1264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84" t="inlineStr">
        <is>
          <t>Control - roles vs the ledger, must be 0</t>
        </is>
      </c>
      <c r="C18" s="646" t="n"/>
      <c r="D18" s="646" t="n"/>
      <c r="E18" s="646">
        <f>COUNTIFS('REVIEW - Complete Role Mapping'!$AJ$2:$AJ$528,"P&amp;C")-$E16</f>
        <v>0</v>
      </c>
      <c r="F18" s="646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234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Mapping'!$AJ$2:$AJ$528,"P&amp;C")/1000000-$M16,6)</f>
        <v>0</v>
      </c>
      <c r="N19" s="949" t="n"/>
      <c r="O19" s="949" t="n"/>
    </row>
    <row r="20">
      <c r="A20" s="949" t="n"/>
      <c r="B20" s="646" t="n"/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34" t="inlineStr">
        <is>
          <t>P&amp;C roles - one row per named role, from REVIEW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Mapping'!$B:$B,460)</f>
        <v>Grace Hadiwijaya</v>
      </c>
      <c r="C23" s="634" t="str">
        <f>INDEX('REVIEW - Complete Role Mapping'!$C:$C,460)</f>
        <v>Lead P&amp;C Platforms</v>
      </c>
      <c r="D23" s="612" t="str">
        <f>INDEX('REVIEW - Complete Role Mapping'!$AK:$AK,460)</f>
        <v>Filled</v>
      </c>
      <c r="E23" s="612" t="inlineStr">
        <is>
          <t>Filled</t>
        </is>
      </c>
      <c r="F23" s="634" t="str">
        <f>IF(INDEX('REVIEW - Complete Role Mapping'!$AR:$AR,460)="Squad",INDEX('REVIEW - Complete Role Mapping'!$AP:$AP,460),INDEX('REVIEW - Complete Role Mapping'!$AR:$AR,460))</f>
        <v>P&amp;C</v>
      </c>
      <c r="G23" s="627">
        <f>INDEX('REVIEW - Complete Role Mapping'!$AA:$AA,460)</f>
        <v>237963.75</v>
      </c>
      <c r="H23" s="627">
        <f>$G23*IFERROR(INDEX(Lists!$AD:$AD,MATCH($E23,Lists!$AC:$AC,0)),1)</f>
        <v>237963.75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Mapping'!$B:$B,461)</f>
        <v>Maadhu Suresh</v>
      </c>
      <c r="C24" s="634" t="str">
        <f>INDEX('REVIEW - Complete Role Mapping'!$C:$C,461)</f>
        <v>Solution Architect</v>
      </c>
      <c r="D24" s="612" t="str">
        <f>INDEX('REVIEW - Complete Role Mapping'!$AK:$AK,461)</f>
        <v>Filled</v>
      </c>
      <c r="E24" s="612" t="inlineStr">
        <is>
          <t>Filled</t>
        </is>
      </c>
      <c r="F24" s="634" t="str">
        <f>IF(INDEX('REVIEW - Complete Role Mapping'!$AR:$AR,461)="Squad",INDEX('REVIEW - Complete Role Mapping'!$AP:$AP,461),INDEX('REVIEW - Complete Role Mapping'!$AR:$AR,461))</f>
        <v>P&amp;C</v>
      </c>
      <c r="G24" s="627">
        <f>INDEX('REVIEW - Complete Role Mapping'!$AA:$AA,461)</f>
        <v>272340</v>
      </c>
      <c r="H24" s="627">
        <f>$G24*IFERROR(INDEX(Lists!$AD:$AD,MATCH($E24,Lists!$AC:$AC,0)),1)</f>
        <v>272340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Mapping'!$B:$B,462)</f>
        <v>Michael Pollock</v>
      </c>
      <c r="C25" s="634" t="str">
        <f>INDEX('REVIEW - Complete Role Mapping'!$C:$C,462)</f>
        <v>Lead Business Analyst</v>
      </c>
      <c r="D25" s="612" t="str">
        <f>INDEX('REVIEW - Complete Role Mapping'!$AK:$AK,462)</f>
        <v>Filled</v>
      </c>
      <c r="E25" s="612" t="inlineStr">
        <is>
          <t>Filled</t>
        </is>
      </c>
      <c r="F25" s="634" t="str">
        <f>IF(INDEX('REVIEW - Complete Role Mapping'!$AR:$AR,462)="Squad",INDEX('REVIEW - Complete Role Mapping'!$AP:$AP,462),INDEX('REVIEW - Complete Role Mapping'!$AR:$AR,462))</f>
        <v>P&amp;C</v>
      </c>
      <c r="G25" s="627">
        <f>INDEX('REVIEW - Complete Role Mapping'!$AA:$AA,462)</f>
        <v>193358.28</v>
      </c>
      <c r="H25" s="627">
        <f>$G25*IFERROR(INDEX(Lists!$AD:$AD,MATCH($E25,Lists!$AC:$AC,0)),1)</f>
        <v>193358.28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Mapping'!$B:$B,463)</f>
        <v>Prerna Sharma</v>
      </c>
      <c r="C26" s="634" t="str">
        <f>INDEX('REVIEW - Complete Role Mapping'!$C:$C,463)</f>
        <v>SAP HR Specialist</v>
      </c>
      <c r="D26" s="612" t="str">
        <f>INDEX('REVIEW - Complete Role Mapping'!$AK:$AK,463)</f>
        <v>Filled</v>
      </c>
      <c r="E26" s="647" t="inlineStr">
        <is>
          <t>Filled</t>
        </is>
      </c>
      <c r="F26" s="648" t="str">
        <f>IF(INDEX('REVIEW - Complete Role Mapping'!$AR:$AR,463)="Squad",INDEX('REVIEW - Complete Role Mapping'!$AP:$AP,463),INDEX('REVIEW - Complete Role Mapping'!$AR:$AR,463))</f>
        <v>P&amp;C</v>
      </c>
      <c r="G26" s="627">
        <f>INDEX('REVIEW - Complete Role Mapping'!$AA:$AA,463)</f>
        <v>234172.35</v>
      </c>
      <c r="H26" s="627">
        <f>$G26*IFERROR(INDEX(Lists!$AD:$AD,MATCH($E26,Lists!$AC:$AC,0)),1)</f>
        <v>234172.35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Mapping'!$B:$B,464)</f>
        <v>Thai Pung</v>
      </c>
      <c r="C27" s="634" t="str">
        <f>INDEX('REVIEW - Complete Role Mapping'!$C:$C,464)</f>
        <v>Delivery Lead - (P&amp;C)</v>
      </c>
      <c r="D27" s="612" t="str">
        <f>INDEX('REVIEW - Complete Role Mapping'!$AK:$AK,464)</f>
        <v>Filled</v>
      </c>
      <c r="E27" s="647" t="inlineStr">
        <is>
          <t>Filled</t>
        </is>
      </c>
      <c r="F27" s="648" t="str">
        <f>IF(INDEX('REVIEW - Complete Role Mapping'!$AR:$AR,464)="Squad",INDEX('REVIEW - Complete Role Mapping'!$AP:$AP,464),INDEX('REVIEW - Complete Role Mapping'!$AR:$AR,464))</f>
        <v>P&amp;C</v>
      </c>
      <c r="G27" s="627">
        <f>INDEX('REVIEW - Complete Role Mapping'!$AA:$AA,464)</f>
        <v>251487.3</v>
      </c>
      <c r="H27" s="627">
        <f>$G27*IFERROR(INDEX(Lists!$AD:$AD,MATCH($E27,Lists!$AC:$AC,0)),1)</f>
        <v>251487.3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Mapping'!$B:$B,504)</f>
        <v>Vacant</v>
      </c>
      <c r="C28" s="634" t="str">
        <f>INDEX('REVIEW - Complete Role Mapping'!$C:$C,504)</f>
        <v>Engineer</v>
      </c>
      <c r="D28" s="612" t="str">
        <f>INDEX('REVIEW - Complete Role Mapping'!$AK:$AK,504)</f>
        <v>Vacant</v>
      </c>
      <c r="E28" s="647" t="inlineStr">
        <is>
          <t>Hold</t>
        </is>
      </c>
      <c r="F28" s="648" t="str">
        <f>IF(INDEX('REVIEW - Complete Role Mapping'!$AR:$AR,504)="Squad",INDEX('REVIEW - Complete Role Mapping'!$AP:$AP,504),INDEX('REVIEW - Complete Role Mapping'!$AR:$AR,504))</f>
        <v>P&amp;C</v>
      </c>
      <c r="G28" s="627">
        <f>INDEX('REVIEW - Complete Role Mapping'!$AA:$AA,504)</f>
        <v>202853.25</v>
      </c>
      <c r="H28" s="627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Mapping'!$B:$B,505)</f>
        <v>Vacant</v>
      </c>
      <c r="C29" s="646" t="str">
        <f>INDEX('REVIEW - Complete Role Mapping'!$C:$C,505)</f>
        <v>Engineer</v>
      </c>
      <c r="D29" s="646" t="str">
        <f>INDEX('REVIEW - Complete Role Mapping'!$AK:$AK,505)</f>
        <v>Vacant</v>
      </c>
      <c r="E29" s="646" t="inlineStr">
        <is>
          <t>Hold</t>
        </is>
      </c>
      <c r="F29" s="646" t="str">
        <f>IF(INDEX('REVIEW - Complete Role Mapping'!$AR:$AR,505)="Squad",INDEX('REVIEW - Complete Role Mapping'!$AP:$AP,505),INDEX('REVIEW - Complete Role Mapping'!$AR:$AR,505))</f>
        <v>P&amp;C</v>
      </c>
      <c r="G29" s="627">
        <f>INDEX('REVIEW - Complete Role Mapping'!$AA:$AA,505)</f>
        <v>202853.25</v>
      </c>
      <c r="H29" s="627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Mapping'!$B:$B,507)</f>
        <v>Vacant</v>
      </c>
      <c r="C30" s="634" t="str">
        <f>INDEX('REVIEW - Complete Role Mapping'!$C:$C,507)</f>
        <v>Quality Assurance</v>
      </c>
      <c r="D30" s="612" t="str">
        <f>INDEX('REVIEW - Complete Role Mapping'!$AK:$AK,507)</f>
        <v>Vacant</v>
      </c>
      <c r="E30" s="612" t="inlineStr">
        <is>
          <t>Hold</t>
        </is>
      </c>
      <c r="F30" s="634" t="str">
        <f>IF(INDEX('REVIEW - Complete Role Mapping'!$AR:$AR,507)="Squad",INDEX('REVIEW - Complete Role Mapping'!$AP:$AP,507),INDEX('REVIEW - Complete Role Mapping'!$AR:$AR,507))</f>
        <v>P&amp;C</v>
      </c>
      <c r="G30" s="627">
        <f>INDEX('REVIEW - Complete Role Mapping'!$AA:$AA,507)</f>
        <v>170489.75</v>
      </c>
      <c r="H30" s="627">
        <f>$G30*IFERROR(INDEX(Lists!$AD:$AD,MATCH($E30,Lists!$AC:$AC,0)),1)</f>
        <v>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Mapping'!$B:$B,465)</f>
        <v>Kurniaty Widjaya</v>
      </c>
      <c r="C31" s="634" t="str">
        <f>INDEX('REVIEW - Complete Role Mapping'!$C:$C,465)</f>
        <v>ERP HR Pay Functional Lead</v>
      </c>
      <c r="D31" s="612" t="str">
        <f>INDEX('REVIEW - Complete Role Mapping'!$AK:$AK,465)</f>
        <v>Filled</v>
      </c>
      <c r="E31" s="647" t="inlineStr">
        <is>
          <t>Filled</t>
        </is>
      </c>
      <c r="F31" s="648" t="str">
        <f>IF(INDEX('REVIEW - Complete Role Mapping'!$AR:$AR,465)="Squad",INDEX('REVIEW - Complete Role Mapping'!$AP:$AP,465),INDEX('REVIEW - Complete Role Mapping'!$AR:$AR,465))</f>
        <v>P&amp;C RTA</v>
      </c>
      <c r="G31" s="627">
        <f>INDEX('REVIEW - Complete Role Mapping'!$AA:$AA,465)</f>
        <v>277500</v>
      </c>
      <c r="H31" s="627">
        <f>$G31*IFERROR(INDEX(Lists!$AD:$AD,MATCH($E31,Lists!$AC:$AC,0)),1)</f>
        <v>277500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Mapping'!$B:$B,502)</f>
        <v>Vacant</v>
      </c>
      <c r="C32" s="634" t="str">
        <f>INDEX('REVIEW - Complete Role Mapping'!$C:$C,502)</f>
        <v>Business Analyst (P&amp;C RTA)</v>
      </c>
      <c r="D32" s="612" t="str">
        <f>INDEX('REVIEW - Complete Role Mapping'!$AK:$AK,502)</f>
        <v>Vacant</v>
      </c>
      <c r="E32" s="647" t="inlineStr">
        <is>
          <t>Hold</t>
        </is>
      </c>
      <c r="F32" s="648" t="str">
        <f>IF(INDEX('REVIEW - Complete Role Mapping'!$AR:$AR,502)="Squad",INDEX('REVIEW - Complete Role Mapping'!$AP:$AP,502),INDEX('REVIEW - Complete Role Mapping'!$AR:$AR,502))</f>
        <v>P&amp;C RTA</v>
      </c>
      <c r="G32" s="627">
        <f>INDEX('REVIEW - Complete Role Mapping'!$AA:$AA,502)</f>
        <v>201585</v>
      </c>
      <c r="H32" s="627">
        <f>$G32*IFERROR(INDEX(Lists!$AD:$AD,MATCH($E32,Lists!$AC:$AC,0)),1)</f>
        <v>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Mapping'!$B:$B,503)</f>
        <v>Vacant</v>
      </c>
      <c r="C33" s="634" t="str">
        <f>INDEX('REVIEW - Complete Role Mapping'!$C:$C,503)</f>
        <v>Delivery Lead (RTA)</v>
      </c>
      <c r="D33" s="612" t="str">
        <f>INDEX('REVIEW - Complete Role Mapping'!$AK:$AK,503)</f>
        <v>Vacant</v>
      </c>
      <c r="E33" s="647" t="inlineStr">
        <is>
          <t>Hold</t>
        </is>
      </c>
      <c r="F33" s="648" t="str">
        <f>IF(INDEX('REVIEW - Complete Role Mapping'!$AR:$AR,503)="Squad",INDEX('REVIEW - Complete Role Mapping'!$AP:$AP,503),INDEX('REVIEW - Complete Role Mapping'!$AR:$AR,503))</f>
        <v>P&amp;C RTA</v>
      </c>
      <c r="G33" s="627">
        <f>INDEX('REVIEW - Complete Role Mapping'!$AA:$AA,503)</f>
        <v>231689.25</v>
      </c>
      <c r="H33" s="627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Mapping'!$B:$B,506)</f>
        <v>Vacant</v>
      </c>
      <c r="C34" s="634" t="str">
        <f>INDEX('REVIEW - Complete Role Mapping'!$C:$C,506)</f>
        <v>Engineer</v>
      </c>
      <c r="D34" s="612" t="str">
        <f>INDEX('REVIEW - Complete Role Mapping'!$AK:$AK,506)</f>
        <v>Vacant</v>
      </c>
      <c r="E34" s="647" t="inlineStr">
        <is>
          <t>Hold</t>
        </is>
      </c>
      <c r="F34" s="648" t="str">
        <f>IF(INDEX('REVIEW - Complete Role Mapping'!$AR:$AR,506)="Squad",INDEX('REVIEW - Complete Role Mapping'!$AP:$AP,506),INDEX('REVIEW - Complete Role Mapping'!$AR:$AR,506))</f>
        <v>P&amp;C RTA</v>
      </c>
      <c r="G34" s="627">
        <f>INDEX('REVIEW - Complete Role Mapping'!$AA:$AA,506)</f>
        <v>202853.25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Mapping'!$B:$B,508)</f>
        <v>Vacant</v>
      </c>
      <c r="C35" s="634" t="str">
        <f>INDEX('REVIEW - Complete Role Mapping'!$C:$C,508)</f>
        <v>Quality Assurance</v>
      </c>
      <c r="D35" s="612" t="str">
        <f>INDEX('REVIEW - Complete Role Mapping'!$AK:$AK,508)</f>
        <v>Vacant</v>
      </c>
      <c r="E35" s="647" t="inlineStr">
        <is>
          <t>Hold</t>
        </is>
      </c>
      <c r="F35" s="648" t="str">
        <f>IF(INDEX('REVIEW - Complete Role Mapping'!$AR:$AR,508)="Squad",INDEX('REVIEW - Complete Role Mapping'!$AP:$AP,508),INDEX('REVIEW - Complete Role Mapping'!$AR:$AR,508))</f>
        <v>P&amp;C RTA</v>
      </c>
      <c r="G35" s="627">
        <f>INDEX('REVIEW - Complete Role Mapping'!$AA:$AA,508)</f>
        <v>170489.75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str">
        <f>INDEX('REVIEW - Complete Role Mapping'!$B:$B,509)</f>
        <v>Vacant</v>
      </c>
      <c r="C36" s="646" t="str">
        <f>INDEX('REVIEW - Complete Role Mapping'!$C:$C,509)</f>
        <v>Systems Specialist</v>
      </c>
      <c r="D36" s="646" t="str">
        <f>INDEX('REVIEW - Complete Role Mapping'!$AK:$AK,509)</f>
        <v>Vacant</v>
      </c>
      <c r="E36" s="646" t="inlineStr">
        <is>
          <t>Hold</t>
        </is>
      </c>
      <c r="F36" s="646" t="str">
        <f>IF(INDEX('REVIEW - Complete Role Mapping'!$AR:$AR,509)="Squad",INDEX('REVIEW - Complete Role Mapping'!$AP:$AP,509),INDEX('REVIEW - Complete Role Mapping'!$AR:$AR,509))</f>
        <v>P&amp;C RTA</v>
      </c>
      <c r="G36" s="1267">
        <f>INDEX('REVIEW - Complete Role Mapping'!$AA:$AA,509)</f>
        <v>179970.9</v>
      </c>
      <c r="H36" s="1267">
        <f>$G36*IFERROR(INDEX(Lists!$AD:$AD,MATCH($E36,Lists!$AC:$AC,0)),1)</f>
        <v>0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str">
        <f>INDEX('REVIEW - Complete Role Mapping'!$B:$B,448)</f>
        <v>Vikram Chhahira</v>
      </c>
      <c r="C37" s="634" t="str">
        <f>INDEX('REVIEW - Complete Role Mapping'!$C:$C,448)</f>
        <v>Delivery Lead, EGI</v>
      </c>
      <c r="D37" s="612" t="str">
        <f>INDEX('REVIEW - Complete Role Mapping'!$AK:$AK,448)</f>
        <v>Filled</v>
      </c>
      <c r="E37" s="612" t="inlineStr">
        <is>
          <t>Filled</t>
        </is>
      </c>
      <c r="F37" s="634" t="str">
        <f>IF(INDEX('REVIEW - Complete Role Mapping'!$AR:$AR,448)="Squad",INDEX('REVIEW - Complete Role Mapping'!$AP:$AP,448),INDEX('REVIEW - Complete Role Mapping'!$AR:$AR,448))</f>
        <v>EGI P&amp;C</v>
      </c>
      <c r="G37" s="1267">
        <f>INDEX('REVIEW - Complete Role Mapping'!$AA:$AA,448)</f>
        <v>238965</v>
      </c>
      <c r="H37" s="1267">
        <f>$G37*IFERROR(INDEX(Lists!$AD:$AD,MATCH($E37,Lists!$AC:$AC,0)),1)</f>
        <v>238965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Mapping'!$B:$B,466)</f>
        <v>Vaso Vukovic</v>
      </c>
      <c r="C38" s="634" t="str">
        <f>INDEX('REVIEW - Complete Role Mapping'!$C:$C,466)</f>
        <v>Head of Technology - P&amp;C, Finance &amp; Legal</v>
      </c>
      <c r="D38" s="612" t="str">
        <f>INDEX('REVIEW - Complete Role Mapping'!$AK:$AK,466)</f>
        <v>Filled</v>
      </c>
      <c r="E38" s="612" t="inlineStr">
        <is>
          <t>Filled</t>
        </is>
      </c>
      <c r="F38" s="634" t="str">
        <f>IF(INDEX('REVIEW - Complete Role Mapping'!$AR:$AR,466)="Squad",INDEX('REVIEW - Complete Role Mapping'!$AP:$AP,466),INDEX('REVIEW - Complete Role Mapping'!$AR:$AR,466))</f>
        <v>Head of Technology</v>
      </c>
      <c r="G38" s="1267">
        <f>INDEX('REVIEW - Complete Role Mapping'!$AA:$AA,466)</f>
        <v>364249.3</v>
      </c>
      <c r="H38" s="1267">
        <f>$G38*IFERROR(INDEX(Lists!$AD:$AD,MATCH($E38,Lists!$AC:$AC,0)),1)</f>
        <v>364249.3</v>
      </c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str">
        <f>INDEX('REVIEW - Complete Role Mapping'!$B:$B,511)</f>
        <v>Vacant</v>
      </c>
      <c r="C39" s="634" t="str">
        <f>INDEX('REVIEW - Complete Role Mapping'!$C:$C,511)</f>
        <v>Delivery Manager</v>
      </c>
      <c r="D39" s="612" t="str">
        <f>INDEX('REVIEW - Complete Role Mapping'!$AK:$AK,511)</f>
        <v>Vacant</v>
      </c>
      <c r="E39" s="612" t="inlineStr">
        <is>
          <t>Hold</t>
        </is>
      </c>
      <c r="F39" s="634" t="str">
        <f>IF(INDEX('REVIEW - Complete Role Mapping'!$AR:$AR,511)="Squad",INDEX('REVIEW - Complete Role Mapping'!$AP:$AP,511),INDEX('REVIEW - Complete Role Mapping'!$AR:$AR,511))</f>
        <v>Delivery Manager</v>
      </c>
      <c r="G39" s="1267">
        <f>INDEX('REVIEW - Complete Role Mapping'!$AA:$AA,511)</f>
        <v>275810.25</v>
      </c>
      <c r="H39" s="1267">
        <f>$G39*IFERROR(INDEX(Lists!$AD:$AD,MATCH($E39,Lists!$AC:$AC,0)),1)</f>
        <v>0</v>
      </c>
      <c r="I39" s="442" t="n"/>
      <c r="J39" s="442" t="n"/>
      <c r="K39" s="442" t="n"/>
      <c r="L39" s="442" t="n"/>
      <c r="M39" s="442" t="n"/>
      <c r="N39" s="442" t="n"/>
      <c r="O39" s="949" t="n"/>
    </row>
    <row r="40">
      <c r="B40" t="str">
        <f>INDEX('REVIEW - Complete Role Mapping'!$B:$B,510)</f>
        <v>Vacant</v>
      </c>
      <c r="C40" t="str">
        <f>INDEX('REVIEW - Complete Role Mapping'!$C:$C,510)</f>
        <v>Technology Manager – P&amp;C Platforms</v>
      </c>
      <c r="D40" t="str">
        <f>INDEX('REVIEW - Complete Role Mapping'!$AK:$AK,510)</f>
        <v>Vacant</v>
      </c>
      <c r="E40" t="inlineStr">
        <is>
          <t>Hold</t>
        </is>
      </c>
      <c r="F40" t="str">
        <f>IF(INDEX('REVIEW - Complete Role Mapping'!$AR:$AR,510)="Squad",INDEX('REVIEW - Complete Role Mapping'!$AP:$AP,510),INDEX('REVIEW - Complete Role Mapping'!$AR:$AR,510))</f>
        <v>Technology Manager</v>
      </c>
      <c r="G40" s="1274">
        <f>INDEX('REVIEW - Complete Role Mapping'!$AA:$AA,510)</f>
        <v>275810.25</v>
      </c>
      <c r="H40" s="1274">
        <f>$G40*IFERROR(INDEX(Lists!$AD:$AD,MATCH($E40,Lists!$AC:$AC,0)),1)</f>
        <v>0</v>
      </c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40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Finance'!$B$24:$B$34,0)),"No archetype for this squad")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COUNTIFS($F$22:$F$38,$B6)</f>
        <v>9</v>
      </c>
      <c r="F6" s="1250">
        <f>IFERROR($E6-$D6,"-")</f>
        <v>3</v>
      </c>
      <c r="G6" s="1250">
        <f>COUNTIFS($F$22:$F$38,$B6,$D$22:$D$38,"Vacant")</f>
        <v>7</v>
      </c>
      <c r="H6" s="1250">
        <f>COUNTIFS($F$22:$F$38,$B6,$D$22:$D$38,"Vacant",$E$22:$E$38,"Hire")+COUNTIFS($F$22:$F$38,$B6,$D$22:$D$38,"Vacant",$E$22:$E$38,"Offshore")</f>
        <v>0</v>
      </c>
      <c r="I6" s="1250">
        <f>COUNTIFS($F$22:$F$38,$B6,$D$22:$D$38,"Vacant",$E$22:$E$38,"Hold")</f>
        <v>7</v>
      </c>
      <c r="J6" s="1251">
        <f>$E6-COUNTIFS($F$22:$F$38,$B6,$E$22:$E$38,"Hold")</f>
        <v>2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1.4</v>
      </c>
      <c r="M6" s="1252">
        <f>SUMIFS($G$22:$G$38,$F$22:$F$38,$B6)/1000000</f>
        <v>2.01898557</v>
      </c>
      <c r="N6" s="1252">
        <f>IFERROR($M6-$L6,"-")</f>
        <v>0.61898557</v>
      </c>
      <c r="O6" s="1253">
        <f>SUMIFS($H$22:$H$38,$F$22:$F$38,$B6)/1000000</f>
        <v>0.45399345</v>
      </c>
      <c r="P6" s="1254">
        <f>$O6-$M6</f>
        <v>-1.56499212</v>
      </c>
      <c r="Q6" s="1254">
        <f>SUMIFS($G$22:$G$38,$F$22:$F$38,$B6,$D$22:$D$38,"Vacant")/1000000</f>
        <v>1.56499212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AU Finance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COUNTIFS($F$22:$F$38,$B7)</f>
        <v>5</v>
      </c>
      <c r="F7" s="1250">
        <f>IFERROR($E7-$D7,"-")</f>
        <v>-1</v>
      </c>
      <c r="G7" s="1250">
        <f>COUNTIFS($F$22:$F$38,$B7,$D$22:$D$38,"Vacant")</f>
        <v>1</v>
      </c>
      <c r="H7" s="1250">
        <f>COUNTIFS($F$22:$F$38,$B7,$D$22:$D$38,"Vacant",$E$22:$E$38,"Hire")+COUNTIFS($F$22:$F$38,$B7,$D$22:$D$38,"Vacant",$E$22:$E$38,"Offshore")</f>
        <v>0</v>
      </c>
      <c r="I7" s="1250">
        <f>COUNTIFS($F$22:$F$38,$B7,$D$22:$D$38,"Vacant",$E$22:$E$38,"Hold")</f>
        <v>1</v>
      </c>
      <c r="J7" s="1251">
        <f>$E7-COUNTIFS($F$22:$F$38,$B7,$E$22:$E$38,"Hold")</f>
        <v>4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1.4</v>
      </c>
      <c r="M7" s="1252">
        <f>SUMIFS($G$22:$G$38,$F$22:$F$38,$B7)/1000000</f>
        <v>0.905141646</v>
      </c>
      <c r="N7" s="1252">
        <f>IFERROR($M7-$L7,"-")</f>
        <v>-0.494858354</v>
      </c>
      <c r="O7" s="1253">
        <f>SUMIFS($H$22:$H$38,$F$22:$F$38,$B7)/1000000</f>
        <v>0.673452396</v>
      </c>
      <c r="P7" s="1254">
        <f>$O7-$M7</f>
        <v>-0.23168925</v>
      </c>
      <c r="Q7" s="1254">
        <f>SUMIFS($G$22:$G$38,$F$22:$F$38,$B7,$D$22:$D$38,"Vacant")/1000000</f>
        <v>0.23168925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COUNTIFS($F$22:$F$38,$B8)</f>
        <v>1</v>
      </c>
      <c r="F8" s="1250" t="str">
        <f>IFERROR($E8-$D8,"-")</f>
        <v>-</v>
      </c>
      <c r="G8" s="1250">
        <f>COUNTIFS($F$22:$F$38,$B8,$D$22:$D$38,"Vacant")</f>
        <v>0</v>
      </c>
      <c r="H8" s="1250">
        <f>COUNTIFS($F$22:$F$38,$B8,$D$22:$D$38,"Vacant",$E$22:$E$38,"Hire")+COUNTIFS($F$22:$F$38,$B8,$D$22:$D$38,"Vacant",$E$22:$E$38,"Offshore")</f>
        <v>0</v>
      </c>
      <c r="I8" s="1250">
        <f>COUNTIFS($F$22:$F$38,$B8,$D$22:$D$38,"Vacant",$E$22:$E$38,"Hold")</f>
        <v>0</v>
      </c>
      <c r="J8" s="1251">
        <f>$E8-COUNTIFS($F$22:$F$38,$B8,$E$22:$E$38,"Hold")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SUMIFS($G$22:$G$38,$F$22:$F$38,$B8)/1000000</f>
        <v>0.24172845</v>
      </c>
      <c r="N8" s="1252" t="str">
        <f>IFERROR($M8-$L8,"-")</f>
        <v>-</v>
      </c>
      <c r="O8" s="1253">
        <f>SUMIFS($H$22:$H$38,$F$22:$F$38,$B8)/1000000</f>
        <v>0.24172845</v>
      </c>
      <c r="P8" s="1254">
        <f>$O8-$M8</f>
        <v>0</v>
      </c>
      <c r="Q8" s="1254">
        <f>SUMIFS($G$22:$G$38,$F$22:$F$38,$B8,$D$22:$D$38,"Vacant")/1000000</f>
        <v>0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</row>
    <row r="9">
      <c r="A9" s="949" t="n"/>
      <c r="B9" s="641" t="inlineStr">
        <is>
          <t>Unassigned</t>
        </is>
      </c>
      <c r="C9" s="641" t="str">
        <f>IFERROR(INDEX('1.6 Finance'!$C$24:$C$34,MATCH($S9,'1.6 Finance'!$B$24:$B$34,0)),"No archetype for this squad")</f>
        <v>No archetype for this squad</v>
      </c>
      <c r="D9" s="1255" t="str">
        <f>IFERROR(INDEX('0.3 Squad Archetypes'!$F$5:$F$23,MATCH($C9&amp;"|"&amp;$R9,'0.3 Squad Archetypes'!$A$5:$A$23,0)),"-")</f>
        <v>-</v>
      </c>
      <c r="E9" s="1255">
        <f>COUNTIFS($F$22:$F$38,$B9)</f>
        <v>1</v>
      </c>
      <c r="F9" s="1255" t="str">
        <f>IFERROR($E9-$D9,"-")</f>
        <v>-</v>
      </c>
      <c r="G9" s="1255">
        <f>COUNTIFS($F$22:$F$38,$B9,$D$22:$D$38,"Vacant")</f>
        <v>0</v>
      </c>
      <c r="H9" s="1255">
        <f>COUNTIFS($F$22:$F$38,$B9,$D$22:$D$38,"Vacant",$E$22:$E$38,"Hire")+COUNTIFS($F$22:$F$38,$B9,$D$22:$D$38,"Vacant",$E$22:$E$38,"Offshore")</f>
        <v>0</v>
      </c>
      <c r="I9" s="1255">
        <f>COUNTIFS($F$22:$F$38,$B9,$D$22:$D$38,"Vacant",$E$22:$E$38,"Hold")</f>
        <v>0</v>
      </c>
      <c r="J9" s="1256">
        <f>$E9-COUNTIFS($F$22:$F$38,$B9,$E$22:$E$38,"Hold")</f>
        <v>1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SUMIFS($G$22:$G$38,$F$22:$F$38,$B9)/1000000</f>
        <v>0.3552</v>
      </c>
      <c r="N9" s="1257" t="str">
        <f>IFERROR($M9-$L9,"-")</f>
        <v>-</v>
      </c>
      <c r="O9" s="1258">
        <f>SUMIFS($H$22:$H$38,$F$22:$F$38,$B9)/1000000</f>
        <v>0.3552</v>
      </c>
      <c r="P9" s="1254">
        <f>$O9-$M9</f>
        <v>0</v>
      </c>
      <c r="Q9" s="1254">
        <f>SUMIFS($G$22:$G$38,$F$22:$F$38,$B9,$D$22:$D$38,"Vacant")/1000000</f>
        <v>0</v>
      </c>
      <c r="R9" t="str">
        <f>IFERROR(IF(INDEX('1.6 Finance'!$D$24:$D$34,MATCH($S9,'1.6 Finance'!$B$24:$B$34,0))="","-",INDEX('1.6 Finance'!$D$24:$D$34,MATCH($S9,'1.6 Finance'!$B$24:$B$34,0))),"-")</f>
        <v>-</v>
      </c>
      <c r="S9" t="str">
        <f>IFERROR(INDEX(Lists!$AA:$AA,MATCH($B9,Lists!$Z:$Z,0)),$B9)</f>
        <v>Unassigned</v>
      </c>
    </row>
    <row r="10">
      <c r="A10" s="949" t="n"/>
      <c r="B10" s="1226" t="inlineStr">
        <is>
          <t>Delivery squads</t>
        </is>
      </c>
      <c r="C10" s="645" t="n"/>
      <c r="D10" s="1261">
        <f>SUM(D6:D9)</f>
        <v>12</v>
      </c>
      <c r="E10" s="1262">
        <f>SUM(E6:E9)</f>
        <v>16</v>
      </c>
      <c r="F10" s="1261">
        <f>SUM(F6:F9)</f>
        <v>2</v>
      </c>
      <c r="G10" s="1261">
        <f>SUM(G6:G9)</f>
        <v>8</v>
      </c>
      <c r="H10" s="1261">
        <f>SUM(H6:H9)</f>
        <v>0</v>
      </c>
      <c r="I10" s="1261">
        <f>SUM(I6:I9)</f>
        <v>8</v>
      </c>
      <c r="J10" s="1261">
        <f>SUM(J6:J9)</f>
        <v>8</v>
      </c>
      <c r="K10" s="949" t="n"/>
      <c r="L10" s="1263">
        <f>SUM(L6:L9)</f>
        <v>2.8</v>
      </c>
      <c r="M10" s="1263">
        <f>SUM(M6:M9)</f>
        <v>3.521055666</v>
      </c>
      <c r="N10" s="1263">
        <f>SUM(N6:N9)</f>
        <v>0.124127216</v>
      </c>
      <c r="O10" s="1263">
        <f>SUM(O6:O9)</f>
        <v>1.724374296</v>
      </c>
      <c r="P10" s="1254">
        <f>SUM(P6:P9)</f>
        <v>-1.79668137</v>
      </c>
      <c r="Q10" s="1254">
        <f>SUM(Q6:Q9)</f>
        <v>1.79668137</v>
      </c>
    </row>
    <row r="11">
      <c r="A11" s="949" t="n"/>
      <c r="B11" s="994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431" t="inlineStr">
        <is>
          <t>Technology Manager</t>
        </is>
      </c>
      <c r="C12" s="949" t="str">
        <f>"Overhead - see 3.2"</f>
        <v>Overhead - see 3.2</v>
      </c>
      <c r="D12" s="1261" t="str">
        <f>"-"</f>
        <v>-</v>
      </c>
      <c r="E12" s="1261">
        <f>COUNTIFS($F$22:$F$38,$B12)</f>
        <v>1</v>
      </c>
      <c r="F12" s="1261" t="str">
        <f>"-"</f>
        <v>-</v>
      </c>
      <c r="G12" s="1261">
        <f>COUNTIFS($F$22:$F$38,$B12,$D$22:$D$38,"Vacant")</f>
        <v>0</v>
      </c>
      <c r="H12" s="1261">
        <f>COUNTIFS($F$22:$F$38,$B12,$D$22:$D$38,"Vacant",$E$22:$E$38,"Hire")+COUNTIFS($F$22:$F$38,$B12,$D$22:$D$38,"Vacant",$E$22:$E$38,"Offshore")</f>
        <v>0</v>
      </c>
      <c r="I12" s="1261">
        <f>COUNTIFS($F$22:$F$38,$B12,$D$22:$D$38,"Vacant",$E$22:$E$38,"Hold")</f>
        <v>0</v>
      </c>
      <c r="J12" s="1261">
        <f>$E12-COUNTIFS($F$22:$F$38,$B12,$E$22:$E$38,"Hold")</f>
        <v>1</v>
      </c>
      <c r="K12" s="949" t="str">
        <f>"Overhead"</f>
        <v>Overhead</v>
      </c>
      <c r="L12" s="1263" t="str">
        <f>"-"</f>
        <v>-</v>
      </c>
      <c r="M12" s="1263">
        <f>SUMIFS($G$22:$G$38,$F$22:$F$38,$B12)/1000000</f>
        <v>0.32356045</v>
      </c>
      <c r="N12" s="1263" t="str">
        <f>"-"</f>
        <v>-</v>
      </c>
      <c r="O12" s="1263">
        <f>SUMIFS($H$22:$H$38,$F$22:$F$38,$B12)/1000000</f>
        <v>0.32356045</v>
      </c>
      <c r="P12" s="1254">
        <f>$O12-$M12</f>
        <v>0</v>
      </c>
      <c r="Q12" s="1254">
        <f>SUMIFS($G$22:$G$38,$F$22:$F$38,$B12,$D$22:$D$38,"Vacant")/1000000</f>
        <v>0</v>
      </c>
      <c r="R12" t="str">
        <f>"-"</f>
        <v>-</v>
      </c>
    </row>
    <row r="13">
      <c r="A13" s="949" t="n"/>
      <c r="B13" s="1226" t="inlineStr">
        <is>
          <t>Overhead roles</t>
        </is>
      </c>
      <c r="C13" s="949" t="n"/>
      <c r="D13" s="1261" t="n"/>
      <c r="E13" s="1261">
        <f>SUM(E12:E12)</f>
        <v>1</v>
      </c>
      <c r="F13" s="1261" t="n"/>
      <c r="G13" s="1261">
        <f>SUM(G12:G12)</f>
        <v>0</v>
      </c>
      <c r="H13" s="1261">
        <f>SUM(H12:H12)</f>
        <v>0</v>
      </c>
      <c r="I13" s="1261">
        <f>SUM(I12:I12)</f>
        <v>0</v>
      </c>
      <c r="J13" s="1261">
        <f>SUM(J12:J12)</f>
        <v>1</v>
      </c>
      <c r="K13" s="949" t="n"/>
      <c r="L13" s="1263" t="n"/>
      <c r="M13" s="1263">
        <f>SUM(M12:M12)</f>
        <v>0.32356045</v>
      </c>
      <c r="N13" s="1263" t="n"/>
      <c r="O13" s="1263">
        <f>SUM(O12:O12)</f>
        <v>0.32356045</v>
      </c>
      <c r="P13" s="1254">
        <f>SUM(P12:P12)</f>
        <v>0</v>
      </c>
      <c r="Q13" s="1254">
        <f>SUM(Q12:Q12)</f>
        <v>0</v>
      </c>
    </row>
    <row r="14">
      <c r="A14" s="949" t="n"/>
      <c r="B14" s="994" t="n"/>
      <c r="C14" s="645" t="n"/>
      <c r="D14" s="1281" t="n"/>
      <c r="E14" s="1262" t="n"/>
      <c r="F14" s="1281" t="n"/>
      <c r="G14" s="1281" t="n"/>
      <c r="H14" s="1281" t="n"/>
      <c r="I14" s="1281" t="n"/>
      <c r="J14" s="1281" t="n"/>
      <c r="K14" s="442" t="n"/>
      <c r="L14" s="1282" t="n"/>
      <c r="M14" s="1282" t="n"/>
      <c r="N14" s="1282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645" t="n"/>
      <c r="D15" s="1281">
        <f>$D10</f>
        <v>12</v>
      </c>
      <c r="E15" s="1262">
        <f>$E10+$E13</f>
        <v>17</v>
      </c>
      <c r="F15" s="1281">
        <f>IFERROR($E10-$D10,"-")</f>
        <v>4</v>
      </c>
      <c r="G15" s="1281">
        <f>$G10+$G13</f>
        <v>8</v>
      </c>
      <c r="H15" s="1281">
        <f>$H10+$H13</f>
        <v>0</v>
      </c>
      <c r="I15" s="1281">
        <f>$I10+$I13</f>
        <v>8</v>
      </c>
      <c r="J15" s="1281">
        <f>$J10+$J13</f>
        <v>9</v>
      </c>
      <c r="K15" s="442" t="n"/>
      <c r="L15" s="1282">
        <f>$L10</f>
        <v>2.8</v>
      </c>
      <c r="M15" s="1282">
        <f>$M10+$M13</f>
        <v>3.844616116</v>
      </c>
      <c r="N15" s="1282">
        <f>IFERROR($M10-$L10,"-")</f>
        <v>0.721055666</v>
      </c>
      <c r="O15" s="1263">
        <f>$O10+$O13</f>
        <v>2.047934746</v>
      </c>
      <c r="P15" s="1254">
        <f>$P10+$P13</f>
        <v>-1.79668137</v>
      </c>
      <c r="Q15" s="1254">
        <f>$Q10+$Q13</f>
        <v>1.79668137</v>
      </c>
    </row>
    <row r="16" ht="15.65" customHeight="1">
      <c r="A16" s="949" t="n"/>
      <c r="B16" s="994" t="inlineStr">
        <is>
          <t>Archetype columns D, F, L and N cover the delivery squads only - overhead is not priced by a squad archetype.</t>
        </is>
      </c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32" t="inlineStr">
        <is>
          <t>Control - roles vs the ledger, must be 0</t>
        </is>
      </c>
      <c r="C17" s="533" t="n"/>
      <c r="D17" s="533" t="n"/>
      <c r="E17" s="533">
        <f>COUNTIFS('REVIEW - Complete Role Mapping'!$AJ$2:$AJ$528,"Finance")-$E15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4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Mapping'!$AJ$2:$AJ$528,"Finance")/1000000-$M15,6)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84" t="inlineStr">
        <is>
          <t>Finance roles - one row per named role, from REVIEW</t>
        </is>
      </c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Mapping'!$B:$B,453)</f>
        <v>Julma Bhagwani</v>
      </c>
      <c r="C22" s="634" t="str">
        <f>INDEX('REVIEW - Complete Role Mapping'!$C:$C,453)</f>
        <v>SAP ERP Application Lead</v>
      </c>
      <c r="D22" s="612" t="str">
        <f>INDEX('REVIEW - Complete Role Mapping'!$AK:$AK,453)</f>
        <v>Filled</v>
      </c>
      <c r="E22" s="612" t="inlineStr">
        <is>
          <t>Filled</t>
        </is>
      </c>
      <c r="F22" s="634" t="str">
        <f>IF(INDEX('REVIEW - Complete Role Mapping'!$AR:$AR,453)="Squad",INDEX('REVIEW - Complete Role Mapping'!$AP:$AP,453),INDEX('REVIEW - Complete Role Mapping'!$AR:$AR,453))</f>
        <v>SAP ERP</v>
      </c>
      <c r="G22" s="627">
        <f>INDEX('REVIEW - Complete Role Mapping'!$AA:$AA,453)</f>
        <v>239899.5</v>
      </c>
      <c r="H22" s="627">
        <f>$G22*IFERROR(INDEX(Lists!$AD:$AD,MATCH($E22,Lists!$AC:$AC,0)),1)</f>
        <v>239899.5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Mapping'!$B:$B,454)</f>
        <v>Maudud Chaudhury</v>
      </c>
      <c r="C23" s="634" t="str">
        <f>INDEX('REVIEW - Complete Role Mapping'!$C:$C,454)</f>
        <v>SAP ERP Application Lead</v>
      </c>
      <c r="D23" s="612" t="str">
        <f>INDEX('REVIEW - Complete Role Mapping'!$AK:$AK,454)</f>
        <v>Filled</v>
      </c>
      <c r="E23" s="647" t="inlineStr">
        <is>
          <t>Filled</t>
        </is>
      </c>
      <c r="F23" s="648" t="str">
        <f>IF(INDEX('REVIEW - Complete Role Mapping'!$AR:$AR,454)="Squad",INDEX('REVIEW - Complete Role Mapping'!$AP:$AP,454),INDEX('REVIEW - Complete Role Mapping'!$AR:$AR,454))</f>
        <v>SAP ERP</v>
      </c>
      <c r="G23" s="627">
        <f>INDEX('REVIEW - Complete Role Mapping'!$AA:$AA,454)</f>
        <v>214093.95</v>
      </c>
      <c r="H23" s="627">
        <f>$G23*IFERROR(INDEX(Lists!$AD:$AD,MATCH($E23,Lists!$AC:$AC,0)),1)</f>
        <v>214093.95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Mapping'!$B:$B,495)</f>
        <v>Vacant</v>
      </c>
      <c r="C24" s="634" t="str">
        <f>INDEX('REVIEW - Complete Role Mapping'!$C:$C,495)</f>
        <v>SAP Functional Specialist</v>
      </c>
      <c r="D24" s="612" t="str">
        <f>INDEX('REVIEW - Complete Role Mapping'!$AK:$AK,495)</f>
        <v>Vacant</v>
      </c>
      <c r="E24" s="647" t="inlineStr">
        <is>
          <t>Hold</t>
        </is>
      </c>
      <c r="F24" s="648" t="str">
        <f>IF(INDEX('REVIEW - Complete Role Mapping'!$AR:$AR,495)="Squad",INDEX('REVIEW - Complete Role Mapping'!$AP:$AP,495),INDEX('REVIEW - Complete Role Mapping'!$AR:$AR,495))</f>
        <v>SAP ERP</v>
      </c>
      <c r="G24" s="627">
        <f>INDEX('REVIEW - Complete Role Mapping'!$AA:$AA,495)</f>
        <v>231689.25</v>
      </c>
      <c r="H24" s="627">
        <f>$G24*IFERROR(INDEX(Lists!$AD:$AD,MATCH($E24,Lists!$AC:$AC,0)),1)</f>
        <v>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Mapping'!$B:$B,496)</f>
        <v>Vacant</v>
      </c>
      <c r="C25" s="634" t="str">
        <f>INDEX('REVIEW - Complete Role Mapping'!$C:$C,496)</f>
        <v>SAP Functional Specialist</v>
      </c>
      <c r="D25" s="612" t="str">
        <f>INDEX('REVIEW - Complete Role Mapping'!$AK:$AK,496)</f>
        <v>Vacant</v>
      </c>
      <c r="E25" s="647" t="inlineStr">
        <is>
          <t>Hold</t>
        </is>
      </c>
      <c r="F25" s="648" t="str">
        <f>IF(INDEX('REVIEW - Complete Role Mapping'!$AR:$AR,496)="Squad",INDEX('REVIEW - Complete Role Mapping'!$AP:$AP,496),INDEX('REVIEW - Complete Role Mapping'!$AR:$AR,496))</f>
        <v>SAP ERP</v>
      </c>
      <c r="G25" s="627">
        <f>INDEX('REVIEW - Complete Role Mapping'!$AA:$AA,496)</f>
        <v>231689.25</v>
      </c>
      <c r="H25" s="627">
        <f>$G25*IFERROR(INDEX(Lists!$AD:$AD,MATCH($E25,Lists!$AC:$AC,0)),1)</f>
        <v>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Mapping'!$B:$B,497)</f>
        <v>Vacant</v>
      </c>
      <c r="C26" s="634" t="str">
        <f>INDEX('REVIEW - Complete Role Mapping'!$C:$C,497)</f>
        <v>SAP Functional Specialist</v>
      </c>
      <c r="D26" s="612" t="str">
        <f>INDEX('REVIEW - Complete Role Mapping'!$AK:$AK,497)</f>
        <v>Vacant</v>
      </c>
      <c r="E26" s="647" t="inlineStr">
        <is>
          <t>Hold</t>
        </is>
      </c>
      <c r="F26" s="648" t="str">
        <f>IF(INDEX('REVIEW - Complete Role Mapping'!$AR:$AR,497)="Squad",INDEX('REVIEW - Complete Role Mapping'!$AP:$AP,497),INDEX('REVIEW - Complete Role Mapping'!$AR:$AR,497))</f>
        <v>SAP ERP</v>
      </c>
      <c r="G26" s="627">
        <f>INDEX('REVIEW - Complete Role Mapping'!$AA:$AA,497)</f>
        <v>231689.25</v>
      </c>
      <c r="H26" s="627">
        <f>$G26*IFERROR(INDEX(Lists!$AD:$AD,MATCH($E26,Lists!$AC:$AC,0)),1)</f>
        <v>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Mapping'!$B:$B,498)</f>
        <v>Vacant</v>
      </c>
      <c r="C27" s="634" t="str">
        <f>INDEX('REVIEW - Complete Role Mapping'!$C:$C,498)</f>
        <v>SAP Functional Specialist</v>
      </c>
      <c r="D27" s="612" t="str">
        <f>INDEX('REVIEW - Complete Role Mapping'!$AK:$AK,498)</f>
        <v>Vacant</v>
      </c>
      <c r="E27" s="647" t="inlineStr">
        <is>
          <t>Hold</t>
        </is>
      </c>
      <c r="F27" s="648" t="str">
        <f>IF(INDEX('REVIEW - Complete Role Mapping'!$AR:$AR,498)="Squad",INDEX('REVIEW - Complete Role Mapping'!$AP:$AP,498),INDEX('REVIEW - Complete Role Mapping'!$AR:$AR,498))</f>
        <v>SAP ERP</v>
      </c>
      <c r="G27" s="627">
        <f>INDEX('REVIEW - Complete Role Mapping'!$AA:$AA,498)</f>
        <v>231689.25</v>
      </c>
      <c r="H27" s="627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Mapping'!$B:$B,499)</f>
        <v>Vacant</v>
      </c>
      <c r="C28" s="634" t="str">
        <f>INDEX('REVIEW - Complete Role Mapping'!$C:$C,499)</f>
        <v>Solution Architect - Finance</v>
      </c>
      <c r="D28" s="612" t="str">
        <f>INDEX('REVIEW - Complete Role Mapping'!$AK:$AK,499)</f>
        <v>Vacant</v>
      </c>
      <c r="E28" s="647" t="inlineStr">
        <is>
          <t>Hold</t>
        </is>
      </c>
      <c r="F28" s="648" t="str">
        <f>IF(INDEX('REVIEW - Complete Role Mapping'!$AR:$AR,499)="Squad",INDEX('REVIEW - Complete Role Mapping'!$AP:$AP,499),INDEX('REVIEW - Complete Role Mapping'!$AR:$AR,499))</f>
        <v>SAP ERP</v>
      </c>
      <c r="G28" s="627">
        <f>INDEX('REVIEW - Complete Role Mapping'!$AA:$AA,499)</f>
        <v>231689.25</v>
      </c>
      <c r="H28" s="627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Mapping'!$B:$B,501)</f>
        <v>Vacant</v>
      </c>
      <c r="C29" s="634" t="str">
        <f>INDEX('REVIEW - Complete Role Mapping'!$C:$C,501)</f>
        <v>Delivery Lead (SAP)</v>
      </c>
      <c r="D29" s="612" t="str">
        <f>INDEX('REVIEW - Complete Role Mapping'!$AK:$AK,501)</f>
        <v>Vacant</v>
      </c>
      <c r="E29" s="647" t="inlineStr">
        <is>
          <t>Hold</t>
        </is>
      </c>
      <c r="F29" s="648" t="str">
        <f>IF(INDEX('REVIEW - Complete Role Mapping'!$AR:$AR,501)="Squad",INDEX('REVIEW - Complete Role Mapping'!$AP:$AP,501),INDEX('REVIEW - Complete Role Mapping'!$AR:$AR,501))</f>
        <v>SAP ERP</v>
      </c>
      <c r="G29" s="627">
        <f>INDEX('REVIEW - Complete Role Mapping'!$AA:$AA,501)</f>
        <v>231689.25</v>
      </c>
      <c r="H29" s="627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Mapping'!$B:$B,526)</f>
        <v>Vacant</v>
      </c>
      <c r="C30" s="634" t="str">
        <f>INDEX('REVIEW - Complete Role Mapping'!$C:$C,526)</f>
        <v>Integration Specialist (ASAPIO CTRM)</v>
      </c>
      <c r="D30" s="612" t="str">
        <f>INDEX('REVIEW - Complete Role Mapping'!$AK:$AK,526)</f>
        <v>Vacant</v>
      </c>
      <c r="E30" s="612" t="inlineStr">
        <is>
          <t>Hold</t>
        </is>
      </c>
      <c r="F30" s="634" t="str">
        <f>IF(INDEX('REVIEW - Complete Role Mapping'!$AR:$AR,526)="Squad",INDEX('REVIEW - Complete Role Mapping'!$AP:$AP,526),INDEX('REVIEW - Complete Role Mapping'!$AR:$AR,526))</f>
        <v>SAP ERP</v>
      </c>
      <c r="G30" s="627">
        <f>INDEX('REVIEW - Complete Role Mapping'!$AA:$AA,526)</f>
        <v>174856.62</v>
      </c>
      <c r="H30" s="627">
        <f>$G30*IFERROR(INDEX(Lists!$AD:$AD,MATCH($E30,Lists!$AC:$AC,0)),1)</f>
        <v>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Mapping'!$B:$B,456)</f>
        <v>Leilanie Avilla</v>
      </c>
      <c r="C31" s="646" t="str">
        <f>INDEX('REVIEW - Complete Role Mapping'!$C:$C,456)</f>
        <v>JDE Systems Specialist</v>
      </c>
      <c r="D31" s="646" t="str">
        <f>INDEX('REVIEW - Complete Role Mapping'!$AK:$AK,456)</f>
        <v>Filled</v>
      </c>
      <c r="E31" s="646" t="inlineStr">
        <is>
          <t>Filled</t>
        </is>
      </c>
      <c r="F31" s="646" t="str">
        <f>IF(INDEX('REVIEW - Complete Role Mapping'!$AR:$AR,456)="Squad",INDEX('REVIEW - Complete Role Mapping'!$AP:$AP,456),INDEX('REVIEW - Complete Role Mapping'!$AR:$AR,456))</f>
        <v>NZ Finance</v>
      </c>
      <c r="G31" s="627">
        <f>INDEX('REVIEW - Complete Role Mapping'!$AA:$AA,456)</f>
        <v>107420.712</v>
      </c>
      <c r="H31" s="627">
        <f>$G31*IFERROR(INDEX(Lists!$AD:$AD,MATCH($E31,Lists!$AC:$AC,0)),1)</f>
        <v>107420.712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Mapping'!$B:$B,457)</f>
        <v>Lydia Pritchard</v>
      </c>
      <c r="C32" s="634" t="str">
        <f>INDEX('REVIEW - Complete Role Mapping'!$C:$C,457)</f>
        <v>Lead JDE Systems Specialist</v>
      </c>
      <c r="D32" s="612" t="str">
        <f>INDEX('REVIEW - Complete Role Mapping'!$AK:$AK,457)</f>
        <v>Filled</v>
      </c>
      <c r="E32" s="612" t="inlineStr">
        <is>
          <t>Filled</t>
        </is>
      </c>
      <c r="F32" s="634" t="str">
        <f>IF(INDEX('REVIEW - Complete Role Mapping'!$AR:$AR,457)="Squad",INDEX('REVIEW - Complete Role Mapping'!$AP:$AP,457),INDEX('REVIEW - Complete Role Mapping'!$AR:$AR,457))</f>
        <v>NZ Finance</v>
      </c>
      <c r="G32" s="627">
        <f>INDEX('REVIEW - Complete Role Mapping'!$AA:$AA,457)</f>
        <v>198099.684</v>
      </c>
      <c r="H32" s="627">
        <f>$G32*IFERROR(INDEX(Lists!$AD:$AD,MATCH($E32,Lists!$AC:$AC,0)),1)</f>
        <v>198099.684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Mapping'!$B:$B,458)</f>
        <v>Ring fenced</v>
      </c>
      <c r="C33" s="634" t="str">
        <f>INDEX('REVIEW - Complete Role Mapping'!$C:$C,458)</f>
        <v>JDE Senior Systems Specialist</v>
      </c>
      <c r="D33" s="612" t="str">
        <f>INDEX('REVIEW - Complete Role Mapping'!$AK:$AK,458)</f>
        <v>Filled</v>
      </c>
      <c r="E33" s="612" t="inlineStr">
        <is>
          <t>Filled</t>
        </is>
      </c>
      <c r="F33" s="634" t="str">
        <f>IF(INDEX('REVIEW - Complete Role Mapping'!$AR:$AR,458)="Squad",INDEX('REVIEW - Complete Role Mapping'!$AP:$AP,458),INDEX('REVIEW - Complete Role Mapping'!$AR:$AR,458))</f>
        <v>NZ Finance</v>
      </c>
      <c r="G33" s="627">
        <f>INDEX('REVIEW - Complete Role Mapping'!$AA:$AA,458)</f>
        <v>183966</v>
      </c>
      <c r="H33" s="627">
        <f>$G33*IFERROR(INDEX(Lists!$AD:$AD,MATCH($E33,Lists!$AC:$AC,0)),1)</f>
        <v>183966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Mapping'!$B:$B,459)</f>
        <v>Ring fenced</v>
      </c>
      <c r="C34" s="634" t="str">
        <f>INDEX('REVIEW - Complete Role Mapping'!$C:$C,459)</f>
        <v>JDE Senior Systems Specialist</v>
      </c>
      <c r="D34" s="612" t="str">
        <f>INDEX('REVIEW - Complete Role Mapping'!$AK:$AK,459)</f>
        <v>Filled</v>
      </c>
      <c r="E34" s="647" t="inlineStr">
        <is>
          <t>Filled</t>
        </is>
      </c>
      <c r="F34" s="648" t="str">
        <f>IF(INDEX('REVIEW - Complete Role Mapping'!$AR:$AR,459)="Squad",INDEX('REVIEW - Complete Role Mapping'!$AP:$AP,459),INDEX('REVIEW - Complete Role Mapping'!$AR:$AR,459))</f>
        <v>NZ Finance</v>
      </c>
      <c r="G34" s="627">
        <f>INDEX('REVIEW - Complete Role Mapping'!$AA:$AA,459)</f>
        <v>183966</v>
      </c>
      <c r="H34" s="627">
        <f>$G34*IFERROR(INDEX(Lists!$AD:$AD,MATCH($E34,Lists!$AC:$AC,0)),1)</f>
        <v>183966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Mapping'!$B:$B,500)</f>
        <v>Vacant</v>
      </c>
      <c r="C35" s="634" t="str">
        <f>INDEX('REVIEW - Complete Role Mapping'!$C:$C,500)</f>
        <v>Delivery Lead (JDE)</v>
      </c>
      <c r="D35" s="612" t="str">
        <f>INDEX('REVIEW - Complete Role Mapping'!$AK:$AK,500)</f>
        <v>Vacant</v>
      </c>
      <c r="E35" s="647" t="inlineStr">
        <is>
          <t>Hold</t>
        </is>
      </c>
      <c r="F35" s="648" t="str">
        <f>IF(INDEX('REVIEW - Complete Role Mapping'!$AR:$AR,500)="Squad",INDEX('REVIEW - Complete Role Mapping'!$AP:$AP,500),INDEX('REVIEW - Complete Role Mapping'!$AR:$AR,500))</f>
        <v>NZ Finance</v>
      </c>
      <c r="G35" s="627">
        <f>INDEX('REVIEW - Complete Role Mapping'!$AA:$AA,500)</f>
        <v>231689.25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Mapping'!$B:$B,447)</f>
        <v>Ee Lynn Yap</v>
      </c>
      <c r="C36" s="634" t="str">
        <f>INDEX('REVIEW - Complete Role Mapping'!$C:$C,447)</f>
        <v>SAP ERP Application Lead</v>
      </c>
      <c r="D36" s="612" t="str">
        <f>INDEX('REVIEW - Complete Role Mapping'!$AK:$AK,447)</f>
        <v>Filled</v>
      </c>
      <c r="E36" s="647" t="inlineStr">
        <is>
          <t>Filled</t>
        </is>
      </c>
      <c r="F36" s="648" t="str">
        <f>IF(INDEX('REVIEW - Complete Role Mapping'!$AR:$AR,447)="Squad",INDEX('REVIEW - Complete Role Mapping'!$AP:$AP,447),INDEX('REVIEW - Complete Role Mapping'!$AR:$AR,447))</f>
        <v>EGI Finance</v>
      </c>
      <c r="G36" s="1267">
        <f>INDEX('REVIEW - Complete Role Mapping'!$AA:$AA,447)</f>
        <v>241728.45</v>
      </c>
      <c r="H36" s="1267">
        <f>$G36*IFERROR(INDEX(Lists!$AD:$AD,MATCH($E36,Lists!$AC:$AC,0)),1)</f>
        <v>241728.45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str">
        <f>INDEX('REVIEW - Complete Role Mapping'!$B:$B,528)</f>
        <v>Jens Tom</v>
      </c>
      <c r="C37" s="646" t="str">
        <f>INDEX('REVIEW - Complete Role Mapping'!$C:$C,528)</f>
        <v>SAP Solution Architect</v>
      </c>
      <c r="D37" s="646" t="str">
        <f>INDEX('REVIEW - Complete Role Mapping'!$AK:$AK,528)</f>
        <v>Filled</v>
      </c>
      <c r="E37" s="646" t="inlineStr">
        <is>
          <t>Filled</t>
        </is>
      </c>
      <c r="F37" s="646" t="str">
        <f>IF(INDEX('REVIEW - Complete Role Mapping'!$AR:$AR,528)="Squad",INDEX('REVIEW - Complete Role Mapping'!$AP:$AP,528),INDEX('REVIEW - Complete Role Mapping'!$AR:$AR,528))</f>
        <v>Unassigned</v>
      </c>
      <c r="G37" s="1267">
        <f>INDEX('REVIEW - Complete Role Mapping'!$AA:$AA,528)</f>
        <v>355200</v>
      </c>
      <c r="H37" s="1267">
        <f>$G37*IFERROR(INDEX(Lists!$AD:$AD,MATCH($E37,Lists!$AC:$AC,0)),1)</f>
        <v>355200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Mapping'!$B:$B,455)</f>
        <v>Shane Ker</v>
      </c>
      <c r="C38" s="634" t="str">
        <f>INDEX('REVIEW - Complete Role Mapping'!$C:$C,455)</f>
        <v>Technology Manger - Finance Platfoms</v>
      </c>
      <c r="D38" s="612" t="str">
        <f>INDEX('REVIEW - Complete Role Mapping'!$AK:$AK,455)</f>
        <v>Filled</v>
      </c>
      <c r="E38" s="612" t="inlineStr">
        <is>
          <t>Filled</t>
        </is>
      </c>
      <c r="F38" s="634" t="str">
        <f>IF(INDEX('REVIEW - Complete Role Mapping'!$AR:$AR,455)="Squad",INDEX('REVIEW - Complete Role Mapping'!$AP:$AP,455),INDEX('REVIEW - Complete Role Mapping'!$AR:$AR,455))</f>
        <v>Technology Manager</v>
      </c>
      <c r="G38" s="627">
        <f>INDEX('REVIEW - Complete Role Mapping'!$AA:$AA,455)</f>
        <v>323560.45</v>
      </c>
      <c r="H38" s="627">
        <f>$G38*IFERROR(INDEX(Lists!$AD:$AD,MATCH($E38,Lists!$AC:$AC,0)),1)</f>
        <v>323560.45</v>
      </c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38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COUNTIFS($F$25:$F$60,$B6)</f>
        <v>10</v>
      </c>
      <c r="F6" s="1250">
        <f>IFERROR($E6-$D6,"-")</f>
        <v>1</v>
      </c>
      <c r="G6" s="1250">
        <f>COUNTIFS($F$25:$F$60,$B6,$D$25:$D$60,"Vacant")</f>
        <v>2</v>
      </c>
      <c r="H6" s="1250">
        <f>COUNTIFS($F$25:$F$60,$B6,$D$25:$D$60,"Vacant",$E$25:$E$60,"Hire")+COUNTIFS($F$25:$F$60,$B6,$D$25:$D$60,"Vacant",$E$25:$E$60,"Offshore")</f>
        <v>0</v>
      </c>
      <c r="I6" s="1250">
        <f>COUNTIFS($F$25:$F$60,$B6,$D$25:$D$60,"Vacant",$E$25:$E$60,"Hold")</f>
        <v>2</v>
      </c>
      <c r="J6" s="1251">
        <f>$E6-COUNTIFS($F$25:$F$60,$B6,$E$25:$E$60,"Hold")</f>
        <v>8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SUMIFS($G$25:$G$60,$F$25:$F$60,$B6)/1000000</f>
        <v>2.12727365</v>
      </c>
      <c r="N6" s="1252">
        <f>IFERROR($M6-$L6,"-")</f>
        <v>0.0272736499999997</v>
      </c>
      <c r="O6" s="1253">
        <f>SUMIFS($H$25:$H$60,$F$25:$F$60,$B6)/1000000</f>
        <v>1.75393065</v>
      </c>
      <c r="P6" s="1254">
        <f>$O6-$M6</f>
        <v>-0.373343</v>
      </c>
      <c r="Q6" s="1254">
        <f>SUMIFS($G$25:$G$60,$F$25:$F$60,$B6,$D$25:$D$60,"Vacant")/1000000</f>
        <v>0.373343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COUNTIFS($F$25:$F$60,$B7)</f>
        <v>9</v>
      </c>
      <c r="F7" s="1250">
        <f>IFERROR($E7-$D7,"-")</f>
        <v>0</v>
      </c>
      <c r="G7" s="1250">
        <f>COUNTIFS($F$25:$F$60,$B7,$D$25:$D$60,"Vacant")</f>
        <v>2</v>
      </c>
      <c r="H7" s="1250">
        <f>COUNTIFS($F$25:$F$60,$B7,$D$25:$D$60,"Vacant",$E$25:$E$60,"Hire")+COUNTIFS($F$25:$F$60,$B7,$D$25:$D$60,"Vacant",$E$25:$E$60,"Offshore")</f>
        <v>0</v>
      </c>
      <c r="I7" s="1250">
        <f>COUNTIFS($F$25:$F$60,$B7,$D$25:$D$60,"Vacant",$E$25:$E$60,"Hold")</f>
        <v>2</v>
      </c>
      <c r="J7" s="1251">
        <f>$E7-COUNTIFS($F$25:$F$60,$B7,$E$25:$E$60,"Hold")</f>
        <v>7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2.1</v>
      </c>
      <c r="M7" s="1252">
        <f>SUMIFS($G$25:$G$60,$F$25:$F$60,$B7)/1000000</f>
        <v>1.9147733</v>
      </c>
      <c r="N7" s="1252">
        <f>IFERROR($M7-$L7,"-")</f>
        <v>-0.1852267</v>
      </c>
      <c r="O7" s="1253">
        <f>SUMIFS($H$25:$H$60,$F$25:$F$60,$B7)/1000000</f>
        <v>1.5125943</v>
      </c>
      <c r="P7" s="1254">
        <f>$O7-$M7</f>
        <v>-0.402179</v>
      </c>
      <c r="Q7" s="1254">
        <f>SUMIFS($G$25:$G$60,$F$25:$F$60,$B7,$D$25:$D$60,"Vacant")/1000000</f>
        <v>0.402179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&amp; Group Projects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Infrastructure'!$B$24:$B$41,0)),"No archetype for this squad")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COUNTIFS($F$25:$F$60,$B8)</f>
        <v>7</v>
      </c>
      <c r="F8" s="1250">
        <f>IFERROR($E8-$D8,"-")</f>
        <v>1</v>
      </c>
      <c r="G8" s="1250">
        <f>COUNTIFS($F$25:$F$60,$B8,$D$25:$D$60,"Vacant")</f>
        <v>5</v>
      </c>
      <c r="H8" s="1250">
        <f>COUNTIFS($F$25:$F$60,$B8,$D$25:$D$60,"Vacant",$E$25:$E$60,"Hire")+COUNTIFS($F$25:$F$60,$B8,$D$25:$D$60,"Vacant",$E$25:$E$60,"Offshore")</f>
        <v>0</v>
      </c>
      <c r="I8" s="1250">
        <f>COUNTIFS($F$25:$F$60,$B8,$D$25:$D$60,"Vacant",$E$25:$E$60,"Hold")</f>
        <v>5</v>
      </c>
      <c r="J8" s="1251">
        <f>$E8-COUNTIFS($F$25:$F$60,$B8,$E$25:$E$60,"Hold")</f>
        <v>2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1.4</v>
      </c>
      <c r="M8" s="1252">
        <f>SUMIFS($G$25:$G$60,$F$25:$F$60,$B8)/1000000</f>
        <v>1.51725675</v>
      </c>
      <c r="N8" s="1252">
        <f>IFERROR($M8-$L8,"-")</f>
        <v>0.11725675</v>
      </c>
      <c r="O8" s="1253">
        <f>SUMIFS($H$25:$H$60,$F$25:$F$60,$B8)/1000000</f>
        <v>0.47542275</v>
      </c>
      <c r="P8" s="1254">
        <f>$O8-$M8</f>
        <v>-1.041834</v>
      </c>
      <c r="Q8" s="1254">
        <f>SUMIFS($G$25:$G$60,$F$25:$F$60,$B8,$D$25:$D$60,"Vacant")/1000000</f>
        <v>1.041834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Infrastructure'!$B$24:$B$41,0)),"No archetype for this squad")</f>
        <v>Operations</v>
      </c>
      <c r="D9" s="1249">
        <f>IFERROR(INDEX('0.3 Squad Archetypes'!$F$5:$F$23,MATCH($C9&amp;"|"&amp;$R9,'0.3 Squad Archetypes'!$A$5:$A$23,0)),"-")</f>
        <v>4</v>
      </c>
      <c r="E9" s="1250">
        <f>COUNTIFS($F$25:$F$60,$B9)</f>
        <v>5</v>
      </c>
      <c r="F9" s="1250">
        <f>IFERROR($E9-$D9,"-")</f>
        <v>1</v>
      </c>
      <c r="G9" s="1250">
        <f>COUNTIFS($F$25:$F$60,$B9,$D$25:$D$60,"Vacant")</f>
        <v>0</v>
      </c>
      <c r="H9" s="1250">
        <f>COUNTIFS($F$25:$F$60,$B9,$D$25:$D$60,"Vacant",$E$25:$E$60,"Hire")+COUNTIFS($F$25:$F$60,$B9,$D$25:$D$60,"Vacant",$E$25:$E$60,"Offshore")</f>
        <v>0</v>
      </c>
      <c r="I9" s="1250">
        <f>COUNTIFS($F$25:$F$60,$B9,$D$25:$D$60,"Vacant",$E$25:$E$60,"Hold")</f>
        <v>0</v>
      </c>
      <c r="J9" s="1251">
        <f>$E9-COUNTIFS($F$25:$F$60,$B9,$E$25:$E$60,"Hold")</f>
        <v>5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IFERROR(INDEX('0.3 Squad Archetypes'!$G$5:$G$23,MATCH($C9&amp;"|"&amp;$R9,'0.3 Squad Archetypes'!$A$5:$A$23,0)),"-")</f>
        <v>0.8</v>
      </c>
      <c r="M9" s="1252">
        <f>SUMIFS($G$25:$G$60,$F$25:$F$60,$B9)/1000000</f>
        <v>0.74133529</v>
      </c>
      <c r="N9" s="1252">
        <f>IFERROR($M9-$L9,"-")</f>
        <v>-0.05866471</v>
      </c>
      <c r="O9" s="1253">
        <f>SUMIFS($H$25:$H$60,$F$25:$F$60,$B9)/1000000</f>
        <v>0.74133529</v>
      </c>
      <c r="P9" s="1254">
        <f>$O9-$M9</f>
        <v>0</v>
      </c>
      <c r="Q9" s="1254">
        <f>SUMIFS($G$25:$G$60,$F$25:$F$60,$B9,$D$25:$D$60,"Vacant")/1000000</f>
        <v>0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</row>
    <row r="10">
      <c r="A10" s="949" t="n"/>
      <c r="B10" s="641" t="inlineStr">
        <is>
          <t>Leadership</t>
        </is>
      </c>
      <c r="C10" s="641" t="str">
        <f>IFERROR(INDEX('1.7 Infrastructure'!$C$24:$C$41,MATCH($S10,'1.7 Infrastructure'!$B$24:$B$41,0)),"No archetype for this squad")</f>
        <v>No archetype for this squad</v>
      </c>
      <c r="D10" s="1255" t="str">
        <f>IFERROR(INDEX('0.3 Squad Archetypes'!$F$5:$F$23,MATCH($C10&amp;"|"&amp;$R10,'0.3 Squad Archetypes'!$A$5:$A$23,0)),"-")</f>
        <v>-</v>
      </c>
      <c r="E10" s="1255">
        <f>COUNTIFS($F$25:$F$60,$B10)</f>
        <v>1</v>
      </c>
      <c r="F10" s="1255" t="str">
        <f>IFERROR($E10-$D10,"-")</f>
        <v>-</v>
      </c>
      <c r="G10" s="1255">
        <f>COUNTIFS($F$25:$F$60,$B10,$D$25:$D$60,"Vacant")</f>
        <v>0</v>
      </c>
      <c r="H10" s="1255">
        <f>COUNTIFS($F$25:$F$60,$B10,$D$25:$D$60,"Vacant",$E$25:$E$60,"Hire")+COUNTIFS($F$25:$F$60,$B10,$D$25:$D$60,"Vacant",$E$25:$E$60,"Offshore")</f>
        <v>0</v>
      </c>
      <c r="I10" s="1255">
        <f>COUNTIFS($F$25:$F$60,$B10,$D$25:$D$60,"Vacant",$E$25:$E$60,"Hold")</f>
        <v>0</v>
      </c>
      <c r="J10" s="1256">
        <f>$E10-COUNTIFS($F$25:$F$60,$B10,$E$25:$E$60,"Hold")</f>
        <v>1</v>
      </c>
      <c r="K10" s="1155" t="str">
        <f>IF(NOT(ISNUMBER($D10)),"No archetype - see 0.3",IF($J10&gt;$D10,"Over archetype after decisions",IF($J10&lt;$D10,"Under archetype","On archetype")))</f>
        <v>No archetype - see 0.3</v>
      </c>
      <c r="L10" s="1257" t="str">
        <f>IFERROR(INDEX('0.3 Squad Archetypes'!$G$5:$G$23,MATCH($C10&amp;"|"&amp;$R10,'0.3 Squad Archetypes'!$A$5:$A$23,0)),"-")</f>
        <v>-</v>
      </c>
      <c r="M10" s="1257">
        <f>SUMIFS($G$25:$G$60,$F$25:$F$60,$B10)/1000000</f>
        <v>0.2566671</v>
      </c>
      <c r="N10" s="1257" t="str">
        <f>IFERROR($M10-$L10,"-")</f>
        <v>-</v>
      </c>
      <c r="O10" s="1258">
        <f>SUMIFS($H$25:$H$60,$F$25:$F$60,$B10)/1000000</f>
        <v>0.2566671</v>
      </c>
      <c r="P10" s="1254">
        <f>$O10-$M10</f>
        <v>0</v>
      </c>
      <c r="Q10" s="1254">
        <f>SUMIFS($G$25:$G$60,$F$25:$F$60,$B10,$D$25:$D$60,"Vacant")/1000000</f>
        <v>0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</v>
      </c>
    </row>
    <row r="11">
      <c r="A11" s="949" t="n"/>
      <c r="B11" s="1226" t="inlineStr">
        <is>
          <t>Delivery squads</t>
        </is>
      </c>
      <c r="C11" s="645" t="n"/>
      <c r="D11" s="1261">
        <f>SUM(D6:D10)</f>
        <v>28</v>
      </c>
      <c r="E11" s="1262">
        <f>SUM(E6:E10)</f>
        <v>32</v>
      </c>
      <c r="F11" s="1261">
        <f>SUM(F6:F10)</f>
        <v>3</v>
      </c>
      <c r="G11" s="1261">
        <f>SUM(G6:G10)</f>
        <v>9</v>
      </c>
      <c r="H11" s="1261">
        <f>SUM(H6:H10)</f>
        <v>0</v>
      </c>
      <c r="I11" s="1261">
        <f>SUM(I6:I10)</f>
        <v>9</v>
      </c>
      <c r="J11" s="1261">
        <f>SUM(J6:J10)</f>
        <v>23</v>
      </c>
      <c r="K11" s="949" t="n"/>
      <c r="L11" s="1263">
        <f>SUM(L6:L10)</f>
        <v>6.4</v>
      </c>
      <c r="M11" s="1263">
        <f>SUM(M6:M10)</f>
        <v>6.55730609</v>
      </c>
      <c r="N11" s="1263">
        <f>SUM(N6:N10)</f>
        <v>-0.0993610100000002</v>
      </c>
      <c r="O11" s="1263">
        <f>SUM(O6:O10)</f>
        <v>4.73995009</v>
      </c>
      <c r="P11" s="1254">
        <f>SUM(P6:P10)</f>
        <v>-1.817356</v>
      </c>
      <c r="Q11" s="1254">
        <f>SUM(Q6:Q10)</f>
        <v>1.817356</v>
      </c>
    </row>
    <row r="12">
      <c r="A12" s="949" t="n"/>
      <c r="B12" s="994" t="inlineStr">
        <is>
          <t>Overhead roles inside this portfolio - compared to the allowance</t>
        </is>
      </c>
      <c r="C12" s="645" t="n"/>
      <c r="D12" s="1261" t="n"/>
      <c r="E12" s="1262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994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COUNTIFS($F$25:$F$60,$B13)</f>
        <v>1</v>
      </c>
      <c r="F13" s="1261" t="str">
        <f>"-"</f>
        <v>-</v>
      </c>
      <c r="G13" s="1261">
        <f>COUNTIFS($F$25:$F$60,$B13,$D$25:$D$60,"Vacant")</f>
        <v>0</v>
      </c>
      <c r="H13" s="1261">
        <f>COUNTIFS($F$25:$F$60,$B13,$D$25:$D$60,"Vacant",$E$25:$E$60,"Hire")+COUNTIFS($F$25:$F$60,$B13,$D$25:$D$60,"Vacant",$E$25:$E$60,"Offshore")</f>
        <v>0</v>
      </c>
      <c r="I13" s="1261">
        <f>COUNTIFS($F$25:$F$60,$B13,$D$25:$D$60,"Vacant",$E$25:$E$60,"Hold")</f>
        <v>0</v>
      </c>
      <c r="J13" s="1261">
        <f>$E13-COUNTIFS($F$25:$F$60,$B13,$E$25:$E$60,"Hold")</f>
        <v>1</v>
      </c>
      <c r="K13" s="949" t="str">
        <f>"Overhead"</f>
        <v>Overhead</v>
      </c>
      <c r="L13" s="1263" t="str">
        <f>"-"</f>
        <v>-</v>
      </c>
      <c r="M13" s="1263">
        <f>SUMIFS($G$25:$G$60,$F$25:$F$60,$B13)/1000000</f>
        <v>0.3636267</v>
      </c>
      <c r="N13" s="1263" t="str">
        <f>"-"</f>
        <v>-</v>
      </c>
      <c r="O13" s="1263">
        <f>SUMIFS($H$25:$H$60,$F$25:$F$60,$B13)/1000000</f>
        <v>0.3636267</v>
      </c>
      <c r="P13" s="1254">
        <f>$O13-$M13</f>
        <v>0</v>
      </c>
      <c r="Q13" s="1254">
        <f>SUMIFS($G$25:$G$60,$F$25:$F$60,$B13,$D$25:$D$60,"Vacant")/1000000</f>
        <v>0</v>
      </c>
      <c r="R13" t="str">
        <f>"-"</f>
        <v>-</v>
      </c>
    </row>
    <row r="14">
      <c r="A14" s="949" t="n"/>
      <c r="B14" s="994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1">
        <f>COUNTIFS($F$25:$F$60,$B14)</f>
        <v>1</v>
      </c>
      <c r="F14" s="1261" t="str">
        <f>"-"</f>
        <v>-</v>
      </c>
      <c r="G14" s="1261">
        <f>COUNTIFS($F$25:$F$60,$B14,$D$25:$D$60,"Vacant")</f>
        <v>1</v>
      </c>
      <c r="H14" s="1261">
        <f>COUNTIFS($F$25:$F$60,$B14,$D$25:$D$60,"Vacant",$E$25:$E$60,"Hire")+COUNTIFS($F$25:$F$60,$B14,$D$25:$D$60,"Vacant",$E$25:$E$60,"Offshore")</f>
        <v>0</v>
      </c>
      <c r="I14" s="1261">
        <f>COUNTIFS($F$25:$F$60,$B14,$D$25:$D$60,"Vacant",$E$25:$E$60,"Hold")</f>
        <v>1</v>
      </c>
      <c r="J14" s="1261">
        <f>$E14-COUNTIFS($F$25:$F$60,$B14,$E$25:$E$60,"Hold")</f>
        <v>0</v>
      </c>
      <c r="K14" s="949" t="str">
        <f>"Overhead"</f>
        <v>Overhead</v>
      </c>
      <c r="L14" s="1263" t="str">
        <f>"-"</f>
        <v>-</v>
      </c>
      <c r="M14" s="1263">
        <f>SUMIFS($G$25:$G$60,$F$25:$F$60,$B14)/1000000</f>
        <v>0.27581025</v>
      </c>
      <c r="N14" s="1263" t="str">
        <f>"-"</f>
        <v>-</v>
      </c>
      <c r="O14" s="1263">
        <f>SUMIFS($H$25:$H$60,$F$25:$F$60,$B14)/1000000</f>
        <v>0</v>
      </c>
      <c r="P14" s="1254">
        <f>$O14-$M14</f>
        <v>-0.27581025</v>
      </c>
      <c r="Q14" s="1254">
        <f>SUMIFS($G$25:$G$60,$F$25:$F$60,$B14,$D$25:$D$60,"Vacant")/1000000</f>
        <v>0.27581025</v>
      </c>
      <c r="R14" t="str">
        <f>"-"</f>
        <v>-</v>
      </c>
    </row>
    <row r="15">
      <c r="A15" s="949" t="n"/>
      <c r="B15" s="994" t="inlineStr">
        <is>
          <t>Technology Manager</t>
        </is>
      </c>
      <c r="C15" s="645" t="str">
        <f>"Overhead - see 3.2"</f>
        <v>Overhead - see 3.2</v>
      </c>
      <c r="D15" s="1281" t="str">
        <f>"-"</f>
        <v>-</v>
      </c>
      <c r="E15" s="1262">
        <f>COUNTIFS($F$25:$F$60,$B15)</f>
        <v>2</v>
      </c>
      <c r="F15" s="1281" t="str">
        <f>"-"</f>
        <v>-</v>
      </c>
      <c r="G15" s="1281">
        <f>COUNTIFS($F$25:$F$60,$B15,$D$25:$D$60,"Vacant")</f>
        <v>2</v>
      </c>
      <c r="H15" s="1281">
        <f>COUNTIFS($F$25:$F$60,$B15,$D$25:$D$60,"Vacant",$E$25:$E$60,"Hire")+COUNTIFS($F$25:$F$60,$B15,$D$25:$D$60,"Vacant",$E$25:$E$60,"Offshore")</f>
        <v>0</v>
      </c>
      <c r="I15" s="1281">
        <f>COUNTIFS($F$25:$F$60,$B15,$D$25:$D$60,"Vacant",$E$25:$E$60,"Hold")</f>
        <v>2</v>
      </c>
      <c r="J15" s="1281">
        <f>$E15-COUNTIFS($F$25:$F$60,$B15,$E$25:$E$60,"Hold")</f>
        <v>0</v>
      </c>
      <c r="K15" s="442" t="str">
        <f>"Overhead"</f>
        <v>Overhead</v>
      </c>
      <c r="L15" s="1282" t="str">
        <f>"-"</f>
        <v>-</v>
      </c>
      <c r="M15" s="1282">
        <f>SUMIFS($G$25:$G$60,$F$25:$F$60,$B15)/1000000</f>
        <v>0.5516205</v>
      </c>
      <c r="N15" s="1282" t="str">
        <f>"-"</f>
        <v>-</v>
      </c>
      <c r="O15" s="1263">
        <f>SUMIFS($H$25:$H$60,$F$25:$F$60,$B15)/1000000</f>
        <v>0</v>
      </c>
      <c r="P15" s="1254">
        <f>$O15-$M15</f>
        <v>-0.5516205</v>
      </c>
      <c r="Q15" s="1254">
        <f>SUMIFS($G$25:$G$60,$F$25:$F$60,$B15,$D$25:$D$60,"Vacant")/1000000</f>
        <v>0.5516205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645" t="n"/>
      <c r="D16" s="1281" t="n"/>
      <c r="E16" s="1262">
        <f>SUM(E13:E15)</f>
        <v>4</v>
      </c>
      <c r="F16" s="1281" t="n"/>
      <c r="G16" s="1281">
        <f>SUM(G13:G15)</f>
        <v>3</v>
      </c>
      <c r="H16" s="1281">
        <f>SUM(H13:H15)</f>
        <v>0</v>
      </c>
      <c r="I16" s="1281">
        <f>SUM(I13:I15)</f>
        <v>3</v>
      </c>
      <c r="J16" s="1281">
        <f>SUM(J13:J15)</f>
        <v>1</v>
      </c>
      <c r="K16" s="442" t="n"/>
      <c r="L16" s="1282" t="n"/>
      <c r="M16" s="1282">
        <f>SUM(M13:M15)</f>
        <v>1.19105745</v>
      </c>
      <c r="N16" s="1282" t="n"/>
      <c r="O16" s="1263">
        <f>SUM(O13:O15)</f>
        <v>0.3636267</v>
      </c>
      <c r="P16" s="1254">
        <f>SUM(P13:P15)</f>
        <v>-0.82743075</v>
      </c>
      <c r="Q16" s="1254">
        <f>SUM(Q13:Q15)</f>
        <v>0.82743075</v>
      </c>
    </row>
    <row r="17" ht="15.65" customHeight="1">
      <c r="A17" s="949" t="n"/>
      <c r="B17" s="994" t="n"/>
      <c r="C17" s="430" t="n"/>
      <c r="D17" s="1280" t="n"/>
      <c r="E17" s="1280" t="n"/>
      <c r="F17" s="1280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64" t="inlineStr">
        <is>
          <t>Total portfolio</t>
        </is>
      </c>
      <c r="C18" s="1264" t="n"/>
      <c r="D18" s="1289">
        <f>$D11</f>
        <v>28</v>
      </c>
      <c r="E18" s="1289">
        <f>$E11+$E16</f>
        <v>36</v>
      </c>
      <c r="F18" s="1289">
        <f>IFERROR($E11-$D11,"-")</f>
        <v>4</v>
      </c>
      <c r="G18" s="1290">
        <f>$G11+$G16</f>
        <v>12</v>
      </c>
      <c r="H18" s="1290">
        <f>$H11+$H16</f>
        <v>0</v>
      </c>
      <c r="I18" s="1261">
        <f>$I11+$I16</f>
        <v>12</v>
      </c>
      <c r="J18" s="1261">
        <f>$J11+$J16</f>
        <v>24</v>
      </c>
      <c r="K18" s="949" t="n"/>
      <c r="L18" s="1263">
        <f>$L11</f>
        <v>6.4</v>
      </c>
      <c r="M18" s="1263">
        <f>$M11+$M16</f>
        <v>7.74836354</v>
      </c>
      <c r="N18" s="1263">
        <f>IFERROR($M11-$L11,"-")</f>
        <v>0.15730609</v>
      </c>
      <c r="O18" s="1263">
        <f>$O11+$O16</f>
        <v>5.10357679</v>
      </c>
      <c r="P18" s="1254">
        <f>$P11+$P16</f>
        <v>-2.64478675</v>
      </c>
      <c r="Q18" s="1254">
        <f>$Q11+$Q16</f>
        <v>2.64478675</v>
      </c>
    </row>
    <row r="19">
      <c r="A19" s="949" t="n"/>
      <c r="B19" s="1284" t="inlineStr">
        <is>
          <t>Archetype columns D, F, L and N cover the delivery squads only - overhead is not priced by a squad archetype.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34" t="inlineStr">
        <is>
          <t>Control - roles vs the ledger, must be 0</t>
        </is>
      </c>
      <c r="C20" s="634" t="n"/>
      <c r="D20" s="612" t="n"/>
      <c r="E20" s="612">
        <f>COUNTIFS('REVIEW - Complete Role Mapping'!$AJ$2:$AJ$528,"Infrastructure")-$E18</f>
        <v>0</v>
      </c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34" t="inlineStr">
        <is>
          <t>Control - cost vs the ledger ($m), must be 0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Mapping'!$AJ$2:$AJ$528,"Infrastructure")/1000000-$M18,6)</f>
        <v>0</v>
      </c>
      <c r="N21" s="949" t="n"/>
      <c r="O21" s="949" t="n"/>
    </row>
    <row r="22">
      <c r="A22" s="949" t="n"/>
      <c r="B22" s="634" t="n"/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34" t="inlineStr">
        <is>
          <t>Infrastructure roles - one row per named role, from REVIEW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Mapping'!$B:$B,341)</f>
        <v>Angus Gibson</v>
      </c>
      <c r="C25" s="634" t="str">
        <f>INDEX('REVIEW - Complete Role Mapping'!$C:$C,341)</f>
        <v>Senior Systems Analyst</v>
      </c>
      <c r="D25" s="612" t="str">
        <f>INDEX('REVIEW - Complete Role Mapping'!$AK:$AK,341)</f>
        <v>Filled</v>
      </c>
      <c r="E25" s="612" t="inlineStr">
        <is>
          <t>Filled</t>
        </is>
      </c>
      <c r="F25" s="634" t="str">
        <f>IF(INDEX('REVIEW - Complete Role Mapping'!$AR:$AR,341)="Squad",INDEX('REVIEW - Complete Role Mapping'!$AP:$AP,341),INDEX('REVIEW - Complete Role Mapping'!$AR:$AR,341))</f>
        <v>Distribution, Sales &amp; Services</v>
      </c>
      <c r="G25" s="627">
        <f>INDEX('REVIEW - Complete Role Mapping'!$AA:$AA,341)</f>
        <v>235494</v>
      </c>
      <c r="H25" s="627">
        <f>$G25*IFERROR(INDEX(Lists!$AD:$AD,MATCH($E25,Lists!$AC:$AC,0)),1)</f>
        <v>235494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Mapping'!$B:$B,345)</f>
        <v>Anvitha Kurra</v>
      </c>
      <c r="C26" s="634" t="str">
        <f>INDEX('REVIEW - Complete Role Mapping'!$C:$C,345)</f>
        <v>Senior Systems Analyst</v>
      </c>
      <c r="D26" s="612" t="str">
        <f>INDEX('REVIEW - Complete Role Mapping'!$AK:$AK,345)</f>
        <v>Filled</v>
      </c>
      <c r="E26" s="647" t="inlineStr">
        <is>
          <t>Filled</t>
        </is>
      </c>
      <c r="F26" s="648" t="str">
        <f>IF(INDEX('REVIEW - Complete Role Mapping'!$AR:$AR,345)="Squad",INDEX('REVIEW - Complete Role Mapping'!$AP:$AP,345),INDEX('REVIEW - Complete Role Mapping'!$AR:$AR,345))</f>
        <v>Distribution, Sales &amp; Services</v>
      </c>
      <c r="G26" s="627">
        <f>INDEX('REVIEW - Complete Role Mapping'!$AA:$AA,345)</f>
        <v>215388.9</v>
      </c>
      <c r="H26" s="627">
        <f>$G26*IFERROR(INDEX(Lists!$AD:$AD,MATCH($E26,Lists!$AC:$AC,0)),1)</f>
        <v>215388.9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Mapping'!$B:$B,349)</f>
        <v>Breanna Hua</v>
      </c>
      <c r="C27" s="634" t="str">
        <f>INDEX('REVIEW - Complete Role Mapping'!$C:$C,349)</f>
        <v>Systems Analyst</v>
      </c>
      <c r="D27" s="612" t="str">
        <f>INDEX('REVIEW - Complete Role Mapping'!$AK:$AK,349)</f>
        <v>Filled</v>
      </c>
      <c r="E27" s="647" t="inlineStr">
        <is>
          <t>Filled</t>
        </is>
      </c>
      <c r="F27" s="648" t="str">
        <f>IF(INDEX('REVIEW - Complete Role Mapping'!$AR:$AR,349)="Squad",INDEX('REVIEW - Complete Role Mapping'!$AP:$AP,349),INDEX('REVIEW - Complete Role Mapping'!$AR:$AR,349))</f>
        <v>Distribution, Sales &amp; Services</v>
      </c>
      <c r="G27" s="627">
        <f>INDEX('REVIEW - Complete Role Mapping'!$AA:$AA,349)</f>
        <v>167149.65</v>
      </c>
      <c r="H27" s="627">
        <f>$G27*IFERROR(INDEX(Lists!$AD:$AD,MATCH($E27,Lists!$AC:$AC,0)),1)</f>
        <v>167149.65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Mapping'!$B:$B,375)</f>
        <v>Jodi Higgins</v>
      </c>
      <c r="C28" s="634" t="str">
        <f>INDEX('REVIEW - Complete Role Mapping'!$C:$C,375)</f>
        <v>Delivery Lead</v>
      </c>
      <c r="D28" s="612" t="str">
        <f>INDEX('REVIEW - Complete Role Mapping'!$AK:$AK,375)</f>
        <v>Filled</v>
      </c>
      <c r="E28" s="612" t="inlineStr">
        <is>
          <t>Filled</t>
        </is>
      </c>
      <c r="F28" s="634" t="str">
        <f>IF(INDEX('REVIEW - Complete Role Mapping'!$AR:$AR,375)="Squad",INDEX('REVIEW - Complete Role Mapping'!$AP:$AP,375),INDEX('REVIEW - Complete Role Mapping'!$AR:$AR,375))</f>
        <v>Distribution, Sales &amp; Services</v>
      </c>
      <c r="G28" s="627">
        <f>INDEX('REVIEW - Complete Role Mapping'!$AA:$AA,375)</f>
        <v>257481.45</v>
      </c>
      <c r="H28" s="627">
        <f>$G28*IFERROR(INDEX(Lists!$AD:$AD,MATCH($E28,Lists!$AC:$AC,0)),1)</f>
        <v>257481.45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Mapping'!$B:$B,397)</f>
        <v>Rebecca Estepa</v>
      </c>
      <c r="C29" s="646" t="str">
        <f>INDEX('REVIEW - Complete Role Mapping'!$C:$C,397)</f>
        <v>Snr Business Analyst</v>
      </c>
      <c r="D29" s="646" t="str">
        <f>INDEX('REVIEW - Complete Role Mapping'!$AK:$AK,397)</f>
        <v>Filled</v>
      </c>
      <c r="E29" s="646" t="inlineStr">
        <is>
          <t>Filled</t>
        </is>
      </c>
      <c r="F29" s="646" t="str">
        <f>IF(INDEX('REVIEW - Complete Role Mapping'!$AR:$AR,397)="Squad",INDEX('REVIEW - Complete Role Mapping'!$AP:$AP,397),INDEX('REVIEW - Complete Role Mapping'!$AR:$AR,397))</f>
        <v>Distribution, Sales &amp; Services</v>
      </c>
      <c r="G29" s="627">
        <f>INDEX('REVIEW - Complete Role Mapping'!$AA:$AA,397)</f>
        <v>233331.3</v>
      </c>
      <c r="H29" s="627">
        <f>$G29*IFERROR(INDEX(Lists!$AD:$AD,MATCH($E29,Lists!$AC:$AC,0)),1)</f>
        <v>233331.3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Mapping'!$B:$B,400)</f>
        <v>Rohan Patel</v>
      </c>
      <c r="C30" s="634" t="str">
        <f>INDEX('REVIEW - Complete Role Mapping'!$C:$C,400)</f>
        <v>Senior Systems Analyst</v>
      </c>
      <c r="D30" s="612" t="str">
        <f>INDEX('REVIEW - Complete Role Mapping'!$AK:$AK,400)</f>
        <v>Filled</v>
      </c>
      <c r="E30" s="612" t="inlineStr">
        <is>
          <t>Filled</t>
        </is>
      </c>
      <c r="F30" s="634" t="str">
        <f>IF(INDEX('REVIEW - Complete Role Mapping'!$AR:$AR,400)="Squad",INDEX('REVIEW - Complete Role Mapping'!$AP:$AP,400),INDEX('REVIEW - Complete Role Mapping'!$AR:$AR,400))</f>
        <v>Distribution, Sales &amp; Services</v>
      </c>
      <c r="G30" s="627">
        <f>INDEX('REVIEW - Complete Role Mapping'!$AA:$AA,400)</f>
        <v>209394.75</v>
      </c>
      <c r="H30" s="627">
        <f>$G30*IFERROR(INDEX(Lists!$AD:$AD,MATCH($E30,Lists!$AC:$AC,0)),1)</f>
        <v>209394.75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Mapping'!$B:$B,404)</f>
        <v>Siva Chimmani</v>
      </c>
      <c r="C31" s="634" t="str">
        <f>INDEX('REVIEW - Complete Role Mapping'!$C:$C,404)</f>
        <v>Senior Engineer</v>
      </c>
      <c r="D31" s="612" t="str">
        <f>INDEX('REVIEW - Complete Role Mapping'!$AK:$AK,404)</f>
        <v>Filled</v>
      </c>
      <c r="E31" s="612" t="inlineStr">
        <is>
          <t>Filled</t>
        </is>
      </c>
      <c r="F31" s="634" t="str">
        <f>IF(INDEX('REVIEW - Complete Role Mapping'!$AR:$AR,404)="Squad",INDEX('REVIEW - Complete Role Mapping'!$AP:$AP,404),INDEX('REVIEW - Complete Role Mapping'!$AR:$AR,404))</f>
        <v>Distribution, Sales &amp; Services</v>
      </c>
      <c r="G31" s="627">
        <f>INDEX('REVIEW - Complete Role Mapping'!$AA:$AA,404)</f>
        <v>213600</v>
      </c>
      <c r="H31" s="627">
        <f>$G31*IFERROR(INDEX(Lists!$AD:$AD,MATCH($E31,Lists!$AC:$AC,0)),1)</f>
        <v>213600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Mapping'!$B:$B,406)</f>
        <v>Sriramani Deyyala</v>
      </c>
      <c r="C32" s="634" t="str">
        <f>INDEX('REVIEW - Complete Role Mapping'!$C:$C,406)</f>
        <v>Systems Analyst</v>
      </c>
      <c r="D32" s="612" t="str">
        <f>INDEX('REVIEW - Complete Role Mapping'!$AK:$AK,406)</f>
        <v>Filled</v>
      </c>
      <c r="E32" s="612" t="inlineStr">
        <is>
          <t>Filled</t>
        </is>
      </c>
      <c r="F32" s="634" t="str">
        <f>IF(INDEX('REVIEW - Complete Role Mapping'!$AR:$AR,406)="Squad",INDEX('REVIEW - Complete Role Mapping'!$AP:$AP,406),INDEX('REVIEW - Complete Role Mapping'!$AR:$AR,406))</f>
        <v>Distribution, Sales &amp; Services</v>
      </c>
      <c r="G32" s="627">
        <f>INDEX('REVIEW - Complete Role Mapping'!$AA:$AA,406)</f>
        <v>222090.6</v>
      </c>
      <c r="H32" s="627">
        <f>$G32*IFERROR(INDEX(Lists!$AD:$AD,MATCH($E32,Lists!$AC:$AC,0)),1)</f>
        <v>222090.6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Mapping'!$B:$B,431)</f>
        <v>Vacant</v>
      </c>
      <c r="C33" s="634" t="str">
        <f>INDEX('REVIEW - Complete Role Mapping'!$C:$C,431)</f>
        <v>Quality Assurance</v>
      </c>
      <c r="D33" s="612" t="str">
        <f>INDEX('REVIEW - Complete Role Mapping'!$AK:$AK,431)</f>
        <v>Vacant</v>
      </c>
      <c r="E33" s="612" t="inlineStr">
        <is>
          <t>Hold</t>
        </is>
      </c>
      <c r="F33" s="634" t="str">
        <f>IF(INDEX('REVIEW - Complete Role Mapping'!$AR:$AR,431)="Squad",INDEX('REVIEW - Complete Role Mapping'!$AP:$AP,431),INDEX('REVIEW - Complete Role Mapping'!$AR:$AR,431))</f>
        <v>Distribution, Sales &amp; Services</v>
      </c>
      <c r="G33" s="627">
        <f>INDEX('REVIEW - Complete Role Mapping'!$AA:$AA,431)</f>
        <v>170489.75</v>
      </c>
      <c r="H33" s="627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Mapping'!$B:$B,432)</f>
        <v>Vacant</v>
      </c>
      <c r="C34" s="634" t="str">
        <f>INDEX('REVIEW - Complete Role Mapping'!$C:$C,432)</f>
        <v>Business Analyst</v>
      </c>
      <c r="D34" s="612" t="str">
        <f>INDEX('REVIEW - Complete Role Mapping'!$AK:$AK,432)</f>
        <v>Vacant</v>
      </c>
      <c r="E34" s="612" t="inlineStr">
        <is>
          <t>Hold</t>
        </is>
      </c>
      <c r="F34" s="634" t="str">
        <f>IF(INDEX('REVIEW - Complete Role Mapping'!$AR:$AR,432)="Squad",INDEX('REVIEW - Complete Role Mapping'!$AP:$AP,432),INDEX('REVIEW - Complete Role Mapping'!$AR:$AR,432))</f>
        <v>Distribution, Sales &amp; Services</v>
      </c>
      <c r="G34" s="627">
        <f>INDEX('REVIEW - Complete Role Mapping'!$AA:$AA,432)</f>
        <v>202853.25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Mapping'!$B:$B,333)</f>
        <v>Akhil Sriram</v>
      </c>
      <c r="C35" s="646" t="str">
        <f>INDEX('REVIEW - Complete Role Mapping'!$C:$C,333)</f>
        <v>Snr Business Analyst</v>
      </c>
      <c r="D35" s="646" t="str">
        <f>INDEX('REVIEW - Complete Role Mapping'!$AK:$AK,333)</f>
        <v>Filled</v>
      </c>
      <c r="E35" s="646" t="inlineStr">
        <is>
          <t>Filled</t>
        </is>
      </c>
      <c r="F35" s="646" t="str">
        <f>IF(INDEX('REVIEW - Complete Role Mapping'!$AR:$AR,333)="Squad",INDEX('REVIEW - Complete Role Mapping'!$AP:$AP,333),INDEX('REVIEW - Complete Role Mapping'!$AR:$AR,333))</f>
        <v>Manufacturing Group Projects</v>
      </c>
      <c r="G35" s="627">
        <f>INDEX('REVIEW - Complete Role Mapping'!$AA:$AA,333)</f>
        <v>221796.9</v>
      </c>
      <c r="H35" s="627">
        <f>$G35*IFERROR(INDEX(Lists!$AD:$AD,MATCH($E35,Lists!$AC:$AC,0)),1)</f>
        <v>221796.9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Mapping'!$B:$B,356)</f>
        <v>Chris Camacho</v>
      </c>
      <c r="C36" s="634" t="str">
        <f>INDEX('REVIEW - Complete Role Mapping'!$C:$C,356)</f>
        <v>Senior Systems Analyst</v>
      </c>
      <c r="D36" s="612" t="str">
        <f>INDEX('REVIEW - Complete Role Mapping'!$AK:$AK,356)</f>
        <v>Filled</v>
      </c>
      <c r="E36" s="612" t="inlineStr">
        <is>
          <t>Filled</t>
        </is>
      </c>
      <c r="F36" s="634" t="str">
        <f>IF(INDEX('REVIEW - Complete Role Mapping'!$AR:$AR,356)="Squad",INDEX('REVIEW - Complete Role Mapping'!$AP:$AP,356),INDEX('REVIEW - Complete Role Mapping'!$AR:$AR,356))</f>
        <v>Manufacturing Group Projects</v>
      </c>
      <c r="G36" s="627">
        <f>INDEX('REVIEW - Complete Role Mapping'!$AA:$AA,356)</f>
        <v>225051.95</v>
      </c>
      <c r="H36" s="627">
        <f>$G36*IFERROR(INDEX(Lists!$AD:$AD,MATCH($E36,Lists!$AC:$AC,0)),1)</f>
        <v>225051.95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Mapping'!$B:$B,361)</f>
        <v>Fabian Moreno Cortes</v>
      </c>
      <c r="C37" s="634" t="str">
        <f>INDEX('REVIEW - Complete Role Mapping'!$C:$C,361)</f>
        <v>Engineer - Software</v>
      </c>
      <c r="D37" s="612" t="str">
        <f>INDEX('REVIEW - Complete Role Mapping'!$AK:$AK,361)</f>
        <v>Filled</v>
      </c>
      <c r="E37" s="612" t="inlineStr">
        <is>
          <t>Filled</t>
        </is>
      </c>
      <c r="F37" s="634" t="str">
        <f>IF(INDEX('REVIEW - Complete Role Mapping'!$AR:$AR,361)="Squad",INDEX('REVIEW - Complete Role Mapping'!$AP:$AP,361),INDEX('REVIEW - Complete Role Mapping'!$AR:$AR,361))</f>
        <v>Manufacturing Group Projects</v>
      </c>
      <c r="G37" s="627">
        <f>INDEX('REVIEW - Complete Role Mapping'!$AA:$AA,361)</f>
        <v>193575</v>
      </c>
      <c r="H37" s="627">
        <f>$G37*IFERROR(INDEX(Lists!$AD:$AD,MATCH($E37,Lists!$AC:$AC,0)),1)</f>
        <v>193575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Mapping'!$B:$B,372)</f>
        <v>Jaya Ganasan</v>
      </c>
      <c r="C38" s="634" t="str">
        <f>INDEX('REVIEW - Complete Role Mapping'!$C:$C,372)</f>
        <v>B2B &amp; Energy+B452:I452</v>
      </c>
      <c r="D38" s="612" t="str">
        <f>INDEX('REVIEW - Complete Role Mapping'!$AK:$AK,372)</f>
        <v>Filled</v>
      </c>
      <c r="E38" s="612" t="inlineStr">
        <is>
          <t>Filled</t>
        </is>
      </c>
      <c r="F38" s="634" t="str">
        <f>IF(INDEX('REVIEW - Complete Role Mapping'!$AR:$AR,372)="Squad",INDEX('REVIEW - Complete Role Mapping'!$AP:$AP,372),INDEX('REVIEW - Complete Role Mapping'!$AR:$AR,372))</f>
        <v>Manufacturing Group Projects</v>
      </c>
      <c r="G38" s="627">
        <f>INDEX('REVIEW - Complete Role Mapping'!$AA:$AA,372)</f>
        <v>257693.9</v>
      </c>
      <c r="H38" s="627">
        <f>$G38*IFERROR(INDEX(Lists!$AD:$AD,MATCH($E38,Lists!$AC:$AC,0)),1)</f>
        <v>257693.9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Mapping'!$B:$B,387)</f>
        <v>Louis Ballington</v>
      </c>
      <c r="C39" s="634" t="str">
        <f>INDEX('REVIEW - Complete Role Mapping'!$C:$C,387)</f>
        <v>Delivery Lead</v>
      </c>
      <c r="D39" s="612" t="str">
        <f>INDEX('REVIEW - Complete Role Mapping'!$AK:$AK,387)</f>
        <v>Filled</v>
      </c>
      <c r="E39" s="612" t="inlineStr">
        <is>
          <t>Filled</t>
        </is>
      </c>
      <c r="F39" s="634" t="str">
        <f>IF(INDEX('REVIEW - Complete Role Mapping'!$AR:$AR,387)="Squad",INDEX('REVIEW - Complete Role Mapping'!$AP:$AP,387),INDEX('REVIEW - Complete Role Mapping'!$AR:$AR,387))</f>
        <v>Manufacturing Group Projects</v>
      </c>
      <c r="G39" s="627">
        <f>INDEX('REVIEW - Complete Role Mapping'!$AA:$AA,387)</f>
        <v>256466.85</v>
      </c>
      <c r="H39" s="627">
        <f>$G39*IFERROR(INDEX(Lists!$AD:$AD,MATCH($E39,Lists!$AC:$AC,0)),1)</f>
        <v>256466.85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Mapping'!$B:$B,411)</f>
        <v>Tyler Meggs</v>
      </c>
      <c r="C40" s="634" t="str">
        <f>INDEX('REVIEW - Complete Role Mapping'!$C:$C,411)</f>
        <v>System Analyst</v>
      </c>
      <c r="D40" s="612" t="str">
        <f>INDEX('REVIEW - Complete Role Mapping'!$AK:$AK,411)</f>
        <v>Filled</v>
      </c>
      <c r="E40" s="612" t="inlineStr">
        <is>
          <t>Filled</t>
        </is>
      </c>
      <c r="F40" s="634" t="str">
        <f>IF(INDEX('REVIEW - Complete Role Mapping'!$AR:$AR,411)="Squad",INDEX('REVIEW - Complete Role Mapping'!$AP:$AP,411),INDEX('REVIEW - Complete Role Mapping'!$AR:$AR,411))</f>
        <v>Manufacturing Group Projects</v>
      </c>
      <c r="G40" s="627">
        <f>INDEX('REVIEW - Complete Role Mapping'!$AA:$AA,411)</f>
        <v>144650</v>
      </c>
      <c r="H40" s="627">
        <f>$G40*IFERROR(INDEX(Lists!$AD:$AD,MATCH($E40,Lists!$AC:$AC,0)),1)</f>
        <v>144650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Mapping'!$B:$B,443)</f>
        <v>Victor Olasanoye</v>
      </c>
      <c r="C41" s="634" t="str">
        <f>INDEX('REVIEW - Complete Role Mapping'!$C:$C,443)</f>
        <v>Senior Systems Analyst</v>
      </c>
      <c r="D41" s="612" t="str">
        <f>INDEX('REVIEW - Complete Role Mapping'!$AK:$AK,443)</f>
        <v>Filled</v>
      </c>
      <c r="E41" s="612" t="inlineStr">
        <is>
          <t>Filled</t>
        </is>
      </c>
      <c r="F41" s="634" t="str">
        <f>IF(INDEX('REVIEW - Complete Role Mapping'!$AR:$AR,443)="Squad",INDEX('REVIEW - Complete Role Mapping'!$AP:$AP,443),INDEX('REVIEW - Complete Role Mapping'!$AR:$AR,443))</f>
        <v>Manufacturing Group Projects</v>
      </c>
      <c r="G41" s="627">
        <f>INDEX('REVIEW - Complete Role Mapping'!$AA:$AA,443)</f>
        <v>213359.7</v>
      </c>
      <c r="H41" s="627">
        <f>$G41*IFERROR(INDEX(Lists!$AD:$AD,MATCH($E41,Lists!$AC:$AC,0)),1)</f>
        <v>213359.7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Mapping'!$B:$B,429)</f>
        <v>Vacant</v>
      </c>
      <c r="C42" s="634" t="str">
        <f>INDEX('REVIEW - Complete Role Mapping'!$C:$C,429)</f>
        <v>Quality Assurance</v>
      </c>
      <c r="D42" s="612" t="str">
        <f>INDEX('REVIEW - Complete Role Mapping'!$AK:$AK,429)</f>
        <v>Vacant</v>
      </c>
      <c r="E42" s="612" t="inlineStr">
        <is>
          <t>Hold</t>
        </is>
      </c>
      <c r="F42" s="634" t="str">
        <f>IF(INDEX('REVIEW - Complete Role Mapping'!$AR:$AR,429)="Squad",INDEX('REVIEW - Complete Role Mapping'!$AP:$AP,429),INDEX('REVIEW - Complete Role Mapping'!$AR:$AR,429))</f>
        <v>Manufacturing Group Projects</v>
      </c>
      <c r="G42" s="627">
        <f>INDEX('REVIEW - Complete Role Mapping'!$AA:$AA,429)</f>
        <v>170489.75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Mapping'!$B:$B,430)</f>
        <v>Vacant</v>
      </c>
      <c r="C43" s="634" t="str">
        <f>INDEX('REVIEW - Complete Role Mapping'!$C:$C,430)</f>
        <v>Solution Architect</v>
      </c>
      <c r="D43" s="612" t="str">
        <f>INDEX('REVIEW - Complete Role Mapping'!$AK:$AK,430)</f>
        <v>Vacant</v>
      </c>
      <c r="E43" s="612" t="inlineStr">
        <is>
          <t>Hold</t>
        </is>
      </c>
      <c r="F43" s="634" t="str">
        <f>IF(INDEX('REVIEW - Complete Role Mapping'!$AR:$AR,430)="Squad",INDEX('REVIEW - Complete Role Mapping'!$AP:$AP,430),INDEX('REVIEW - Complete Role Mapping'!$AR:$AR,430))</f>
        <v>Manufacturing Group Projects</v>
      </c>
      <c r="G43" s="627">
        <f>INDEX('REVIEW - Complete Role Mapping'!$AA:$AA,430)</f>
        <v>231689.25</v>
      </c>
      <c r="H43" s="627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Mapping'!$B:$B,403)</f>
        <v>Simrat Singh</v>
      </c>
      <c r="C44" s="634" t="str">
        <f>INDEX('REVIEW - Complete Role Mapping'!$C:$C,403)</f>
        <v>Reporting Analyst</v>
      </c>
      <c r="D44" s="612" t="str">
        <f>INDEX('REVIEW - Complete Role Mapping'!$AK:$AK,403)</f>
        <v>Filled</v>
      </c>
      <c r="E44" s="647" t="inlineStr">
        <is>
          <t>Filled</t>
        </is>
      </c>
      <c r="F44" s="648" t="str">
        <f>IF(INDEX('REVIEW - Complete Role Mapping'!$AR:$AR,403)="Squad",INDEX('REVIEW - Complete Role Mapping'!$AP:$AP,403),INDEX('REVIEW - Complete Role Mapping'!$AR:$AR,403))</f>
        <v>Data &amp; Insights</v>
      </c>
      <c r="G44" s="627">
        <f>INDEX('REVIEW - Complete Role Mapping'!$AA:$AA,403)</f>
        <v>197580</v>
      </c>
      <c r="H44" s="627">
        <f>$G44*IFERROR(INDEX(Lists!$AD:$AD,MATCH($E44,Lists!$AC:$AC,0)),1)</f>
        <v>197580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Mapping'!$B:$B,407)</f>
        <v>Stevani Kho</v>
      </c>
      <c r="C45" s="634" t="str">
        <f>INDEX('REVIEW - Complete Role Mapping'!$C:$C,407)</f>
        <v>Delivery Lead</v>
      </c>
      <c r="D45" s="612" t="str">
        <f>INDEX('REVIEW - Complete Role Mapping'!$AK:$AK,407)</f>
        <v>Filled</v>
      </c>
      <c r="E45" s="647" t="inlineStr">
        <is>
          <t>Filled</t>
        </is>
      </c>
      <c r="F45" s="648" t="str">
        <f>IF(INDEX('REVIEW - Complete Role Mapping'!$AR:$AR,407)="Squad",INDEX('REVIEW - Complete Role Mapping'!$AP:$AP,407),INDEX('REVIEW - Complete Role Mapping'!$AR:$AR,407))</f>
        <v>Data &amp; Insights</v>
      </c>
      <c r="G45" s="627">
        <f>INDEX('REVIEW - Complete Role Mapping'!$AA:$AA,407)</f>
        <v>277842.75</v>
      </c>
      <c r="H45" s="627">
        <f>$G45*IFERROR(INDEX(Lists!$AD:$AD,MATCH($E45,Lists!$AC:$AC,0)),1)</f>
        <v>277842.75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Mapping'!$B:$B,433)</f>
        <v>Vacant</v>
      </c>
      <c r="C46" s="646" t="str">
        <f>INDEX('REVIEW - Complete Role Mapping'!$C:$C,433)</f>
        <v>Data Analyst</v>
      </c>
      <c r="D46" s="646" t="str">
        <f>INDEX('REVIEW - Complete Role Mapping'!$AK:$AK,433)</f>
        <v>Vacant</v>
      </c>
      <c r="E46" s="646" t="inlineStr">
        <is>
          <t>Hold</t>
        </is>
      </c>
      <c r="F46" s="646" t="str">
        <f>IF(INDEX('REVIEW - Complete Role Mapping'!$AR:$AR,433)="Squad",INDEX('REVIEW - Complete Role Mapping'!$AP:$AP,433),INDEX('REVIEW - Complete Role Mapping'!$AR:$AR,433))</f>
        <v>Data &amp; Insights</v>
      </c>
      <c r="G46" s="627">
        <f>INDEX('REVIEW - Complete Role Mapping'!$AA:$AA,433)</f>
        <v>201585</v>
      </c>
      <c r="H46" s="627">
        <f>$G46*IFERROR(INDEX(Lists!$AD:$AD,MATCH($E46,Lists!$AC:$AC,0)),1)</f>
        <v>0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Mapping'!$B:$B,434)</f>
        <v>Vacant</v>
      </c>
      <c r="C47" s="634" t="str">
        <f>INDEX('REVIEW - Complete Role Mapping'!$C:$C,434)</f>
        <v>Engineer Data</v>
      </c>
      <c r="D47" s="612" t="str">
        <f>INDEX('REVIEW - Complete Role Mapping'!$AK:$AK,434)</f>
        <v>Vacant</v>
      </c>
      <c r="E47" s="612" t="inlineStr">
        <is>
          <t>Hold</t>
        </is>
      </c>
      <c r="F47" s="634" t="str">
        <f>IF(INDEX('REVIEW - Complete Role Mapping'!$AR:$AR,434)="Squad",INDEX('REVIEW - Complete Role Mapping'!$AP:$AP,434),INDEX('REVIEW - Complete Role Mapping'!$AR:$AR,434))</f>
        <v>Data &amp; Insights</v>
      </c>
      <c r="G47" s="627">
        <f>INDEX('REVIEW - Complete Role Mapping'!$AA:$AA,434)</f>
        <v>202853.25</v>
      </c>
      <c r="H47" s="627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Mapping'!$B:$B,435)</f>
        <v>Vacant</v>
      </c>
      <c r="C48" s="634" t="str">
        <f>INDEX('REVIEW - Complete Role Mapping'!$C:$C,435)</f>
        <v>Lead Data Analyst</v>
      </c>
      <c r="D48" s="612" t="str">
        <f>INDEX('REVIEW - Complete Role Mapping'!$AK:$AK,435)</f>
        <v>Vacant</v>
      </c>
      <c r="E48" s="612" t="inlineStr">
        <is>
          <t>Hold</t>
        </is>
      </c>
      <c r="F48" s="634" t="str">
        <f>IF(INDEX('REVIEW - Complete Role Mapping'!$AR:$AR,435)="Squad",INDEX('REVIEW - Complete Role Mapping'!$AP:$AP,435),INDEX('REVIEW - Complete Role Mapping'!$AR:$AR,435))</f>
        <v>Data &amp; Insights</v>
      </c>
      <c r="G48" s="627">
        <f>INDEX('REVIEW - Complete Role Mapping'!$AA:$AA,435)</f>
        <v>231689.25</v>
      </c>
      <c r="H48" s="627">
        <f>$G48*IFERROR(INDEX(Lists!$AD:$AD,MATCH($E48,Lists!$AC:$AC,0)),1)</f>
        <v>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Mapping'!$B:$B,436)</f>
        <v>Vacant</v>
      </c>
      <c r="C49" s="634" t="str">
        <f>INDEX('REVIEW - Complete Role Mapping'!$C:$C,436)</f>
        <v>Reporting Analyst</v>
      </c>
      <c r="D49" s="612" t="str">
        <f>INDEX('REVIEW - Complete Role Mapping'!$AK:$AK,436)</f>
        <v>Vacant</v>
      </c>
      <c r="E49" s="647" t="inlineStr">
        <is>
          <t>Hold</t>
        </is>
      </c>
      <c r="F49" s="648" t="str">
        <f>IF(INDEX('REVIEW - Complete Role Mapping'!$AR:$AR,436)="Squad",INDEX('REVIEW - Complete Role Mapping'!$AP:$AP,436),INDEX('REVIEW - Complete Role Mapping'!$AR:$AR,436))</f>
        <v>Data &amp; Insights</v>
      </c>
      <c r="G49" s="627">
        <f>INDEX('REVIEW - Complete Role Mapping'!$AA:$AA,436)</f>
        <v>202853.25</v>
      </c>
      <c r="H49" s="627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Mapping'!$B:$B,437)</f>
        <v>Vacant</v>
      </c>
      <c r="C50" s="634" t="str">
        <f>INDEX('REVIEW - Complete Role Mapping'!$C:$C,437)</f>
        <v>Senior Engineer Data</v>
      </c>
      <c r="D50" s="612" t="str">
        <f>INDEX('REVIEW - Complete Role Mapping'!$AK:$AK,437)</f>
        <v>Vacant</v>
      </c>
      <c r="E50" s="647" t="inlineStr">
        <is>
          <t>Hold</t>
        </is>
      </c>
      <c r="F50" s="648" t="str">
        <f>IF(INDEX('REVIEW - Complete Role Mapping'!$AR:$AR,437)="Squad",INDEX('REVIEW - Complete Role Mapping'!$AP:$AP,437),INDEX('REVIEW - Complete Role Mapping'!$AR:$AR,437))</f>
        <v>Data &amp; Insights</v>
      </c>
      <c r="G50" s="627">
        <f>INDEX('REVIEW - Complete Role Mapping'!$AA:$AA,437)</f>
        <v>202853.25</v>
      </c>
      <c r="H50" s="627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Mapping'!$B:$B,335)</f>
        <v>Alison Rosier</v>
      </c>
      <c r="C51" s="634" t="str">
        <f>INDEX('REVIEW - Complete Role Mapping'!$C:$C,335)</f>
        <v>Technology Support Engineer - Infrastructure</v>
      </c>
      <c r="D51" s="612" t="str">
        <f>INDEX('REVIEW - Complete Role Mapping'!$AK:$AK,335)</f>
        <v>Filled</v>
      </c>
      <c r="E51" s="647" t="inlineStr">
        <is>
          <t>Filled</t>
        </is>
      </c>
      <c r="F51" s="648" t="str">
        <f>IF(INDEX('REVIEW - Complete Role Mapping'!$AR:$AR,335)="Squad",INDEX('REVIEW - Complete Role Mapping'!$AP:$AP,335),INDEX('REVIEW - Complete Role Mapping'!$AR:$AR,335))</f>
        <v>Technology Support</v>
      </c>
      <c r="G51" s="627">
        <f>INDEX('REVIEW - Complete Role Mapping'!$AA:$AA,335)</f>
        <v>162936.39</v>
      </c>
      <c r="H51" s="627">
        <f>$G51*IFERROR(INDEX(Lists!$AD:$AD,MATCH($E51,Lists!$AC:$AC,0)),1)</f>
        <v>162936.39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Mapping'!$B:$B,365)</f>
        <v>Glenn Earl</v>
      </c>
      <c r="C52" s="634" t="str">
        <f>INDEX('REVIEW - Complete Role Mapping'!$C:$C,365)</f>
        <v>Lead Technology Support - Infrastructure</v>
      </c>
      <c r="D52" s="612" t="str">
        <f>INDEX('REVIEW - Complete Role Mapping'!$AK:$AK,365)</f>
        <v>Filled</v>
      </c>
      <c r="E52" s="647" t="inlineStr">
        <is>
          <t>Filled</t>
        </is>
      </c>
      <c r="F52" s="648" t="str">
        <f>IF(INDEX('REVIEW - Complete Role Mapping'!$AR:$AR,365)="Squad",INDEX('REVIEW - Complete Role Mapping'!$AP:$AP,365),INDEX('REVIEW - Complete Role Mapping'!$AR:$AR,365))</f>
        <v>Technology Support</v>
      </c>
      <c r="G52" s="627">
        <f>INDEX('REVIEW - Complete Role Mapping'!$AA:$AA,365)</f>
        <v>171291.9</v>
      </c>
      <c r="H52" s="627">
        <f>$G52*IFERROR(INDEX(Lists!$AD:$AD,MATCH($E52,Lists!$AC:$AC,0)),1)</f>
        <v>171291.9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Mapping'!$B:$B,396)</f>
        <v>Radek Rybar</v>
      </c>
      <c r="C53" s="634" t="str">
        <f>INDEX('REVIEW - Complete Role Mapping'!$C:$C,396)</f>
        <v>Technology Support Engineer - Infrastructure</v>
      </c>
      <c r="D53" s="612" t="str">
        <f>INDEX('REVIEW - Complete Role Mapping'!$AK:$AK,396)</f>
        <v>Filled</v>
      </c>
      <c r="E53" s="647" t="inlineStr">
        <is>
          <t>Filled</t>
        </is>
      </c>
      <c r="F53" s="648" t="str">
        <f>IF(INDEX('REVIEW - Complete Role Mapping'!$AR:$AR,396)="Squad",INDEX('REVIEW - Complete Role Mapping'!$AP:$AP,396),INDEX('REVIEW - Complete Role Mapping'!$AR:$AR,396))</f>
        <v>Technology Support</v>
      </c>
      <c r="G53" s="627">
        <f>INDEX('REVIEW - Complete Role Mapping'!$AA:$AA,396)</f>
        <v>153697.2</v>
      </c>
      <c r="H53" s="627">
        <f>$G53*IFERROR(INDEX(Lists!$AD:$AD,MATCH($E53,Lists!$AC:$AC,0)),1)</f>
        <v>153697.2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Mapping'!$B:$B,401)</f>
        <v>Scott Hasson</v>
      </c>
      <c r="C54" s="646" t="str">
        <f>INDEX('REVIEW - Complete Role Mapping'!$C:$C,401)</f>
        <v>Technology Support Engineer - Infrastructure</v>
      </c>
      <c r="D54" s="646" t="str">
        <f>INDEX('REVIEW - Complete Role Mapping'!$AK:$AK,401)</f>
        <v>Filled</v>
      </c>
      <c r="E54" s="646" t="inlineStr">
        <is>
          <t>Filled</t>
        </is>
      </c>
      <c r="F54" s="646" t="str">
        <f>IF(INDEX('REVIEW - Complete Role Mapping'!$AR:$AR,401)="Squad",INDEX('REVIEW - Complete Role Mapping'!$AP:$AP,401),INDEX('REVIEW - Complete Role Mapping'!$AR:$AR,401))</f>
        <v>Technology Support</v>
      </c>
      <c r="G54" s="1267">
        <f>INDEX('REVIEW - Complete Role Mapping'!$AA:$AA,401)</f>
        <v>146727.7</v>
      </c>
      <c r="H54" s="1267">
        <f>$G54*IFERROR(INDEX(Lists!$AD:$AD,MATCH($E54,Lists!$AC:$AC,0)),1)</f>
        <v>146727.7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Mapping'!$B:$B,409)</f>
        <v>Tom Moore</v>
      </c>
      <c r="C55" s="634" t="str">
        <f>INDEX('REVIEW - Complete Role Mapping'!$C:$C,409)</f>
        <v>Technology Support Engineer - Infrastructure</v>
      </c>
      <c r="D55" s="612" t="str">
        <f>INDEX('REVIEW - Complete Role Mapping'!$AK:$AK,409)</f>
        <v>Filled</v>
      </c>
      <c r="E55" s="612" t="inlineStr">
        <is>
          <t>Filled</t>
        </is>
      </c>
      <c r="F55" s="634" t="str">
        <f>IF(INDEX('REVIEW - Complete Role Mapping'!$AR:$AR,409)="Squad",INDEX('REVIEW - Complete Role Mapping'!$AP:$AP,409),INDEX('REVIEW - Complete Role Mapping'!$AR:$AR,409))</f>
        <v>Technology Support</v>
      </c>
      <c r="G55" s="1267">
        <f>INDEX('REVIEW - Complete Role Mapping'!$AA:$AA,409)</f>
        <v>106682.1</v>
      </c>
      <c r="H55" s="1267">
        <f>$G55*IFERROR(INDEX(Lists!$AD:$AD,MATCH($E55,Lists!$AC:$AC,0)),1)</f>
        <v>106682.1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str">
        <f>INDEX('REVIEW - Complete Role Mapping'!$B:$B,364)</f>
        <v>George Moun</v>
      </c>
      <c r="C56" s="634" t="str">
        <f>INDEX('REVIEW - Complete Role Mapping'!$C:$C,364)</f>
        <v>Solution Architect</v>
      </c>
      <c r="D56" s="612" t="str">
        <f>INDEX('REVIEW - Complete Role Mapping'!$AK:$AK,364)</f>
        <v>Filled</v>
      </c>
      <c r="E56" s="612" t="inlineStr">
        <is>
          <t>Filled</t>
        </is>
      </c>
      <c r="F56" s="634" t="str">
        <f>IF(INDEX('REVIEW - Complete Role Mapping'!$AR:$AR,364)="Squad",INDEX('REVIEW - Complete Role Mapping'!$AP:$AP,364),INDEX('REVIEW - Complete Role Mapping'!$AR:$AR,364))</f>
        <v>Leadership</v>
      </c>
      <c r="G56" s="1267">
        <f>INDEX('REVIEW - Complete Role Mapping'!$AA:$AA,364)</f>
        <v>256667.1</v>
      </c>
      <c r="H56" s="1267">
        <f>$G56*IFERROR(INDEX(Lists!$AD:$AD,MATCH($E56,Lists!$AC:$AC,0)),1)</f>
        <v>256667.1</v>
      </c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str">
        <f>INDEX('REVIEW - Complete Role Mapping'!$B:$B,339)</f>
        <v>Amish Pandit</v>
      </c>
      <c r="C57" s="634" t="str">
        <f>INDEX('REVIEW - Complete Role Mapping'!$C:$C,339)</f>
        <v>Head of Technology, Fuel Infrastructure</v>
      </c>
      <c r="D57" s="612" t="str">
        <f>INDEX('REVIEW - Complete Role Mapping'!$AK:$AK,339)</f>
        <v>Filled</v>
      </c>
      <c r="E57" s="612" t="inlineStr">
        <is>
          <t>Filled</t>
        </is>
      </c>
      <c r="F57" s="634" t="str">
        <f>IF(INDEX('REVIEW - Complete Role Mapping'!$AR:$AR,339)="Squad",INDEX('REVIEW - Complete Role Mapping'!$AP:$AP,339),INDEX('REVIEW - Complete Role Mapping'!$AR:$AR,339))</f>
        <v>Head of Technology</v>
      </c>
      <c r="G57" s="1267">
        <f>INDEX('REVIEW - Complete Role Mapping'!$AA:$AA,339)</f>
        <v>363626.7</v>
      </c>
      <c r="H57" s="1267">
        <f>$G57*IFERROR(INDEX(Lists!$AD:$AD,MATCH($E57,Lists!$AC:$AC,0)),1)</f>
        <v>363626.7</v>
      </c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str">
        <f>INDEX('REVIEW - Complete Role Mapping'!$B:$B,426)</f>
        <v>Vacant</v>
      </c>
      <c r="C58" s="634" t="str">
        <f>INDEX('REVIEW - Complete Role Mapping'!$C:$C,426)</f>
        <v>Delivery manager</v>
      </c>
      <c r="D58" s="612" t="str">
        <f>INDEX('REVIEW - Complete Role Mapping'!$AK:$AK,426)</f>
        <v>Vacant</v>
      </c>
      <c r="E58" s="612" t="inlineStr">
        <is>
          <t>Hold</t>
        </is>
      </c>
      <c r="F58" s="634" t="str">
        <f>IF(INDEX('REVIEW - Complete Role Mapping'!$AR:$AR,426)="Squad",INDEX('REVIEW - Complete Role Mapping'!$AP:$AP,426),INDEX('REVIEW - Complete Role Mapping'!$AR:$AR,426))</f>
        <v>Delivery Manager</v>
      </c>
      <c r="G58" s="1267">
        <f>INDEX('REVIEW - Complete Role Mapping'!$AA:$AA,426)</f>
        <v>275810.25</v>
      </c>
      <c r="H58" s="1267">
        <f>$G58*IFERROR(INDEX(Lists!$AD:$AD,MATCH($E58,Lists!$AC:$AC,0)),1)</f>
        <v>0</v>
      </c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str">
        <f>INDEX('REVIEW - Complete Role Mapping'!$B:$B,427)</f>
        <v>Vacant</v>
      </c>
      <c r="C59" s="634" t="str">
        <f>INDEX('REVIEW - Complete Role Mapping'!$C:$C,427)</f>
        <v>Technology Manager Data</v>
      </c>
      <c r="D59" s="612" t="str">
        <f>INDEX('REVIEW - Complete Role Mapping'!$AK:$AK,427)</f>
        <v>Vacant</v>
      </c>
      <c r="E59" s="612" t="inlineStr">
        <is>
          <t>Hold</t>
        </is>
      </c>
      <c r="F59" s="634" t="str">
        <f>IF(INDEX('REVIEW - Complete Role Mapping'!$AR:$AR,427)="Squad",INDEX('REVIEW - Complete Role Mapping'!$AP:$AP,427),INDEX('REVIEW - Complete Role Mapping'!$AR:$AR,427))</f>
        <v>Technology Manager</v>
      </c>
      <c r="G59" s="1267">
        <f>INDEX('REVIEW - Complete Role Mapping'!$AA:$AA,427)</f>
        <v>275810.25</v>
      </c>
      <c r="H59" s="1267">
        <f>$G59*IFERROR(INDEX(Lists!$AD:$AD,MATCH($E59,Lists!$AC:$AC,0)),1)</f>
        <v>0</v>
      </c>
      <c r="I59" s="442" t="n"/>
      <c r="J59" s="442" t="n"/>
      <c r="K59" s="442" t="n"/>
      <c r="L59" s="442" t="n"/>
      <c r="M59" s="442" t="n"/>
      <c r="N59" s="442" t="n"/>
      <c r="O59" s="949" t="n"/>
    </row>
    <row r="60">
      <c r="B60" t="str">
        <f>INDEX('REVIEW - Complete Role Mapping'!$B:$B,428)</f>
        <v>Vacant</v>
      </c>
      <c r="C60" t="str">
        <f>INDEX('REVIEW - Complete Role Mapping'!$C:$C,428)</f>
        <v>Technology Manager, Future Infrastructure </v>
      </c>
      <c r="D60" t="str">
        <f>INDEX('REVIEW - Complete Role Mapping'!$AK:$AK,428)</f>
        <v>Vacant</v>
      </c>
      <c r="E60" t="inlineStr">
        <is>
          <t>Hold</t>
        </is>
      </c>
      <c r="F60" t="str">
        <f>IF(INDEX('REVIEW - Complete Role Mapping'!$AR:$AR,428)="Squad",INDEX('REVIEW - Complete Role Mapping'!$AP:$AP,428),INDEX('REVIEW - Complete Role Mapping'!$AR:$AR,428))</f>
        <v>Technology Manager</v>
      </c>
      <c r="G60" s="1274">
        <f>INDEX('REVIEW - Complete Role Mapping'!$AA:$AA,428)</f>
        <v>275810.25</v>
      </c>
      <c r="H60" s="1274">
        <f>$G60*IFERROR(INDEX(Lists!$AD:$AD,MATCH($E60,Lists!$AC:$AC,0)),1)</f>
        <v>0</v>
      </c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5:E60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B2B'!$B$26:$B$37,0)),"No archetype for this squad")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COUNTIFS($F$23:$F$55,$B6)</f>
        <v>14</v>
      </c>
      <c r="F6" s="1250">
        <f>IFERROR($E6-$D6,"-")</f>
        <v>0</v>
      </c>
      <c r="G6" s="1250">
        <f>COUNTIFS($F$23:$F$55,$B6,$D$23:$D$55,"Vacant")</f>
        <v>3</v>
      </c>
      <c r="H6" s="1250">
        <f>COUNTIFS($F$23:$F$55,$B6,$D$23:$D$55,"Vacant",$E$23:$E$55,"Hire")+COUNTIFS($F$23:$F$55,$B6,$D$23:$D$55,"Vacant",$E$23:$E$55,"Offshore")</f>
        <v>0</v>
      </c>
      <c r="I6" s="1250">
        <f>COUNTIFS($F$23:$F$55,$B6,$D$23:$D$55,"Vacant",$E$23:$E$55,"Hold")</f>
        <v>3</v>
      </c>
      <c r="J6" s="1251">
        <f>$E6-COUNTIFS($F$23:$F$55,$B6,$E$23:$E$55,"Hold")</f>
        <v>11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3.2</v>
      </c>
      <c r="M6" s="1252">
        <f>SUMIFS($G$23:$G$55,$F$23:$F$55,$B6)/1000000</f>
        <v>2.59351107</v>
      </c>
      <c r="N6" s="1252">
        <f>IFERROR($M6-$L6,"-")</f>
        <v>-0.60648893</v>
      </c>
      <c r="O6" s="1253">
        <f>SUMIFS($H$23:$H$55,$F$23:$F$55,$B6)/1000000</f>
        <v>1.95611532</v>
      </c>
      <c r="P6" s="1254">
        <f>$O6-$M6</f>
        <v>-0.63739575</v>
      </c>
      <c r="Q6" s="1254">
        <f>SUMIFS($G$23:$G$55,$F$23:$F$55,$B6,$D$23:$D$55,"Vacant")/1000000</f>
        <v>0.63739575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B2B'!$B$26:$B$37,0)),"No archetype for this squad")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COUNTIFS($F$23:$F$55,$B7)</f>
        <v>9</v>
      </c>
      <c r="F7" s="1250">
        <f>IFERROR($E7-$D7,"-")</f>
        <v>-3</v>
      </c>
      <c r="G7" s="1250">
        <f>COUNTIFS($F$23:$F$55,$B7,$D$23:$D$55,"Vacant")</f>
        <v>4</v>
      </c>
      <c r="H7" s="1250">
        <f>COUNTIFS($F$23:$F$55,$B7,$D$23:$D$55,"Vacant",$E$23:$E$55,"Hire")+COUNTIFS($F$23:$F$55,$B7,$D$23:$D$55,"Vacant",$E$23:$E$55,"Offshore")</f>
        <v>0</v>
      </c>
      <c r="I7" s="1250">
        <f>COUNTIFS($F$23:$F$55,$B7,$D$23:$D$55,"Vacant",$E$23:$E$55,"Hold")</f>
        <v>4</v>
      </c>
      <c r="J7" s="1251">
        <f>$E7-COUNTIFS($F$23:$F$55,$B7,$E$23:$E$55,"Hold")</f>
        <v>5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2.7</v>
      </c>
      <c r="M7" s="1252">
        <f>SUMIFS($G$23:$G$55,$F$23:$F$55,$B7)/1000000</f>
        <v>1.803563966</v>
      </c>
      <c r="N7" s="1252">
        <f>IFERROR($M7-$L7,"-")</f>
        <v>-0.896436034</v>
      </c>
      <c r="O7" s="1253">
        <f>SUMIFS($H$23:$H$55,$F$23:$F$55,$B7)/1000000</f>
        <v>0.963314966</v>
      </c>
      <c r="P7" s="1254">
        <f>$O7-$M7</f>
        <v>-0.840249</v>
      </c>
      <c r="Q7" s="1254">
        <f>SUMIFS($G$23:$G$55,$F$23:$F$55,$B7,$D$23:$D$55,"Vacant")/1000000</f>
        <v>0.840249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B2B'!$B$26:$B$37,0)),"No archetype for this squad")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COUNTIFS($F$23:$F$55,$B8)</f>
        <v>6</v>
      </c>
      <c r="F8" s="1250">
        <f>IFERROR($E8-$D8,"-")</f>
        <v>-3</v>
      </c>
      <c r="G8" s="1250">
        <f>COUNTIFS($F$23:$F$55,$B8,$D$23:$D$55,"Vacant")</f>
        <v>0</v>
      </c>
      <c r="H8" s="1250">
        <f>COUNTIFS($F$23:$F$55,$B8,$D$23:$D$55,"Vacant",$E$23:$E$55,"Hire")+COUNTIFS($F$23:$F$55,$B8,$D$23:$D$55,"Vacant",$E$23:$E$55,"Offshore")</f>
        <v>0</v>
      </c>
      <c r="I8" s="1250">
        <f>COUNTIFS($F$23:$F$55,$B8,$D$23:$D$55,"Vacant",$E$23:$E$55,"Hold")</f>
        <v>0</v>
      </c>
      <c r="J8" s="1251">
        <f>$E8-COUNTIFS($F$23:$F$55,$B8,$E$23:$E$55,"Hold")</f>
        <v>6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</v>
      </c>
      <c r="M8" s="1252">
        <f>SUMIFS($G$23:$G$55,$F$23:$F$55,$B8)/1000000</f>
        <v>0.930799292</v>
      </c>
      <c r="N8" s="1252">
        <f>IFERROR($M8-$L8,"-")</f>
        <v>-1.069200708</v>
      </c>
      <c r="O8" s="1253">
        <f>SUMIFS($H$23:$H$55,$F$23:$F$55,$B8)/1000000</f>
        <v>0.930799292</v>
      </c>
      <c r="P8" s="1254">
        <f>$O8-$M8</f>
        <v>0</v>
      </c>
      <c r="Q8" s="1254">
        <f>SUMIFS($G$23:$G$55,$F$23:$F$55,$B8,$D$23:$D$55,"Vacant")/1000000</f>
        <v>0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</row>
    <row r="9">
      <c r="A9" s="949" t="n"/>
      <c r="B9" s="1237" t="inlineStr">
        <is>
          <t>Delivery squads</t>
        </is>
      </c>
      <c r="C9" s="635" t="n"/>
      <c r="D9" s="1249">
        <f>SUM(D6:D8)</f>
        <v>35</v>
      </c>
      <c r="E9" s="1250">
        <f>SUM(E6:E8)</f>
        <v>29</v>
      </c>
      <c r="F9" s="1250">
        <f>SUM(F6:F8)</f>
        <v>-6</v>
      </c>
      <c r="G9" s="1250">
        <f>SUM(G6:G8)</f>
        <v>7</v>
      </c>
      <c r="H9" s="1250">
        <f>SUM(H6:H8)</f>
        <v>0</v>
      </c>
      <c r="I9" s="1250">
        <f>SUM(I6:I8)</f>
        <v>7</v>
      </c>
      <c r="J9" s="1251">
        <f>SUM(J6:J8)</f>
        <v>22</v>
      </c>
      <c r="K9" s="1152" t="n"/>
      <c r="L9" s="1252">
        <f>SUM(L6:L8)</f>
        <v>7.9</v>
      </c>
      <c r="M9" s="1252">
        <f>SUM(M6:M8)</f>
        <v>5.327874328</v>
      </c>
      <c r="N9" s="1252">
        <f>SUM(N6:N8)</f>
        <v>-2.572125672</v>
      </c>
      <c r="O9" s="1253">
        <f>SUM(O6:O8)</f>
        <v>3.850229578</v>
      </c>
      <c r="P9" s="1254">
        <f>SUM(P6:P8)</f>
        <v>-1.47764475</v>
      </c>
      <c r="Q9" s="1254">
        <f>SUM(Q6:Q8)</f>
        <v>1.47764475</v>
      </c>
    </row>
    <row r="10">
      <c r="A10" s="949" t="n"/>
      <c r="B10" s="1235" t="inlineStr">
        <is>
          <t>Overhead roles inside this portfolio - compared to the allowance</t>
        </is>
      </c>
      <c r="C10" s="641" t="n"/>
      <c r="D10" s="1255" t="n"/>
      <c r="E10" s="1255" t="n"/>
      <c r="F10" s="1255" t="n"/>
      <c r="G10" s="1255" t="n"/>
      <c r="H10" s="1255" t="n"/>
      <c r="I10" s="1255" t="n"/>
      <c r="J10" s="1256" t="n"/>
      <c r="K10" s="1155" t="n"/>
      <c r="L10" s="1257" t="n"/>
      <c r="M10" s="1257" t="n"/>
      <c r="N10" s="1257" t="n"/>
      <c r="O10" s="1258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COUNTIFS($F$23:$F$55,$B11)</f>
        <v>1</v>
      </c>
      <c r="F11" s="1261" t="str">
        <f>"-"</f>
        <v>-</v>
      </c>
      <c r="G11" s="1261">
        <f>COUNTIFS($F$23:$F$55,$B11,$D$23:$D$55,"Vacant")</f>
        <v>0</v>
      </c>
      <c r="H11" s="1261">
        <f>COUNTIFS($F$23:$F$55,$B11,$D$23:$D$55,"Vacant",$E$23:$E$55,"Hire")+COUNTIFS($F$23:$F$55,$B11,$D$23:$D$55,"Vacant",$E$23:$E$55,"Offshore")</f>
        <v>0</v>
      </c>
      <c r="I11" s="1261">
        <f>COUNTIFS($F$23:$F$55,$B11,$D$23:$D$55,"Vacant",$E$23:$E$55,"Hold")</f>
        <v>0</v>
      </c>
      <c r="J11" s="1261">
        <f>$E11-COUNTIFS($F$23:$F$55,$B11,$E$23:$E$55,"Hold")</f>
        <v>1</v>
      </c>
      <c r="K11" s="949" t="str">
        <f>"Overhead"</f>
        <v>Overhead</v>
      </c>
      <c r="L11" s="1263" t="str">
        <f>"-"</f>
        <v>-</v>
      </c>
      <c r="M11" s="1263">
        <f>SUMIFS($G$23:$G$55,$F$23:$F$55,$B11)/1000000</f>
        <v>0.273758</v>
      </c>
      <c r="N11" s="1263" t="str">
        <f>"-"</f>
        <v>-</v>
      </c>
      <c r="O11" s="1263">
        <f>SUMIFS($H$23:$H$55,$F$23:$F$55,$B11)/1000000</f>
        <v>0.273758</v>
      </c>
      <c r="P11" s="1254">
        <f>$O11-$M11</f>
        <v>0</v>
      </c>
      <c r="Q11" s="1254">
        <f>SUMIFS($G$23:$G$55,$F$23:$F$55,$B11,$D$23:$D$55,"Vacant")/1000000</f>
        <v>0</v>
      </c>
      <c r="R11" t="str">
        <f>"-"</f>
        <v>-</v>
      </c>
    </row>
    <row r="12">
      <c r="A12" s="949" t="n"/>
      <c r="B12" s="994" t="inlineStr">
        <is>
          <t>Delivery Manager</t>
        </is>
      </c>
      <c r="C12" s="949" t="str">
        <f>"Overhead - see 3.2"</f>
        <v>Overhead - see 3.2</v>
      </c>
      <c r="D12" s="1261" t="str">
        <f>"-"</f>
        <v>-</v>
      </c>
      <c r="E12" s="1262">
        <f>COUNTIFS($F$23:$F$55,$B12)</f>
        <v>1</v>
      </c>
      <c r="F12" s="1261" t="str">
        <f>"-"</f>
        <v>-</v>
      </c>
      <c r="G12" s="1261">
        <f>COUNTIFS($F$23:$F$55,$B12,$D$23:$D$55,"Vacant")</f>
        <v>1</v>
      </c>
      <c r="H12" s="1261">
        <f>COUNTIFS($F$23:$F$55,$B12,$D$23:$D$55,"Vacant",$E$23:$E$55,"Hire")+COUNTIFS($F$23:$F$55,$B12,$D$23:$D$55,"Vacant",$E$23:$E$55,"Offshore")</f>
        <v>0</v>
      </c>
      <c r="I12" s="1261">
        <f>COUNTIFS($F$23:$F$55,$B12,$D$23:$D$55,"Vacant",$E$23:$E$55,"Hold")</f>
        <v>1</v>
      </c>
      <c r="J12" s="1261">
        <f>$E12-COUNTIFS($F$23:$F$55,$B12,$E$23:$E$55,"Hold")</f>
        <v>0</v>
      </c>
      <c r="K12" s="949" t="str">
        <f>"Overhead"</f>
        <v>Overhead</v>
      </c>
      <c r="L12" s="1263" t="str">
        <f>"-"</f>
        <v>-</v>
      </c>
      <c r="M12" s="1263">
        <f>SUMIFS($G$23:$G$55,$F$23:$F$55,$B12)/1000000</f>
        <v>0.27581025</v>
      </c>
      <c r="N12" s="1263" t="str">
        <f>"-"</f>
        <v>-</v>
      </c>
      <c r="O12" s="1263">
        <f>SUMIFS($H$23:$H$55,$F$23:$F$55,$B12)/1000000</f>
        <v>0</v>
      </c>
      <c r="P12" s="1254">
        <f>$O12-$M12</f>
        <v>-0.27581025</v>
      </c>
      <c r="Q12" s="1254">
        <f>SUMIFS($G$23:$G$55,$F$23:$F$55,$B12,$D$23:$D$55,"Vacant")/1000000</f>
        <v>0.27581025</v>
      </c>
      <c r="R12" t="str">
        <f>"-"</f>
        <v>-</v>
      </c>
    </row>
    <row r="13">
      <c r="A13" s="949" t="n"/>
      <c r="B13" s="994" t="inlineStr">
        <is>
          <t>Technology Manager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COUNTIFS($F$23:$F$55,$B13)</f>
        <v>2</v>
      </c>
      <c r="F13" s="1261" t="str">
        <f>"-"</f>
        <v>-</v>
      </c>
      <c r="G13" s="1261">
        <f>COUNTIFS($F$23:$F$55,$B13,$D$23:$D$55,"Vacant")</f>
        <v>1</v>
      </c>
      <c r="H13" s="1261">
        <f>COUNTIFS($F$23:$F$55,$B13,$D$23:$D$55,"Vacant",$E$23:$E$55,"Hire")+COUNTIFS($F$23:$F$55,$B13,$D$23:$D$55,"Vacant",$E$23:$E$55,"Offshore")</f>
        <v>0</v>
      </c>
      <c r="I13" s="1261">
        <f>COUNTIFS($F$23:$F$55,$B13,$D$23:$D$55,"Vacant",$E$23:$E$55,"Hold")</f>
        <v>1</v>
      </c>
      <c r="J13" s="1261">
        <f>$E13-COUNTIFS($F$23:$F$55,$B13,$E$23:$E$55,"Hold")</f>
        <v>1</v>
      </c>
      <c r="K13" s="949" t="str">
        <f>"Overhead"</f>
        <v>Overhead</v>
      </c>
      <c r="L13" s="1263" t="str">
        <f>"-"</f>
        <v>-</v>
      </c>
      <c r="M13" s="1263">
        <f>SUMIFS($G$23:$G$55,$F$23:$F$55,$B13)/1000000</f>
        <v>0.5703737</v>
      </c>
      <c r="N13" s="1263" t="str">
        <f>"-"</f>
        <v>-</v>
      </c>
      <c r="O13" s="1263">
        <f>SUMIFS($H$23:$H$55,$F$23:$F$55,$B13)/1000000</f>
        <v>0.29456345</v>
      </c>
      <c r="P13" s="1254">
        <f>$O13-$M13</f>
        <v>-0.27581025</v>
      </c>
      <c r="Q13" s="1254">
        <f>SUMIFS($G$23:$G$55,$F$23:$F$55,$B13,$D$23:$D$55,"Vacant")/1000000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4</v>
      </c>
      <c r="F14" s="1261" t="n"/>
      <c r="G14" s="1261">
        <f>SUM(G11:G13)</f>
        <v>2</v>
      </c>
      <c r="H14" s="1261">
        <f>SUM(H11:H13)</f>
        <v>0</v>
      </c>
      <c r="I14" s="1261">
        <f>SUM(I11:I13)</f>
        <v>2</v>
      </c>
      <c r="J14" s="1261">
        <f>SUM(J11:J13)</f>
        <v>2</v>
      </c>
      <c r="K14" s="949" t="n"/>
      <c r="L14" s="1263" t="n"/>
      <c r="M14" s="1263">
        <f>SUM(M11:M13)</f>
        <v>1.11994195</v>
      </c>
      <c r="N14" s="1263" t="n"/>
      <c r="O14" s="1263">
        <f>SUM(O11:O13)</f>
        <v>0.56832145</v>
      </c>
      <c r="P14" s="1254">
        <f>SUM(P11:P13)</f>
        <v>-0.5516205</v>
      </c>
      <c r="Q14" s="1254">
        <f>SUM(Q11:Q13)</f>
        <v>0.5516205</v>
      </c>
    </row>
    <row r="15">
      <c r="A15" s="949" t="n"/>
      <c r="B15" s="504" t="n"/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645" t="n"/>
      <c r="D16" s="1281">
        <f>$D9</f>
        <v>35</v>
      </c>
      <c r="E16" s="1262">
        <f>$E9+$E14</f>
        <v>33</v>
      </c>
      <c r="F16" s="1281">
        <f>IFERROR($E9-$D9,"-")</f>
        <v>-6</v>
      </c>
      <c r="G16" s="1281">
        <f>$G9+$G14</f>
        <v>9</v>
      </c>
      <c r="H16" s="1281">
        <f>$H9+$H14</f>
        <v>0</v>
      </c>
      <c r="I16" s="1281">
        <f>$I9+$I14</f>
        <v>9</v>
      </c>
      <c r="J16" s="1281">
        <f>$J9+$J14</f>
        <v>24</v>
      </c>
      <c r="K16" s="442" t="n"/>
      <c r="L16" s="1282">
        <f>$L9</f>
        <v>7.9</v>
      </c>
      <c r="M16" s="1282">
        <f>$M9+$M14</f>
        <v>6.447816278</v>
      </c>
      <c r="N16" s="1282">
        <f>IFERROR($M9-$L9,"-")</f>
        <v>-2.572125672</v>
      </c>
      <c r="O16" s="1263">
        <f>$O9+$O14</f>
        <v>4.418551028</v>
      </c>
      <c r="P16" s="1254">
        <f>$P9+$P14</f>
        <v>-2.02926525</v>
      </c>
      <c r="Q16" s="1254">
        <f>$Q9+$Q14</f>
        <v>2.02926525</v>
      </c>
    </row>
    <row r="17" ht="15.65" customHeight="1">
      <c r="A17" s="949" t="n"/>
      <c r="B17" s="128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32" t="inlineStr">
        <is>
          <t>Control - roles vs the ledger, must be 0</t>
        </is>
      </c>
      <c r="C18" s="533" t="n"/>
      <c r="D18" s="533" t="n"/>
      <c r="E18" s="533">
        <f>COUNTIFS('REVIEW - Complete Role Mapping'!$AJ$2:$AJ$528,"Energy Solutions &amp; B2B")-$E16</f>
        <v>0</v>
      </c>
      <c r="F18" s="533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284" t="inlineStr">
        <is>
          <t>Control - cost vs the ledger ($m), must be 0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Mapping'!$AJ$2:$AJ$528,"Energy Solutions &amp; B2B")/1000000-$M16,6)</f>
        <v>0</v>
      </c>
      <c r="N19" s="949" t="n"/>
      <c r="O19" s="949" t="n"/>
    </row>
    <row r="20">
      <c r="A20" s="949" t="n"/>
      <c r="B20" s="634" t="n"/>
      <c r="C20" s="634" t="n"/>
      <c r="D20" s="612" t="n"/>
      <c r="E20" s="876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34" t="inlineStr">
        <is>
          <t>Energy Solutions &amp; B2B roles - one row per named role, from REVIEW</t>
        </is>
      </c>
      <c r="C21" s="634" t="n"/>
      <c r="D21" s="612" t="n"/>
      <c r="E21" s="876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Mapping'!$B:$B,334)</f>
        <v>Alex Abelita</v>
      </c>
      <c r="C23" s="634" t="str">
        <f>INDEX('REVIEW - Complete Role Mapping'!$C:$C,334)</f>
        <v>Associate Engineer - Automation Testing</v>
      </c>
      <c r="D23" s="612" t="str">
        <f>INDEX('REVIEW - Complete Role Mapping'!$AK:$AK,334)</f>
        <v>Filled</v>
      </c>
      <c r="E23" s="876" t="inlineStr">
        <is>
          <t>Filled</t>
        </is>
      </c>
      <c r="F23" s="634" t="str">
        <f>IF(INDEX('REVIEW - Complete Role Mapping'!$AR:$AR,334)="Squad",INDEX('REVIEW - Complete Role Mapping'!$AP:$AP,334),INDEX('REVIEW - Complete Role Mapping'!$AR:$AR,334))</f>
        <v>B2B</v>
      </c>
      <c r="G23" s="627">
        <f>INDEX('REVIEW - Complete Role Mapping'!$AA:$AA,334)</f>
        <v>87044</v>
      </c>
      <c r="H23" s="627">
        <f>$G23*IFERROR(INDEX(Lists!$AD:$AD,MATCH($E23,Lists!$AC:$AC,0)),1)</f>
        <v>87044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Mapping'!$B:$B,337)</f>
        <v>Allyn Puente</v>
      </c>
      <c r="C24" s="634" t="str">
        <f>INDEX('REVIEW - Complete Role Mapping'!$C:$C,337)</f>
        <v>Graduate</v>
      </c>
      <c r="D24" s="612" t="str">
        <f>INDEX('REVIEW - Complete Role Mapping'!$AK:$AK,337)</f>
        <v>Filled</v>
      </c>
      <c r="E24" s="876" t="inlineStr">
        <is>
          <t>Filled</t>
        </is>
      </c>
      <c r="F24" s="634" t="str">
        <f>IF(INDEX('REVIEW - Complete Role Mapping'!$AR:$AR,337)="Squad",INDEX('REVIEW - Complete Role Mapping'!$AP:$AP,337),INDEX('REVIEW - Complete Role Mapping'!$AR:$AR,337))</f>
        <v>B2B</v>
      </c>
      <c r="G24" s="627">
        <f>INDEX('REVIEW - Complete Role Mapping'!$AA:$AA,337)</f>
        <v>110075</v>
      </c>
      <c r="H24" s="627">
        <f>$G24*IFERROR(INDEX(Lists!$AD:$AD,MATCH($E24,Lists!$AC:$AC,0)),1)</f>
        <v>110075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Mapping'!$B:$B,348)</f>
        <v>Belinda Ford</v>
      </c>
      <c r="C25" s="634" t="str">
        <f>INDEX('REVIEW - Complete Role Mapping'!$C:$C,348)</f>
        <v>Quality Assurance</v>
      </c>
      <c r="D25" s="612" t="str">
        <f>INDEX('REVIEW - Complete Role Mapping'!$AK:$AK,348)</f>
        <v>Filled</v>
      </c>
      <c r="E25" s="876" t="inlineStr">
        <is>
          <t>Filled</t>
        </is>
      </c>
      <c r="F25" s="634" t="str">
        <f>IF(INDEX('REVIEW - Complete Role Mapping'!$AR:$AR,348)="Squad",INDEX('REVIEW - Complete Role Mapping'!$AP:$AP,348),INDEX('REVIEW - Complete Role Mapping'!$AR:$AR,348))</f>
        <v>B2B</v>
      </c>
      <c r="G25" s="627">
        <f>INDEX('REVIEW - Complete Role Mapping'!$AA:$AA,348)</f>
        <v>149160.45</v>
      </c>
      <c r="H25" s="627">
        <f>$G25*IFERROR(INDEX(Lists!$AD:$AD,MATCH($E25,Lists!$AC:$AC,0)),1)</f>
        <v>149160.45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Mapping'!$B:$B,357)</f>
        <v>Debbie Gor</v>
      </c>
      <c r="C26" s="634" t="str">
        <f>INDEX('REVIEW - Complete Role Mapping'!$C:$C,357)</f>
        <v>Delivery Lead</v>
      </c>
      <c r="D26" s="612" t="str">
        <f>INDEX('REVIEW - Complete Role Mapping'!$AK:$AK,357)</f>
        <v>Filled</v>
      </c>
      <c r="E26" s="876" t="inlineStr">
        <is>
          <t>Filled</t>
        </is>
      </c>
      <c r="F26" s="634" t="str">
        <f>IF(INDEX('REVIEW - Complete Role Mapping'!$AR:$AR,357)="Squad",INDEX('REVIEW - Complete Role Mapping'!$AP:$AP,357),INDEX('REVIEW - Complete Role Mapping'!$AR:$AR,357))</f>
        <v>B2B</v>
      </c>
      <c r="G26" s="627">
        <f>INDEX('REVIEW - Complete Role Mapping'!$AA:$AA,357)</f>
        <v>266612.85</v>
      </c>
      <c r="H26" s="627">
        <f>$G26*IFERROR(INDEX(Lists!$AD:$AD,MATCH($E26,Lists!$AC:$AC,0)),1)</f>
        <v>266612.85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Mapping'!$B:$B,362)</f>
        <v>Frank Liang</v>
      </c>
      <c r="C27" s="634" t="str">
        <f>INDEX('REVIEW - Complete Role Mapping'!$C:$C,362)</f>
        <v>Senior Systems Analyst</v>
      </c>
      <c r="D27" s="612" t="str">
        <f>INDEX('REVIEW - Complete Role Mapping'!$AK:$AK,362)</f>
        <v>Filled</v>
      </c>
      <c r="E27" s="876" t="inlineStr">
        <is>
          <t>Filled</t>
        </is>
      </c>
      <c r="F27" s="634" t="str">
        <f>IF(INDEX('REVIEW - Complete Role Mapping'!$AR:$AR,362)="Squad",INDEX('REVIEW - Complete Role Mapping'!$AP:$AP,362),INDEX('REVIEW - Complete Role Mapping'!$AR:$AR,362))</f>
        <v>B2B</v>
      </c>
      <c r="G27" s="627">
        <f>INDEX('REVIEW - Complete Role Mapping'!$AA:$AA,362)</f>
        <v>223625.85</v>
      </c>
      <c r="H27" s="627">
        <f>$G27*IFERROR(INDEX(Lists!$AD:$AD,MATCH($E27,Lists!$AC:$AC,0)),1)</f>
        <v>223625.85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Mapping'!$B:$B,374)</f>
        <v>Jessica Calla</v>
      </c>
      <c r="C28" s="634" t="str">
        <f>INDEX('REVIEW - Complete Role Mapping'!$C:$C,374)</f>
        <v>System Analyst Card</v>
      </c>
      <c r="D28" s="612" t="str">
        <f>INDEX('REVIEW - Complete Role Mapping'!$AK:$AK,374)</f>
        <v>Filled</v>
      </c>
      <c r="E28" s="876" t="inlineStr">
        <is>
          <t>Filled</t>
        </is>
      </c>
      <c r="F28" s="634" t="str">
        <f>IF(INDEX('REVIEW - Complete Role Mapping'!$AR:$AR,374)="Squad",INDEX('REVIEW - Complete Role Mapping'!$AP:$AP,374),INDEX('REVIEW - Complete Role Mapping'!$AR:$AR,374))</f>
        <v>B2B</v>
      </c>
      <c r="G28" s="627">
        <f>INDEX('REVIEW - Complete Role Mapping'!$AA:$AA,374)</f>
        <v>137509.55</v>
      </c>
      <c r="H28" s="627">
        <f>$G28*IFERROR(INDEX(Lists!$AD:$AD,MATCH($E28,Lists!$AC:$AC,0)),1)</f>
        <v>137509.55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Mapping'!$B:$B,386)</f>
        <v>Lindsay Baipas</v>
      </c>
      <c r="C29" s="634" t="str">
        <f>INDEX('REVIEW - Complete Role Mapping'!$C:$C,386)</f>
        <v>System Analyst Card</v>
      </c>
      <c r="D29" s="612" t="str">
        <f>INDEX('REVIEW - Complete Role Mapping'!$AK:$AK,386)</f>
        <v>Filled</v>
      </c>
      <c r="E29" s="876" t="inlineStr">
        <is>
          <t>Filled</t>
        </is>
      </c>
      <c r="F29" s="634" t="str">
        <f>IF(INDEX('REVIEW - Complete Role Mapping'!$AR:$AR,386)="Squad",INDEX('REVIEW - Complete Role Mapping'!$AP:$AP,386),INDEX('REVIEW - Complete Role Mapping'!$AR:$AR,386))</f>
        <v>B2B</v>
      </c>
      <c r="G29" s="627">
        <f>INDEX('REVIEW - Complete Role Mapping'!$AA:$AA,386)</f>
        <v>190306.8</v>
      </c>
      <c r="H29" s="627">
        <f>$G29*IFERROR(INDEX(Lists!$AD:$AD,MATCH($E29,Lists!$AC:$AC,0)),1)</f>
        <v>190306.8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Mapping'!$B:$B,389)</f>
        <v>Mick DaSilva</v>
      </c>
      <c r="C30" s="634" t="str">
        <f>INDEX('REVIEW - Complete Role Mapping'!$C:$C,389)</f>
        <v>Senior Business Analyst</v>
      </c>
      <c r="D30" s="612" t="str">
        <f>INDEX('REVIEW - Complete Role Mapping'!$AK:$AK,389)</f>
        <v>Filled</v>
      </c>
      <c r="E30" s="876" t="inlineStr">
        <is>
          <t>Filled</t>
        </is>
      </c>
      <c r="F30" s="634" t="str">
        <f>IF(INDEX('REVIEW - Complete Role Mapping'!$AR:$AR,389)="Squad",INDEX('REVIEW - Complete Role Mapping'!$AP:$AP,389),INDEX('REVIEW - Complete Role Mapping'!$AR:$AR,389))</f>
        <v>B2B</v>
      </c>
      <c r="G30" s="627">
        <f>INDEX('REVIEW - Complete Role Mapping'!$AA:$AA,389)</f>
        <v>219447.3</v>
      </c>
      <c r="H30" s="627">
        <f>$G30*IFERROR(INDEX(Lists!$AD:$AD,MATCH($E30,Lists!$AC:$AC,0)),1)</f>
        <v>219447.3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Mapping'!$B:$B,390)</f>
        <v>Mikey Tran</v>
      </c>
      <c r="C31" s="634" t="str">
        <f>INDEX('REVIEW - Complete Role Mapping'!$C:$C,390)</f>
        <v>Senior Systems Analyst - Card</v>
      </c>
      <c r="D31" s="612" t="str">
        <f>INDEX('REVIEW - Complete Role Mapping'!$AK:$AK,390)</f>
        <v>Filled</v>
      </c>
      <c r="E31" s="647" t="inlineStr">
        <is>
          <t>Filled</t>
        </is>
      </c>
      <c r="F31" s="648" t="str">
        <f>IF(INDEX('REVIEW - Complete Role Mapping'!$AR:$AR,390)="Squad",INDEX('REVIEW - Complete Role Mapping'!$AP:$AP,390),INDEX('REVIEW - Complete Role Mapping'!$AR:$AR,390))</f>
        <v>B2B</v>
      </c>
      <c r="G31" s="627">
        <f>INDEX('REVIEW - Complete Role Mapping'!$AA:$AA,390)</f>
        <v>186900</v>
      </c>
      <c r="H31" s="627">
        <f>$G31*IFERROR(INDEX(Lists!$AD:$AD,MATCH($E31,Lists!$AC:$AC,0)),1)</f>
        <v>186900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Mapping'!$B:$B,391)</f>
        <v>Ming Shao</v>
      </c>
      <c r="C32" s="634" t="str">
        <f>INDEX('REVIEW - Complete Role Mapping'!$C:$C,391)</f>
        <v>Senior Systems Analyst Card</v>
      </c>
      <c r="D32" s="612" t="str">
        <f>INDEX('REVIEW - Complete Role Mapping'!$AK:$AK,391)</f>
        <v>Filled</v>
      </c>
      <c r="E32" s="647" t="inlineStr">
        <is>
          <t>Filled</t>
        </is>
      </c>
      <c r="F32" s="648" t="str">
        <f>IF(INDEX('REVIEW - Complete Role Mapping'!$AR:$AR,391)="Squad",INDEX('REVIEW - Complete Role Mapping'!$AP:$AP,391),INDEX('REVIEW - Complete Role Mapping'!$AR:$AR,391))</f>
        <v>B2B</v>
      </c>
      <c r="G32" s="627">
        <f>INDEX('REVIEW - Complete Role Mapping'!$AA:$AA,391)</f>
        <v>221610</v>
      </c>
      <c r="H32" s="627">
        <f>$G32*IFERROR(INDEX(Lists!$AD:$AD,MATCH($E32,Lists!$AC:$AC,0)),1)</f>
        <v>221610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Mapping'!$B:$B,399)</f>
        <v>Rod Santillan</v>
      </c>
      <c r="C33" s="634" t="str">
        <f>INDEX('REVIEW - Complete Role Mapping'!$C:$C,399)</f>
        <v>Snr Engineer Software</v>
      </c>
      <c r="D33" s="612" t="str">
        <f>INDEX('REVIEW - Complete Role Mapping'!$AK:$AK,399)</f>
        <v>Filled</v>
      </c>
      <c r="E33" s="647" t="inlineStr">
        <is>
          <t>Filled</t>
        </is>
      </c>
      <c r="F33" s="648" t="str">
        <f>IF(INDEX('REVIEW - Complete Role Mapping'!$AR:$AR,399)="Squad",INDEX('REVIEW - Complete Role Mapping'!$AP:$AP,399),INDEX('REVIEW - Complete Role Mapping'!$AR:$AR,399))</f>
        <v>B2B</v>
      </c>
      <c r="G33" s="627">
        <f>INDEX('REVIEW - Complete Role Mapping'!$AA:$AA,399)</f>
        <v>163823.52</v>
      </c>
      <c r="H33" s="627">
        <f>$G33*IFERROR(INDEX(Lists!$AD:$AD,MATCH($E33,Lists!$AC:$AC,0)),1)</f>
        <v>163823.52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Mapping'!$B:$B,412)</f>
        <v>Vacant</v>
      </c>
      <c r="C34" s="646" t="str">
        <f>INDEX('REVIEW - Complete Role Mapping'!$C:$C,412)</f>
        <v>Engineer Software</v>
      </c>
      <c r="D34" s="646" t="str">
        <f>INDEX('REVIEW - Complete Role Mapping'!$AK:$AK,412)</f>
        <v>Vacant</v>
      </c>
      <c r="E34" s="646" t="inlineStr">
        <is>
          <t>Hold</t>
        </is>
      </c>
      <c r="F34" s="646" t="str">
        <f>IF(INDEX('REVIEW - Complete Role Mapping'!$AR:$AR,412)="Squad",INDEX('REVIEW - Complete Role Mapping'!$AP:$AP,412),INDEX('REVIEW - Complete Role Mapping'!$AR:$AR,412))</f>
        <v>B2B</v>
      </c>
      <c r="G34" s="627">
        <f>INDEX('REVIEW - Complete Role Mapping'!$AA:$AA,412)</f>
        <v>202853.25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Mapping'!$B:$B,413)</f>
        <v>Vacant</v>
      </c>
      <c r="C35" s="634" t="str">
        <f>INDEX('REVIEW - Complete Role Mapping'!$C:$C,413)</f>
        <v>Solution Architect</v>
      </c>
      <c r="D35" s="612" t="str">
        <f>INDEX('REVIEW - Complete Role Mapping'!$AK:$AK,413)</f>
        <v>Vacant</v>
      </c>
      <c r="E35" s="876" t="inlineStr">
        <is>
          <t>Hold</t>
        </is>
      </c>
      <c r="F35" s="634" t="str">
        <f>IF(INDEX('REVIEW - Complete Role Mapping'!$AR:$AR,413)="Squad",INDEX('REVIEW - Complete Role Mapping'!$AP:$AP,413),INDEX('REVIEW - Complete Role Mapping'!$AR:$AR,413))</f>
        <v>B2B</v>
      </c>
      <c r="G35" s="627">
        <f>INDEX('REVIEW - Complete Role Mapping'!$AA:$AA,413)</f>
        <v>231689.25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Mapping'!$B:$B,438)</f>
        <v>Vacant</v>
      </c>
      <c r="C36" s="634" t="str">
        <f>INDEX('REVIEW - Complete Role Mapping'!$C:$C,438)</f>
        <v>Business Analyst</v>
      </c>
      <c r="D36" s="612" t="str">
        <f>INDEX('REVIEW - Complete Role Mapping'!$AK:$AK,438)</f>
        <v>Vacant</v>
      </c>
      <c r="E36" s="876" t="inlineStr">
        <is>
          <t>Hold</t>
        </is>
      </c>
      <c r="F36" s="634" t="str">
        <f>IF(INDEX('REVIEW - Complete Role Mapping'!$AR:$AR,438)="Squad",INDEX('REVIEW - Complete Role Mapping'!$AP:$AP,438),INDEX('REVIEW - Complete Role Mapping'!$AR:$AR,438))</f>
        <v>B2B</v>
      </c>
      <c r="G36" s="627">
        <f>INDEX('REVIEW - Complete Role Mapping'!$AA:$AA,438)</f>
        <v>202853.25</v>
      </c>
      <c r="H36" s="627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Mapping'!$B:$B,352)</f>
        <v>Caitlin Naylor</v>
      </c>
      <c r="C37" s="634" t="str">
        <f>INDEX('REVIEW - Complete Role Mapping'!$C:$C,352)</f>
        <v>Associate Engineer- Software</v>
      </c>
      <c r="D37" s="612" t="str">
        <f>INDEX('REVIEW - Complete Role Mapping'!$AK:$AK,352)</f>
        <v>Filled</v>
      </c>
      <c r="E37" s="876" t="inlineStr">
        <is>
          <t>Filled</t>
        </is>
      </c>
      <c r="F37" s="634" t="str">
        <f>IF(INDEX('REVIEW - Complete Role Mapping'!$AR:$AR,352)="Squad",INDEX('REVIEW - Complete Role Mapping'!$AP:$AP,352),INDEX('REVIEW - Complete Role Mapping'!$AR:$AR,352))</f>
        <v>Energy</v>
      </c>
      <c r="G37" s="627">
        <f>INDEX('REVIEW - Complete Role Mapping'!$AA:$AA,352)</f>
        <v>87434.816</v>
      </c>
      <c r="H37" s="627">
        <f>$G37*IFERROR(INDEX(Lists!$AD:$AD,MATCH($E37,Lists!$AC:$AC,0)),1)</f>
        <v>87434.816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Mapping'!$B:$B,360)</f>
        <v>Elma Kurian</v>
      </c>
      <c r="C38" s="634" t="str">
        <f>INDEX('REVIEW - Complete Role Mapping'!$C:$C,360)</f>
        <v>System Specialist</v>
      </c>
      <c r="D38" s="612" t="str">
        <f>INDEX('REVIEW - Complete Role Mapping'!$AK:$AK,360)</f>
        <v>Filled</v>
      </c>
      <c r="E38" s="876" t="inlineStr">
        <is>
          <t>Filled</t>
        </is>
      </c>
      <c r="F38" s="634" t="str">
        <f>IF(INDEX('REVIEW - Complete Role Mapping'!$AR:$AR,360)="Squad",INDEX('REVIEW - Complete Role Mapping'!$AP:$AP,360),INDEX('REVIEW - Complete Role Mapping'!$AR:$AR,360))</f>
        <v>Energy</v>
      </c>
      <c r="G38" s="627">
        <f>INDEX('REVIEW - Complete Role Mapping'!$AA:$AA,360)</f>
        <v>203253.75</v>
      </c>
      <c r="H38" s="627">
        <f>$G38*IFERROR(INDEX(Lists!$AD:$AD,MATCH($E38,Lists!$AC:$AC,0)),1)</f>
        <v>203253.75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Mapping'!$B:$B,367)</f>
        <v>Gunjan Vasudeva</v>
      </c>
      <c r="C39" s="634" t="str">
        <f>INDEX('REVIEW - Complete Role Mapping'!$C:$C,367)</f>
        <v>Lead Quality Assurance</v>
      </c>
      <c r="D39" s="612" t="str">
        <f>INDEX('REVIEW - Complete Role Mapping'!$AK:$AK,367)</f>
        <v>Filled</v>
      </c>
      <c r="E39" s="876" t="inlineStr">
        <is>
          <t>Filled</t>
        </is>
      </c>
      <c r="F39" s="634" t="str">
        <f>IF(INDEX('REVIEW - Complete Role Mapping'!$AR:$AR,367)="Squad",INDEX('REVIEW - Complete Role Mapping'!$AP:$AP,367),INDEX('REVIEW - Complete Role Mapping'!$AR:$AR,367))</f>
        <v>Energy</v>
      </c>
      <c r="G39" s="627">
        <f>INDEX('REVIEW - Complete Role Mapping'!$AA:$AA,367)</f>
        <v>208473.6</v>
      </c>
      <c r="H39" s="627">
        <f>$G39*IFERROR(INDEX(Lists!$AD:$AD,MATCH($E39,Lists!$AC:$AC,0)),1)</f>
        <v>208473.6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Mapping'!$B:$B,371)</f>
        <v>James Hung</v>
      </c>
      <c r="C40" s="634" t="str">
        <f>INDEX('REVIEW - Complete Role Mapping'!$C:$C,371)</f>
        <v>System Specialist</v>
      </c>
      <c r="D40" s="612" t="str">
        <f>INDEX('REVIEW - Complete Role Mapping'!$AK:$AK,371)</f>
        <v>Filled</v>
      </c>
      <c r="E40" s="876" t="inlineStr">
        <is>
          <t>Filled</t>
        </is>
      </c>
      <c r="F40" s="634" t="str">
        <f>IF(INDEX('REVIEW - Complete Role Mapping'!$AR:$AR,371)="Squad",INDEX('REVIEW - Complete Role Mapping'!$AP:$AP,371),INDEX('REVIEW - Complete Role Mapping'!$AR:$AR,371))</f>
        <v>Energy</v>
      </c>
      <c r="G40" s="627">
        <f>INDEX('REVIEW - Complete Role Mapping'!$AA:$AA,371)</f>
        <v>213533.25</v>
      </c>
      <c r="H40" s="627">
        <f>$G40*IFERROR(INDEX(Lists!$AD:$AD,MATCH($E40,Lists!$AC:$AC,0)),1)</f>
        <v>213533.25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Mapping'!$B:$B,388)</f>
        <v>Marcela Gonzalez</v>
      </c>
      <c r="C41" s="646" t="str">
        <f>INDEX('REVIEW - Complete Role Mapping'!$C:$C,388)</f>
        <v>Energy Platforms Lead</v>
      </c>
      <c r="D41" s="646" t="str">
        <f>INDEX('REVIEW - Complete Role Mapping'!$AK:$AK,388)</f>
        <v>Filled</v>
      </c>
      <c r="E41" s="646" t="inlineStr">
        <is>
          <t>Filled</t>
        </is>
      </c>
      <c r="F41" s="646" t="str">
        <f>IF(INDEX('REVIEW - Complete Role Mapping'!$AR:$AR,388)="Squad",INDEX('REVIEW - Complete Role Mapping'!$AP:$AP,388),INDEX('REVIEW - Complete Role Mapping'!$AR:$AR,388))</f>
        <v>Energy</v>
      </c>
      <c r="G41" s="627">
        <f>INDEX('REVIEW - Complete Role Mapping'!$AA:$AA,388)</f>
        <v>250619.55</v>
      </c>
      <c r="H41" s="627">
        <f>$G41*IFERROR(INDEX(Lists!$AD:$AD,MATCH($E41,Lists!$AC:$AC,0)),1)</f>
        <v>250619.55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Mapping'!$B:$B,416)</f>
        <v>Vacant</v>
      </c>
      <c r="C42" s="634" t="str">
        <f>INDEX('REVIEW - Complete Role Mapping'!$C:$C,416)</f>
        <v>Engineer Automation - Testing</v>
      </c>
      <c r="D42" s="612" t="str">
        <f>INDEX('REVIEW - Complete Role Mapping'!$AK:$AK,416)</f>
        <v>Vacant</v>
      </c>
      <c r="E42" s="876" t="inlineStr">
        <is>
          <t>Hold</t>
        </is>
      </c>
      <c r="F42" s="634" t="str">
        <f>IF(INDEX('REVIEW - Complete Role Mapping'!$AR:$AR,416)="Squad",INDEX('REVIEW - Complete Role Mapping'!$AP:$AP,416),INDEX('REVIEW - Complete Role Mapping'!$AR:$AR,416))</f>
        <v>Energy</v>
      </c>
      <c r="G42" s="627">
        <f>INDEX('REVIEW - Complete Role Mapping'!$AA:$AA,416)</f>
        <v>202853.25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Mapping'!$B:$B,417)</f>
        <v>Vacant</v>
      </c>
      <c r="C43" s="634" t="str">
        <f>INDEX('REVIEW - Complete Role Mapping'!$C:$C,417)</f>
        <v>Snr Engineer Software</v>
      </c>
      <c r="D43" s="612" t="str">
        <f>INDEX('REVIEW - Complete Role Mapping'!$AK:$AK,417)</f>
        <v>Vacant</v>
      </c>
      <c r="E43" s="876" t="inlineStr">
        <is>
          <t>Hold</t>
        </is>
      </c>
      <c r="F43" s="634" t="str">
        <f>IF(INDEX('REVIEW - Complete Role Mapping'!$AR:$AR,417)="Squad",INDEX('REVIEW - Complete Role Mapping'!$AP:$AP,417),INDEX('REVIEW - Complete Role Mapping'!$AR:$AR,417))</f>
        <v>Energy</v>
      </c>
      <c r="G43" s="627">
        <f>INDEX('REVIEW - Complete Role Mapping'!$AA:$AA,417)</f>
        <v>202853.25</v>
      </c>
      <c r="H43" s="627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Mapping'!$B:$B,418)</f>
        <v>Vacant</v>
      </c>
      <c r="C44" s="634" t="str">
        <f>INDEX('REVIEW - Complete Role Mapping'!$C:$C,418)</f>
        <v>Solution Architect</v>
      </c>
      <c r="D44" s="612" t="str">
        <f>INDEX('REVIEW - Complete Role Mapping'!$AK:$AK,418)</f>
        <v>Vacant</v>
      </c>
      <c r="E44" s="876" t="inlineStr">
        <is>
          <t>Hold</t>
        </is>
      </c>
      <c r="F44" s="634" t="str">
        <f>IF(INDEX('REVIEW - Complete Role Mapping'!$AR:$AR,418)="Squad",INDEX('REVIEW - Complete Role Mapping'!$AP:$AP,418),INDEX('REVIEW - Complete Role Mapping'!$AR:$AR,418))</f>
        <v>Energy</v>
      </c>
      <c r="G44" s="627">
        <f>INDEX('REVIEW - Complete Role Mapping'!$AA:$AA,418)</f>
        <v>231689.25</v>
      </c>
      <c r="H44" s="627">
        <f>$G44*IFERROR(INDEX(Lists!$AD:$AD,MATCH($E44,Lists!$AC:$AC,0)),1)</f>
        <v>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Mapping'!$B:$B,439)</f>
        <v>Vacant</v>
      </c>
      <c r="C45" s="634" t="str">
        <f>INDEX('REVIEW - Complete Role Mapping'!$C:$C,439)</f>
        <v>Business Analyst</v>
      </c>
      <c r="D45" s="612" t="str">
        <f>INDEX('REVIEW - Complete Role Mapping'!$AK:$AK,439)</f>
        <v>Vacant</v>
      </c>
      <c r="E45" s="876" t="inlineStr">
        <is>
          <t>Hold</t>
        </is>
      </c>
      <c r="F45" s="634" t="str">
        <f>IF(INDEX('REVIEW - Complete Role Mapping'!$AR:$AR,439)="Squad",INDEX('REVIEW - Complete Role Mapping'!$AP:$AP,439),INDEX('REVIEW - Complete Role Mapping'!$AR:$AR,439))</f>
        <v>Energy</v>
      </c>
      <c r="G45" s="627">
        <f>INDEX('REVIEW - Complete Role Mapping'!$AA:$AA,439)</f>
        <v>202853.25</v>
      </c>
      <c r="H45" s="627">
        <f>$G45*IFERROR(INDEX(Lists!$AD:$AD,MATCH($E45,Lists!$AC:$AC,0)),1)</f>
        <v>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Mapping'!$B:$B,340)</f>
        <v>Angela Ross</v>
      </c>
      <c r="C46" s="634" t="str">
        <f>INDEX('REVIEW - Complete Role Mapping'!$C:$C,340)</f>
        <v>Delivery Lead</v>
      </c>
      <c r="D46" s="612" t="str">
        <f>INDEX('REVIEW - Complete Role Mapping'!$AK:$AK,340)</f>
        <v>Filled</v>
      </c>
      <c r="E46" s="647" t="inlineStr">
        <is>
          <t>Filled</t>
        </is>
      </c>
      <c r="F46" s="648" t="str">
        <f>IF(INDEX('REVIEW - Complete Role Mapping'!$AR:$AR,340)="Squad",INDEX('REVIEW - Complete Role Mapping'!$AP:$AP,340),INDEX('REVIEW - Complete Role Mapping'!$AR:$AR,340))</f>
        <v>EVCI</v>
      </c>
      <c r="G46" s="627">
        <f>INDEX('REVIEW - Complete Role Mapping'!$AA:$AA,340)</f>
        <v>188300.028</v>
      </c>
      <c r="H46" s="627">
        <f>$G46*IFERROR(INDEX(Lists!$AD:$AD,MATCH($E46,Lists!$AC:$AC,0)),1)</f>
        <v>188300.028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Mapping'!$B:$B,342)</f>
        <v>Anie Camerino</v>
      </c>
      <c r="C47" s="634" t="str">
        <f>INDEX('REVIEW - Complete Role Mapping'!$C:$C,342)</f>
        <v>Snr Quality Assurance</v>
      </c>
      <c r="D47" s="612" t="str">
        <f>INDEX('REVIEW - Complete Role Mapping'!$AK:$AK,342)</f>
        <v>Filled</v>
      </c>
      <c r="E47" s="647" t="inlineStr">
        <is>
          <t>Filled</t>
        </is>
      </c>
      <c r="F47" s="648" t="str">
        <f>IF(INDEX('REVIEW - Complete Role Mapping'!$AR:$AR,342)="Squad",INDEX('REVIEW - Complete Role Mapping'!$AP:$AP,342),INDEX('REVIEW - Complete Role Mapping'!$AR:$AR,342))</f>
        <v>EVCI</v>
      </c>
      <c r="G47" s="627">
        <f>INDEX('REVIEW - Complete Role Mapping'!$AA:$AA,342)</f>
        <v>153503.328</v>
      </c>
      <c r="H47" s="627">
        <f>$G47*IFERROR(INDEX(Lists!$AD:$AD,MATCH($E47,Lists!$AC:$AC,0)),1)</f>
        <v>153503.328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Mapping'!$B:$B,351)</f>
        <v>Caitlin Dyas</v>
      </c>
      <c r="C48" s="634" t="str">
        <f>INDEX('REVIEW - Complete Role Mapping'!$C:$C,351)</f>
        <v>Snr Engineer Software</v>
      </c>
      <c r="D48" s="612" t="str">
        <f>INDEX('REVIEW - Complete Role Mapping'!$AK:$AK,351)</f>
        <v>Filled</v>
      </c>
      <c r="E48" s="647" t="inlineStr">
        <is>
          <t>Filled</t>
        </is>
      </c>
      <c r="F48" s="648" t="str">
        <f>IF(INDEX('REVIEW - Complete Role Mapping'!$AR:$AR,351)="Squad",INDEX('REVIEW - Complete Role Mapping'!$AP:$AP,351),INDEX('REVIEW - Complete Role Mapping'!$AR:$AR,351))</f>
        <v>EVCI</v>
      </c>
      <c r="G48" s="627">
        <f>INDEX('REVIEW - Complete Role Mapping'!$AA:$AA,351)</f>
        <v>144360</v>
      </c>
      <c r="H48" s="627">
        <f>$G48*IFERROR(INDEX(Lists!$AD:$AD,MATCH($E48,Lists!$AC:$AC,0)),1)</f>
        <v>144360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Mapping'!$B:$B,366)</f>
        <v>Gokila Mylsamy</v>
      </c>
      <c r="C49" s="634" t="str">
        <f>INDEX('REVIEW - Complete Role Mapping'!$C:$C,366)</f>
        <v>Lead Engineer Software</v>
      </c>
      <c r="D49" s="612" t="str">
        <f>INDEX('REVIEW - Complete Role Mapping'!$AK:$AK,366)</f>
        <v>Filled</v>
      </c>
      <c r="E49" s="647" t="inlineStr">
        <is>
          <t>Filled</t>
        </is>
      </c>
      <c r="F49" s="648" t="str">
        <f>IF(INDEX('REVIEW - Complete Role Mapping'!$AR:$AR,366)="Squad",INDEX('REVIEW - Complete Role Mapping'!$AP:$AP,366),INDEX('REVIEW - Complete Role Mapping'!$AR:$AR,366))</f>
        <v>EVCI</v>
      </c>
      <c r="G49" s="627">
        <f>INDEX('REVIEW - Complete Role Mapping'!$AA:$AA,366)</f>
        <v>184214.952</v>
      </c>
      <c r="H49" s="627">
        <f>$G49*IFERROR(INDEX(Lists!$AD:$AD,MATCH($E49,Lists!$AC:$AC,0)),1)</f>
        <v>184214.952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Mapping'!$B:$B,377)</f>
        <v>Josh Campbell</v>
      </c>
      <c r="C50" s="646" t="str">
        <f>INDEX('REVIEW - Complete Role Mapping'!$C:$C,377)</f>
        <v>Engineer Software</v>
      </c>
      <c r="D50" s="646" t="str">
        <f>INDEX('REVIEW - Complete Role Mapping'!$AK:$AK,377)</f>
        <v>Filled</v>
      </c>
      <c r="E50" s="646" t="inlineStr">
        <is>
          <t>Filled</t>
        </is>
      </c>
      <c r="F50" s="646" t="str">
        <f>IF(INDEX('REVIEW - Complete Role Mapping'!$AR:$AR,377)="Squad",INDEX('REVIEW - Complete Role Mapping'!$AP:$AP,377),INDEX('REVIEW - Complete Role Mapping'!$AR:$AR,377))</f>
        <v>EVCI</v>
      </c>
      <c r="G50" s="627">
        <f>INDEX('REVIEW - Complete Role Mapping'!$AA:$AA,377)</f>
        <v>101667.032</v>
      </c>
      <c r="H50" s="627">
        <f>$G50*IFERROR(INDEX(Lists!$AD:$AD,MATCH($E50,Lists!$AC:$AC,0)),1)</f>
        <v>101667.032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Mapping'!$B:$B,382)</f>
        <v>Lana Wagner</v>
      </c>
      <c r="C51" s="634" t="str">
        <f>INDEX('REVIEW - Complete Role Mapping'!$C:$C,382)</f>
        <v>Senior Business Analyst</v>
      </c>
      <c r="D51" s="612" t="str">
        <f>INDEX('REVIEW - Complete Role Mapping'!$AK:$AK,382)</f>
        <v>Filled</v>
      </c>
      <c r="E51" s="876" t="inlineStr">
        <is>
          <t>Filled</t>
        </is>
      </c>
      <c r="F51" s="634" t="str">
        <f>IF(INDEX('REVIEW - Complete Role Mapping'!$AR:$AR,382)="Squad",INDEX('REVIEW - Complete Role Mapping'!$AP:$AP,382),INDEX('REVIEW - Complete Role Mapping'!$AR:$AR,382))</f>
        <v>EVCI</v>
      </c>
      <c r="G51" s="627">
        <f>INDEX('REVIEW - Complete Role Mapping'!$AA:$AA,382)</f>
        <v>158753.952</v>
      </c>
      <c r="H51" s="627">
        <f>$G51*IFERROR(INDEX(Lists!$AD:$AD,MATCH($E51,Lists!$AC:$AC,0)),1)</f>
        <v>158753.952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str">
        <f>INDEX('REVIEW - Complete Role Mapping'!$B:$B,385)</f>
        <v>Liesl Tye</v>
      </c>
      <c r="C52" s="646" t="str">
        <f>INDEX('REVIEW - Complete Role Mapping'!$C:$C,385)</f>
        <v>Head of Technology, B2B &amp; Energy Solutions</v>
      </c>
      <c r="D52" s="646" t="str">
        <f>INDEX('REVIEW - Complete Role Mapping'!$AK:$AK,385)</f>
        <v>Filled</v>
      </c>
      <c r="E52" s="877" t="inlineStr">
        <is>
          <t>Filled</t>
        </is>
      </c>
      <c r="F52" s="646" t="str">
        <f>IF(INDEX('REVIEW - Complete Role Mapping'!$AR:$AR,385)="Squad",INDEX('REVIEW - Complete Role Mapping'!$AP:$AP,385),INDEX('REVIEW - Complete Role Mapping'!$AR:$AR,385))</f>
        <v>Head of Technology</v>
      </c>
      <c r="G52" s="1267">
        <f>INDEX('REVIEW - Complete Role Mapping'!$AA:$AA,385)</f>
        <v>273758</v>
      </c>
      <c r="H52" s="1267">
        <f>$G52*IFERROR(INDEX(Lists!$AD:$AD,MATCH($E52,Lists!$AC:$AC,0)),1)</f>
        <v>273758</v>
      </c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str">
        <f>INDEX('REVIEW - Complete Role Mapping'!$B:$B,414)</f>
        <v>Vacant</v>
      </c>
      <c r="C53" s="634" t="str">
        <f>INDEX('REVIEW - Complete Role Mapping'!$C:$C,414)</f>
        <v>Delivery manager</v>
      </c>
      <c r="D53" s="612" t="str">
        <f>INDEX('REVIEW - Complete Role Mapping'!$AK:$AK,414)</f>
        <v>Vacant</v>
      </c>
      <c r="E53" s="876" t="inlineStr">
        <is>
          <t>Hold</t>
        </is>
      </c>
      <c r="F53" s="634" t="str">
        <f>IF(INDEX('REVIEW - Complete Role Mapping'!$AR:$AR,414)="Squad",INDEX('REVIEW - Complete Role Mapping'!$AP:$AP,414),INDEX('REVIEW - Complete Role Mapping'!$AR:$AR,414))</f>
        <v>Delivery Manager</v>
      </c>
      <c r="G53" s="1267">
        <f>INDEX('REVIEW - Complete Role Mapping'!$AA:$AA,414)</f>
        <v>275810.25</v>
      </c>
      <c r="H53" s="1267">
        <f>$G53*IFERROR(INDEX(Lists!$AD:$AD,MATCH($E53,Lists!$AC:$AC,0)),1)</f>
        <v>0</v>
      </c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str">
        <f>INDEX('REVIEW - Complete Role Mapping'!$B:$B,359)</f>
        <v>Elle Spencer</v>
      </c>
      <c r="C54" s="634" t="str">
        <f>INDEX('REVIEW - Complete Role Mapping'!$C:$C,359)</f>
        <v>Technology Manager - B2B</v>
      </c>
      <c r="D54" s="612" t="str">
        <f>INDEX('REVIEW - Complete Role Mapping'!$AK:$AK,359)</f>
        <v>Filled</v>
      </c>
      <c r="E54" s="876" t="inlineStr">
        <is>
          <t>Filled</t>
        </is>
      </c>
      <c r="F54" s="634" t="str">
        <f>IF(INDEX('REVIEW - Complete Role Mapping'!$AR:$AR,359)="Squad",INDEX('REVIEW - Complete Role Mapping'!$AP:$AP,359),INDEX('REVIEW - Complete Role Mapping'!$AR:$AR,359))</f>
        <v>Technology Manager</v>
      </c>
      <c r="G54" s="1267">
        <f>INDEX('REVIEW - Complete Role Mapping'!$AA:$AA,359)</f>
        <v>294563.45</v>
      </c>
      <c r="H54" s="1267">
        <f>$G54*IFERROR(INDEX(Lists!$AD:$AD,MATCH($E54,Lists!$AC:$AC,0)),1)</f>
        <v>294563.45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Mapping'!$B:$B,415)</f>
        <v>Vacant</v>
      </c>
      <c r="C55" s="634" t="str">
        <f>INDEX('REVIEW - Complete Role Mapping'!$C:$C,415)</f>
        <v>Technology Manager, Energy Solutions</v>
      </c>
      <c r="D55" s="612" t="str">
        <f>INDEX('REVIEW - Complete Role Mapping'!$AK:$AK,415)</f>
        <v>Vacant</v>
      </c>
      <c r="E55" s="876" t="inlineStr">
        <is>
          <t>Hold</t>
        </is>
      </c>
      <c r="F55" s="634" t="str">
        <f>IF(INDEX('REVIEW - Complete Role Mapping'!$AR:$AR,415)="Squad",INDEX('REVIEW - Complete Role Mapping'!$AP:$AP,415),INDEX('REVIEW - Complete Role Mapping'!$AR:$AR,415))</f>
        <v>Technology Manager</v>
      </c>
      <c r="G55" s="1267">
        <f>INDEX('REVIEW - Complete Role Mapping'!$AA:$AA,415)</f>
        <v>275810.25</v>
      </c>
      <c r="H55" s="1267">
        <f>$G55*IFERROR(INDEX(Lists!$AD:$AD,MATCH($E55,Lists!$AC:$AC,0)),1)</f>
        <v>0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5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Fuels'!$B$24:$B$41,0)),"No archetype for this squad")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COUNTIFS($F$24:$F$65,$B6)</f>
        <v>14</v>
      </c>
      <c r="F6" s="1250" t="str">
        <f>IFERROR($E6-$D6,"-")</f>
        <v>-</v>
      </c>
      <c r="G6" s="1250">
        <f>COUNTIFS($F$24:$F$65,$B6,$D$24:$D$65,"Vacant")</f>
        <v>0</v>
      </c>
      <c r="H6" s="1250">
        <f>COUNTIFS($F$24:$F$65,$B6,$D$24:$D$65,"Vacant",$E$24:$E$65,"Hire")+COUNTIFS($F$24:$F$65,$B6,$D$24:$D$65,"Vacant",$E$24:$E$65,"Offshore")</f>
        <v>0</v>
      </c>
      <c r="I6" s="1250">
        <f>COUNTIFS($F$24:$F$65,$B6,$D$24:$D$65,"Vacant",$E$24:$E$65,"Hold")</f>
        <v>0</v>
      </c>
      <c r="J6" s="1251">
        <f>$E6-COUNTIFS($F$24:$F$65,$B6,$E$24:$E$65,"Hold")</f>
        <v>14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SUMIFS($G$24:$G$65,$F$24:$F$65,$B6)/1000000</f>
        <v>3.221759232</v>
      </c>
      <c r="N6" s="1252" t="str">
        <f>IFERROR($M6-$L6,"-")</f>
        <v>-</v>
      </c>
      <c r="O6" s="1253">
        <f>SUMIFS($H$24:$H$65,$F$24:$F$65,$B6)/1000000</f>
        <v>3.221759232</v>
      </c>
      <c r="P6" s="1254">
        <f>$O6-$M6</f>
        <v>0</v>
      </c>
      <c r="Q6" s="1254">
        <f>SUMIFS($G$24:$G$65,$F$24:$F$65,$B6,$D$24:$D$65,"Vacant")/1000000</f>
        <v>0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COUNTIFS($F$24:$F$65,$B7)</f>
        <v>12</v>
      </c>
      <c r="F7" s="1250">
        <f>IFERROR($E7-$D7,"-")</f>
        <v>3</v>
      </c>
      <c r="G7" s="1250">
        <f>COUNTIFS($F$24:$F$65,$B7,$D$24:$D$65,"Vacant")</f>
        <v>3</v>
      </c>
      <c r="H7" s="1250">
        <f>COUNTIFS($F$24:$F$65,$B7,$D$24:$D$65,"Vacant",$E$24:$E$65,"Hire")+COUNTIFS($F$24:$F$65,$B7,$D$24:$D$65,"Vacant",$E$24:$E$65,"Offshore")</f>
        <v>0</v>
      </c>
      <c r="I7" s="1250">
        <f>COUNTIFS($F$24:$F$65,$B7,$D$24:$D$65,"Vacant",$E$24:$E$65,"Hold")</f>
        <v>3</v>
      </c>
      <c r="J7" s="1251">
        <f>$E7-COUNTIFS($F$24:$F$65,$B7,$E$24:$E$65,"Hold")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IFERROR(INDEX('0.3 Squad Archetypes'!$G$5:$G$23,MATCH($C7&amp;"|"&amp;$R7,'0.3 Squad Archetypes'!$A$5:$A$23,0)),"-")</f>
        <v>2.1</v>
      </c>
      <c r="M7" s="1252">
        <f>SUMIFS($G$24:$G$65,$F$24:$F$65,$B7)/1000000</f>
        <v>2.6791435617</v>
      </c>
      <c r="N7" s="1252">
        <f>IFERROR($M7-$L7,"-")</f>
        <v>0.5791435617</v>
      </c>
      <c r="O7" s="1253">
        <f>SUMIFS($H$24:$H$65,$F$24:$F$65,$B7)/1000000</f>
        <v>2.1543928117</v>
      </c>
      <c r="P7" s="1254">
        <f>$O7-$M7</f>
        <v>-0.52475075</v>
      </c>
      <c r="Q7" s="1254">
        <f>SUMIFS($G$24:$G$65,$F$24:$F$65,$B7,$D$24:$D$65,"Vacant")/1000000</f>
        <v>0.52475075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Fuels'!$B$24:$B$41,0)),"No archetype for this squad")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COUNTIFS($F$24:$F$65,$B8)</f>
        <v>7</v>
      </c>
      <c r="F8" s="1250">
        <f>IFERROR($E8-$D8,"-")</f>
        <v>-0.5</v>
      </c>
      <c r="G8" s="1250">
        <f>COUNTIFS($F$24:$F$65,$B8,$D$24:$D$65,"Vacant")</f>
        <v>0</v>
      </c>
      <c r="H8" s="1250">
        <f>COUNTIFS($F$24:$F$65,$B8,$D$24:$D$65,"Vacant",$E$24:$E$65,"Hire")+COUNTIFS($F$24:$F$65,$B8,$D$24:$D$65,"Vacant",$E$24:$E$65,"Offshore")</f>
        <v>0</v>
      </c>
      <c r="I8" s="1250">
        <f>COUNTIFS($F$24:$F$65,$B8,$D$24:$D$65,"Vacant",$E$24:$E$65,"Hold")</f>
        <v>0</v>
      </c>
      <c r="J8" s="1251">
        <f>$E8-COUNTIFS($F$24:$F$65,$B8,$E$24:$E$65,"Hold")</f>
        <v>7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1.7</v>
      </c>
      <c r="M8" s="1252">
        <f>SUMIFS($G$24:$G$65,$F$24:$F$65,$B8)/1000000</f>
        <v>2.106168849</v>
      </c>
      <c r="N8" s="1252">
        <f>IFERROR($M8-$L8,"-")</f>
        <v>0.406168849</v>
      </c>
      <c r="O8" s="1253">
        <f>SUMIFS($H$24:$H$65,$F$24:$F$65,$B8)/1000000</f>
        <v>2.106168849</v>
      </c>
      <c r="P8" s="1254">
        <f>$O8-$M8</f>
        <v>0</v>
      </c>
      <c r="Q8" s="1254">
        <f>SUMIFS($G$24:$G$65,$F$24:$F$65,$B8,$D$24:$D$65,"Vacant")/1000000</f>
        <v>0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Fuels'!$B$24:$B$41,0)),"No archetype for this squad")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COUNTIFS($F$24:$F$65,$B9)</f>
        <v>5</v>
      </c>
      <c r="F9" s="1250">
        <f>IFERROR($E9-$D9,"-")</f>
        <v>-4</v>
      </c>
      <c r="G9" s="1250">
        <f>COUNTIFS($F$24:$F$65,$B9,$D$24:$D$65,"Vacant")</f>
        <v>4</v>
      </c>
      <c r="H9" s="1250">
        <f>COUNTIFS($F$24:$F$65,$B9,$D$24:$D$65,"Vacant",$E$24:$E$65,"Hire")+COUNTIFS($F$24:$F$65,$B9,$D$24:$D$65,"Vacant",$E$24:$E$65,"Offshore")</f>
        <v>0</v>
      </c>
      <c r="I9" s="1250">
        <f>COUNTIFS($F$24:$F$65,$B9,$D$24:$D$65,"Vacant",$E$24:$E$65,"Hold")</f>
        <v>4</v>
      </c>
      <c r="J9" s="1251">
        <f>$E9-COUNTIFS($F$24:$F$65,$B9,$E$24:$E$65,"Hold")</f>
        <v>1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2.1</v>
      </c>
      <c r="M9" s="1252">
        <f>SUMIFS($G$24:$G$65,$F$24:$F$65,$B9)/1000000</f>
        <v>1.05925575</v>
      </c>
      <c r="N9" s="1252">
        <f>IFERROR($M9-$L9,"-")</f>
        <v>-1.04074425</v>
      </c>
      <c r="O9" s="1253">
        <f>SUMIFS($H$24:$H$65,$F$24:$F$65,$B9)/1000000</f>
        <v>0.21900675</v>
      </c>
      <c r="P9" s="1254">
        <f>$O9-$M9</f>
        <v>-0.840249</v>
      </c>
      <c r="Q9" s="1254">
        <f>SUMIFS($G$24:$G$65,$F$24:$F$65,$B9,$D$24:$D$65,"Vacant")/1000000</f>
        <v>0.840249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</row>
    <row r="10">
      <c r="A10" s="949" t="n"/>
      <c r="B10" s="1231" t="inlineStr">
        <is>
          <t>Delivery squads</t>
        </is>
      </c>
      <c r="C10" s="641" t="n"/>
      <c r="D10" s="1255">
        <f>SUM(D6:D9)</f>
        <v>25.5</v>
      </c>
      <c r="E10" s="1255">
        <f>SUM(E6:E9)</f>
        <v>38</v>
      </c>
      <c r="F10" s="1255">
        <f>SUM(F6:F9)</f>
        <v>-1.5</v>
      </c>
      <c r="G10" s="1255">
        <f>SUM(G6:G9)</f>
        <v>7</v>
      </c>
      <c r="H10" s="1255">
        <f>SUM(H6:H9)</f>
        <v>0</v>
      </c>
      <c r="I10" s="1255">
        <f>SUM(I6:I9)</f>
        <v>7</v>
      </c>
      <c r="J10" s="1256">
        <f>SUM(J6:J9)</f>
        <v>31</v>
      </c>
      <c r="K10" s="1155" t="n"/>
      <c r="L10" s="1257">
        <f>SUM(L6:L9)</f>
        <v>5.9</v>
      </c>
      <c r="M10" s="1257">
        <f>SUM(M6:M9)</f>
        <v>9.0663273927</v>
      </c>
      <c r="N10" s="1257">
        <f>SUM(N6:N9)</f>
        <v>-0.0554318393000002</v>
      </c>
      <c r="O10" s="1258">
        <f>SUM(O6:O9)</f>
        <v>7.7013276427</v>
      </c>
      <c r="P10" s="1254">
        <f>SUM(P6:P9)</f>
        <v>-1.36499975</v>
      </c>
      <c r="Q10" s="1254">
        <f>SUM(Q6:Q9)</f>
        <v>1.36499975</v>
      </c>
    </row>
    <row r="11">
      <c r="A11" s="949" t="n"/>
      <c r="B11" s="994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504" t="inlineStr">
        <is>
          <t>Head of Technology</t>
        </is>
      </c>
      <c r="C12" s="645" t="str">
        <f>"Overhead - see 3.2"</f>
        <v>Overhead - see 3.2</v>
      </c>
      <c r="D12" s="1261" t="str">
        <f>"-"</f>
        <v>-</v>
      </c>
      <c r="E12" s="1262">
        <f>COUNTIFS($F$24:$F$65,$B12)</f>
        <v>1</v>
      </c>
      <c r="F12" s="1261" t="str">
        <f>"-"</f>
        <v>-</v>
      </c>
      <c r="G12" s="1261">
        <f>COUNTIFS($F$24:$F$65,$B12,$D$24:$D$65,"Vacant")</f>
        <v>0</v>
      </c>
      <c r="H12" s="1261">
        <f>COUNTIFS($F$24:$F$65,$B12,$D$24:$D$65,"Vacant",$E$24:$E$65,"Hire")+COUNTIFS($F$24:$F$65,$B12,$D$24:$D$65,"Vacant",$E$24:$E$65,"Offshore")</f>
        <v>0</v>
      </c>
      <c r="I12" s="1261">
        <f>COUNTIFS($F$24:$F$65,$B12,$D$24:$D$65,"Vacant",$E$24:$E$65,"Hold")</f>
        <v>0</v>
      </c>
      <c r="J12" s="1261">
        <f>$E12-COUNTIFS($F$24:$F$65,$B12,$E$24:$E$65,"Hold")</f>
        <v>1</v>
      </c>
      <c r="K12" s="949" t="str">
        <f>"Overhead"</f>
        <v>Overhead</v>
      </c>
      <c r="L12" s="1263" t="str">
        <f>"-"</f>
        <v>-</v>
      </c>
      <c r="M12" s="1263">
        <f>SUMIFS($G$24:$G$65,$F$24:$F$65,$B12)/1000000</f>
        <v>0.292434736</v>
      </c>
      <c r="N12" s="1263" t="str">
        <f>"-"</f>
        <v>-</v>
      </c>
      <c r="O12" s="1263">
        <f>SUMIFS($H$24:$H$65,$F$24:$F$65,$B12)/1000000</f>
        <v>0.292434736</v>
      </c>
      <c r="P12" s="1254">
        <f>$O12-$M12</f>
        <v>0</v>
      </c>
      <c r="Q12" s="1254">
        <f>SUMIFS($G$24:$G$65,$F$24:$F$65,$B12,$D$24:$D$65,"Vacant")/1000000</f>
        <v>0</v>
      </c>
      <c r="R12" t="str">
        <f>"-"</f>
        <v>-</v>
      </c>
    </row>
    <row r="13">
      <c r="A13" s="949" t="n"/>
      <c r="B13" s="994" t="inlineStr">
        <is>
          <t>Delivery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COUNTIFS($F$24:$F$65,$B13)</f>
        <v>1</v>
      </c>
      <c r="F13" s="1281" t="str">
        <f>"-"</f>
        <v>-</v>
      </c>
      <c r="G13" s="1281">
        <f>COUNTIFS($F$24:$F$65,$B13,$D$24:$D$65,"Vacant")</f>
        <v>1</v>
      </c>
      <c r="H13" s="1281">
        <f>COUNTIFS($F$24:$F$65,$B13,$D$24:$D$65,"Vacant",$E$24:$E$65,"Hire")+COUNTIFS($F$24:$F$65,$B13,$D$24:$D$65,"Vacant",$E$24:$E$65,"Offshore")</f>
        <v>0</v>
      </c>
      <c r="I13" s="1281">
        <f>COUNTIFS($F$24:$F$65,$B13,$D$24:$D$65,"Vacant",$E$24:$E$65,"Hold")</f>
        <v>1</v>
      </c>
      <c r="J13" s="1281">
        <f>$E13-COUNTIFS($F$24:$F$65,$B13,$E$24:$E$65,"Hold")</f>
        <v>0</v>
      </c>
      <c r="K13" s="442" t="str">
        <f>"Overhead"</f>
        <v>Overhead</v>
      </c>
      <c r="L13" s="1282" t="str">
        <f>"-"</f>
        <v>-</v>
      </c>
      <c r="M13" s="1282">
        <f>SUMIFS($G$24:$G$65,$F$24:$F$65,$B13)/1000000</f>
        <v>0.27581025</v>
      </c>
      <c r="N13" s="1282" t="str">
        <f>"-"</f>
        <v>-</v>
      </c>
      <c r="O13" s="1263">
        <f>SUMIFS($H$24:$H$65,$F$24:$F$65,$B13)/1000000</f>
        <v>0</v>
      </c>
      <c r="P13" s="1254">
        <f>$O13-$M13</f>
        <v>-0.27581025</v>
      </c>
      <c r="Q13" s="1254">
        <f>SUMIFS($G$24:$G$65,$F$24:$F$65,$B13,$D$24:$D$65,"Vacant")/1000000</f>
        <v>0.27581025</v>
      </c>
      <c r="R13" t="str">
        <f>"-"</f>
        <v>-</v>
      </c>
    </row>
    <row r="14">
      <c r="A14" s="949" t="n"/>
      <c r="B14" s="994" t="inlineStr">
        <is>
          <t>Technology Manager</t>
        </is>
      </c>
      <c r="C14" s="645" t="str">
        <f>"Overhead - see 3.2"</f>
        <v>Overhead - see 3.2</v>
      </c>
      <c r="D14" s="1281" t="str">
        <f>"-"</f>
        <v>-</v>
      </c>
      <c r="E14" s="1262">
        <f>COUNTIFS($F$24:$F$65,$B14)</f>
        <v>2</v>
      </c>
      <c r="F14" s="1281" t="str">
        <f>"-"</f>
        <v>-</v>
      </c>
      <c r="G14" s="1281">
        <f>COUNTIFS($F$24:$F$65,$B14,$D$24:$D$65,"Vacant")</f>
        <v>1</v>
      </c>
      <c r="H14" s="1281">
        <f>COUNTIFS($F$24:$F$65,$B14,$D$24:$D$65,"Vacant",$E$24:$E$65,"Hire")+COUNTIFS($F$24:$F$65,$B14,$D$24:$D$65,"Vacant",$E$24:$E$65,"Offshore")</f>
        <v>0</v>
      </c>
      <c r="I14" s="1281">
        <f>COUNTIFS($F$24:$F$65,$B14,$D$24:$D$65,"Vacant",$E$24:$E$65,"Hold")</f>
        <v>1</v>
      </c>
      <c r="J14" s="1281">
        <f>$E14-COUNTIFS($F$24:$F$65,$B14,$E$24:$E$65,"Hold")</f>
        <v>1</v>
      </c>
      <c r="K14" s="442" t="str">
        <f>"Overhead"</f>
        <v>Overhead</v>
      </c>
      <c r="L14" s="1282" t="str">
        <f>"-"</f>
        <v>-</v>
      </c>
      <c r="M14" s="1282">
        <f>SUMIFS($G$24:$G$65,$F$24:$F$65,$B14)/1000000</f>
        <v>0.56309735</v>
      </c>
      <c r="N14" s="1282" t="str">
        <f>"-"</f>
        <v>-</v>
      </c>
      <c r="O14" s="1263">
        <f>SUMIFS($H$24:$H$65,$F$24:$F$65,$B14)/1000000</f>
        <v>0.2872871</v>
      </c>
      <c r="P14" s="1254">
        <f>$O14-$M14</f>
        <v>-0.27581025</v>
      </c>
      <c r="Q14" s="1254">
        <f>SUMIFS($G$24:$G$65,$F$24:$F$65,$B14,$D$24:$D$65,"Vacant")/1000000</f>
        <v>0.27581025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949" t="n"/>
      <c r="D15" s="1261" t="n"/>
      <c r="E15" s="1261">
        <f>SUM(E12:E14)</f>
        <v>4</v>
      </c>
      <c r="F15" s="1261" t="n"/>
      <c r="G15" s="1261">
        <f>SUM(G12:G14)</f>
        <v>2</v>
      </c>
      <c r="H15" s="1261">
        <f>SUM(H12:H14)</f>
        <v>0</v>
      </c>
      <c r="I15" s="1261">
        <f>SUM(I12:I14)</f>
        <v>2</v>
      </c>
      <c r="J15" s="1261">
        <f>SUM(J12:J14)</f>
        <v>2</v>
      </c>
      <c r="K15" s="949" t="n"/>
      <c r="L15" s="1263" t="n"/>
      <c r="M15" s="1263">
        <f>SUM(M12:M14)</f>
        <v>1.131342336</v>
      </c>
      <c r="N15" s="1263" t="n"/>
      <c r="O15" s="1263">
        <f>SUM(O12:O14)</f>
        <v>0.579721836</v>
      </c>
      <c r="P15" s="1254">
        <f>SUM(P12:P14)</f>
        <v>-0.5516205</v>
      </c>
      <c r="Q15" s="1254">
        <f>SUM(Q12:Q14)</f>
        <v>0.5516205</v>
      </c>
    </row>
    <row r="16">
      <c r="A16" s="949" t="n"/>
      <c r="B16" s="432" t="n"/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 ht="15.65" customHeight="1">
      <c r="A17" s="949" t="n"/>
      <c r="B17" s="1226" t="inlineStr">
        <is>
          <t>Total portfolio</t>
        </is>
      </c>
      <c r="C17" s="430" t="n"/>
      <c r="D17" s="1280">
        <f>$D10</f>
        <v>25.5</v>
      </c>
      <c r="E17" s="1280">
        <f>$E10+$E15</f>
        <v>42</v>
      </c>
      <c r="F17" s="1280">
        <f>IFERROR($E10-$D10,"-")</f>
        <v>12.5</v>
      </c>
      <c r="G17" s="1261">
        <f>$G10+$G15</f>
        <v>9</v>
      </c>
      <c r="H17" s="1261">
        <f>$H10+$H15</f>
        <v>0</v>
      </c>
      <c r="I17" s="1261">
        <f>$I10+$I15</f>
        <v>9</v>
      </c>
      <c r="J17" s="1261">
        <f>$J10+$J15</f>
        <v>33</v>
      </c>
      <c r="K17" s="949" t="n"/>
      <c r="L17" s="1263">
        <f>$L10</f>
        <v>5.9</v>
      </c>
      <c r="M17" s="1263">
        <f>$M10+$M15</f>
        <v>10.1976697287</v>
      </c>
      <c r="N17" s="1263">
        <f>IFERROR($M10-$L10,"-")</f>
        <v>3.1663273927</v>
      </c>
      <c r="O17" s="1263">
        <f>$O10+$O15</f>
        <v>8.2810494787</v>
      </c>
      <c r="P17" s="1254">
        <f>$P10+$P15</f>
        <v>-1.91662025</v>
      </c>
      <c r="Q17" s="1254">
        <f>$Q10+$Q15</f>
        <v>1.91662025</v>
      </c>
    </row>
    <row r="18">
      <c r="A18" s="949" t="n"/>
      <c r="B18" s="1294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284" t="inlineStr">
        <is>
          <t>Control - roles vs the ledger, must be 0</t>
        </is>
      </c>
      <c r="C19" s="646" t="n"/>
      <c r="D19" s="646" t="n"/>
      <c r="E19" s="646">
        <f>COUNTIFS('REVIEW - Complete Role Mapping'!$AJ$2:$AJ$528,"Commercial Fuels")-$E17</f>
        <v>0</v>
      </c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34" t="inlineStr">
        <is>
          <t>Control - cost vs the ledger ($m), must be 0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Mapping'!$AJ$2:$AJ$528,"Commercial Fuels")/1000000-$M17,6)</f>
        <v>0</v>
      </c>
      <c r="N20" s="949" t="n"/>
      <c r="O20" s="949" t="n"/>
    </row>
    <row r="21">
      <c r="A21" s="949" t="n"/>
      <c r="B21" s="634" t="n"/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34" t="inlineStr">
        <is>
          <t>Commercial Fuels roles - one row per named role, from REVIEW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Mapping'!$B:$B,338)</f>
        <v>Amanda Turnbull</v>
      </c>
      <c r="C24" s="634" t="str">
        <f>INDEX('REVIEW - Complete Role Mapping'!$C:$C,338)</f>
        <v>Engineer Software</v>
      </c>
      <c r="D24" s="612" t="str">
        <f>INDEX('REVIEW - Complete Role Mapping'!$AK:$AK,338)</f>
        <v>Filled</v>
      </c>
      <c r="E24" s="612" t="inlineStr">
        <is>
          <t>Filled</t>
        </is>
      </c>
      <c r="F24" s="634" t="str">
        <f>IF(INDEX('REVIEW - Complete Role Mapping'!$AR:$AR,338)="Squad",INDEX('REVIEW - Complete Role Mapping'!$AP:$AP,338),INDEX('REVIEW - Complete Role Mapping'!$AR:$AR,338))</f>
        <v>CTRM</v>
      </c>
      <c r="G24" s="627">
        <f>INDEX('REVIEW - Complete Role Mapping'!$AA:$AA,338)</f>
        <v>101439.056</v>
      </c>
      <c r="H24" s="627">
        <f>$G24*IFERROR(INDEX(Lists!$AD:$AD,MATCH($E24,Lists!$AC:$AC,0)),1)</f>
        <v>101439.056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Mapping'!$B:$B,350)</f>
        <v>Byron Leung</v>
      </c>
      <c r="C25" s="634" t="str">
        <f>INDEX('REVIEW - Complete Role Mapping'!$C:$C,350)</f>
        <v>Solution Architect</v>
      </c>
      <c r="D25" s="612" t="str">
        <f>INDEX('REVIEW - Complete Role Mapping'!$AK:$AK,350)</f>
        <v>Filled</v>
      </c>
      <c r="E25" s="612" t="inlineStr">
        <is>
          <t>Filled</t>
        </is>
      </c>
      <c r="F25" s="634" t="str">
        <f>IF(INDEX('REVIEW - Complete Role Mapping'!$AR:$AR,350)="Squad",INDEX('REVIEW - Complete Role Mapping'!$AP:$AP,350),INDEX('REVIEW - Complete Role Mapping'!$AR:$AR,350))</f>
        <v>CTRM</v>
      </c>
      <c r="G25" s="627">
        <f>INDEX('REVIEW - Complete Role Mapping'!$AA:$AA,350)</f>
        <v>276972.45</v>
      </c>
      <c r="H25" s="627">
        <f>$G25*IFERROR(INDEX(Lists!$AD:$AD,MATCH($E25,Lists!$AC:$AC,0)),1)</f>
        <v>276972.45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Mapping'!$B:$B,353)</f>
        <v>Carl Russo</v>
      </c>
      <c r="C26" s="634" t="str">
        <f>INDEX('REVIEW - Complete Role Mapping'!$C:$C,353)</f>
        <v>Program Manager - CTRM</v>
      </c>
      <c r="D26" s="612" t="str">
        <f>INDEX('REVIEW - Complete Role Mapping'!$AK:$AK,353)</f>
        <v>Filled</v>
      </c>
      <c r="E26" s="612" t="inlineStr">
        <is>
          <t>Filled</t>
        </is>
      </c>
      <c r="F26" s="634" t="str">
        <f>IF(INDEX('REVIEW - Complete Role Mapping'!$AR:$AR,353)="Squad",INDEX('REVIEW - Complete Role Mapping'!$AP:$AP,353),INDEX('REVIEW - Complete Role Mapping'!$AR:$AR,353))</f>
        <v>CTRM</v>
      </c>
      <c r="G26" s="627">
        <f>INDEX('REVIEW - Complete Role Mapping'!$AA:$AA,353)</f>
        <v>323695.95</v>
      </c>
      <c r="H26" s="627">
        <f>$G26*IFERROR(INDEX(Lists!$AD:$AD,MATCH($E26,Lists!$AC:$AC,0)),1)</f>
        <v>323695.95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Mapping'!$B:$B,354)</f>
        <v>Chantal Lynch</v>
      </c>
      <c r="C27" s="634" t="str">
        <f>INDEX('REVIEW - Complete Role Mapping'!$C:$C,354)</f>
        <v>Lead Quality Assurance</v>
      </c>
      <c r="D27" s="612" t="str">
        <f>INDEX('REVIEW - Complete Role Mapping'!$AK:$AK,354)</f>
        <v>Filled</v>
      </c>
      <c r="E27" s="612" t="inlineStr">
        <is>
          <t>Filled</t>
        </is>
      </c>
      <c r="F27" s="634" t="str">
        <f>IF(INDEX('REVIEW - Complete Role Mapping'!$AR:$AR,354)="Squad",INDEX('REVIEW - Complete Role Mapping'!$AP:$AP,354),INDEX('REVIEW - Complete Role Mapping'!$AR:$AR,354))</f>
        <v>CTRM</v>
      </c>
      <c r="G27" s="627">
        <f>INDEX('REVIEW - Complete Role Mapping'!$AA:$AA,354)</f>
        <v>180639.096</v>
      </c>
      <c r="H27" s="627">
        <f>$G27*IFERROR(INDEX(Lists!$AD:$AD,MATCH($E27,Lists!$AC:$AC,0)),1)</f>
        <v>180639.096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Mapping'!$B:$B,358)</f>
        <v>Deepa Kaur</v>
      </c>
      <c r="C28" s="634" t="str">
        <f>INDEX('REVIEW - Complete Role Mapping'!$C:$C,358)</f>
        <v>Senior Engineer Automation Testing</v>
      </c>
      <c r="D28" s="612" t="str">
        <f>INDEX('REVIEW - Complete Role Mapping'!$AK:$AK,358)</f>
        <v>Filled</v>
      </c>
      <c r="E28" s="612" t="inlineStr">
        <is>
          <t>Filled</t>
        </is>
      </c>
      <c r="F28" s="634" t="str">
        <f>IF(INDEX('REVIEW - Complete Role Mapping'!$AR:$AR,358)="Squad",INDEX('REVIEW - Complete Role Mapping'!$AP:$AP,358),INDEX('REVIEW - Complete Role Mapping'!$AR:$AR,358))</f>
        <v>CTRM</v>
      </c>
      <c r="G28" s="627">
        <f>INDEX('REVIEW - Complete Role Mapping'!$AA:$AA,358)</f>
        <v>194522.85</v>
      </c>
      <c r="H28" s="627">
        <f>$G28*IFERROR(INDEX(Lists!$AD:$AD,MATCH($E28,Lists!$AC:$AC,0)),1)</f>
        <v>194522.85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Mapping'!$B:$B,363)</f>
        <v>Fransiscus Setiawan</v>
      </c>
      <c r="C29" s="634" t="str">
        <f>INDEX('REVIEW - Complete Role Mapping'!$C:$C,363)</f>
        <v>Integration Architect   </v>
      </c>
      <c r="D29" s="612" t="str">
        <f>INDEX('REVIEW - Complete Role Mapping'!$AK:$AK,363)</f>
        <v>Filled</v>
      </c>
      <c r="E29" s="612" t="inlineStr">
        <is>
          <t>Filled</t>
        </is>
      </c>
      <c r="F29" s="634" t="str">
        <f>IF(INDEX('REVIEW - Complete Role Mapping'!$AR:$AR,363)="Squad",INDEX('REVIEW - Complete Role Mapping'!$AP:$AP,363),INDEX('REVIEW - Complete Role Mapping'!$AR:$AR,363))</f>
        <v>CTRM</v>
      </c>
      <c r="G29" s="627">
        <f>INDEX('REVIEW - Complete Role Mapping'!$AA:$AA,363)</f>
        <v>280350</v>
      </c>
      <c r="H29" s="627">
        <f>$G29*IFERROR(INDEX(Lists!$AD:$AD,MATCH($E29,Lists!$AC:$AC,0)),1)</f>
        <v>280350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Mapping'!$B:$B,369)</f>
        <v>Hayden Corney</v>
      </c>
      <c r="C30" s="634" t="str">
        <f>INDEX('REVIEW - Complete Role Mapping'!$C:$C,369)</f>
        <v>Lead Engineer Software</v>
      </c>
      <c r="D30" s="612" t="str">
        <f>INDEX('REVIEW - Complete Role Mapping'!$AK:$AK,369)</f>
        <v>Filled</v>
      </c>
      <c r="E30" s="612" t="inlineStr">
        <is>
          <t>Filled</t>
        </is>
      </c>
      <c r="F30" s="634" t="str">
        <f>IF(INDEX('REVIEW - Complete Role Mapping'!$AR:$AR,369)="Squad",INDEX('REVIEW - Complete Role Mapping'!$AP:$AP,369),INDEX('REVIEW - Complete Role Mapping'!$AR:$AR,369))</f>
        <v>CTRM</v>
      </c>
      <c r="G30" s="627">
        <f>INDEX('REVIEW - Complete Role Mapping'!$AA:$AA,369)</f>
        <v>197318.88</v>
      </c>
      <c r="H30" s="627">
        <f>$G30*IFERROR(INDEX(Lists!$AD:$AD,MATCH($E30,Lists!$AC:$AC,0)),1)</f>
        <v>197318.88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Mapping'!$B:$B,383)</f>
        <v>Laura Roberts</v>
      </c>
      <c r="C31" s="634" t="str">
        <f>INDEX('REVIEW - Complete Role Mapping'!$C:$C,383)</f>
        <v>Senior Engineer Software</v>
      </c>
      <c r="D31" s="612" t="str">
        <f>INDEX('REVIEW - Complete Role Mapping'!$AK:$AK,383)</f>
        <v>Filled</v>
      </c>
      <c r="E31" s="647" t="inlineStr">
        <is>
          <t>Filled</t>
        </is>
      </c>
      <c r="F31" s="648" t="str">
        <f>IF(INDEX('REVIEW - Complete Role Mapping'!$AR:$AR,383)="Squad",INDEX('REVIEW - Complete Role Mapping'!$AP:$AP,383),INDEX('REVIEW - Complete Role Mapping'!$AR:$AR,383))</f>
        <v>CTRM</v>
      </c>
      <c r="G31" s="627">
        <f>INDEX('REVIEW - Complete Role Mapping'!$AA:$AA,383)</f>
        <v>156490.752</v>
      </c>
      <c r="H31" s="627">
        <f>$G31*IFERROR(INDEX(Lists!$AD:$AD,MATCH($E31,Lists!$AC:$AC,0)),1)</f>
        <v>156490.752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Mapping'!$B:$B,393)</f>
        <v>Oliver Shanks</v>
      </c>
      <c r="C32" s="634" t="str">
        <f>INDEX('REVIEW - Complete Role Mapping'!$C:$C,393)</f>
        <v>Associate Engineer Software</v>
      </c>
      <c r="D32" s="612" t="str">
        <f>INDEX('REVIEW - Complete Role Mapping'!$AK:$AK,393)</f>
        <v>Filled</v>
      </c>
      <c r="E32" s="647" t="inlineStr">
        <is>
          <t>Filled</t>
        </is>
      </c>
      <c r="F32" s="648" t="str">
        <f>IF(INDEX('REVIEW - Complete Role Mapping'!$AR:$AR,393)="Squad",INDEX('REVIEW - Complete Role Mapping'!$AP:$AP,393),INDEX('REVIEW - Complete Role Mapping'!$AR:$AR,393))</f>
        <v>CTRM</v>
      </c>
      <c r="G32" s="627">
        <f>INDEX('REVIEW - Complete Role Mapping'!$AA:$AA,393)</f>
        <v>84514.552</v>
      </c>
      <c r="H32" s="627">
        <f>$G32*IFERROR(INDEX(Lists!$AD:$AD,MATCH($E32,Lists!$AC:$AC,0)),1)</f>
        <v>84514.552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Mapping'!$B:$B,394)</f>
        <v>Oz Shaaban</v>
      </c>
      <c r="C33" s="634" t="str">
        <f>INDEX('REVIEW - Complete Role Mapping'!$C:$C,394)</f>
        <v>Delivery Lead</v>
      </c>
      <c r="D33" s="612" t="str">
        <f>INDEX('REVIEW - Complete Role Mapping'!$AK:$AK,394)</f>
        <v>Filled</v>
      </c>
      <c r="E33" s="647" t="inlineStr">
        <is>
          <t>Filled</t>
        </is>
      </c>
      <c r="F33" s="648" t="str">
        <f>IF(INDEX('REVIEW - Complete Role Mapping'!$AR:$AR,394)="Squad",INDEX('REVIEW - Complete Role Mapping'!$AP:$AP,394),INDEX('REVIEW - Complete Role Mapping'!$AR:$AR,394))</f>
        <v>CTRM</v>
      </c>
      <c r="G33" s="627">
        <f>INDEX('REVIEW - Complete Role Mapping'!$AA:$AA,394)</f>
        <v>253997.1</v>
      </c>
      <c r="H33" s="627">
        <f>$G33*IFERROR(INDEX(Lists!$AD:$AD,MATCH($E33,Lists!$AC:$AC,0)),1)</f>
        <v>253997.1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Mapping'!$B:$B,398)</f>
        <v>Rick Abainza</v>
      </c>
      <c r="C34" s="646" t="str">
        <f>INDEX('REVIEW - Complete Role Mapping'!$C:$C,398)</f>
        <v>Lead Business Analyst</v>
      </c>
      <c r="D34" s="646" t="str">
        <f>INDEX('REVIEW - Complete Role Mapping'!$AK:$AK,398)</f>
        <v>Filled</v>
      </c>
      <c r="E34" s="646" t="inlineStr">
        <is>
          <t>Filled</t>
        </is>
      </c>
      <c r="F34" s="646" t="str">
        <f>IF(INDEX('REVIEW - Complete Role Mapping'!$AR:$AR,398)="Squad",INDEX('REVIEW - Complete Role Mapping'!$AP:$AP,398),INDEX('REVIEW - Complete Role Mapping'!$AR:$AR,398))</f>
        <v>CTRM</v>
      </c>
      <c r="G34" s="627">
        <f>INDEX('REVIEW - Complete Role Mapping'!$AA:$AA,398)</f>
        <v>366703.25</v>
      </c>
      <c r="H34" s="627">
        <f>$G34*IFERROR(INDEX(Lists!$AD:$AD,MATCH($E34,Lists!$AC:$AC,0)),1)</f>
        <v>366703.25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Mapping'!$B:$B,402)</f>
        <v>Sijin Zhu</v>
      </c>
      <c r="C35" s="634" t="str">
        <f>INDEX('REVIEW - Complete Role Mapping'!$C:$C,402)</f>
        <v>Business Analyst</v>
      </c>
      <c r="D35" s="612" t="str">
        <f>INDEX('REVIEW - Complete Role Mapping'!$AK:$AK,402)</f>
        <v>Filled</v>
      </c>
      <c r="E35" s="612" t="inlineStr">
        <is>
          <t>Filled</t>
        </is>
      </c>
      <c r="F35" s="634" t="str">
        <f>IF(INDEX('REVIEW - Complete Role Mapping'!$AR:$AR,402)="Squad",INDEX('REVIEW - Complete Role Mapping'!$AP:$AP,402),INDEX('REVIEW - Complete Role Mapping'!$AR:$AR,402))</f>
        <v>CTRM</v>
      </c>
      <c r="G35" s="627">
        <f>INDEX('REVIEW - Complete Role Mapping'!$AA:$AA,402)</f>
        <v>279205.246</v>
      </c>
      <c r="H35" s="627">
        <f>$G35*IFERROR(INDEX(Lists!$AD:$AD,MATCH($E35,Lists!$AC:$AC,0)),1)</f>
        <v>279205.246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Mapping'!$B:$B,410)</f>
        <v>Trung Truong</v>
      </c>
      <c r="C36" s="634" t="str">
        <f>INDEX('REVIEW - Complete Role Mapping'!$C:$C,410)</f>
        <v>Engineer Applications</v>
      </c>
      <c r="D36" s="612" t="str">
        <f>INDEX('REVIEW - Complete Role Mapping'!$AK:$AK,410)</f>
        <v>Filled</v>
      </c>
      <c r="E36" s="612" t="inlineStr">
        <is>
          <t>Filled</t>
        </is>
      </c>
      <c r="F36" s="634" t="str">
        <f>IF(INDEX('REVIEW - Complete Role Mapping'!$AR:$AR,410)="Squad",INDEX('REVIEW - Complete Role Mapping'!$AP:$AP,410),INDEX('REVIEW - Complete Role Mapping'!$AR:$AR,410))</f>
        <v>CTRM</v>
      </c>
      <c r="G36" s="627">
        <f>INDEX('REVIEW - Complete Role Mapping'!$AA:$AA,410)</f>
        <v>304660.5</v>
      </c>
      <c r="H36" s="627">
        <f>$G36*IFERROR(INDEX(Lists!$AD:$AD,MATCH($E36,Lists!$AC:$AC,0)),1)</f>
        <v>304660.5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Mapping'!$B:$B,444)</f>
        <v>Zhan Liu</v>
      </c>
      <c r="C37" s="634" t="str">
        <f>INDEX('REVIEW - Complete Role Mapping'!$C:$C,444)</f>
        <v>Engineer Applications</v>
      </c>
      <c r="D37" s="612" t="str">
        <f>INDEX('REVIEW - Complete Role Mapping'!$AK:$AK,444)</f>
        <v>Filled</v>
      </c>
      <c r="E37" s="612" t="inlineStr">
        <is>
          <t>Filled</t>
        </is>
      </c>
      <c r="F37" s="634" t="str">
        <f>IF(INDEX('REVIEW - Complete Role Mapping'!$AR:$AR,444)="Squad",INDEX('REVIEW - Complete Role Mapping'!$AP:$AP,444),INDEX('REVIEW - Complete Role Mapping'!$AR:$AR,444))</f>
        <v>CTRM</v>
      </c>
      <c r="G37" s="627">
        <f>INDEX('REVIEW - Complete Role Mapping'!$AA:$AA,444)</f>
        <v>221249.55</v>
      </c>
      <c r="H37" s="627">
        <f>$G37*IFERROR(INDEX(Lists!$AD:$AD,MATCH($E37,Lists!$AC:$AC,0)),1)</f>
        <v>221249.55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Mapping'!$B:$B,355)</f>
        <v>Chin Fang Kwek</v>
      </c>
      <c r="C38" s="634" t="str">
        <f>INDEX('REVIEW - Complete Role Mapping'!$C:$C,355)</f>
        <v>System Analyst</v>
      </c>
      <c r="D38" s="612" t="str">
        <f>INDEX('REVIEW - Complete Role Mapping'!$AK:$AK,355)</f>
        <v>Filled</v>
      </c>
      <c r="E38" s="612" t="inlineStr">
        <is>
          <t>Filled</t>
        </is>
      </c>
      <c r="F38" s="634" t="str">
        <f>IF(INDEX('REVIEW - Complete Role Mapping'!$AR:$AR,355)="Squad",INDEX('REVIEW - Complete Role Mapping'!$AP:$AP,355),INDEX('REVIEW - Complete Role Mapping'!$AR:$AR,355))</f>
        <v>Trading &amp; Shipping</v>
      </c>
      <c r="G38" s="627">
        <f>INDEX('REVIEW - Complete Role Mapping'!$AA:$AA,355)</f>
        <v>346651.0332</v>
      </c>
      <c r="H38" s="627">
        <f>$G38*IFERROR(INDEX(Lists!$AD:$AD,MATCH($E38,Lists!$AC:$AC,0)),1)</f>
        <v>346651.0332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Mapping'!$B:$B,368)</f>
        <v>Hari Maneti</v>
      </c>
      <c r="C39" s="634" t="str">
        <f>INDEX('REVIEW - Complete Role Mapping'!$C:$C,368)</f>
        <v>Systems Analyst</v>
      </c>
      <c r="D39" s="612" t="str">
        <f>INDEX('REVIEW - Complete Role Mapping'!$AK:$AK,368)</f>
        <v>Filled</v>
      </c>
      <c r="E39" s="612" t="inlineStr">
        <is>
          <t>Filled</t>
        </is>
      </c>
      <c r="F39" s="634" t="str">
        <f>IF(INDEX('REVIEW - Complete Role Mapping'!$AR:$AR,368)="Squad",INDEX('REVIEW - Complete Role Mapping'!$AP:$AP,368),INDEX('REVIEW - Complete Role Mapping'!$AR:$AR,368))</f>
        <v>Trading &amp; Shipping</v>
      </c>
      <c r="G39" s="627">
        <f>INDEX('REVIEW - Complete Role Mapping'!$AA:$AA,368)</f>
        <v>293634.617</v>
      </c>
      <c r="H39" s="627">
        <f>$G39*IFERROR(INDEX(Lists!$AD:$AD,MATCH($E39,Lists!$AC:$AC,0)),1)</f>
        <v>293634.617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Mapping'!$B:$B,370)</f>
        <v>Isha Riyat</v>
      </c>
      <c r="C40" s="634" t="str">
        <f>INDEX('REVIEW - Complete Role Mapping'!$C:$C,370)</f>
        <v>Senior Business Analyst</v>
      </c>
      <c r="D40" s="612" t="str">
        <f>INDEX('REVIEW - Complete Role Mapping'!$AK:$AK,370)</f>
        <v>Filled</v>
      </c>
      <c r="E40" s="612" t="inlineStr">
        <is>
          <t>Filled</t>
        </is>
      </c>
      <c r="F40" s="634" t="str">
        <f>IF(INDEX('REVIEW - Complete Role Mapping'!$AR:$AR,370)="Squad",INDEX('REVIEW - Complete Role Mapping'!$AP:$AP,370),INDEX('REVIEW - Complete Role Mapping'!$AR:$AR,370))</f>
        <v>Trading &amp; Shipping</v>
      </c>
      <c r="G40" s="627">
        <f>INDEX('REVIEW - Complete Role Mapping'!$AA:$AA,370)</f>
        <v>226429.35</v>
      </c>
      <c r="H40" s="627">
        <f>$G40*IFERROR(INDEX(Lists!$AD:$AD,MATCH($E40,Lists!$AC:$AC,0)),1)</f>
        <v>226429.35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Mapping'!$B:$B,378)</f>
        <v>JR Panganiban</v>
      </c>
      <c r="C41" s="634" t="str">
        <f>INDEX('REVIEW - Complete Role Mapping'!$C:$C,378)</f>
        <v>Technology Support Engineer</v>
      </c>
      <c r="D41" s="612" t="str">
        <f>INDEX('REVIEW - Complete Role Mapping'!$AK:$AK,378)</f>
        <v>Filled</v>
      </c>
      <c r="E41" s="612" t="inlineStr">
        <is>
          <t>Filled</t>
        </is>
      </c>
      <c r="F41" s="634" t="str">
        <f>IF(INDEX('REVIEW - Complete Role Mapping'!$AR:$AR,378)="Squad",INDEX('REVIEW - Complete Role Mapping'!$AP:$AP,378),INDEX('REVIEW - Complete Role Mapping'!$AR:$AR,378))</f>
        <v>Trading &amp; Shipping</v>
      </c>
      <c r="G41" s="627">
        <f>INDEX('REVIEW - Complete Role Mapping'!$AA:$AA,378)</f>
        <v>146390.4</v>
      </c>
      <c r="H41" s="627">
        <f>$G41*IFERROR(INDEX(Lists!$AD:$AD,MATCH($E41,Lists!$AC:$AC,0)),1)</f>
        <v>146390.4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Mapping'!$B:$B,373)</f>
        <v>Jem Cruz</v>
      </c>
      <c r="C42" s="634" t="str">
        <f>INDEX('REVIEW - Complete Role Mapping'!$C:$C,373)</f>
        <v>System Specialist</v>
      </c>
      <c r="D42" s="612" t="str">
        <f>INDEX('REVIEW - Complete Role Mapping'!$AK:$AK,373)</f>
        <v>Filled</v>
      </c>
      <c r="E42" s="612" t="inlineStr">
        <is>
          <t>Filled</t>
        </is>
      </c>
      <c r="F42" s="634" t="str">
        <f>IF(INDEX('REVIEW - Complete Role Mapping'!$AR:$AR,373)="Squad",INDEX('REVIEW - Complete Role Mapping'!$AP:$AP,373),INDEX('REVIEW - Complete Role Mapping'!$AR:$AR,373))</f>
        <v>Trading &amp; Shipping</v>
      </c>
      <c r="G42" s="627">
        <f>INDEX('REVIEW - Complete Role Mapping'!$AA:$AA,373)</f>
        <v>180010.35</v>
      </c>
      <c r="H42" s="627">
        <f>$G42*IFERROR(INDEX(Lists!$AD:$AD,MATCH($E42,Lists!$AC:$AC,0)),1)</f>
        <v>180010.35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Mapping'!$B:$B,379)</f>
        <v>Kevin Li</v>
      </c>
      <c r="C43" s="634" t="str">
        <f>INDEX('REVIEW - Complete Role Mapping'!$C:$C,379)</f>
        <v>System Specialist</v>
      </c>
      <c r="D43" s="612" t="str">
        <f>INDEX('REVIEW - Complete Role Mapping'!$AK:$AK,379)</f>
        <v>Filled</v>
      </c>
      <c r="E43" s="612" t="inlineStr">
        <is>
          <t>Filled</t>
        </is>
      </c>
      <c r="F43" s="634" t="str">
        <f>IF(INDEX('REVIEW - Complete Role Mapping'!$AR:$AR,379)="Squad",INDEX('REVIEW - Complete Role Mapping'!$AP:$AP,379),INDEX('REVIEW - Complete Role Mapping'!$AR:$AR,379))</f>
        <v>Trading &amp; Shipping</v>
      </c>
      <c r="G43" s="627">
        <f>INDEX('REVIEW - Complete Role Mapping'!$AA:$AA,379)</f>
        <v>179970.9</v>
      </c>
      <c r="H43" s="627">
        <f>$G43*IFERROR(INDEX(Lists!$AD:$AD,MATCH($E43,Lists!$AC:$AC,0)),1)</f>
        <v>179970.9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Mapping'!$B:$B,384)</f>
        <v>Leo Machin</v>
      </c>
      <c r="C44" s="634" t="str">
        <f>INDEX('REVIEW - Complete Role Mapping'!$C:$C,384)</f>
        <v>Lead Engineer Applications</v>
      </c>
      <c r="D44" s="612" t="str">
        <f>INDEX('REVIEW - Complete Role Mapping'!$AK:$AK,384)</f>
        <v>Filled</v>
      </c>
      <c r="E44" s="612" t="inlineStr">
        <is>
          <t>Filled</t>
        </is>
      </c>
      <c r="F44" s="634" t="str">
        <f>IF(INDEX('REVIEW - Complete Role Mapping'!$AR:$AR,384)="Squad",INDEX('REVIEW - Complete Role Mapping'!$AP:$AP,384),INDEX('REVIEW - Complete Role Mapping'!$AR:$AR,384))</f>
        <v>Trading &amp; Shipping</v>
      </c>
      <c r="G44" s="627">
        <f>INDEX('REVIEW - Complete Role Mapping'!$AA:$AA,384)</f>
        <v>212558.7</v>
      </c>
      <c r="H44" s="627">
        <f>$G44*IFERROR(INDEX(Lists!$AD:$AD,MATCH($E44,Lists!$AC:$AC,0)),1)</f>
        <v>212558.7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Mapping'!$B:$B,395)</f>
        <v>Poch Fernandez</v>
      </c>
      <c r="C45" s="634" t="str">
        <f>INDEX('REVIEW - Complete Role Mapping'!$C:$C,395)</f>
        <v>Lead Technology Support  </v>
      </c>
      <c r="D45" s="612" t="str">
        <f>INDEX('REVIEW - Complete Role Mapping'!$AK:$AK,395)</f>
        <v>Filled</v>
      </c>
      <c r="E45" s="612" t="inlineStr">
        <is>
          <t>Filled</t>
        </is>
      </c>
      <c r="F45" s="634" t="str">
        <f>IF(INDEX('REVIEW - Complete Role Mapping'!$AR:$AR,395)="Squad",INDEX('REVIEW - Complete Role Mapping'!$AP:$AP,395),INDEX('REVIEW - Complete Role Mapping'!$AR:$AR,395))</f>
        <v>Trading &amp; Shipping</v>
      </c>
      <c r="G45" s="627">
        <f>INDEX('REVIEW - Complete Role Mapping'!$AA:$AA,395)</f>
        <v>216633.121</v>
      </c>
      <c r="H45" s="627">
        <f>$G45*IFERROR(INDEX(Lists!$AD:$AD,MATCH($E45,Lists!$AC:$AC,0)),1)</f>
        <v>216633.121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Mapping'!$B:$B,408)</f>
        <v>Suja Sugathan</v>
      </c>
      <c r="C46" s="634" t="str">
        <f>INDEX('REVIEW - Complete Role Mapping'!$C:$C,408)</f>
        <v>Senior Business Analyst</v>
      </c>
      <c r="D46" s="612" t="str">
        <f>INDEX('REVIEW - Complete Role Mapping'!$AK:$AK,408)</f>
        <v>Filled</v>
      </c>
      <c r="E46" s="612" t="inlineStr">
        <is>
          <t>Filled</t>
        </is>
      </c>
      <c r="F46" s="634" t="str">
        <f>IF(INDEX('REVIEW - Complete Role Mapping'!$AR:$AR,408)="Squad",INDEX('REVIEW - Complete Role Mapping'!$AP:$AP,408),INDEX('REVIEW - Complete Role Mapping'!$AR:$AR,408))</f>
        <v>Trading &amp; Shipping</v>
      </c>
      <c r="G46" s="627">
        <f>INDEX('REVIEW - Complete Role Mapping'!$AA:$AA,408)</f>
        <v>352114.3405</v>
      </c>
      <c r="H46" s="627">
        <f>$G46*IFERROR(INDEX(Lists!$AD:$AD,MATCH($E46,Lists!$AC:$AC,0)),1)</f>
        <v>352114.3405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Mapping'!$B:$B,420)</f>
        <v>Vacant</v>
      </c>
      <c r="C47" s="634" t="str">
        <f>INDEX('REVIEW - Complete Role Mapping'!$C:$C,420)</f>
        <v>Tech Support Technician</v>
      </c>
      <c r="D47" s="612" t="str">
        <f>INDEX('REVIEW - Complete Role Mapping'!$AK:$AK,420)</f>
        <v>Vacant</v>
      </c>
      <c r="E47" s="612" t="inlineStr">
        <is>
          <t>Hold</t>
        </is>
      </c>
      <c r="F47" s="634" t="str">
        <f>IF(INDEX('REVIEW - Complete Role Mapping'!$AR:$AR,420)="Squad",INDEX('REVIEW - Complete Role Mapping'!$AP:$AP,420),INDEX('REVIEW - Complete Role Mapping'!$AR:$AR,420))</f>
        <v>Trading &amp; Shipping</v>
      </c>
      <c r="G47" s="627">
        <f>INDEX('REVIEW - Complete Role Mapping'!$AA:$AA,420)</f>
        <v>122571.75</v>
      </c>
      <c r="H47" s="627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Mapping'!$B:$B,424)</f>
        <v>Vacant</v>
      </c>
      <c r="C48" s="646" t="str">
        <f>INDEX('REVIEW - Complete Role Mapping'!$C:$C,424)</f>
        <v>Delivery Lead</v>
      </c>
      <c r="D48" s="646" t="str">
        <f>INDEX('REVIEW - Complete Role Mapping'!$AK:$AK,424)</f>
        <v>Vacant</v>
      </c>
      <c r="E48" s="646" t="inlineStr">
        <is>
          <t>Hold</t>
        </is>
      </c>
      <c r="F48" s="646" t="str">
        <f>IF(INDEX('REVIEW - Complete Role Mapping'!$AR:$AR,424)="Squad",INDEX('REVIEW - Complete Role Mapping'!$AP:$AP,424),INDEX('REVIEW - Complete Role Mapping'!$AR:$AR,424))</f>
        <v>Trading &amp; Shipping</v>
      </c>
      <c r="G48" s="627">
        <f>INDEX('REVIEW - Complete Role Mapping'!$AA:$AA,424)</f>
        <v>231689.25</v>
      </c>
      <c r="H48" s="627">
        <f>$G48*IFERROR(INDEX(Lists!$AD:$AD,MATCH($E48,Lists!$AC:$AC,0)),1)</f>
        <v>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Mapping'!$B:$B,425)</f>
        <v>Vacant</v>
      </c>
      <c r="C49" s="634" t="str">
        <f>INDEX('REVIEW - Complete Role Mapping'!$C:$C,425)</f>
        <v>Quality Assurance</v>
      </c>
      <c r="D49" s="612" t="str">
        <f>INDEX('REVIEW - Complete Role Mapping'!$AK:$AK,425)</f>
        <v>Vacant</v>
      </c>
      <c r="E49" s="612" t="inlineStr">
        <is>
          <t>Hold</t>
        </is>
      </c>
      <c r="F49" s="634" t="str">
        <f>IF(INDEX('REVIEW - Complete Role Mapping'!$AR:$AR,425)="Squad",INDEX('REVIEW - Complete Role Mapping'!$AP:$AP,425),INDEX('REVIEW - Complete Role Mapping'!$AR:$AR,425))</f>
        <v>Trading &amp; Shipping</v>
      </c>
      <c r="G49" s="627">
        <f>INDEX('REVIEW - Complete Role Mapping'!$AA:$AA,425)</f>
        <v>170489.75</v>
      </c>
      <c r="H49" s="627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Mapping'!$B:$B,344)</f>
        <v>Anusha Viswanatha</v>
      </c>
      <c r="C50" s="634" t="str">
        <f>INDEX('REVIEW - Complete Role Mapping'!$C:$C,344)</f>
        <v>Delivery Lead</v>
      </c>
      <c r="D50" s="612" t="str">
        <f>INDEX('REVIEW - Complete Role Mapping'!$AK:$AK,344)</f>
        <v>Filled</v>
      </c>
      <c r="E50" s="647" t="inlineStr">
        <is>
          <t>Filled</t>
        </is>
      </c>
      <c r="F50" s="648" t="str">
        <f>IF(INDEX('REVIEW - Complete Role Mapping'!$AR:$AR,344)="Squad",INDEX('REVIEW - Complete Role Mapping'!$AP:$AP,344),INDEX('REVIEW - Complete Role Mapping'!$AR:$AR,344))</f>
        <v>Trading &amp; Shipping Data</v>
      </c>
      <c r="G50" s="627">
        <f>INDEX('REVIEW - Complete Role Mapping'!$AA:$AA,344)</f>
        <v>286934</v>
      </c>
      <c r="H50" s="627">
        <f>$G50*IFERROR(INDEX(Lists!$AD:$AD,MATCH($E50,Lists!$AC:$AC,0)),1)</f>
        <v>286934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Mapping'!$B:$B,346)</f>
        <v>Arun Prakash Jayaprakasam</v>
      </c>
      <c r="C51" s="634" t="str">
        <f>INDEX('REVIEW - Complete Role Mapping'!$C:$C,346)</f>
        <v>Data Engineer Analyst</v>
      </c>
      <c r="D51" s="612" t="str">
        <f>INDEX('REVIEW - Complete Role Mapping'!$AK:$AK,346)</f>
        <v>Filled</v>
      </c>
      <c r="E51" s="647" t="inlineStr">
        <is>
          <t>Filled</t>
        </is>
      </c>
      <c r="F51" s="648" t="str">
        <f>IF(INDEX('REVIEW - Complete Role Mapping'!$AR:$AR,346)="Squad",INDEX('REVIEW - Complete Role Mapping'!$AP:$AP,346),INDEX('REVIEW - Complete Role Mapping'!$AR:$AR,346))</f>
        <v>Trading &amp; Shipping Data</v>
      </c>
      <c r="G51" s="627">
        <f>INDEX('REVIEW - Complete Role Mapping'!$AA:$AA,346)</f>
        <v>268285.722</v>
      </c>
      <c r="H51" s="627">
        <f>$G51*IFERROR(INDEX(Lists!$AD:$AD,MATCH($E51,Lists!$AC:$AC,0)),1)</f>
        <v>268285.722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Mapping'!$B:$B,347)</f>
        <v>Ayushi Agarwal</v>
      </c>
      <c r="C52" s="634" t="str">
        <f>INDEX('REVIEW - Complete Role Mapping'!$C:$C,347)</f>
        <v>Engineer Data</v>
      </c>
      <c r="D52" s="612" t="str">
        <f>INDEX('REVIEW - Complete Role Mapping'!$AK:$AK,347)</f>
        <v>Filled</v>
      </c>
      <c r="E52" s="647" t="inlineStr">
        <is>
          <t>Filled</t>
        </is>
      </c>
      <c r="F52" s="648" t="str">
        <f>IF(INDEX('REVIEW - Complete Role Mapping'!$AR:$AR,347)="Squad",INDEX('REVIEW - Complete Role Mapping'!$AP:$AP,347),INDEX('REVIEW - Complete Role Mapping'!$AR:$AR,347))</f>
        <v>Trading &amp; Shipping Data</v>
      </c>
      <c r="G52" s="627">
        <f>INDEX('REVIEW - Complete Role Mapping'!$AA:$AA,347)</f>
        <v>260911.498</v>
      </c>
      <c r="H52" s="627">
        <f>$G52*IFERROR(INDEX(Lists!$AD:$AD,MATCH($E52,Lists!$AC:$AC,0)),1)</f>
        <v>260911.498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Mapping'!$B:$B,376)</f>
        <v>Jonathan Wong</v>
      </c>
      <c r="C53" s="634" t="str">
        <f>INDEX('REVIEW - Complete Role Mapping'!$C:$C,376)</f>
        <v>Senior Business Analyst</v>
      </c>
      <c r="D53" s="612" t="str">
        <f>INDEX('REVIEW - Complete Role Mapping'!$AK:$AK,376)</f>
        <v>Filled</v>
      </c>
      <c r="E53" s="647" t="inlineStr">
        <is>
          <t>Filled</t>
        </is>
      </c>
      <c r="F53" s="648" t="str">
        <f>IF(INDEX('REVIEW - Complete Role Mapping'!$AR:$AR,376)="Squad",INDEX('REVIEW - Complete Role Mapping'!$AP:$AP,376),INDEX('REVIEW - Complete Role Mapping'!$AR:$AR,376))</f>
        <v>Trading &amp; Shipping Data</v>
      </c>
      <c r="G53" s="627">
        <f>INDEX('REVIEW - Complete Role Mapping'!$AA:$AA,376)</f>
        <v>322387</v>
      </c>
      <c r="H53" s="627">
        <f>$G53*IFERROR(INDEX(Lists!$AD:$AD,MATCH($E53,Lists!$AC:$AC,0)),1)</f>
        <v>322387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Mapping'!$B:$B,381)</f>
        <v>Kumar Siva</v>
      </c>
      <c r="C54" s="646" t="str">
        <f>INDEX('REVIEW - Complete Role Mapping'!$C:$C,381)</f>
        <v>Lead engineer Data</v>
      </c>
      <c r="D54" s="646" t="str">
        <f>INDEX('REVIEW - Complete Role Mapping'!$AK:$AK,381)</f>
        <v>Filled</v>
      </c>
      <c r="E54" s="646" t="inlineStr">
        <is>
          <t>Filled</t>
        </is>
      </c>
      <c r="F54" s="646" t="str">
        <f>IF(INDEX('REVIEW - Complete Role Mapping'!$AR:$AR,381)="Squad",INDEX('REVIEW - Complete Role Mapping'!$AP:$AP,381),INDEX('REVIEW - Complete Role Mapping'!$AR:$AR,381))</f>
        <v>Trading &amp; Shipping Data</v>
      </c>
      <c r="G54" s="627">
        <f>INDEX('REVIEW - Complete Role Mapping'!$AA:$AA,381)</f>
        <v>375566.5</v>
      </c>
      <c r="H54" s="627">
        <f>$G54*IFERROR(INDEX(Lists!$AD:$AD,MATCH($E54,Lists!$AC:$AC,0)),1)</f>
        <v>375566.5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Mapping'!$B:$B,405)</f>
        <v>Soumya Choudhury</v>
      </c>
      <c r="C55" s="634" t="str">
        <f>INDEX('REVIEW - Complete Role Mapping'!$C:$C,405)</f>
        <v>Data Application Specialist </v>
      </c>
      <c r="D55" s="612" t="str">
        <f>INDEX('REVIEW - Complete Role Mapping'!$AK:$AK,405)</f>
        <v>Filled</v>
      </c>
      <c r="E55" s="612" t="inlineStr">
        <is>
          <t>Filled</t>
        </is>
      </c>
      <c r="F55" s="634" t="str">
        <f>IF(INDEX('REVIEW - Complete Role Mapping'!$AR:$AR,405)="Squad",INDEX('REVIEW - Complete Role Mapping'!$AP:$AP,405),INDEX('REVIEW - Complete Role Mapping'!$AR:$AR,405))</f>
        <v>Trading &amp; Shipping Data</v>
      </c>
      <c r="G55" s="627">
        <f>INDEX('REVIEW - Complete Role Mapping'!$AA:$AA,405)</f>
        <v>325684.129</v>
      </c>
      <c r="H55" s="627">
        <f>$G55*IFERROR(INDEX(Lists!$AD:$AD,MATCH($E55,Lists!$AC:$AC,0)),1)</f>
        <v>325684.129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Mapping'!$B:$B,445)</f>
        <v>Zijie Zhang</v>
      </c>
      <c r="C56" s="634" t="str">
        <f>INDEX('REVIEW - Complete Role Mapping'!$C:$C,445)</f>
        <v>Senior Data Analyst</v>
      </c>
      <c r="D56" s="612" t="str">
        <f>INDEX('REVIEW - Complete Role Mapping'!$AK:$AK,445)</f>
        <v>Filled</v>
      </c>
      <c r="E56" s="612" t="inlineStr">
        <is>
          <t>Filled</t>
        </is>
      </c>
      <c r="F56" s="634" t="str">
        <f>IF(INDEX('REVIEW - Complete Role Mapping'!$AR:$AR,445)="Squad",INDEX('REVIEW - Complete Role Mapping'!$AP:$AP,445),INDEX('REVIEW - Complete Role Mapping'!$AR:$AR,445))</f>
        <v>Trading &amp; Shipping Data</v>
      </c>
      <c r="G56" s="627">
        <f>INDEX('REVIEW - Complete Role Mapping'!$AA:$AA,445)</f>
        <v>266400</v>
      </c>
      <c r="H56" s="627">
        <f>$G56*IFERROR(INDEX(Lists!$AD:$AD,MATCH($E56,Lists!$AC:$AC,0)),1)</f>
        <v>266400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Mapping'!$B:$B,343)</f>
        <v>Ann Aquino</v>
      </c>
      <c r="C57" s="634" t="str">
        <f>INDEX('REVIEW - Complete Role Mapping'!$C:$C,343)</f>
        <v>Senior Business Analyst</v>
      </c>
      <c r="D57" s="612" t="str">
        <f>INDEX('REVIEW - Complete Role Mapping'!$AK:$AK,343)</f>
        <v>Filled</v>
      </c>
      <c r="E57" s="612" t="inlineStr">
        <is>
          <t>Filled</t>
        </is>
      </c>
      <c r="F57" s="634" t="str">
        <f>IF(INDEX('REVIEW - Complete Role Mapping'!$AR:$AR,343)="Squad",INDEX('REVIEW - Complete Role Mapping'!$AP:$AP,343),INDEX('REVIEW - Complete Role Mapping'!$AR:$AR,343))</f>
        <v>Supply</v>
      </c>
      <c r="G57" s="627">
        <f>INDEX('REVIEW - Complete Role Mapping'!$AA:$AA,343)</f>
        <v>219006.75</v>
      </c>
      <c r="H57" s="627">
        <f>$G57*IFERROR(INDEX(Lists!$AD:$AD,MATCH($E57,Lists!$AC:$AC,0)),1)</f>
        <v>219006.75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Mapping'!$B:$B,419)</f>
        <v>Vacant</v>
      </c>
      <c r="C58" s="634" t="str">
        <f>INDEX('REVIEW - Complete Role Mapping'!$C:$C,419)</f>
        <v>System Specialist</v>
      </c>
      <c r="D58" s="612" t="str">
        <f>INDEX('REVIEW - Complete Role Mapping'!$AK:$AK,419)</f>
        <v>Vacant</v>
      </c>
      <c r="E58" s="612" t="inlineStr">
        <is>
          <t>Hold</t>
        </is>
      </c>
      <c r="F58" s="634" t="str">
        <f>IF(INDEX('REVIEW - Complete Role Mapping'!$AR:$AR,419)="Squad",INDEX('REVIEW - Complete Role Mapping'!$AP:$AP,419),INDEX('REVIEW - Complete Role Mapping'!$AR:$AR,419))</f>
        <v>Supply</v>
      </c>
      <c r="G58" s="627">
        <f>INDEX('REVIEW - Complete Role Mapping'!$AA:$AA,419)</f>
        <v>202853.25</v>
      </c>
      <c r="H58" s="627">
        <f>$G58*IFERROR(INDEX(Lists!$AD:$AD,MATCH($E58,Lists!$AC:$AC,0)),1)</f>
        <v>0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Mapping'!$B:$B,423)</f>
        <v>Vacant</v>
      </c>
      <c r="C59" s="634" t="str">
        <f>INDEX('REVIEW - Complete Role Mapping'!$C:$C,423)</f>
        <v>Delivery Lead</v>
      </c>
      <c r="D59" s="612" t="str">
        <f>INDEX('REVIEW - Complete Role Mapping'!$AK:$AK,423)</f>
        <v>Vacant</v>
      </c>
      <c r="E59" s="612" t="inlineStr">
        <is>
          <t>Hold</t>
        </is>
      </c>
      <c r="F59" s="634" t="str">
        <f>IF(INDEX('REVIEW - Complete Role Mapping'!$AR:$AR,423)="Squad",INDEX('REVIEW - Complete Role Mapping'!$AP:$AP,423),INDEX('REVIEW - Complete Role Mapping'!$AR:$AR,423))</f>
        <v>Supply</v>
      </c>
      <c r="G59" s="627">
        <f>INDEX('REVIEW - Complete Role Mapping'!$AA:$AA,423)</f>
        <v>231689.25</v>
      </c>
      <c r="H59" s="627">
        <f>$G59*IFERROR(INDEX(Lists!$AD:$AD,MATCH($E59,Lists!$AC:$AC,0)),1)</f>
        <v>0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Mapping'!$B:$B,440)</f>
        <v>Vacant</v>
      </c>
      <c r="C60" s="634" t="str">
        <f>INDEX('REVIEW - Complete Role Mapping'!$C:$C,440)</f>
        <v>Engineer Software</v>
      </c>
      <c r="D60" s="612" t="str">
        <f>INDEX('REVIEW - Complete Role Mapping'!$AK:$AK,440)</f>
        <v>Vacant</v>
      </c>
      <c r="E60" s="612" t="inlineStr">
        <is>
          <t>Hold</t>
        </is>
      </c>
      <c r="F60" s="634" t="str">
        <f>IF(INDEX('REVIEW - Complete Role Mapping'!$AR:$AR,440)="Squad",INDEX('REVIEW - Complete Role Mapping'!$AP:$AP,440),INDEX('REVIEW - Complete Role Mapping'!$AR:$AR,440))</f>
        <v>Supply</v>
      </c>
      <c r="G60" s="627">
        <f>INDEX('REVIEW - Complete Role Mapping'!$AA:$AA,440)</f>
        <v>202853.25</v>
      </c>
      <c r="H60" s="627">
        <f>$G60*IFERROR(INDEX(Lists!$AD:$AD,MATCH($E60,Lists!$AC:$AC,0)),1)</f>
        <v>0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Mapping'!$B:$B,441)</f>
        <v>Vacant</v>
      </c>
      <c r="C61" s="634" t="str">
        <f>INDEX('REVIEW - Complete Role Mapping'!$C:$C,441)</f>
        <v>System Specialist</v>
      </c>
      <c r="D61" s="612" t="str">
        <f>INDEX('REVIEW - Complete Role Mapping'!$AK:$AK,441)</f>
        <v>Vacant</v>
      </c>
      <c r="E61" s="612" t="inlineStr">
        <is>
          <t>Hold</t>
        </is>
      </c>
      <c r="F61" s="634" t="str">
        <f>IF(INDEX('REVIEW - Complete Role Mapping'!$AR:$AR,441)="Squad",INDEX('REVIEW - Complete Role Mapping'!$AP:$AP,441),INDEX('REVIEW - Complete Role Mapping'!$AR:$AR,441))</f>
        <v>Supply</v>
      </c>
      <c r="G61" s="627">
        <f>INDEX('REVIEW - Complete Role Mapping'!$AA:$AA,441)</f>
        <v>202853.25</v>
      </c>
      <c r="H61" s="627">
        <f>$G61*IFERROR(INDEX(Lists!$AD:$AD,MATCH($E61,Lists!$AC:$AC,0)),1)</f>
        <v>0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Mapping'!$B:$B,392)</f>
        <v>Nakul Bharade</v>
      </c>
      <c r="C62" s="646" t="str">
        <f>INDEX('REVIEW - Complete Role Mapping'!$C:$C,392)</f>
        <v>Head of Technology, Commercial Fuels</v>
      </c>
      <c r="D62" s="646" t="str">
        <f>INDEX('REVIEW - Complete Role Mapping'!$AK:$AK,392)</f>
        <v>Filled</v>
      </c>
      <c r="E62" s="646" t="inlineStr">
        <is>
          <t>Filled</t>
        </is>
      </c>
      <c r="F62" s="646" t="str">
        <f>IF(INDEX('REVIEW - Complete Role Mapping'!$AR:$AR,392)="Squad",INDEX('REVIEW - Complete Role Mapping'!$AP:$AP,392),INDEX('REVIEW - Complete Role Mapping'!$AR:$AR,392))</f>
        <v>Head of Technology</v>
      </c>
      <c r="G62" s="1267">
        <f>INDEX('REVIEW - Complete Role Mapping'!$AA:$AA,392)</f>
        <v>292434.736</v>
      </c>
      <c r="H62" s="1267">
        <f>$G62*IFERROR(INDEX(Lists!$AD:$AD,MATCH($E62,Lists!$AC:$AC,0)),1)</f>
        <v>292434.736</v>
      </c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str">
        <f>INDEX('REVIEW - Complete Role Mapping'!$B:$B,421)</f>
        <v>Vacant</v>
      </c>
      <c r="C63" s="634" t="str">
        <f>INDEX('REVIEW - Complete Role Mapping'!$C:$C,421)</f>
        <v>Delivery Manager</v>
      </c>
      <c r="D63" s="612" t="str">
        <f>INDEX('REVIEW - Complete Role Mapping'!$AK:$AK,421)</f>
        <v>Vacant</v>
      </c>
      <c r="E63" s="612" t="inlineStr">
        <is>
          <t>Hold</t>
        </is>
      </c>
      <c r="F63" s="634" t="str">
        <f>IF(INDEX('REVIEW - Complete Role Mapping'!$AR:$AR,421)="Squad",INDEX('REVIEW - Complete Role Mapping'!$AP:$AP,421),INDEX('REVIEW - Complete Role Mapping'!$AR:$AR,421))</f>
        <v>Delivery Manager</v>
      </c>
      <c r="G63" s="1267">
        <f>INDEX('REVIEW - Complete Role Mapping'!$AA:$AA,421)</f>
        <v>275810.25</v>
      </c>
      <c r="H63" s="1267">
        <f>$G63*IFERROR(INDEX(Lists!$AD:$AD,MATCH($E63,Lists!$AC:$AC,0)),1)</f>
        <v>0</v>
      </c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str">
        <f>INDEX('REVIEW - Complete Role Mapping'!$B:$B,336)</f>
        <v>Allan Francia</v>
      </c>
      <c r="C64" s="634" t="str">
        <f>INDEX('REVIEW - Complete Role Mapping'!$C:$C,336)</f>
        <v>Technology Manager - T&amp;S</v>
      </c>
      <c r="D64" s="612" t="str">
        <f>INDEX('REVIEW - Complete Role Mapping'!$AK:$AK,336)</f>
        <v>Filled</v>
      </c>
      <c r="E64" s="612" t="inlineStr">
        <is>
          <t>Filled</t>
        </is>
      </c>
      <c r="F64" s="634" t="str">
        <f>IF(INDEX('REVIEW - Complete Role Mapping'!$AR:$AR,336)="Squad",INDEX('REVIEW - Complete Role Mapping'!$AP:$AP,336),INDEX('REVIEW - Complete Role Mapping'!$AR:$AR,336))</f>
        <v>Technology Manager</v>
      </c>
      <c r="G64" s="1267">
        <f>INDEX('REVIEW - Complete Role Mapping'!$AA:$AA,336)</f>
        <v>287287.1</v>
      </c>
      <c r="H64" s="1267">
        <f>$G64*IFERROR(INDEX(Lists!$AD:$AD,MATCH($E64,Lists!$AC:$AC,0)),1)</f>
        <v>287287.1</v>
      </c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str">
        <f>INDEX('REVIEW - Complete Role Mapping'!$B:$B,422)</f>
        <v>Vacant</v>
      </c>
      <c r="C65" s="634" t="str">
        <f>INDEX('REVIEW - Complete Role Mapping'!$C:$C,422)</f>
        <v>Technology Manager, Data</v>
      </c>
      <c r="D65" s="612" t="str">
        <f>INDEX('REVIEW - Complete Role Mapping'!$AK:$AK,422)</f>
        <v>Vacant</v>
      </c>
      <c r="E65" s="612" t="inlineStr">
        <is>
          <t>Hold</t>
        </is>
      </c>
      <c r="F65" s="634" t="str">
        <f>IF(INDEX('REVIEW - Complete Role Mapping'!$AR:$AR,422)="Squad",INDEX('REVIEW - Complete Role Mapping'!$AP:$AP,422),INDEX('REVIEW - Complete Role Mapping'!$AR:$AR,422))</f>
        <v>Technology Manager</v>
      </c>
      <c r="G65" s="1267">
        <f>INDEX('REVIEW - Complete Role Mapping'!$AA:$AA,422)</f>
        <v>275810.25</v>
      </c>
      <c r="H65" s="1267">
        <f>$G65*IFERROR(INDEX(Lists!$AD:$AD,MATCH($E65,Lists!$AC:$AC,0)),1)</f>
        <v>0</v>
      </c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5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COUNTIFS($F$24:$F$62,$B6)</f>
        <v>9</v>
      </c>
      <c r="F6" s="1250">
        <f>IFERROR($E6-$D6,"-")</f>
        <v>0</v>
      </c>
      <c r="G6" s="1250">
        <f>COUNTIFS($F$24:$F$62,$B6,$D$24:$D$62,"Vacant")</f>
        <v>0</v>
      </c>
      <c r="H6" s="1250">
        <f>COUNTIFS($F$24:$F$62,$B6,$D$24:$D$62,"Vacant",$E$24:$E$62,"Hire")+COUNTIFS($F$24:$F$62,$B6,$D$24:$D$62,"Vacant",$E$24:$E$62,"Offshore")</f>
        <v>0</v>
      </c>
      <c r="I6" s="1250">
        <f>COUNTIFS($F$24:$F$62,$B6,$D$24:$D$62,"Vacant",$E$24:$E$62,"Hold")</f>
        <v>0</v>
      </c>
      <c r="J6" s="1251">
        <f>$E6-COUNTIFS($F$24:$F$62,$B6,$E$24:$E$62,"Hold")</f>
        <v>9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IFERROR(INDEX('0.3 Squad Archetypes'!$G$5:$G$23,MATCH($C6&amp;"|"&amp;$R6,'0.3 Squad Archetypes'!$A$5:$A$23,0)),"-")</f>
        <v>2.1</v>
      </c>
      <c r="M6" s="1252">
        <f>SUMIFS($G$24:$G$62,$F$24:$F$62,$B6)/1000000</f>
        <v>1.374665758</v>
      </c>
      <c r="N6" s="1252">
        <f>IFERROR($M6-$L6,"-")</f>
        <v>-0.725334242</v>
      </c>
      <c r="O6" s="1253">
        <f>SUMIFS($H$24:$H$62,$F$24:$F$62,$B6)/1000000</f>
        <v>1.374665758</v>
      </c>
      <c r="P6" s="1254">
        <f>$O6-$M6</f>
        <v>0</v>
      </c>
      <c r="Q6" s="1254">
        <f>SUMIFS($G$24:$G$62,$F$24:$F$62,$B6,$D$24:$D$62,"Vacant")/1000000</f>
        <v>0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Retail'!$B$24:$B$41,0)),"No archetype for this squad")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COUNTIFS($F$24:$F$62,$B7)</f>
        <v>9</v>
      </c>
      <c r="F7" s="1250">
        <f>IFERROR($E7-$D7,"-")</f>
        <v>0</v>
      </c>
      <c r="G7" s="1250">
        <f>COUNTIFS($F$24:$F$62,$B7,$D$24:$D$62,"Vacant")</f>
        <v>2</v>
      </c>
      <c r="H7" s="1250">
        <f>COUNTIFS($F$24:$F$62,$B7,$D$24:$D$62,"Vacant",$E$24:$E$62,"Hire")+COUNTIFS($F$24:$F$62,$B7,$D$24:$D$62,"Vacant",$E$24:$E$62,"Offshore")</f>
        <v>0</v>
      </c>
      <c r="I7" s="1250">
        <f>COUNTIFS($F$24:$F$62,$B7,$D$24:$D$62,"Vacant",$E$24:$E$62,"Hold")</f>
        <v>2</v>
      </c>
      <c r="J7" s="1251">
        <f>$E7-COUNTIFS($F$24:$F$62,$B7,$E$24:$E$62,"Hold")</f>
        <v>7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</v>
      </c>
      <c r="M7" s="1252">
        <f>SUMIFS($G$24:$G$62,$F$24:$F$62,$B7)/1000000</f>
        <v>1.857667168</v>
      </c>
      <c r="N7" s="1252">
        <f>IFERROR($M7-$L7,"-")</f>
        <v>-0.142332832</v>
      </c>
      <c r="O7" s="1253">
        <f>SUMIFS($H$24:$H$62,$F$24:$F$62,$B7)/1000000</f>
        <v>1.455488168</v>
      </c>
      <c r="P7" s="1254">
        <f>$O7-$M7</f>
        <v>-0.402179</v>
      </c>
      <c r="Q7" s="1254">
        <f>SUMIFS($G$24:$G$62,$F$24:$F$62,$B7,$D$24:$D$62,"Vacant")/1000000</f>
        <v>0.402179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Retail'!$B$24:$B$41,0)),"No archetype for this squad")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COUNTIFS($F$24:$F$62,$B8)</f>
        <v>9</v>
      </c>
      <c r="F8" s="1250">
        <f>IFERROR($E8-$D8,"-")</f>
        <v>0</v>
      </c>
      <c r="G8" s="1250">
        <f>COUNTIFS($F$24:$F$62,$B8,$D$24:$D$62,"Vacant")</f>
        <v>1</v>
      </c>
      <c r="H8" s="1250">
        <f>COUNTIFS($F$24:$F$62,$B8,$D$24:$D$62,"Vacant",$E$24:$E$62,"Hire")+COUNTIFS($F$24:$F$62,$B8,$D$24:$D$62,"Vacant",$E$24:$E$62,"Offshore")</f>
        <v>0</v>
      </c>
      <c r="I8" s="1250">
        <f>COUNTIFS($F$24:$F$62,$B8,$D$24:$D$62,"Vacant",$E$24:$E$62,"Hold")</f>
        <v>1</v>
      </c>
      <c r="J8" s="1251">
        <f>$E8-COUNTIFS($F$24:$F$62,$B8,$E$24:$E$62,"Hold")</f>
        <v>8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</v>
      </c>
      <c r="M8" s="1252">
        <f>SUMIFS($G$24:$G$62,$F$24:$F$62,$B8)/1000000</f>
        <v>1.663774396</v>
      </c>
      <c r="N8" s="1252">
        <f>IFERROR($M8-$L8,"-")</f>
        <v>-0.336225604</v>
      </c>
      <c r="O8" s="1253">
        <f>SUMIFS($H$24:$H$62,$F$24:$F$62,$B8)/1000000</f>
        <v>1.387964146</v>
      </c>
      <c r="P8" s="1254">
        <f>$O8-$M8</f>
        <v>-0.27581025</v>
      </c>
      <c r="Q8" s="1254">
        <f>SUMIFS($G$24:$G$62,$F$24:$F$62,$B8,$D$24:$D$62,"Vacant")/1000000</f>
        <v>0.27581025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Retail'!$B$24:$B$41,0)),"No archetype for this squad")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COUNTIFS($F$24:$F$62,$B9)</f>
        <v>7</v>
      </c>
      <c r="F9" s="1250">
        <f>IFERROR($E9-$D9,"-")</f>
        <v>-0.5</v>
      </c>
      <c r="G9" s="1250">
        <f>COUNTIFS($F$24:$F$62,$B9,$D$24:$D$62,"Vacant")</f>
        <v>2</v>
      </c>
      <c r="H9" s="1250">
        <f>COUNTIFS($F$24:$F$62,$B9,$D$24:$D$62,"Vacant",$E$24:$E$62,"Hire")+COUNTIFS($F$24:$F$62,$B9,$D$24:$D$62,"Vacant",$E$24:$E$62,"Offshore")</f>
        <v>0</v>
      </c>
      <c r="I9" s="1250">
        <f>COUNTIFS($F$24:$F$62,$B9,$D$24:$D$62,"Vacant",$E$24:$E$62,"Hold")</f>
        <v>2</v>
      </c>
      <c r="J9" s="1251">
        <f>$E9-COUNTIFS($F$24:$F$62,$B9,$E$24:$E$62,"Hold")</f>
        <v>5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1.7</v>
      </c>
      <c r="M9" s="1252">
        <f>SUMIFS($G$24:$G$62,$F$24:$F$62,$B9)/1000000</f>
        <v>1.223843362</v>
      </c>
      <c r="N9" s="1252">
        <f>IFERROR($M9-$L9,"-")</f>
        <v>-0.476156638</v>
      </c>
      <c r="O9" s="1253">
        <f>SUMIFS($H$24:$H$62,$F$24:$F$62,$B9)/1000000</f>
        <v>0.745179862</v>
      </c>
      <c r="P9" s="1254">
        <f>$O9-$M9</f>
        <v>-0.4786635</v>
      </c>
      <c r="Q9" s="1254">
        <f>SUMIFS($G$24:$G$62,$F$24:$F$62,$B9,$D$24:$D$62,"Vacant")/1000000</f>
        <v>0.4786635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</row>
    <row r="10">
      <c r="A10" s="949" t="n"/>
      <c r="B10" s="1212" t="inlineStr">
        <is>
          <t>Delivery squads</t>
        </is>
      </c>
      <c r="C10" s="635" t="n"/>
      <c r="D10" s="1249">
        <f>SUM(D6:D9)</f>
        <v>34.5</v>
      </c>
      <c r="E10" s="1250">
        <f>SUM(E6:E9)</f>
        <v>34</v>
      </c>
      <c r="F10" s="1250">
        <f>SUM(F6:F9)</f>
        <v>-0.5</v>
      </c>
      <c r="G10" s="1250">
        <f>SUM(G6:G9)</f>
        <v>5</v>
      </c>
      <c r="H10" s="1250">
        <f>SUM(H6:H9)</f>
        <v>0</v>
      </c>
      <c r="I10" s="1250">
        <f>SUM(I6:I9)</f>
        <v>5</v>
      </c>
      <c r="J10" s="1251">
        <f>SUM(J6:J9)</f>
        <v>29</v>
      </c>
      <c r="K10" s="1152" t="n"/>
      <c r="L10" s="1252">
        <f>SUM(L6:L9)</f>
        <v>7.8</v>
      </c>
      <c r="M10" s="1252">
        <f>SUM(M6:M9)</f>
        <v>6.119950684</v>
      </c>
      <c r="N10" s="1252">
        <f>SUM(N6:N9)</f>
        <v>-1.680049316</v>
      </c>
      <c r="O10" s="1253">
        <f>SUM(O6:O9)</f>
        <v>4.963297934</v>
      </c>
      <c r="P10" s="1254">
        <f>SUM(P6:P9)</f>
        <v>-1.15665275</v>
      </c>
      <c r="Q10" s="1254">
        <f>SUM(Q6:Q9)</f>
        <v>1.15665275</v>
      </c>
    </row>
    <row r="11">
      <c r="A11" s="949" t="n"/>
      <c r="B11" s="1293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641" t="inlineStr">
        <is>
          <t>Head of Technology</t>
        </is>
      </c>
      <c r="C12" s="641" t="str">
        <f>"Overhead - see 3.2"</f>
        <v>Overhead - see 3.2</v>
      </c>
      <c r="D12" s="1255" t="str">
        <f>"-"</f>
        <v>-</v>
      </c>
      <c r="E12" s="1255">
        <f>COUNTIFS($F$24:$F$62,$B12)</f>
        <v>1</v>
      </c>
      <c r="F12" s="1255" t="str">
        <f>"-"</f>
        <v>-</v>
      </c>
      <c r="G12" s="1255">
        <f>COUNTIFS($F$24:$F$62,$B12,$D$24:$D$62,"Vacant")</f>
        <v>1</v>
      </c>
      <c r="H12" s="1255">
        <f>COUNTIFS($F$24:$F$62,$B12,$D$24:$D$62,"Vacant",$E$24:$E$62,"Hire")+COUNTIFS($F$24:$F$62,$B12,$D$24:$D$62,"Vacant",$E$24:$E$62,"Offshore")</f>
        <v>0</v>
      </c>
      <c r="I12" s="1255">
        <f>COUNTIFS($F$24:$F$62,$B12,$D$24:$D$62,"Vacant",$E$24:$E$62,"Hold")</f>
        <v>1</v>
      </c>
      <c r="J12" s="1256">
        <f>$E12-COUNTIFS($F$24:$F$62,$B12,$E$24:$E$62,"Hold")</f>
        <v>0</v>
      </c>
      <c r="K12" s="1155" t="str">
        <f>"Overhead"</f>
        <v>Overhead</v>
      </c>
      <c r="L12" s="1257" t="str">
        <f>"-"</f>
        <v>-</v>
      </c>
      <c r="M12" s="1257">
        <f>SUMIFS($G$24:$G$62,$F$24:$F$62,$B12)/1000000</f>
        <v>0.291422</v>
      </c>
      <c r="N12" s="1257" t="str">
        <f>"-"</f>
        <v>-</v>
      </c>
      <c r="O12" s="1258">
        <f>SUMIFS($H$24:$H$62,$F$24:$F$62,$B12)/1000000</f>
        <v>0</v>
      </c>
      <c r="P12" s="1254">
        <f>$O12-$M12</f>
        <v>-0.291422</v>
      </c>
      <c r="Q12" s="1254">
        <f>SUMIFS($G$24:$G$62,$F$24:$F$62,$B12,$D$24:$D$62,"Vacant")/1000000</f>
        <v>0.291422</v>
      </c>
      <c r="R12" t="str">
        <f>"-"</f>
        <v>-</v>
      </c>
    </row>
    <row r="13">
      <c r="A13" s="949" t="n"/>
      <c r="B13" s="994" t="inlineStr">
        <is>
          <t>Delivery Manager</t>
        </is>
      </c>
      <c r="C13" s="949" t="str">
        <f>"Overhead - see 3.2"</f>
        <v>Overhead - see 3.2</v>
      </c>
      <c r="D13" s="1261" t="str">
        <f>"-"</f>
        <v>-</v>
      </c>
      <c r="E13" s="1262">
        <f>COUNTIFS($F$24:$F$62,$B13)</f>
        <v>1</v>
      </c>
      <c r="F13" s="1261" t="str">
        <f>"-"</f>
        <v>-</v>
      </c>
      <c r="G13" s="1261">
        <f>COUNTIFS($F$24:$F$62,$B13,$D$24:$D$62,"Vacant")</f>
        <v>1</v>
      </c>
      <c r="H13" s="1261">
        <f>COUNTIFS($F$24:$F$62,$B13,$D$24:$D$62,"Vacant",$E$24:$E$62,"Hire")+COUNTIFS($F$24:$F$62,$B13,$D$24:$D$62,"Vacant",$E$24:$E$62,"Offshore")</f>
        <v>0</v>
      </c>
      <c r="I13" s="1261">
        <f>COUNTIFS($F$24:$F$62,$B13,$D$24:$D$62,"Vacant",$E$24:$E$62,"Hold")</f>
        <v>1</v>
      </c>
      <c r="J13" s="1261">
        <f>$E13-COUNTIFS($F$24:$F$62,$B13,$E$24:$E$62,"Hold")</f>
        <v>0</v>
      </c>
      <c r="K13" s="949" t="str">
        <f>"Overhead"</f>
        <v>Overhead</v>
      </c>
      <c r="L13" s="1263" t="str">
        <f>"-"</f>
        <v>-</v>
      </c>
      <c r="M13" s="1263">
        <f>SUMIFS($G$24:$G$62,$F$24:$F$62,$B13)/1000000</f>
        <v>0.20285325</v>
      </c>
      <c r="N13" s="1263" t="str">
        <f>"-"</f>
        <v>-</v>
      </c>
      <c r="O13" s="1263">
        <f>SUMIFS($H$24:$H$62,$F$24:$F$62,$B13)/1000000</f>
        <v>0</v>
      </c>
      <c r="P13" s="1254">
        <f>$O13-$M13</f>
        <v>-0.20285325</v>
      </c>
      <c r="Q13" s="1254">
        <f>SUMIFS($G$24:$G$62,$F$24:$F$62,$B13,$D$24:$D$62,"Vacant")/1000000</f>
        <v>0.20285325</v>
      </c>
      <c r="R13" t="str">
        <f>"-"</f>
        <v>-</v>
      </c>
    </row>
    <row r="14">
      <c r="A14" s="949" t="n"/>
      <c r="B14" s="994" t="inlineStr">
        <is>
          <t>Technology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COUNTIFS($F$24:$F$62,$B14)</f>
        <v>3</v>
      </c>
      <c r="F14" s="1261" t="str">
        <f>"-"</f>
        <v>-</v>
      </c>
      <c r="G14" s="1261">
        <f>COUNTIFS($F$24:$F$62,$B14,$D$24:$D$62,"Vacant")</f>
        <v>0</v>
      </c>
      <c r="H14" s="1261">
        <f>COUNTIFS($F$24:$F$62,$B14,$D$24:$D$62,"Vacant",$E$24:$E$62,"Hire")+COUNTIFS($F$24:$F$62,$B14,$D$24:$D$62,"Vacant",$E$24:$E$62,"Offshore")</f>
        <v>0</v>
      </c>
      <c r="I14" s="1261">
        <f>COUNTIFS($F$24:$F$62,$B14,$D$24:$D$62,"Vacant",$E$24:$E$62,"Hold")</f>
        <v>0</v>
      </c>
      <c r="J14" s="1261">
        <f>$E14-COUNTIFS($F$24:$F$62,$B14,$E$24:$E$62,"Hold")</f>
        <v>3</v>
      </c>
      <c r="K14" s="949" t="str">
        <f>"Overhead"</f>
        <v>Overhead</v>
      </c>
      <c r="L14" s="1263" t="str">
        <f>"-"</f>
        <v>-</v>
      </c>
      <c r="M14" s="1263">
        <f>SUMIFS($G$24:$G$62,$F$24:$F$62,$B14)/1000000</f>
        <v>0.723068418</v>
      </c>
      <c r="N14" s="1263" t="str">
        <f>"-"</f>
        <v>-</v>
      </c>
      <c r="O14" s="1263">
        <f>SUMIFS($H$24:$H$62,$F$24:$F$62,$B14)/1000000</f>
        <v>0.723068418</v>
      </c>
      <c r="P14" s="1254">
        <f>$O14-$M14</f>
        <v>0</v>
      </c>
      <c r="Q14" s="1254">
        <f>SUMIFS($G$24:$G$62,$F$24:$F$62,$B14,$D$24:$D$62,"Vacant")/1000000</f>
        <v>0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432" t="n"/>
      <c r="D15" s="1279" t="n"/>
      <c r="E15" s="1279">
        <f>SUM(E12:E14)</f>
        <v>5</v>
      </c>
      <c r="F15" s="1279" t="n"/>
      <c r="G15" s="1280">
        <f>SUM(G12:G14)</f>
        <v>2</v>
      </c>
      <c r="H15" s="1280">
        <f>SUM(H12:H14)</f>
        <v>0</v>
      </c>
      <c r="I15" s="1280">
        <f>SUM(I12:I14)</f>
        <v>2</v>
      </c>
      <c r="J15" s="1280">
        <f>SUM(J12:J14)</f>
        <v>3</v>
      </c>
      <c r="K15" s="949" t="n"/>
      <c r="L15" s="1263" t="n"/>
      <c r="M15" s="1263">
        <f>SUM(M12:M14)</f>
        <v>1.217343668</v>
      </c>
      <c r="N15" s="1263" t="n"/>
      <c r="O15" s="1263">
        <f>SUM(O12:O14)</f>
        <v>0.723068418</v>
      </c>
      <c r="P15" s="1254">
        <f>SUM(P12:P14)</f>
        <v>-0.49427525</v>
      </c>
      <c r="Q15" s="1254">
        <f>SUM(Q12:Q14)</f>
        <v>0.49427525</v>
      </c>
    </row>
    <row r="16">
      <c r="A16" s="949" t="n"/>
      <c r="B16" s="431" t="n"/>
      <c r="C16" s="430" t="n"/>
      <c r="D16" s="1280" t="n"/>
      <c r="E16" s="1280" t="n"/>
      <c r="F16" s="1280" t="n"/>
      <c r="G16" s="1261" t="n"/>
      <c r="H16" s="1261" t="n"/>
      <c r="I16" s="1261" t="n"/>
      <c r="J16" s="1261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226" t="inlineStr">
        <is>
          <t>Total portfolio</t>
        </is>
      </c>
      <c r="C17" s="442" t="n"/>
      <c r="D17" s="1281">
        <f>$D10</f>
        <v>34.5</v>
      </c>
      <c r="E17" s="1262">
        <f>$E10+$E15</f>
        <v>39</v>
      </c>
      <c r="F17" s="1281">
        <f>IFERROR($E10-$D10,"-")</f>
        <v>-0.5</v>
      </c>
      <c r="G17" s="1281">
        <f>$G10+$G15</f>
        <v>7</v>
      </c>
      <c r="H17" s="1281">
        <f>$H10+$H15</f>
        <v>0</v>
      </c>
      <c r="I17" s="1281">
        <f>$I10+$I15</f>
        <v>7</v>
      </c>
      <c r="J17" s="1281">
        <f>$J10+$J15</f>
        <v>32</v>
      </c>
      <c r="K17" s="442" t="n"/>
      <c r="L17" s="1282">
        <f>$L10</f>
        <v>7.8</v>
      </c>
      <c r="M17" s="1282">
        <f>$M10+$M15</f>
        <v>7.337294352</v>
      </c>
      <c r="N17" s="1282">
        <f>IFERROR($M10-$L10,"-")</f>
        <v>-1.680049316</v>
      </c>
      <c r="O17" s="1263">
        <f>$O10+$O15</f>
        <v>5.686366352</v>
      </c>
      <c r="P17" s="1254">
        <f>$P10+$P15</f>
        <v>-1.650928</v>
      </c>
      <c r="Q17" s="1254">
        <f>$Q10+$Q15</f>
        <v>1.650928</v>
      </c>
    </row>
    <row r="18">
      <c r="A18" s="949" t="n"/>
      <c r="B18" s="1283" t="inlineStr">
        <is>
          <t>Archetype columns D, F, L and N cover the delivery squads only - overhead is not priced by a squad archetype.</t>
        </is>
      </c>
      <c r="C18" s="1259" t="n"/>
      <c r="D18" s="1259" t="n"/>
      <c r="E18" s="1268" t="n"/>
      <c r="F18" s="1259" t="n"/>
      <c r="G18" s="1259" t="n"/>
      <c r="H18" s="1259" t="n"/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994" t="inlineStr">
        <is>
          <t>Control - roles vs the ledger, must be 0</t>
        </is>
      </c>
      <c r="C19" s="434" t="n"/>
      <c r="D19" s="434" t="n"/>
      <c r="E19" s="645">
        <f>COUNTIFS('REVIEW - Complete Role Mapping'!$AJ$2:$AJ$528,"Z Retail")-$E17</f>
        <v>0</v>
      </c>
      <c r="F19" s="4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32" t="inlineStr">
        <is>
          <t>Control - cost vs the ledger ($m), must be 0</t>
        </is>
      </c>
      <c r="C20" s="533" t="n"/>
      <c r="D20" s="533" t="n"/>
      <c r="E20" s="533" t="n"/>
      <c r="F20" s="533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Mapping'!$AJ$2:$AJ$528,"Z Retail")/1000000-$M17,6)</f>
        <v>0</v>
      </c>
      <c r="N20" s="949" t="n"/>
      <c r="O20" s="949" t="n"/>
    </row>
    <row r="21">
      <c r="A21" s="949" t="n"/>
      <c r="B21" s="646" t="n"/>
      <c r="C21" s="646" t="n"/>
      <c r="D21" s="646" t="n"/>
      <c r="E21" s="646" t="n"/>
      <c r="F21" s="646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34" t="inlineStr">
        <is>
          <t>Z Retail roles - one row per named role, from REVIEW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Mapping'!$B:$B,5)</f>
        <v>Alex Sutherland</v>
      </c>
      <c r="C24" s="634" t="str">
        <f>INDEX('REVIEW - Complete Role Mapping'!$C:$C,5)</f>
        <v>Site Systems Analyst</v>
      </c>
      <c r="D24" s="612" t="str">
        <f>INDEX('REVIEW - Complete Role Mapping'!$AK:$AK,5)</f>
        <v>Filled</v>
      </c>
      <c r="E24" s="612" t="inlineStr">
        <is>
          <t>Filled</t>
        </is>
      </c>
      <c r="F24" s="634" t="str">
        <f>IF(INDEX('REVIEW - Complete Role Mapping'!$AR:$AR,5)="Squad",INDEX('REVIEW - Complete Role Mapping'!$AP:$AP,5),INDEX('REVIEW - Complete Role Mapping'!$AR:$AR,5))</f>
        <v>Site Systems</v>
      </c>
      <c r="G24" s="627">
        <f>INDEX('REVIEW - Complete Role Mapping'!$AA:$AA,5)</f>
        <v>96857.824</v>
      </c>
      <c r="H24" s="627">
        <f>$G24*IFERROR(INDEX(Lists!$AD:$AD,MATCH($E24,Lists!$AC:$AC,0)),1)</f>
        <v>96857.824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Mapping'!$B:$B,16)</f>
        <v>Bradley Cunningham</v>
      </c>
      <c r="C25" s="634" t="str">
        <f>INDEX('REVIEW - Complete Role Mapping'!$C:$C,16)</f>
        <v>Site Systems Analyst</v>
      </c>
      <c r="D25" s="612" t="str">
        <f>INDEX('REVIEW - Complete Role Mapping'!$AK:$AK,16)</f>
        <v>Filled</v>
      </c>
      <c r="E25" s="612" t="inlineStr">
        <is>
          <t>Filled</t>
        </is>
      </c>
      <c r="F25" s="634" t="str">
        <f>IF(INDEX('REVIEW - Complete Role Mapping'!$AR:$AR,16)="Squad",INDEX('REVIEW - Complete Role Mapping'!$AP:$AP,16),INDEX('REVIEW - Complete Role Mapping'!$AR:$AR,16))</f>
        <v>Site Systems</v>
      </c>
      <c r="G25" s="627">
        <f>INDEX('REVIEW - Complete Role Mapping'!$AA:$AA,16)</f>
        <v>107247.016</v>
      </c>
      <c r="H25" s="627">
        <f>$G25*IFERROR(INDEX(Lists!$AD:$AD,MATCH($E25,Lists!$AC:$AC,0)),1)</f>
        <v>107247.016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Mapping'!$B:$B,19)</f>
        <v>Chris Mitchell</v>
      </c>
      <c r="C26" s="634" t="str">
        <f>INDEX('REVIEW - Complete Role Mapping'!$C:$C,19)</f>
        <v>Deployment Lead</v>
      </c>
      <c r="D26" s="612" t="str">
        <f>INDEX('REVIEW - Complete Role Mapping'!$AK:$AK,19)</f>
        <v>Filled</v>
      </c>
      <c r="E26" s="612" t="inlineStr">
        <is>
          <t>Filled</t>
        </is>
      </c>
      <c r="F26" s="634" t="str">
        <f>IF(INDEX('REVIEW - Complete Role Mapping'!$AR:$AR,19)="Squad",INDEX('REVIEW - Complete Role Mapping'!$AP:$AP,19),INDEX('REVIEW - Complete Role Mapping'!$AR:$AR,19))</f>
        <v>Site Systems</v>
      </c>
      <c r="G26" s="627">
        <f>INDEX('REVIEW - Complete Role Mapping'!$AA:$AA,19)</f>
        <v>136438.8</v>
      </c>
      <c r="H26" s="627">
        <f>$G26*IFERROR(INDEX(Lists!$AD:$AD,MATCH($E26,Lists!$AC:$AC,0)),1)</f>
        <v>136438.8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Mapping'!$B:$B,20)</f>
        <v>Chris Wilson</v>
      </c>
      <c r="C27" s="634" t="str">
        <f>INDEX('REVIEW - Complete Role Mapping'!$C:$C,20)</f>
        <v>Solution Architect</v>
      </c>
      <c r="D27" s="612" t="str">
        <f>INDEX('REVIEW - Complete Role Mapping'!$AK:$AK,20)</f>
        <v>Filled</v>
      </c>
      <c r="E27" s="612" t="inlineStr">
        <is>
          <t>Filled</t>
        </is>
      </c>
      <c r="F27" s="634" t="str">
        <f>IF(INDEX('REVIEW - Complete Role Mapping'!$AR:$AR,20)="Squad",INDEX('REVIEW - Complete Role Mapping'!$AP:$AP,20),INDEX('REVIEW - Complete Role Mapping'!$AR:$AR,20))</f>
        <v>Site Systems</v>
      </c>
      <c r="G27" s="627">
        <f>INDEX('REVIEW - Complete Role Mapping'!$AA:$AA,20)</f>
        <v>186217.884</v>
      </c>
      <c r="H27" s="627">
        <f>$G27*IFERROR(INDEX(Lists!$AD:$AD,MATCH($E27,Lists!$AC:$AC,0)),1)</f>
        <v>186217.884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Mapping'!$B:$B,40)</f>
        <v>Kelly Russell</v>
      </c>
      <c r="C28" s="634" t="str">
        <f>INDEX('REVIEW - Complete Role Mapping'!$C:$C,40)</f>
        <v>Lead Quality Assurance</v>
      </c>
      <c r="D28" s="612" t="str">
        <f>INDEX('REVIEW - Complete Role Mapping'!$AK:$AK,40)</f>
        <v>Filled</v>
      </c>
      <c r="E28" s="647" t="inlineStr">
        <is>
          <t>Filled</t>
        </is>
      </c>
      <c r="F28" s="648" t="str">
        <f>IF(INDEX('REVIEW - Complete Role Mapping'!$AR:$AR,40)="Squad",INDEX('REVIEW - Complete Role Mapping'!$AP:$AP,40),INDEX('REVIEW - Complete Role Mapping'!$AR:$AR,40))</f>
        <v>Site Systems</v>
      </c>
      <c r="G28" s="627">
        <f>INDEX('REVIEW - Complete Role Mapping'!$AA:$AA,40)</f>
        <v>81073.2</v>
      </c>
      <c r="H28" s="627">
        <f>$G28*IFERROR(INDEX(Lists!$AD:$AD,MATCH($E28,Lists!$AC:$AC,0)),1)</f>
        <v>81073.2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Mapping'!$B:$B,56)</f>
        <v>Sakshi Sachdeva</v>
      </c>
      <c r="C29" s="634" t="str">
        <f>INDEX('REVIEW - Complete Role Mapping'!$C:$C,56)</f>
        <v>Senior Quality Assurance </v>
      </c>
      <c r="D29" s="612" t="str">
        <f>INDEX('REVIEW - Complete Role Mapping'!$AK:$AK,56)</f>
        <v>Filled</v>
      </c>
      <c r="E29" s="647" t="inlineStr">
        <is>
          <t>Filled</t>
        </is>
      </c>
      <c r="F29" s="648" t="str">
        <f>IF(INDEX('REVIEW - Complete Role Mapping'!$AR:$AR,56)="Squad",INDEX('REVIEW - Complete Role Mapping'!$AP:$AP,56),INDEX('REVIEW - Complete Role Mapping'!$AR:$AR,56))</f>
        <v>Site Systems</v>
      </c>
      <c r="G29" s="627">
        <f>INDEX('REVIEW - Complete Role Mapping'!$AA:$AA,56)</f>
        <v>175039.65</v>
      </c>
      <c r="H29" s="627">
        <f>$G29*IFERROR(INDEX(Lists!$AD:$AD,MATCH($E29,Lists!$AC:$AC,0)),1)</f>
        <v>175039.65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Mapping'!$B:$B,63)</f>
        <v>Tim Gurnsey</v>
      </c>
      <c r="C30" s="646" t="str">
        <f>INDEX('REVIEW - Complete Role Mapping'!$C:$C,63)</f>
        <v>Delivery Lead</v>
      </c>
      <c r="D30" s="646" t="str">
        <f>INDEX('REVIEW - Complete Role Mapping'!$AK:$AK,63)</f>
        <v>Filled</v>
      </c>
      <c r="E30" s="646" t="inlineStr">
        <is>
          <t>Filled</t>
        </is>
      </c>
      <c r="F30" s="646" t="str">
        <f>IF(INDEX('REVIEW - Complete Role Mapping'!$AR:$AR,63)="Squad",INDEX('REVIEW - Complete Role Mapping'!$AP:$AP,63),INDEX('REVIEW - Complete Role Mapping'!$AR:$AR,63))</f>
        <v>Site Systems</v>
      </c>
      <c r="G30" s="627">
        <f>INDEX('REVIEW - Complete Role Mapping'!$AA:$AA,63)</f>
        <v>256913.42</v>
      </c>
      <c r="H30" s="627">
        <f>$G30*IFERROR(INDEX(Lists!$AD:$AD,MATCH($E30,Lists!$AC:$AC,0)),1)</f>
        <v>256913.42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Mapping'!$B:$B,98)</f>
        <v>Vanessa King</v>
      </c>
      <c r="C31" s="634" t="str">
        <f>INDEX('REVIEW - Complete Role Mapping'!$C:$C,98)</f>
        <v>Lead Quality Assurance</v>
      </c>
      <c r="D31" s="612" t="str">
        <f>INDEX('REVIEW - Complete Role Mapping'!$AK:$AK,98)</f>
        <v>Filled</v>
      </c>
      <c r="E31" s="612" t="inlineStr">
        <is>
          <t>Filled</t>
        </is>
      </c>
      <c r="F31" s="634" t="str">
        <f>IF(INDEX('REVIEW - Complete Role Mapping'!$AR:$AR,98)="Squad",INDEX('REVIEW - Complete Role Mapping'!$AP:$AP,98),INDEX('REVIEW - Complete Role Mapping'!$AR:$AR,98))</f>
        <v>Site Systems</v>
      </c>
      <c r="G31" s="627">
        <f>INDEX('REVIEW - Complete Role Mapping'!$AA:$AA,98)</f>
        <v>199898.928</v>
      </c>
      <c r="H31" s="627">
        <f>$G31*IFERROR(INDEX(Lists!$AD:$AD,MATCH($E31,Lists!$AC:$AC,0)),1)</f>
        <v>199898.928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Mapping'!$B:$B,105)</f>
        <v>Warren Grieve</v>
      </c>
      <c r="C32" s="634" t="str">
        <f>INDEX('REVIEW - Complete Role Mapping'!$C:$C,105)</f>
        <v>Senior Site Systems Analyst</v>
      </c>
      <c r="D32" s="612" t="str">
        <f>INDEX('REVIEW - Complete Role Mapping'!$AK:$AK,105)</f>
        <v>Filled</v>
      </c>
      <c r="E32" s="612" t="inlineStr">
        <is>
          <t>Filled</t>
        </is>
      </c>
      <c r="F32" s="634" t="str">
        <f>IF(INDEX('REVIEW - Complete Role Mapping'!$AR:$AR,105)="Squad",INDEX('REVIEW - Complete Role Mapping'!$AP:$AP,105),INDEX('REVIEW - Complete Role Mapping'!$AR:$AR,105))</f>
        <v>Site Systems</v>
      </c>
      <c r="G32" s="627">
        <f>INDEX('REVIEW - Complete Role Mapping'!$AA:$AA,105)</f>
        <v>134979.036</v>
      </c>
      <c r="H32" s="627">
        <f>$G32*IFERROR(INDEX(Lists!$AD:$AD,MATCH($E32,Lists!$AC:$AC,0)),1)</f>
        <v>134979.036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Mapping'!$B:$B,2)</f>
        <v>Adrian Alcance</v>
      </c>
      <c r="C33" s="634" t="str">
        <f>INDEX('REVIEW - Complete Role Mapping'!$C:$C,2)</f>
        <v>Senior Engineer - DevOps</v>
      </c>
      <c r="D33" s="612" t="str">
        <f>INDEX('REVIEW - Complete Role Mapping'!$AK:$AK,2)</f>
        <v>Filled</v>
      </c>
      <c r="E33" s="612" t="inlineStr">
        <is>
          <t>Filled</t>
        </is>
      </c>
      <c r="F33" s="634" t="str">
        <f>IF(INDEX('REVIEW - Complete Role Mapping'!$AR:$AR,2)="Squad",INDEX('REVIEW - Complete Role Mapping'!$AP:$AP,2),INDEX('REVIEW - Complete Role Mapping'!$AR:$AR,2))</f>
        <v>Z Retail Backend</v>
      </c>
      <c r="G33" s="627">
        <f>INDEX('REVIEW - Complete Role Mapping'!$AA:$AA,2)</f>
        <v>142900.236</v>
      </c>
      <c r="H33" s="627">
        <f>$G33*IFERROR(INDEX(Lists!$AD:$AD,MATCH($E33,Lists!$AC:$AC,0)),1)</f>
        <v>142900.236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Mapping'!$B:$B,6)</f>
        <v>Allana Arbuckle</v>
      </c>
      <c r="C34" s="634" t="str">
        <f>INDEX('REVIEW - Complete Role Mapping'!$C:$C,6)</f>
        <v>Business Analyst</v>
      </c>
      <c r="D34" s="612" t="str">
        <f>INDEX('REVIEW - Complete Role Mapping'!$AK:$AK,6)</f>
        <v>Filled</v>
      </c>
      <c r="E34" s="612" t="inlineStr">
        <is>
          <t>Filled</t>
        </is>
      </c>
      <c r="F34" s="634" t="str">
        <f>IF(INDEX('REVIEW - Complete Role Mapping'!$AR:$AR,6)="Squad",INDEX('REVIEW - Complete Role Mapping'!$AP:$AP,6),INDEX('REVIEW - Complete Role Mapping'!$AR:$AR,6))</f>
        <v>Z Retail Backend</v>
      </c>
      <c r="G34" s="627">
        <f>INDEX('REVIEW - Complete Role Mapping'!$AA:$AA,6)</f>
        <v>112447.04</v>
      </c>
      <c r="H34" s="627">
        <f>$G34*IFERROR(INDEX(Lists!$AD:$AD,MATCH($E34,Lists!$AC:$AC,0)),1)</f>
        <v>112447.04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Mapping'!$B:$B,21)</f>
        <v>Christian Guo</v>
      </c>
      <c r="C35" s="634" t="str">
        <f>INDEX('REVIEW - Complete Role Mapping'!$C:$C,21)</f>
        <v>Solution Architect</v>
      </c>
      <c r="D35" s="612" t="str">
        <f>INDEX('REVIEW - Complete Role Mapping'!$AK:$AK,21)</f>
        <v>Filled</v>
      </c>
      <c r="E35" s="612" t="inlineStr">
        <is>
          <t>Filled</t>
        </is>
      </c>
      <c r="F35" s="634" t="str">
        <f>IF(INDEX('REVIEW - Complete Role Mapping'!$AR:$AR,21)="Squad",INDEX('REVIEW - Complete Role Mapping'!$AP:$AP,21),INDEX('REVIEW - Complete Role Mapping'!$AR:$AR,21))</f>
        <v>Z Retail Backend</v>
      </c>
      <c r="G35" s="627">
        <f>INDEX('REVIEW - Complete Role Mapping'!$AA:$AA,21)</f>
        <v>206598</v>
      </c>
      <c r="H35" s="627">
        <f>$G35*IFERROR(INDEX(Lists!$AD:$AD,MATCH($E35,Lists!$AC:$AC,0)),1)</f>
        <v>206598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Mapping'!$B:$B,41)</f>
        <v>Lauren Lancaster</v>
      </c>
      <c r="C36" s="634" t="str">
        <f>INDEX('REVIEW - Complete Role Mapping'!$C:$C,41)</f>
        <v>Associate Engineer - Software</v>
      </c>
      <c r="D36" s="612" t="str">
        <f>INDEX('REVIEW - Complete Role Mapping'!$AK:$AK,41)</f>
        <v>Filled</v>
      </c>
      <c r="E36" s="612" t="inlineStr">
        <is>
          <t>Filled</t>
        </is>
      </c>
      <c r="F36" s="634" t="str">
        <f>IF(INDEX('REVIEW - Complete Role Mapping'!$AR:$AR,41)="Squad",INDEX('REVIEW - Complete Role Mapping'!$AP:$AP,41),INDEX('REVIEW - Complete Role Mapping'!$AR:$AR,41))</f>
        <v>Z Retail Backend</v>
      </c>
      <c r="G36" s="627">
        <f>INDEX('REVIEW - Complete Role Mapping'!$AA:$AA,41)</f>
        <v>438650</v>
      </c>
      <c r="H36" s="627">
        <f>$G36*IFERROR(INDEX(Lists!$AD:$AD,MATCH($E36,Lists!$AC:$AC,0)),1)</f>
        <v>438650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Mapping'!$B:$B,44)</f>
        <v>Malachi Ah Hoi</v>
      </c>
      <c r="C37" s="634" t="str">
        <f>INDEX('REVIEW - Complete Role Mapping'!$C:$C,44)</f>
        <v>Senior Quality Assurance</v>
      </c>
      <c r="D37" s="612" t="str">
        <f>INDEX('REVIEW - Complete Role Mapping'!$AK:$AK,44)</f>
        <v>Filled</v>
      </c>
      <c r="E37" s="612" t="inlineStr">
        <is>
          <t>Filled</t>
        </is>
      </c>
      <c r="F37" s="634" t="str">
        <f>IF(INDEX('REVIEW - Complete Role Mapping'!$AR:$AR,44)="Squad",INDEX('REVIEW - Complete Role Mapping'!$AP:$AP,44),INDEX('REVIEW - Complete Role Mapping'!$AR:$AR,44))</f>
        <v>Z Retail Backend</v>
      </c>
      <c r="G37" s="627">
        <f>INDEX('REVIEW - Complete Role Mapping'!$AA:$AA,44)</f>
        <v>199378.392</v>
      </c>
      <c r="H37" s="627">
        <f>$G37*IFERROR(INDEX(Lists!$AD:$AD,MATCH($E37,Lists!$AC:$AC,0)),1)</f>
        <v>199378.392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Mapping'!$B:$B,46)</f>
        <v>Mark Dickson</v>
      </c>
      <c r="C38" s="634" t="str">
        <f>INDEX('REVIEW - Complete Role Mapping'!$C:$C,46)</f>
        <v>Delivery Lead</v>
      </c>
      <c r="D38" s="612" t="str">
        <f>INDEX('REVIEW - Complete Role Mapping'!$AK:$AK,46)</f>
        <v>Filled</v>
      </c>
      <c r="E38" s="612" t="inlineStr">
        <is>
          <t>Filled</t>
        </is>
      </c>
      <c r="F38" s="634" t="str">
        <f>IF(INDEX('REVIEW - Complete Role Mapping'!$AR:$AR,46)="Squad",INDEX('REVIEW - Complete Role Mapping'!$AP:$AP,46),INDEX('REVIEW - Complete Role Mapping'!$AR:$AR,46))</f>
        <v>Z Retail Backend</v>
      </c>
      <c r="G38" s="627">
        <f>INDEX('REVIEW - Complete Role Mapping'!$AA:$AA,46)</f>
        <v>180225</v>
      </c>
      <c r="H38" s="627">
        <f>$G38*IFERROR(INDEX(Lists!$AD:$AD,MATCH($E38,Lists!$AC:$AC,0)),1)</f>
        <v>180225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Mapping'!$B:$B,65)</f>
        <v>Trevor Weaver</v>
      </c>
      <c r="C39" s="646" t="str">
        <f>INDEX('REVIEW - Complete Role Mapping'!$C:$C,65)</f>
        <v>Lead  Engineer - Software</v>
      </c>
      <c r="D39" s="646" t="str">
        <f>INDEX('REVIEW - Complete Role Mapping'!$AK:$AK,65)</f>
        <v>Filled</v>
      </c>
      <c r="E39" s="646" t="inlineStr">
        <is>
          <t>Filled</t>
        </is>
      </c>
      <c r="F39" s="646" t="str">
        <f>IF(INDEX('REVIEW - Complete Role Mapping'!$AR:$AR,65)="Squad",INDEX('REVIEW - Complete Role Mapping'!$AP:$AP,65),INDEX('REVIEW - Complete Role Mapping'!$AR:$AR,65))</f>
        <v>Z Retail Backend</v>
      </c>
      <c r="G39" s="627">
        <f>INDEX('REVIEW - Complete Role Mapping'!$AA:$AA,65)</f>
        <v>175289.5</v>
      </c>
      <c r="H39" s="627">
        <f>$G39*IFERROR(INDEX(Lists!$AD:$AD,MATCH($E39,Lists!$AC:$AC,0)),1)</f>
        <v>175289.5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Mapping'!$B:$B,80)</f>
        <v>Vacant</v>
      </c>
      <c r="C40" s="634" t="str">
        <f>INDEX('REVIEW - Complete Role Mapping'!$C:$C,80)</f>
        <v>Engineer - Software</v>
      </c>
      <c r="D40" s="612" t="str">
        <f>INDEX('REVIEW - Complete Role Mapping'!$AK:$AK,80)</f>
        <v>Vacant</v>
      </c>
      <c r="E40" s="612" t="inlineStr">
        <is>
          <t>Hold</t>
        </is>
      </c>
      <c r="F40" s="634" t="str">
        <f>IF(INDEX('REVIEW - Complete Role Mapping'!$AR:$AR,80)="Squad",INDEX('REVIEW - Complete Role Mapping'!$AP:$AP,80),INDEX('REVIEW - Complete Role Mapping'!$AR:$AR,80))</f>
        <v>Z Retail Backend</v>
      </c>
      <c r="G40" s="627">
        <f>INDEX('REVIEW - Complete Role Mapping'!$AA:$AA,80)</f>
        <v>231689.25</v>
      </c>
      <c r="H40" s="627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Mapping'!$B:$B,84)</f>
        <v>Vacant</v>
      </c>
      <c r="C41" s="634" t="str">
        <f>INDEX('REVIEW - Complete Role Mapping'!$C:$C,84)</f>
        <v>Lead Quality Assurance</v>
      </c>
      <c r="D41" s="612" t="str">
        <f>INDEX('REVIEW - Complete Role Mapping'!$AK:$AK,84)</f>
        <v>Vacant</v>
      </c>
      <c r="E41" s="612" t="inlineStr">
        <is>
          <t>Hold</t>
        </is>
      </c>
      <c r="F41" s="634" t="str">
        <f>IF(INDEX('REVIEW - Complete Role Mapping'!$AR:$AR,84)="Squad",INDEX('REVIEW - Complete Role Mapping'!$AP:$AP,84),INDEX('REVIEW - Complete Role Mapping'!$AR:$AR,84))</f>
        <v>Z Retail Backend</v>
      </c>
      <c r="G41" s="627">
        <f>INDEX('REVIEW - Complete Role Mapping'!$AA:$AA,84)</f>
        <v>170489.75</v>
      </c>
      <c r="H41" s="627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Mapping'!$B:$B,9)</f>
        <v>Anna Koot</v>
      </c>
      <c r="C42" s="634" t="str">
        <f>INDEX('REVIEW - Complete Role Mapping'!$C:$C,9)</f>
        <v>Senior Business Analyst</v>
      </c>
      <c r="D42" s="612" t="str">
        <f>INDEX('REVIEW - Complete Role Mapping'!$AK:$AK,9)</f>
        <v>Filled</v>
      </c>
      <c r="E42" s="612" t="inlineStr">
        <is>
          <t>Filled</t>
        </is>
      </c>
      <c r="F42" s="634" t="str">
        <f>IF(INDEX('REVIEW - Complete Role Mapping'!$AR:$AR,9)="Squad",INDEX('REVIEW - Complete Role Mapping'!$AP:$AP,9),INDEX('REVIEW - Complete Role Mapping'!$AR:$AR,9))</f>
        <v>Z Supply</v>
      </c>
      <c r="G42" s="627">
        <f>INDEX('REVIEW - Complete Role Mapping'!$AA:$AA,9)</f>
        <v>153774.912</v>
      </c>
      <c r="H42" s="627">
        <f>$G42*IFERROR(INDEX(Lists!$AD:$AD,MATCH($E42,Lists!$AC:$AC,0)),1)</f>
        <v>153774.912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Mapping'!$B:$B,15)</f>
        <v>Benjamin Sheffield</v>
      </c>
      <c r="C43" s="634" t="str">
        <f>INDEX('REVIEW - Complete Role Mapping'!$C:$C,15)</f>
        <v>Lead Engineer - Software</v>
      </c>
      <c r="D43" s="612" t="str">
        <f>INDEX('REVIEW - Complete Role Mapping'!$AK:$AK,15)</f>
        <v>Filled</v>
      </c>
      <c r="E43" s="612" t="inlineStr">
        <is>
          <t>Filled</t>
        </is>
      </c>
      <c r="F43" s="634" t="str">
        <f>IF(INDEX('REVIEW - Complete Role Mapping'!$AR:$AR,15)="Squad",INDEX('REVIEW - Complete Role Mapping'!$AP:$AP,15),INDEX('REVIEW - Complete Role Mapping'!$AR:$AR,15))</f>
        <v>Z Supply</v>
      </c>
      <c r="G43" s="627">
        <f>INDEX('REVIEW - Complete Role Mapping'!$AA:$AA,15)</f>
        <v>184248.9</v>
      </c>
      <c r="H43" s="627">
        <f>$G43*IFERROR(INDEX(Lists!$AD:$AD,MATCH($E43,Lists!$AC:$AC,0)),1)</f>
        <v>184248.9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Mapping'!$B:$B,25)</f>
        <v>Eugene Yeo</v>
      </c>
      <c r="C44" s="634" t="str">
        <f>INDEX('REVIEW - Complete Role Mapping'!$C:$C,25)</f>
        <v>Engineer - DevOps</v>
      </c>
      <c r="D44" s="612" t="str">
        <f>INDEX('REVIEW - Complete Role Mapping'!$AK:$AK,25)</f>
        <v>Filled</v>
      </c>
      <c r="E44" s="612" t="inlineStr">
        <is>
          <t>Filled</t>
        </is>
      </c>
      <c r="F44" s="634" t="str">
        <f>IF(INDEX('REVIEW - Complete Role Mapping'!$AR:$AR,25)="Squad",INDEX('REVIEW - Complete Role Mapping'!$AP:$AP,25),INDEX('REVIEW - Complete Role Mapping'!$AR:$AR,25))</f>
        <v>Z Supply</v>
      </c>
      <c r="G44" s="627">
        <f>INDEX('REVIEW - Complete Role Mapping'!$AA:$AA,25)</f>
        <v>116898</v>
      </c>
      <c r="H44" s="627">
        <f>$G44*IFERROR(INDEX(Lists!$AD:$AD,MATCH($E44,Lists!$AC:$AC,0)),1)</f>
        <v>116898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Mapping'!$B:$B,26)</f>
        <v>Gayan Liyana Arachchige</v>
      </c>
      <c r="C45" s="634" t="str">
        <f>INDEX('REVIEW - Complete Role Mapping'!$C:$C,26)</f>
        <v>Engineer - DevOps</v>
      </c>
      <c r="D45" s="612" t="str">
        <f>INDEX('REVIEW - Complete Role Mapping'!$AK:$AK,26)</f>
        <v>Filled</v>
      </c>
      <c r="E45" s="612" t="inlineStr">
        <is>
          <t>Filled</t>
        </is>
      </c>
      <c r="F45" s="634" t="str">
        <f>IF(INDEX('REVIEW - Complete Role Mapping'!$AR:$AR,26)="Squad",INDEX('REVIEW - Complete Role Mapping'!$AP:$AP,26),INDEX('REVIEW - Complete Role Mapping'!$AR:$AR,26))</f>
        <v>Z Supply</v>
      </c>
      <c r="G45" s="627">
        <f>INDEX('REVIEW - Complete Role Mapping'!$AA:$AA,26)</f>
        <v>174513.65</v>
      </c>
      <c r="H45" s="627">
        <f>$G45*IFERROR(INDEX(Lists!$AD:$AD,MATCH($E45,Lists!$AC:$AC,0)),1)</f>
        <v>174513.65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Mapping'!$B:$B,29)</f>
        <v>Helen Jones</v>
      </c>
      <c r="C46" s="634" t="str">
        <f>INDEX('REVIEW - Complete Role Mapping'!$C:$C,29)</f>
        <v>Delivery Lead</v>
      </c>
      <c r="D46" s="612" t="str">
        <f>INDEX('REVIEW - Complete Role Mapping'!$AK:$AK,29)</f>
        <v>Filled</v>
      </c>
      <c r="E46" s="612" t="inlineStr">
        <is>
          <t>Filled</t>
        </is>
      </c>
      <c r="F46" s="634" t="str">
        <f>IF(INDEX('REVIEW - Complete Role Mapping'!$AR:$AR,29)="Squad",INDEX('REVIEW - Complete Role Mapping'!$AP:$AP,29),INDEX('REVIEW - Complete Role Mapping'!$AR:$AR,29))</f>
        <v>Z Supply</v>
      </c>
      <c r="G46" s="627">
        <f>INDEX('REVIEW - Complete Role Mapping'!$AA:$AA,29)</f>
        <v>239418.9</v>
      </c>
      <c r="H46" s="627">
        <f>$G46*IFERROR(INDEX(Lists!$AD:$AD,MATCH($E46,Lists!$AC:$AC,0)),1)</f>
        <v>239418.9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Mapping'!$B:$B,31)</f>
        <v>Isuru Herath</v>
      </c>
      <c r="C47" s="634" t="str">
        <f>INDEX('REVIEW - Complete Role Mapping'!$C:$C,31)</f>
        <v>Senior Engineer - Software</v>
      </c>
      <c r="D47" s="612" t="str">
        <f>INDEX('REVIEW - Complete Role Mapping'!$AK:$AK,31)</f>
        <v>Filled</v>
      </c>
      <c r="E47" s="647" t="inlineStr">
        <is>
          <t>Filled</t>
        </is>
      </c>
      <c r="F47" s="648" t="str">
        <f>IF(INDEX('REVIEW - Complete Role Mapping'!$AR:$AR,31)="Squad",INDEX('REVIEW - Complete Role Mapping'!$AP:$AP,31),INDEX('REVIEW - Complete Role Mapping'!$AR:$AR,31))</f>
        <v>Z Supply</v>
      </c>
      <c r="G47" s="627">
        <f>INDEX('REVIEW - Complete Role Mapping'!$AA:$AA,31)</f>
        <v>224493.6</v>
      </c>
      <c r="H47" s="627">
        <f>$G47*IFERROR(INDEX(Lists!$AD:$AD,MATCH($E47,Lists!$AC:$AC,0)),1)</f>
        <v>224493.6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Mapping'!$B:$B,34)</f>
        <v>Joe Kuttikkatt</v>
      </c>
      <c r="C48" s="646" t="str">
        <f>INDEX('REVIEW - Complete Role Mapping'!$C:$C,34)</f>
        <v>Senior Quality Assurance</v>
      </c>
      <c r="D48" s="646" t="str">
        <f>INDEX('REVIEW - Complete Role Mapping'!$AK:$AK,34)</f>
        <v>Filled</v>
      </c>
      <c r="E48" s="646" t="inlineStr">
        <is>
          <t>Filled</t>
        </is>
      </c>
      <c r="F48" s="646" t="str">
        <f>IF(INDEX('REVIEW - Complete Role Mapping'!$AR:$AR,34)="Squad",INDEX('REVIEW - Complete Role Mapping'!$AP:$AP,34),INDEX('REVIEW - Complete Role Mapping'!$AR:$AR,34))</f>
        <v>Z Supply</v>
      </c>
      <c r="G48" s="627">
        <f>INDEX('REVIEW - Complete Role Mapping'!$AA:$AA,34)</f>
        <v>104565.584</v>
      </c>
      <c r="H48" s="627">
        <f>$G48*IFERROR(INDEX(Lists!$AD:$AD,MATCH($E48,Lists!$AC:$AC,0)),1)</f>
        <v>104565.584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Mapping'!$B:$B,35)</f>
        <v>Johanah Gloria</v>
      </c>
      <c r="C49" s="634" t="str">
        <f>INDEX('REVIEW - Complete Role Mapping'!$C:$C,35)</f>
        <v>Engineer - Software</v>
      </c>
      <c r="D49" s="612" t="str">
        <f>INDEX('REVIEW - Complete Role Mapping'!$AK:$AK,35)</f>
        <v>Filled</v>
      </c>
      <c r="E49" s="612" t="inlineStr">
        <is>
          <t>Filled</t>
        </is>
      </c>
      <c r="F49" s="634" t="str">
        <f>IF(INDEX('REVIEW - Complete Role Mapping'!$AR:$AR,35)="Squad",INDEX('REVIEW - Complete Role Mapping'!$AP:$AP,35),INDEX('REVIEW - Complete Role Mapping'!$AR:$AR,35))</f>
        <v>Z Supply</v>
      </c>
      <c r="G49" s="627">
        <f>INDEX('REVIEW - Complete Role Mapping'!$AA:$AA,35)</f>
        <v>190050.6</v>
      </c>
      <c r="H49" s="627">
        <f>$G49*IFERROR(INDEX(Lists!$AD:$AD,MATCH($E49,Lists!$AC:$AC,0)),1)</f>
        <v>190050.6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Mapping'!$B:$B,89)</f>
        <v>Vacant</v>
      </c>
      <c r="C50" s="634" t="str">
        <f>INDEX('REVIEW - Complete Role Mapping'!$C:$C,89)</f>
        <v>Quality Assurance</v>
      </c>
      <c r="D50" s="612" t="str">
        <f>INDEX('REVIEW - Complete Role Mapping'!$AK:$AK,89)</f>
        <v>Vacant</v>
      </c>
      <c r="E50" s="612" t="inlineStr">
        <is>
          <t>Hold</t>
        </is>
      </c>
      <c r="F50" s="634" t="str">
        <f>IF(INDEX('REVIEW - Complete Role Mapping'!$AR:$AR,89)="Squad",INDEX('REVIEW - Complete Role Mapping'!$AP:$AP,89),INDEX('REVIEW - Complete Role Mapping'!$AR:$AR,89))</f>
        <v>Z Supply</v>
      </c>
      <c r="G50" s="627">
        <f>INDEX('REVIEW - Complete Role Mapping'!$AA:$AA,89)</f>
        <v>275810.25</v>
      </c>
      <c r="H50" s="627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Mapping'!$B:$B,12)</f>
        <v>Ash Muthumala</v>
      </c>
      <c r="C51" s="634" t="str">
        <f>INDEX('REVIEW - Complete Role Mapping'!$C:$C,12)</f>
        <v>Senior QA Analyst</v>
      </c>
      <c r="D51" s="612" t="str">
        <f>INDEX('REVIEW - Complete Role Mapping'!$AK:$AK,12)</f>
        <v>Filled</v>
      </c>
      <c r="E51" s="612" t="inlineStr">
        <is>
          <t>Filled</t>
        </is>
      </c>
      <c r="F51" s="634" t="str">
        <f>IF(INDEX('REVIEW - Complete Role Mapping'!$AR:$AR,12)="Squad",INDEX('REVIEW - Complete Role Mapping'!$AP:$AP,12),INDEX('REVIEW - Complete Role Mapping'!$AR:$AR,12))</f>
        <v>Data NZ</v>
      </c>
      <c r="G51" s="627">
        <f>INDEX('REVIEW - Complete Role Mapping'!$AA:$AA,12)</f>
        <v>140772.828</v>
      </c>
      <c r="H51" s="627">
        <f>$G51*IFERROR(INDEX(Lists!$AD:$AD,MATCH($E51,Lists!$AC:$AC,0)),1)</f>
        <v>140772.828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Mapping'!$B:$B,17)</f>
        <v>Brian Lai</v>
      </c>
      <c r="C52" s="634" t="str">
        <f>INDEX('REVIEW - Complete Role Mapping'!$C:$C,17)</f>
        <v>Engineer - Data</v>
      </c>
      <c r="D52" s="612" t="str">
        <f>INDEX('REVIEW - Complete Role Mapping'!$AK:$AK,17)</f>
        <v>Filled</v>
      </c>
      <c r="E52" s="612" t="inlineStr">
        <is>
          <t>Filled</t>
        </is>
      </c>
      <c r="F52" s="634" t="str">
        <f>IF(INDEX('REVIEW - Complete Role Mapping'!$AR:$AR,17)="Squad",INDEX('REVIEW - Complete Role Mapping'!$AP:$AP,17),INDEX('REVIEW - Complete Role Mapping'!$AR:$AR,17))</f>
        <v>Data NZ</v>
      </c>
      <c r="G52" s="627">
        <f>INDEX('REVIEW - Complete Role Mapping'!$AA:$AA,17)</f>
        <v>155676</v>
      </c>
      <c r="H52" s="627">
        <f>$G52*IFERROR(INDEX(Lists!$AD:$AD,MATCH($E52,Lists!$AC:$AC,0)),1)</f>
        <v>155676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Mapping'!$B:$B,33)</f>
        <v>Jodie Marquez</v>
      </c>
      <c r="C53" s="634" t="str">
        <f>INDEX('REVIEW - Complete Role Mapping'!$C:$C,33)</f>
        <v>Data Analyst</v>
      </c>
      <c r="D53" s="612" t="str">
        <f>INDEX('REVIEW - Complete Role Mapping'!$AK:$AK,33)</f>
        <v>Filled</v>
      </c>
      <c r="E53" s="612" t="inlineStr">
        <is>
          <t>Filled</t>
        </is>
      </c>
      <c r="F53" s="634" t="str">
        <f>IF(INDEX('REVIEW - Complete Role Mapping'!$AR:$AR,33)="Squad",INDEX('REVIEW - Complete Role Mapping'!$AP:$AP,33),INDEX('REVIEW - Complete Role Mapping'!$AR:$AR,33))</f>
        <v>Data NZ</v>
      </c>
      <c r="G53" s="627">
        <f>INDEX('REVIEW - Complete Role Mapping'!$AA:$AA,33)</f>
        <v>144642.9</v>
      </c>
      <c r="H53" s="627">
        <f>$G53*IFERROR(INDEX(Lists!$AD:$AD,MATCH($E53,Lists!$AC:$AC,0)),1)</f>
        <v>144642.9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Mapping'!$B:$B,49)</f>
        <v>McKenzie Tournquist</v>
      </c>
      <c r="C54" s="646" t="str">
        <f>INDEX('REVIEW - Complete Role Mapping'!$C:$C,49)</f>
        <v>Data Analyst</v>
      </c>
      <c r="D54" s="646" t="str">
        <f>INDEX('REVIEW - Complete Role Mapping'!$AK:$AK,49)</f>
        <v>Filled</v>
      </c>
      <c r="E54" s="646" t="inlineStr">
        <is>
          <t>Filled</t>
        </is>
      </c>
      <c r="F54" s="646" t="str">
        <f>IF(INDEX('REVIEW - Complete Role Mapping'!$AR:$AR,49)="Squad",INDEX('REVIEW - Complete Role Mapping'!$AP:$AP,49),INDEX('REVIEW - Complete Role Mapping'!$AR:$AR,49))</f>
        <v>Data NZ</v>
      </c>
      <c r="G54" s="627">
        <f>INDEX('REVIEW - Complete Role Mapping'!$AA:$AA,49)</f>
        <v>91809.784</v>
      </c>
      <c r="H54" s="627">
        <f>$G54*IFERROR(INDEX(Lists!$AD:$AD,MATCH($E54,Lists!$AC:$AC,0)),1)</f>
        <v>91809.784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Mapping'!$B:$B,50)</f>
        <v>Michael Dasan</v>
      </c>
      <c r="C55" s="634" t="str">
        <f>INDEX('REVIEW - Complete Role Mapping'!$C:$C,50)</f>
        <v>Engineer - Data</v>
      </c>
      <c r="D55" s="612" t="str">
        <f>INDEX('REVIEW - Complete Role Mapping'!$AK:$AK,50)</f>
        <v>Filled</v>
      </c>
      <c r="E55" s="612" t="inlineStr">
        <is>
          <t>Filled</t>
        </is>
      </c>
      <c r="F55" s="634" t="str">
        <f>IF(INDEX('REVIEW - Complete Role Mapping'!$AR:$AR,50)="Squad",INDEX('REVIEW - Complete Role Mapping'!$AP:$AP,50),INDEX('REVIEW - Complete Role Mapping'!$AR:$AR,50))</f>
        <v>Data NZ</v>
      </c>
      <c r="G55" s="627">
        <f>INDEX('REVIEW - Complete Role Mapping'!$AA:$AA,50)</f>
        <v>212278.35</v>
      </c>
      <c r="H55" s="627">
        <f>$G55*IFERROR(INDEX(Lists!$AD:$AD,MATCH($E55,Lists!$AC:$AC,0)),1)</f>
        <v>212278.35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Mapping'!$B:$B,73)</f>
        <v>Vacant</v>
      </c>
      <c r="C56" s="634" t="str">
        <f>INDEX('REVIEW - Complete Role Mapping'!$C:$C,73)</f>
        <v>Delivery Lead</v>
      </c>
      <c r="D56" s="612" t="str">
        <f>INDEX('REVIEW - Complete Role Mapping'!$AK:$AK,73)</f>
        <v>Vacant</v>
      </c>
      <c r="E56" s="612" t="inlineStr">
        <is>
          <t>Hold</t>
        </is>
      </c>
      <c r="F56" s="634" t="str">
        <f>IF(INDEX('REVIEW - Complete Role Mapping'!$AR:$AR,73)="Squad",INDEX('REVIEW - Complete Role Mapping'!$AP:$AP,73),INDEX('REVIEW - Complete Role Mapping'!$AR:$AR,73))</f>
        <v>Data NZ</v>
      </c>
      <c r="G56" s="627">
        <f>INDEX('REVIEW - Complete Role Mapping'!$AA:$AA,73)</f>
        <v>275810.25</v>
      </c>
      <c r="H56" s="627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Mapping'!$B:$B,78)</f>
        <v>Vacant</v>
      </c>
      <c r="C57" s="634" t="str">
        <f>INDEX('REVIEW - Complete Role Mapping'!$C:$C,78)</f>
        <v>Engineer - Data</v>
      </c>
      <c r="D57" s="612" t="str">
        <f>INDEX('REVIEW - Complete Role Mapping'!$AK:$AK,78)</f>
        <v>Vacant</v>
      </c>
      <c r="E57" s="612" t="inlineStr">
        <is>
          <t>Hold</t>
        </is>
      </c>
      <c r="F57" s="634" t="str">
        <f>IF(INDEX('REVIEW - Complete Role Mapping'!$AR:$AR,78)="Squad",INDEX('REVIEW - Complete Role Mapping'!$AP:$AP,78),INDEX('REVIEW - Complete Role Mapping'!$AR:$AR,78))</f>
        <v>Data NZ</v>
      </c>
      <c r="G57" s="627">
        <f>INDEX('REVIEW - Complete Role Mapping'!$AA:$AA,78)</f>
        <v>202853.25</v>
      </c>
      <c r="H57" s="627">
        <f>$G57*IFERROR(INDEX(Lists!$AD:$AD,MATCH($E57,Lists!$AC:$AC,0)),1)</f>
        <v>0</v>
      </c>
      <c r="I57" s="949" t="n"/>
      <c r="J57" s="949" t="n"/>
      <c r="K57" s="949" t="n"/>
      <c r="L57" s="949" t="n"/>
      <c r="M57" s="949" t="n"/>
      <c r="N57" s="949" t="n"/>
    </row>
    <row r="58">
      <c r="B58" s="646" t="str">
        <f>INDEX('REVIEW - Complete Role Mapping'!$B:$B,82)</f>
        <v>Vacant</v>
      </c>
      <c r="C58" s="646" t="str">
        <f>INDEX('REVIEW - Complete Role Mapping'!$C:$C,82)</f>
        <v>Head of Technology, Z and Group Retail Platforms</v>
      </c>
      <c r="D58" s="646" t="str">
        <f>INDEX('REVIEW - Complete Role Mapping'!$AK:$AK,82)</f>
        <v>Vacant</v>
      </c>
      <c r="E58" s="646" t="inlineStr">
        <is>
          <t>Hold</t>
        </is>
      </c>
      <c r="F58" s="646" t="str">
        <f>IF(INDEX('REVIEW - Complete Role Mapping'!$AR:$AR,82)="Squad",INDEX('REVIEW - Complete Role Mapping'!$AP:$AP,82),INDEX('REVIEW - Complete Role Mapping'!$AR:$AR,82))</f>
        <v>Head of Technology</v>
      </c>
      <c r="G58" s="627">
        <f>INDEX('REVIEW - Complete Role Mapping'!$AA:$AA,82)</f>
        <v>291422</v>
      </c>
      <c r="H58" s="627">
        <f>$G58*IFERROR(INDEX(Lists!$AD:$AD,MATCH($E58,Lists!$AC:$AC,0)),1)</f>
        <v>0</v>
      </c>
      <c r="I58" s="949" t="n"/>
      <c r="J58" s="949" t="n"/>
      <c r="K58" s="949" t="n"/>
      <c r="L58" s="949" t="n"/>
      <c r="M58" s="949" t="n"/>
      <c r="N58" s="949" t="n"/>
    </row>
    <row r="59">
      <c r="B59" s="634" t="str">
        <f>INDEX('REVIEW - Complete Role Mapping'!$B:$B,74)</f>
        <v>Vacant</v>
      </c>
      <c r="C59" s="634" t="str">
        <f>INDEX('REVIEW - Complete Role Mapping'!$C:$C,74)</f>
        <v>Delivery Manager</v>
      </c>
      <c r="D59" s="612" t="str">
        <f>INDEX('REVIEW - Complete Role Mapping'!$AK:$AK,74)</f>
        <v>Vacant</v>
      </c>
      <c r="E59" s="647" t="inlineStr">
        <is>
          <t>Hold</t>
        </is>
      </c>
      <c r="F59" s="648" t="str">
        <f>IF(INDEX('REVIEW - Complete Role Mapping'!$AR:$AR,74)="Squad",INDEX('REVIEW - Complete Role Mapping'!$AP:$AP,74),INDEX('REVIEW - Complete Role Mapping'!$AR:$AR,74))</f>
        <v>Delivery Manager</v>
      </c>
      <c r="G59" s="627">
        <f>INDEX('REVIEW - Complete Role Mapping'!$AA:$AA,74)</f>
        <v>202853.25</v>
      </c>
      <c r="H59" s="627">
        <f>$G59*IFERROR(INDEX(Lists!$AD:$AD,MATCH($E59,Lists!$AC:$AC,0)),1)</f>
        <v>0</v>
      </c>
      <c r="I59" s="949" t="n"/>
      <c r="J59" s="949" t="n"/>
      <c r="K59" s="949" t="n"/>
      <c r="L59" s="949" t="n"/>
      <c r="M59" s="949" t="n"/>
      <c r="N59" s="949" t="n"/>
    </row>
    <row r="60">
      <c r="B60" s="634" t="str">
        <f>INDEX('REVIEW - Complete Role Mapping'!$B:$B,18)</f>
        <v>Callan McLaughlin</v>
      </c>
      <c r="C60" s="634" t="str">
        <f>INDEX('REVIEW - Complete Role Mapping'!$C:$C,18)</f>
        <v>Technology Manager, Site Systems</v>
      </c>
      <c r="D60" s="612" t="str">
        <f>INDEX('REVIEW - Complete Role Mapping'!$AK:$AK,18)</f>
        <v>Filled</v>
      </c>
      <c r="E60" s="647" t="inlineStr">
        <is>
          <t>Filled</t>
        </is>
      </c>
      <c r="F60" s="648" t="str">
        <f>IF(INDEX('REVIEW - Complete Role Mapping'!$AR:$AR,18)="Squad",INDEX('REVIEW - Complete Role Mapping'!$AP:$AP,18),INDEX('REVIEW - Complete Role Mapping'!$AR:$AR,18))</f>
        <v>Technology Manager</v>
      </c>
      <c r="G60" s="627">
        <f>INDEX('REVIEW - Complete Role Mapping'!$AA:$AA,18)</f>
        <v>210535.968</v>
      </c>
      <c r="H60" s="627">
        <f>$G60*IFERROR(INDEX(Lists!$AD:$AD,MATCH($E60,Lists!$AC:$AC,0)),1)</f>
        <v>210535.968</v>
      </c>
      <c r="I60" s="949" t="n"/>
      <c r="J60" s="949" t="n"/>
      <c r="K60" s="949" t="n"/>
      <c r="L60" s="949" t="n"/>
      <c r="M60" s="949" t="n"/>
      <c r="N60" s="949" t="n"/>
    </row>
    <row r="61">
      <c r="B61" s="646" t="str">
        <f>INDEX('REVIEW - Complete Role Mapping'!$B:$B,23)</f>
        <v>Emma Natoli</v>
      </c>
      <c r="C61" s="646" t="str">
        <f>INDEX('REVIEW - Complete Role Mapping'!$C:$C,23)</f>
        <v>Technology Manager, Engineering</v>
      </c>
      <c r="D61" s="646" t="str">
        <f>INDEX('REVIEW - Complete Role Mapping'!$AK:$AK,23)</f>
        <v>Filled</v>
      </c>
      <c r="E61" s="646" t="inlineStr">
        <is>
          <t>Filled</t>
        </is>
      </c>
      <c r="F61" s="646" t="str">
        <f>IF(INDEX('REVIEW - Complete Role Mapping'!$AR:$AR,23)="Squad",INDEX('REVIEW - Complete Role Mapping'!$AP:$AP,23),INDEX('REVIEW - Complete Role Mapping'!$AR:$AR,23))</f>
        <v>Technology Manager</v>
      </c>
      <c r="G61" s="1267">
        <f>INDEX('REVIEW - Complete Role Mapping'!$AA:$AA,23)</f>
        <v>236722.2</v>
      </c>
      <c r="H61" s="1267">
        <f>$G61*IFERROR(INDEX(Lists!$AD:$AD,MATCH($E61,Lists!$AC:$AC,0)),1)</f>
        <v>236722.2</v>
      </c>
      <c r="I61" s="442" t="n"/>
      <c r="J61" s="442" t="n"/>
      <c r="K61" s="442" t="n"/>
      <c r="L61" s="442" t="n"/>
      <c r="M61" s="442" t="n"/>
      <c r="N61" s="442" t="n"/>
    </row>
    <row r="62">
      <c r="B62" s="634" t="str">
        <f>INDEX('REVIEW - Complete Role Mapping'!$B:$B,45)</f>
        <v>Manjot Kaur Malli</v>
      </c>
      <c r="C62" s="634" t="str">
        <f>INDEX('REVIEW - Complete Role Mapping'!$C:$C,45)</f>
        <v>Technology Manager, Data</v>
      </c>
      <c r="D62" s="612" t="str">
        <f>INDEX('REVIEW - Complete Role Mapping'!$AK:$AK,45)</f>
        <v>Filled</v>
      </c>
      <c r="E62" s="612" t="inlineStr">
        <is>
          <t>Filled</t>
        </is>
      </c>
      <c r="F62" s="634" t="str">
        <f>IF(INDEX('REVIEW - Complete Role Mapping'!$AR:$AR,45)="Squad",INDEX('REVIEW - Complete Role Mapping'!$AP:$AP,45),INDEX('REVIEW - Complete Role Mapping'!$AR:$AR,45))</f>
        <v>Technology Manager</v>
      </c>
      <c r="G62" s="1267">
        <f>INDEX('REVIEW - Complete Role Mapping'!$AA:$AA,45)</f>
        <v>275810.25</v>
      </c>
      <c r="H62" s="1267">
        <f>$G62*IFERROR(INDEX(Lists!$AD:$AD,MATCH($E62,Lists!$AC:$AC,0)),1)</f>
        <v>275810.25</v>
      </c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2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7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Service Op &amp; Assurance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COUNTIFS($F$22:$F$67,$B6)</f>
        <v>21</v>
      </c>
      <c r="F6" s="1250" t="str">
        <f>IFERROR($E6-$D6,"-")</f>
        <v>-</v>
      </c>
      <c r="G6" s="1250">
        <f>COUNTIFS($F$22:$F$67,$B6,$D$22:$D$67,"Vacant")</f>
        <v>4</v>
      </c>
      <c r="H6" s="1250">
        <f>COUNTIFS($F$22:$F$67,$B6,$D$22:$D$67,"Vacant",$E$22:$E$67,"Hire")+COUNTIFS($F$22:$F$67,$B6,$D$22:$D$67,"Vacant",$E$22:$E$67,"Offshore")</f>
        <v>0</v>
      </c>
      <c r="I6" s="1250">
        <f>COUNTIFS($F$22:$F$67,$B6,$D$22:$D$67,"Vacant",$E$22:$E$67,"Hold")</f>
        <v>4</v>
      </c>
      <c r="J6" s="1251">
        <f>$E6-COUNTIFS($F$22:$F$67,$B6,$E$22:$E$67,"Hold")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SUMIFS($G$22:$G$67,$F$22:$F$67,$B6)/1000000</f>
        <v>3.92346938</v>
      </c>
      <c r="N6" s="1252" t="str">
        <f>IFERROR($M6-$L6,"-")</f>
        <v>-</v>
      </c>
      <c r="O6" s="1253">
        <f>SUMIFS($H$22:$H$67,$F$22:$F$67,$B6)/1000000</f>
        <v>3.22470138</v>
      </c>
      <c r="P6" s="1254">
        <f>$O6-$M6</f>
        <v>-0.698768</v>
      </c>
      <c r="Q6" s="1254">
        <f>SUMIFS($G$22:$G$67,$F$22:$F$67,$B6,$D$22:$D$67,"Vacant")/1000000</f>
        <v>0.698768</v>
      </c>
      <c r="R6" t="str">
        <f>"-"</f>
        <v>-</v>
      </c>
      <c r="S6" t="str">
        <f>IFERROR(INDEX(Lists!$AA:$AA,MATCH($B6,Lists!$Z:$Z,0)),$B6)</f>
        <v>Service Op &amp; Assurance</v>
      </c>
    </row>
    <row r="7">
      <c r="A7" s="949" t="n"/>
      <c r="B7" s="640" t="inlineStr">
        <is>
          <t>Cyber Strat &amp; Tech</t>
        </is>
      </c>
      <c r="C7" s="635" t="str">
        <f>"COE - measured against budget"</f>
        <v>COE - measured against budget</v>
      </c>
      <c r="D7" s="1249" t="str">
        <f>IFERROR(INDEX('0.3 Squad Archetypes'!$F$5:$F$23,MATCH($C7&amp;"|"&amp;$R7,'0.3 Squad Archetypes'!$A$5:$A$23,0)),"-")</f>
        <v>-</v>
      </c>
      <c r="E7" s="1250">
        <f>COUNTIFS($F$22:$F$67,$B7)</f>
        <v>13</v>
      </c>
      <c r="F7" s="1250" t="str">
        <f>IFERROR($E7-$D7,"-")</f>
        <v>-</v>
      </c>
      <c r="G7" s="1250">
        <f>COUNTIFS($F$22:$F$67,$B7,$D$22:$D$67,"Vacant")</f>
        <v>0</v>
      </c>
      <c r="H7" s="1250">
        <f>COUNTIFS($F$22:$F$67,$B7,$D$22:$D$67,"Vacant",$E$22:$E$67,"Hire")+COUNTIFS($F$22:$F$67,$B7,$D$22:$D$67,"Vacant",$E$22:$E$67,"Offshore")</f>
        <v>0</v>
      </c>
      <c r="I7" s="1250">
        <f>COUNTIFS($F$22:$F$67,$B7,$D$22:$D$67,"Vacant",$E$22:$E$67,"Hold")</f>
        <v>0</v>
      </c>
      <c r="J7" s="1251">
        <f>$E7-COUNTIFS($F$22:$F$67,$B7,$E$22:$E$67,"Hold")</f>
        <v>13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SUMIFS($G$22:$G$67,$F$22:$F$67,$B7)/1000000</f>
        <v>3.31576355</v>
      </c>
      <c r="N7" s="1252" t="str">
        <f>IFERROR($M7-$L7,"-")</f>
        <v>-</v>
      </c>
      <c r="O7" s="1253">
        <f>SUMIFS($H$22:$H$67,$F$22:$F$67,$B7)/1000000</f>
        <v>3.31576355</v>
      </c>
      <c r="P7" s="1254">
        <f>$O7-$M7</f>
        <v>0</v>
      </c>
      <c r="Q7" s="1254">
        <f>SUMIFS($G$22:$G$67,$F$22:$F$67,$B7,$D$22:$D$67,"Vacant")/1000000</f>
        <v>0</v>
      </c>
      <c r="R7" t="str">
        <f>"-"</f>
        <v>-</v>
      </c>
      <c r="S7" t="str">
        <f>IFERROR(INDEX(Lists!$AA:$AA,MATCH($B7,Lists!$Z:$Z,0)),$B7)</f>
        <v>Cyber Strat &amp; Tech</v>
      </c>
    </row>
    <row r="8">
      <c r="A8" s="949" t="n"/>
      <c r="B8" s="634" t="inlineStr">
        <is>
          <t>Cyber GRC</t>
        </is>
      </c>
      <c r="C8" s="635" t="str">
        <f>"COE - measured against budget"</f>
        <v>COE - measured against budget</v>
      </c>
      <c r="D8" s="1249" t="str">
        <f>IFERROR(INDEX('0.3 Squad Archetypes'!$F$5:$F$23,MATCH($C8&amp;"|"&amp;$R8,'0.3 Squad Archetypes'!$A$5:$A$23,0)),"-")</f>
        <v>-</v>
      </c>
      <c r="E8" s="1250">
        <f>COUNTIFS($F$22:$F$67,$B8)</f>
        <v>5</v>
      </c>
      <c r="F8" s="1250" t="str">
        <f>IFERROR($E8-$D8,"-")</f>
        <v>-</v>
      </c>
      <c r="G8" s="1250">
        <f>COUNTIFS($F$22:$F$67,$B8,$D$22:$D$67,"Vacant")</f>
        <v>0</v>
      </c>
      <c r="H8" s="1250">
        <f>COUNTIFS($F$22:$F$67,$B8,$D$22:$D$67,"Vacant",$E$22:$E$67,"Hire")+COUNTIFS($F$22:$F$67,$B8,$D$22:$D$67,"Vacant",$E$22:$E$67,"Offshore")</f>
        <v>0</v>
      </c>
      <c r="I8" s="1250">
        <f>COUNTIFS($F$22:$F$67,$B8,$D$22:$D$67,"Vacant",$E$22:$E$67,"Hold")</f>
        <v>0</v>
      </c>
      <c r="J8" s="1251">
        <f>$E8-COUNTIFS($F$22:$F$67,$B8,$E$22:$E$67,"Hold")</f>
        <v>5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SUMIFS($G$22:$G$67,$F$22:$F$67,$B8)/1000000</f>
        <v>1.071477788</v>
      </c>
      <c r="N8" s="1252" t="str">
        <f>IFERROR($M8-$L8,"-")</f>
        <v>-</v>
      </c>
      <c r="O8" s="1253">
        <f>SUMIFS($H$22:$H$67,$F$22:$F$67,$B8)/1000000</f>
        <v>1.071477788</v>
      </c>
      <c r="P8" s="1254">
        <f>$O8-$M8</f>
        <v>0</v>
      </c>
      <c r="Q8" s="1254">
        <f>SUMIFS($G$22:$G$67,$F$22:$F$67,$B8,$D$22:$D$67,"Vacant")/1000000</f>
        <v>0</v>
      </c>
      <c r="R8" t="str">
        <f>"-"</f>
        <v>-</v>
      </c>
      <c r="S8" t="str">
        <f>IFERROR(INDEX(Lists!$AA:$AA,MATCH($B8,Lists!$Z:$Z,0)),$B8)</f>
        <v>Cyber GRC</v>
      </c>
    </row>
    <row r="9">
      <c r="A9" s="949" t="n"/>
      <c r="B9" s="641" t="inlineStr">
        <is>
          <t>Cyber Sec Ops</t>
        </is>
      </c>
      <c r="C9" s="641" t="str">
        <f>"COE - measured against budget"</f>
        <v>COE - measured against budget</v>
      </c>
      <c r="D9" s="1255" t="str">
        <f>IFERROR(INDEX('0.3 Squad Archetypes'!$F$5:$F$23,MATCH($C9&amp;"|"&amp;$R9,'0.3 Squad Archetypes'!$A$5:$A$23,0)),"-")</f>
        <v>-</v>
      </c>
      <c r="E9" s="1255">
        <f>COUNTIFS($F$22:$F$67,$B9)</f>
        <v>5</v>
      </c>
      <c r="F9" s="1255" t="str">
        <f>IFERROR($E9-$D9,"-")</f>
        <v>-</v>
      </c>
      <c r="G9" s="1255">
        <f>COUNTIFS($F$22:$F$67,$B9,$D$22:$D$67,"Vacant")</f>
        <v>0</v>
      </c>
      <c r="H9" s="1255">
        <f>COUNTIFS($F$22:$F$67,$B9,$D$22:$D$67,"Vacant",$E$22:$E$67,"Hire")+COUNTIFS($F$22:$F$67,$B9,$D$22:$D$67,"Vacant",$E$22:$E$67,"Offshore")</f>
        <v>0</v>
      </c>
      <c r="I9" s="1255">
        <f>COUNTIFS($F$22:$F$67,$B9,$D$22:$D$67,"Vacant",$E$22:$E$67,"Hold")</f>
        <v>0</v>
      </c>
      <c r="J9" s="1256">
        <f>$E9-COUNTIFS($F$22:$F$67,$B9,$E$22:$E$67,"Hold")</f>
        <v>5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SUMIFS($G$22:$G$67,$F$22:$F$67,$B9)/1000000</f>
        <v>1.111589344</v>
      </c>
      <c r="N9" s="1257" t="str">
        <f>IFERROR($M9-$L9,"-")</f>
        <v>-</v>
      </c>
      <c r="O9" s="1258">
        <f>SUMIFS($H$22:$H$67,$F$22:$F$67,$B9)/1000000</f>
        <v>1.111589344</v>
      </c>
      <c r="P9" s="1254">
        <f>$O9-$M9</f>
        <v>0</v>
      </c>
      <c r="Q9" s="1254">
        <f>SUMIFS($G$22:$G$67,$F$22:$F$67,$B9,$D$22:$D$67,"Vacant")/1000000</f>
        <v>0</v>
      </c>
      <c r="R9" t="str">
        <f>"-"</f>
        <v>-</v>
      </c>
      <c r="S9" t="str">
        <f>IFERROR(INDEX(Lists!$AA:$AA,MATCH($B9,Lists!$Z:$Z,0)),$B9)</f>
        <v>Cyber Sec Ops</v>
      </c>
    </row>
    <row r="10">
      <c r="A10" s="949" t="n"/>
      <c r="B10" s="504" t="inlineStr">
        <is>
          <t>Cyber Risk</t>
        </is>
      </c>
      <c r="C10" s="949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2">
        <f>COUNTIFS($F$22:$F$67,$B10)</f>
        <v>2</v>
      </c>
      <c r="F10" s="1261" t="str">
        <f>IFERROR($E10-$D10,"-")</f>
        <v>-</v>
      </c>
      <c r="G10" s="1261">
        <f>COUNTIFS($F$22:$F$67,$B10,$D$22:$D$67,"Vacant")</f>
        <v>0</v>
      </c>
      <c r="H10" s="1261">
        <f>COUNTIFS($F$22:$F$67,$B10,$D$22:$D$67,"Vacant",$E$22:$E$67,"Hire")+COUNTIFS($F$22:$F$67,$B10,$D$22:$D$67,"Vacant",$E$22:$E$67,"Offshore")</f>
        <v>0</v>
      </c>
      <c r="I10" s="1261">
        <f>COUNTIFS($F$22:$F$67,$B10,$D$22:$D$67,"Vacant",$E$22:$E$67,"Hold")</f>
        <v>0</v>
      </c>
      <c r="J10" s="1261">
        <f>$E10-COUNTIFS($F$22:$F$67,$B10,$E$22:$E$67,"Hold")</f>
        <v>2</v>
      </c>
      <c r="K10" s="949" t="str">
        <f>IF(NOT(ISNUMBER($D10)),"No archetype - see 0.3",IF($J10&gt;$D10,"Over archetype after decisions",IF($J10&lt;$D10,"Under archetype","On archetype")))</f>
        <v>No archetype - see 0.3</v>
      </c>
      <c r="L10" s="1263" t="str">
        <f>IFERROR(INDEX('0.3 Squad Archetypes'!$G$5:$G$23,MATCH($C10&amp;"|"&amp;$R10,'0.3 Squad Archetypes'!$A$5:$A$23,0)),"-")</f>
        <v>-</v>
      </c>
      <c r="M10" s="1263">
        <f>SUMIFS($G$22:$G$67,$F$22:$F$67,$B10)/1000000</f>
        <v>0.475558232</v>
      </c>
      <c r="N10" s="1263" t="str">
        <f>IFERROR($M10-$L10,"-")</f>
        <v>-</v>
      </c>
      <c r="O10" s="1263">
        <f>SUMIFS($H$22:$H$67,$F$22:$F$67,$B10)/1000000</f>
        <v>0.475558232</v>
      </c>
      <c r="P10" s="1254">
        <f>$O10-$M10</f>
        <v>0</v>
      </c>
      <c r="Q10" s="1254">
        <f>SUMIFS($G$22:$G$67,$F$22:$F$67,$B10,$D$22:$D$67,"Vacant")/1000000</f>
        <v>0</v>
      </c>
      <c r="R10" t="str">
        <f>"-"</f>
        <v>-</v>
      </c>
      <c r="S10" t="str">
        <f>IFERROR(INDEX(Lists!$AA:$AA,MATCH($B10,Lists!$Z:$Z,0)),$B10)</f>
        <v>Cyber Risk</v>
      </c>
    </row>
    <row r="11">
      <c r="A11" s="949" t="n"/>
      <c r="B11" s="1226" t="inlineStr">
        <is>
          <t>Delivery squads</t>
        </is>
      </c>
      <c r="C11" s="949" t="n"/>
      <c r="D11" s="1261">
        <f>SUM(D6:D10)</f>
        <v>0</v>
      </c>
      <c r="E11" s="1262">
        <f>SUM(E6:E10)</f>
        <v>46</v>
      </c>
      <c r="F11" s="1261">
        <f>SUM(F6:F10)</f>
        <v>0</v>
      </c>
      <c r="G11" s="1261">
        <f>SUM(G6:G10)</f>
        <v>4</v>
      </c>
      <c r="H11" s="1261">
        <f>SUM(H6:H10)</f>
        <v>0</v>
      </c>
      <c r="I11" s="1261">
        <f>SUM(I6:I10)</f>
        <v>4</v>
      </c>
      <c r="J11" s="1261">
        <f>SUM(J6:J10)</f>
        <v>42</v>
      </c>
      <c r="K11" s="949" t="n"/>
      <c r="L11" s="1263">
        <f>SUM(L6:L10)</f>
        <v>0</v>
      </c>
      <c r="M11" s="1263">
        <f>SUM(M6:M10)</f>
        <v>9.897858294</v>
      </c>
      <c r="N11" s="1263">
        <f>SUM(N6:N10)</f>
        <v>0</v>
      </c>
      <c r="O11" s="1263">
        <f>SUM(O6:O10)</f>
        <v>9.199090294</v>
      </c>
      <c r="P11" s="1254">
        <f>SUM(P6:P10)</f>
        <v>-0.698768</v>
      </c>
      <c r="Q11" s="1254">
        <f>SUM(Q6:Q10)</f>
        <v>0.698768</v>
      </c>
    </row>
    <row r="12">
      <c r="A12" s="949" t="n"/>
      <c r="B12" s="994" t="inlineStr">
        <is>
          <t>Overhead roles inside this portfolio - compared to the allowance</t>
        </is>
      </c>
      <c r="C12" s="949" t="n"/>
      <c r="D12" s="1261" t="n"/>
      <c r="E12" s="1261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26" t="inlineStr">
        <is>
          <t>Overhead roles</t>
        </is>
      </c>
      <c r="C13" s="949" t="n"/>
      <c r="D13" s="1261" t="n"/>
      <c r="E13" s="1261" t="n">
        <v>0</v>
      </c>
      <c r="F13" s="1261" t="n"/>
      <c r="G13" s="1261" t="n">
        <v>0</v>
      </c>
      <c r="H13" s="1261" t="n">
        <v>0</v>
      </c>
      <c r="I13" s="1261" t="n">
        <v>0</v>
      </c>
      <c r="J13" s="1261" t="n">
        <v>0</v>
      </c>
      <c r="K13" s="949" t="n"/>
      <c r="L13" s="1263" t="n"/>
      <c r="M13" s="1263" t="n">
        <v>0</v>
      </c>
      <c r="N13" s="1263" t="n"/>
      <c r="O13" s="1263" t="n">
        <v>0</v>
      </c>
      <c r="P13" s="1254" t="n">
        <v>0</v>
      </c>
      <c r="Q13" s="1254" t="n">
        <v>0</v>
      </c>
    </row>
    <row r="14">
      <c r="A14" s="949" t="n"/>
      <c r="B14" s="994" t="n"/>
      <c r="C14" s="432" t="n"/>
      <c r="D14" s="1279" t="n"/>
      <c r="E14" s="1279" t="n"/>
      <c r="F14" s="1279" t="n"/>
      <c r="G14" s="1280" t="n"/>
      <c r="H14" s="1280" t="n"/>
      <c r="I14" s="1280" t="n"/>
      <c r="J14" s="1280" t="n"/>
      <c r="K14" s="949" t="n"/>
      <c r="L14" s="1263" t="n"/>
      <c r="M14" s="1263" t="n"/>
      <c r="N14" s="1263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430" t="n"/>
      <c r="D15" s="1280">
        <f>$D11</f>
        <v>0</v>
      </c>
      <c r="E15" s="1280">
        <f>$E11+$E13</f>
        <v>46</v>
      </c>
      <c r="F15" s="1280">
        <f>IFERROR($E11-$D11,"-")</f>
        <v>46</v>
      </c>
      <c r="G15" s="1261">
        <f>$G11+$G13</f>
        <v>4</v>
      </c>
      <c r="H15" s="1261">
        <f>$H11+$H13</f>
        <v>0</v>
      </c>
      <c r="I15" s="1261">
        <f>$I11+$I13</f>
        <v>4</v>
      </c>
      <c r="J15" s="1261">
        <f>$J11+$J13</f>
        <v>42</v>
      </c>
      <c r="K15" s="949" t="n"/>
      <c r="L15" s="1263">
        <f>$L11</f>
        <v>0</v>
      </c>
      <c r="M15" s="1263">
        <f>$M11+$M13</f>
        <v>9.897858294</v>
      </c>
      <c r="N15" s="1263">
        <f>IFERROR($M11-$L11,"-")</f>
        <v>9.897858294</v>
      </c>
      <c r="O15" s="1263">
        <f>$O11+$O13</f>
        <v>9.199090294</v>
      </c>
      <c r="P15" s="1254">
        <f>$P11+$P13</f>
        <v>-0.698768</v>
      </c>
      <c r="Q15" s="1254">
        <f>$Q11+$Q13</f>
        <v>0.698768</v>
      </c>
    </row>
    <row r="16" ht="15.65" customHeight="1">
      <c r="A16" s="949" t="n"/>
      <c r="B16" s="994" t="inlineStr">
        <is>
          <t>Archetype columns D, F, L and N cover the delivery squads only - overhead is not priced by a squad archetype.</t>
        </is>
      </c>
      <c r="C16" s="645" t="n"/>
      <c r="D16" s="645" t="n"/>
      <c r="E16" s="645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32" t="inlineStr">
        <is>
          <t>Control - roles vs the ledger, must be 0</t>
        </is>
      </c>
      <c r="C17" s="533" t="n"/>
      <c r="D17" s="533" t="n"/>
      <c r="E17" s="533">
        <f>COUNTIFS('REVIEW - Complete Role Mapping'!$AJ$2:$AJ$528,"COE Cyber")-$E15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4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Mapping'!$AJ$2:$AJ$528,"COE Cyber")/1000000-$M15,6)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34" t="inlineStr">
        <is>
          <t>COE Cyber roles - one row per named role, from REVIEW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Mapping'!$B:$B,193)</f>
        <v>Ashley Mueller</v>
      </c>
      <c r="C22" s="634" t="str">
        <f>INDEX('REVIEW - Complete Role Mapping'!$C:$C,193)</f>
        <v>Lead – Service Assurance</v>
      </c>
      <c r="D22" s="612" t="str">
        <f>INDEX('REVIEW - Complete Role Mapping'!$AK:$AK,193)</f>
        <v>Filled</v>
      </c>
      <c r="E22" s="612" t="inlineStr">
        <is>
          <t>Filled</t>
        </is>
      </c>
      <c r="F22" s="634" t="str">
        <f>IF(INDEX('REVIEW - Complete Role Mapping'!$AR:$AR,193)="Squad",INDEX('REVIEW - Complete Role Mapping'!$AP:$AP,193),INDEX('REVIEW - Complete Role Mapping'!$AR:$AR,193))</f>
        <v>Service Op &amp; Assurance</v>
      </c>
      <c r="G22" s="627">
        <f>INDEX('REVIEW - Complete Role Mapping'!$AA:$AA,193)</f>
        <v>189974.796</v>
      </c>
      <c r="H22" s="627">
        <f>$G22*IFERROR(INDEX(Lists!$AD:$AD,MATCH($E22,Lists!$AC:$AC,0)),1)</f>
        <v>189974.796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Mapping'!$B:$B,194)</f>
        <v>Belinda Hoskens</v>
      </c>
      <c r="C23" s="634" t="str">
        <f>INDEX('REVIEW - Complete Role Mapping'!$C:$C,194)</f>
        <v>Technology Support Engineer</v>
      </c>
      <c r="D23" s="612" t="str">
        <f>INDEX('REVIEW - Complete Role Mapping'!$AK:$AK,194)</f>
        <v>Filled</v>
      </c>
      <c r="E23" s="612" t="inlineStr">
        <is>
          <t>Filled</t>
        </is>
      </c>
      <c r="F23" s="634" t="str">
        <f>IF(INDEX('REVIEW - Complete Role Mapping'!$AR:$AR,194)="Squad",INDEX('REVIEW - Complete Role Mapping'!$AP:$AP,194),INDEX('REVIEW - Complete Role Mapping'!$AR:$AR,194))</f>
        <v>Service Op &amp; Assurance</v>
      </c>
      <c r="G23" s="627">
        <f>INDEX('REVIEW - Complete Role Mapping'!$AA:$AA,194)</f>
        <v>162139.5</v>
      </c>
      <c r="H23" s="627">
        <f>$G23*IFERROR(INDEX(Lists!$AD:$AD,MATCH($E23,Lists!$AC:$AC,0)),1)</f>
        <v>162139.5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Mapping'!$B:$B,199)</f>
        <v>Chris Rojas</v>
      </c>
      <c r="C24" s="634" t="str">
        <f>INDEX('REVIEW - Complete Role Mapping'!$C:$C,199)</f>
        <v>Manager, Customer Support Operations</v>
      </c>
      <c r="D24" s="612" t="str">
        <f>INDEX('REVIEW - Complete Role Mapping'!$AK:$AK,199)</f>
        <v>Filled</v>
      </c>
      <c r="E24" s="612" t="inlineStr">
        <is>
          <t>Filled</t>
        </is>
      </c>
      <c r="F24" s="634" t="str">
        <f>IF(INDEX('REVIEW - Complete Role Mapping'!$AR:$AR,199)="Squad",INDEX('REVIEW - Complete Role Mapping'!$AP:$AP,199),INDEX('REVIEW - Complete Role Mapping'!$AR:$AR,199))</f>
        <v>Service Op &amp; Assurance</v>
      </c>
      <c r="G24" s="627">
        <f>INDEX('REVIEW - Complete Role Mapping'!$AA:$AA,199)</f>
        <v>243303.75</v>
      </c>
      <c r="H24" s="627">
        <f>$G24*IFERROR(INDEX(Lists!$AD:$AD,MATCH($E24,Lists!$AC:$AC,0)),1)</f>
        <v>243303.75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Mapping'!$B:$B,201)</f>
        <v>Daniel Jolley</v>
      </c>
      <c r="C25" s="634" t="str">
        <f>INDEX('REVIEW - Complete Role Mapping'!$C:$C,201)</f>
        <v>Tech Support Technician</v>
      </c>
      <c r="D25" s="612" t="str">
        <f>INDEX('REVIEW - Complete Role Mapping'!$AK:$AK,201)</f>
        <v>Filled</v>
      </c>
      <c r="E25" s="612" t="inlineStr">
        <is>
          <t>Filled</t>
        </is>
      </c>
      <c r="F25" s="634" t="str">
        <f>IF(INDEX('REVIEW - Complete Role Mapping'!$AR:$AR,201)="Squad",INDEX('REVIEW - Complete Role Mapping'!$AP:$AP,201),INDEX('REVIEW - Complete Role Mapping'!$AR:$AR,201))</f>
        <v>Service Op &amp; Assurance</v>
      </c>
      <c r="G25" s="627">
        <f>INDEX('REVIEW - Complete Role Mapping'!$AA:$AA,201)</f>
        <v>115851.5</v>
      </c>
      <c r="H25" s="627">
        <f>$G25*IFERROR(INDEX(Lists!$AD:$AD,MATCH($E25,Lists!$AC:$AC,0)),1)</f>
        <v>115851.5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Mapping'!$B:$B,202)</f>
        <v>Darren Koller</v>
      </c>
      <c r="C26" s="634" t="str">
        <f>INDEX('REVIEW - Complete Role Mapping'!$C:$C,202)</f>
        <v>Manager, Service Management &amp; Major Incident Mgmt Lead</v>
      </c>
      <c r="D26" s="612" t="str">
        <f>INDEX('REVIEW - Complete Role Mapping'!$AK:$AK,202)</f>
        <v>Filled</v>
      </c>
      <c r="E26" s="612" t="inlineStr">
        <is>
          <t>Filled</t>
        </is>
      </c>
      <c r="F26" s="634" t="str">
        <f>IF(INDEX('REVIEW - Complete Role Mapping'!$AR:$AR,202)="Squad",INDEX('REVIEW - Complete Role Mapping'!$AP:$AP,202),INDEX('REVIEW - Complete Role Mapping'!$AR:$AR,202))</f>
        <v>Service Op &amp; Assurance</v>
      </c>
      <c r="G26" s="627">
        <f>INDEX('REVIEW - Complete Role Mapping'!$AA:$AA,202)</f>
        <v>274943.25</v>
      </c>
      <c r="H26" s="627">
        <f>$G26*IFERROR(INDEX(Lists!$AD:$AD,MATCH($E26,Lists!$AC:$AC,0)),1)</f>
        <v>274943.25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Mapping'!$B:$B,205)</f>
        <v>Ethan Lamhert (FT)</v>
      </c>
      <c r="C27" s="634" t="str">
        <f>INDEX('REVIEW - Complete Role Mapping'!$C:$C,205)</f>
        <v>Tech Support Technician</v>
      </c>
      <c r="D27" s="612" t="str">
        <f>INDEX('REVIEW - Complete Role Mapping'!$AK:$AK,205)</f>
        <v>Filled</v>
      </c>
      <c r="E27" s="612" t="inlineStr">
        <is>
          <t>Filled</t>
        </is>
      </c>
      <c r="F27" s="634" t="str">
        <f>IF(INDEX('REVIEW - Complete Role Mapping'!$AR:$AR,205)="Squad",INDEX('REVIEW - Complete Role Mapping'!$AP:$AP,205),INDEX('REVIEW - Complete Role Mapping'!$AR:$AR,205))</f>
        <v>Service Op &amp; Assurance</v>
      </c>
      <c r="G27" s="627">
        <f>INDEX('REVIEW - Complete Role Mapping'!$AA:$AA,205)</f>
        <v>89758</v>
      </c>
      <c r="H27" s="627">
        <f>$G27*IFERROR(INDEX(Lists!$AD:$AD,MATCH($E27,Lists!$AC:$AC,0)),1)</f>
        <v>89758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Mapping'!$B:$B,207)</f>
        <v>Jack Jenkins</v>
      </c>
      <c r="C28" s="634" t="str">
        <f>INDEX('REVIEW - Complete Role Mapping'!$C:$C,207)</f>
        <v>Asset Analyst</v>
      </c>
      <c r="D28" s="612" t="str">
        <f>INDEX('REVIEW - Complete Role Mapping'!$AK:$AK,207)</f>
        <v>Filled</v>
      </c>
      <c r="E28" s="612" t="inlineStr">
        <is>
          <t>Filled</t>
        </is>
      </c>
      <c r="F28" s="634" t="str">
        <f>IF(INDEX('REVIEW - Complete Role Mapping'!$AR:$AR,207)="Squad",INDEX('REVIEW - Complete Role Mapping'!$AP:$AP,207),INDEX('REVIEW - Complete Role Mapping'!$AR:$AR,207))</f>
        <v>Service Op &amp; Assurance</v>
      </c>
      <c r="G28" s="627">
        <f>INDEX('REVIEW - Complete Role Mapping'!$AA:$AA,207)</f>
        <v>139008.65</v>
      </c>
      <c r="H28" s="627">
        <f>$G28*IFERROR(INDEX(Lists!$AD:$AD,MATCH($E28,Lists!$AC:$AC,0)),1)</f>
        <v>139008.65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Mapping'!$B:$B,209)</f>
        <v>Jas Mann</v>
      </c>
      <c r="C29" s="634" t="str">
        <f>INDEX('REVIEW - Complete Role Mapping'!$C:$C,209)</f>
        <v>Technology Support Engineer</v>
      </c>
      <c r="D29" s="612" t="str">
        <f>INDEX('REVIEW - Complete Role Mapping'!$AK:$AK,209)</f>
        <v>Filled</v>
      </c>
      <c r="E29" s="612" t="inlineStr">
        <is>
          <t>Filled</t>
        </is>
      </c>
      <c r="F29" s="634" t="str">
        <f>IF(INDEX('REVIEW - Complete Role Mapping'!$AR:$AR,209)="Squad",INDEX('REVIEW - Complete Role Mapping'!$AP:$AP,209),INDEX('REVIEW - Complete Role Mapping'!$AR:$AR,209))</f>
        <v>Service Op &amp; Assurance</v>
      </c>
      <c r="G29" s="627">
        <f>INDEX('REVIEW - Complete Role Mapping'!$AA:$AA,209)</f>
        <v>146885.5</v>
      </c>
      <c r="H29" s="627">
        <f>$G29*IFERROR(INDEX(Lists!$AD:$AD,MATCH($E29,Lists!$AC:$AC,0)),1)</f>
        <v>146885.5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Mapping'!$B:$B,211)</f>
        <v>Kaaviya Salai Manimudian</v>
      </c>
      <c r="C30" s="634" t="str">
        <f>INDEX('REVIEW - Complete Role Mapping'!$C:$C,211)</f>
        <v>Graduate</v>
      </c>
      <c r="D30" s="612" t="str">
        <f>INDEX('REVIEW - Complete Role Mapping'!$AK:$AK,211)</f>
        <v>Filled</v>
      </c>
      <c r="E30" s="612" t="inlineStr">
        <is>
          <t>Filled</t>
        </is>
      </c>
      <c r="F30" s="634" t="str">
        <f>IF(INDEX('REVIEW - Complete Role Mapping'!$AR:$AR,211)="Squad",INDEX('REVIEW - Complete Role Mapping'!$AP:$AP,211),INDEX('REVIEW - Complete Role Mapping'!$AR:$AR,211))</f>
        <v>Service Op &amp; Assurance</v>
      </c>
      <c r="G30" s="627">
        <f>INDEX('REVIEW - Complete Role Mapping'!$AA:$AA,211)</f>
        <v>110075</v>
      </c>
      <c r="H30" s="627">
        <f>$G30*IFERROR(INDEX(Lists!$AD:$AD,MATCH($E30,Lists!$AC:$AC,0)),1)</f>
        <v>110075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Mapping'!$B:$B,214)</f>
        <v>Lynda Niewidok</v>
      </c>
      <c r="C31" s="634" t="str">
        <f>INDEX('REVIEW - Complete Role Mapping'!$C:$C,214)</f>
        <v>Lead – Service Desk</v>
      </c>
      <c r="D31" s="612" t="str">
        <f>INDEX('REVIEW - Complete Role Mapping'!$AK:$AK,214)</f>
        <v>Filled</v>
      </c>
      <c r="E31" s="612" t="inlineStr">
        <is>
          <t>Filled</t>
        </is>
      </c>
      <c r="F31" s="634" t="str">
        <f>IF(INDEX('REVIEW - Complete Role Mapping'!$AR:$AR,214)="Squad",INDEX('REVIEW - Complete Role Mapping'!$AP:$AP,214),INDEX('REVIEW - Complete Role Mapping'!$AR:$AR,214))</f>
        <v>Service Op &amp; Assurance</v>
      </c>
      <c r="G31" s="627">
        <f>INDEX('REVIEW - Complete Role Mapping'!$AA:$AA,214)</f>
        <v>203988</v>
      </c>
      <c r="H31" s="627">
        <f>$G31*IFERROR(INDEX(Lists!$AD:$AD,MATCH($E31,Lists!$AC:$AC,0)),1)</f>
        <v>203988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Mapping'!$B:$B,215)</f>
        <v>Mark Pearson</v>
      </c>
      <c r="C32" s="634" t="str">
        <f>INDEX('REVIEW - Complete Role Mapping'!$C:$C,215)</f>
        <v>Lead – Technology Support</v>
      </c>
      <c r="D32" s="612" t="str">
        <f>INDEX('REVIEW - Complete Role Mapping'!$AK:$AK,215)</f>
        <v>Filled</v>
      </c>
      <c r="E32" s="612" t="inlineStr">
        <is>
          <t>Filled</t>
        </is>
      </c>
      <c r="F32" s="634" t="str">
        <f>IF(INDEX('REVIEW - Complete Role Mapping'!$AR:$AR,215)="Squad",INDEX('REVIEW - Complete Role Mapping'!$AP:$AP,215),INDEX('REVIEW - Complete Role Mapping'!$AR:$AR,215))</f>
        <v>Service Op &amp; Assurance</v>
      </c>
      <c r="G32" s="627">
        <f>INDEX('REVIEW - Complete Role Mapping'!$AA:$AA,215)</f>
        <v>203841.15</v>
      </c>
      <c r="H32" s="627">
        <f>$G32*IFERROR(INDEX(Lists!$AD:$AD,MATCH($E32,Lists!$AC:$AC,0)),1)</f>
        <v>203841.15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Mapping'!$B:$B,216)</f>
        <v>Mary-Grace Rivera</v>
      </c>
      <c r="C33" s="634" t="str">
        <f>INDEX('REVIEW - Complete Role Mapping'!$C:$C,216)</f>
        <v>Lead, Service Management</v>
      </c>
      <c r="D33" s="612" t="str">
        <f>INDEX('REVIEW - Complete Role Mapping'!$AK:$AK,216)</f>
        <v>Filled</v>
      </c>
      <c r="E33" s="612" t="inlineStr">
        <is>
          <t>Filled</t>
        </is>
      </c>
      <c r="F33" s="634" t="str">
        <f>IF(INDEX('REVIEW - Complete Role Mapping'!$AR:$AR,216)="Squad",INDEX('REVIEW - Complete Role Mapping'!$AP:$AP,216),INDEX('REVIEW - Complete Role Mapping'!$AR:$AR,216))</f>
        <v>Service Op &amp; Assurance</v>
      </c>
      <c r="G33" s="627">
        <f>INDEX('REVIEW - Complete Role Mapping'!$AA:$AA,216)</f>
        <v>180970.3</v>
      </c>
      <c r="H33" s="627">
        <f>$G33*IFERROR(INDEX(Lists!$AD:$AD,MATCH($E33,Lists!$AC:$AC,0)),1)</f>
        <v>180970.3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Mapping'!$B:$B,217)</f>
        <v>Mick Collins</v>
      </c>
      <c r="C34" s="634" t="str">
        <f>INDEX('REVIEW - Complete Role Mapping'!$C:$C,217)</f>
        <v>Manager, Service Performance &amp; Assurance</v>
      </c>
      <c r="D34" s="612" t="str">
        <f>INDEX('REVIEW - Complete Role Mapping'!$AK:$AK,217)</f>
        <v>Filled</v>
      </c>
      <c r="E34" s="612" t="inlineStr">
        <is>
          <t>Filled</t>
        </is>
      </c>
      <c r="F34" s="634" t="str">
        <f>IF(INDEX('REVIEW - Complete Role Mapping'!$AR:$AR,217)="Squad",INDEX('REVIEW - Complete Role Mapping'!$AP:$AP,217),INDEX('REVIEW - Complete Role Mapping'!$AR:$AR,217))</f>
        <v>Service Op &amp; Assurance</v>
      </c>
      <c r="G34" s="627">
        <f>INDEX('REVIEW - Complete Role Mapping'!$AA:$AA,217)</f>
        <v>272070.45</v>
      </c>
      <c r="H34" s="627">
        <f>$G34*IFERROR(INDEX(Lists!$AD:$AD,MATCH($E34,Lists!$AC:$AC,0)),1)</f>
        <v>272070.45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Mapping'!$B:$B,222)</f>
        <v>Rajini Onteddu Reddy</v>
      </c>
      <c r="C35" s="634" t="str">
        <f>INDEX('REVIEW - Complete Role Mapping'!$C:$C,222)</f>
        <v>Head of Service Operations &amp; Assurance</v>
      </c>
      <c r="D35" s="612" t="str">
        <f>INDEX('REVIEW - Complete Role Mapping'!$AK:$AK,222)</f>
        <v>Filled</v>
      </c>
      <c r="E35" s="612" t="inlineStr">
        <is>
          <t>Filled</t>
        </is>
      </c>
      <c r="F35" s="634" t="str">
        <f>IF(INDEX('REVIEW - Complete Role Mapping'!$AR:$AR,222)="Squad",INDEX('REVIEW - Complete Role Mapping'!$AP:$AP,222),INDEX('REVIEW - Complete Role Mapping'!$AR:$AR,222))</f>
        <v>Service Op &amp; Assurance</v>
      </c>
      <c r="G35" s="627">
        <f>INDEX('REVIEW - Complete Role Mapping'!$AA:$AA,222)</f>
        <v>400671.4</v>
      </c>
      <c r="H35" s="627">
        <f>$G35*IFERROR(INDEX(Lists!$AD:$AD,MATCH($E35,Lists!$AC:$AC,0)),1)</f>
        <v>400671.4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Mapping'!$B:$B,224)</f>
        <v>Remya Pookat</v>
      </c>
      <c r="C36" s="634" t="str">
        <f>INDEX('REVIEW - Complete Role Mapping'!$C:$C,224)</f>
        <v>Lead – Change &amp; Release Management</v>
      </c>
      <c r="D36" s="612" t="str">
        <f>INDEX('REVIEW - Complete Role Mapping'!$AK:$AK,224)</f>
        <v>Filled</v>
      </c>
      <c r="E36" s="612" t="inlineStr">
        <is>
          <t>Filled</t>
        </is>
      </c>
      <c r="F36" s="634" t="str">
        <f>IF(INDEX('REVIEW - Complete Role Mapping'!$AR:$AR,224)="Squad",INDEX('REVIEW - Complete Role Mapping'!$AP:$AP,224),INDEX('REVIEW - Complete Role Mapping'!$AR:$AR,224))</f>
        <v>Service Op &amp; Assurance</v>
      </c>
      <c r="G36" s="627">
        <f>INDEX('REVIEW - Complete Role Mapping'!$AA:$AA,224)</f>
        <v>220875.75</v>
      </c>
      <c r="H36" s="627">
        <f>$G36*IFERROR(INDEX(Lists!$AD:$AD,MATCH($E36,Lists!$AC:$AC,0)),1)</f>
        <v>220875.75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Mapping'!$B:$B,225)</f>
        <v>Ritika Salaria</v>
      </c>
      <c r="C37" s="634" t="str">
        <f>INDEX('REVIEW - Complete Role Mapping'!$C:$C,225)</f>
        <v>Configuration Analyst</v>
      </c>
      <c r="D37" s="612" t="str">
        <f>INDEX('REVIEW - Complete Role Mapping'!$AK:$AK,225)</f>
        <v>Filled</v>
      </c>
      <c r="E37" s="612" t="inlineStr">
        <is>
          <t>Filled</t>
        </is>
      </c>
      <c r="F37" s="634" t="str">
        <f>IF(INDEX('REVIEW - Complete Role Mapping'!$AR:$AR,225)="Squad",INDEX('REVIEW - Complete Role Mapping'!$AP:$AP,225),INDEX('REVIEW - Complete Role Mapping'!$AR:$AR,225))</f>
        <v>Service Op &amp; Assurance</v>
      </c>
      <c r="G37" s="627">
        <f>INDEX('REVIEW - Complete Role Mapping'!$AA:$AA,225)</f>
        <v>173106.6</v>
      </c>
      <c r="H37" s="627">
        <f>$G37*IFERROR(INDEX(Lists!$AD:$AD,MATCH($E37,Lists!$AC:$AC,0)),1)</f>
        <v>173106.6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Mapping'!$B:$B,229)</f>
        <v>Spoilagi Bhutwala</v>
      </c>
      <c r="C38" s="634" t="str">
        <f>INDEX('REVIEW - Complete Role Mapping'!$C:$C,229)</f>
        <v>Tech Support Technician</v>
      </c>
      <c r="D38" s="612" t="str">
        <f>INDEX('REVIEW - Complete Role Mapping'!$AK:$AK,229)</f>
        <v>Filled</v>
      </c>
      <c r="E38" s="612" t="inlineStr">
        <is>
          <t>Filled</t>
        </is>
      </c>
      <c r="F38" s="634" t="str">
        <f>IF(INDEX('REVIEW - Complete Role Mapping'!$AR:$AR,229)="Squad",INDEX('REVIEW - Complete Role Mapping'!$AP:$AP,229),INDEX('REVIEW - Complete Role Mapping'!$AR:$AR,229))</f>
        <v>Service Op &amp; Assurance</v>
      </c>
      <c r="G38" s="627">
        <f>INDEX('REVIEW - Complete Role Mapping'!$AA:$AA,229)</f>
        <v>97237.784</v>
      </c>
      <c r="H38" s="627">
        <f>$G38*IFERROR(INDEX(Lists!$AD:$AD,MATCH($E38,Lists!$AC:$AC,0)),1)</f>
        <v>97237.784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Mapping'!$B:$B,233)</f>
        <v>Vacant</v>
      </c>
      <c r="C39" s="634" t="str">
        <f>INDEX('REVIEW - Complete Role Mapping'!$C:$C,233)</f>
        <v>Lead – Problem Management</v>
      </c>
      <c r="D39" s="612" t="str">
        <f>INDEX('REVIEW - Complete Role Mapping'!$AK:$AK,233)</f>
        <v>Vacant</v>
      </c>
      <c r="E39" s="612" t="inlineStr">
        <is>
          <t>Hold</t>
        </is>
      </c>
      <c r="F39" s="634" t="str">
        <f>IF(INDEX('REVIEW - Complete Role Mapping'!$AR:$AR,233)="Squad",INDEX('REVIEW - Complete Role Mapping'!$AP:$AP,233),INDEX('REVIEW - Complete Role Mapping'!$AR:$AR,233))</f>
        <v>Service Op &amp; Assurance</v>
      </c>
      <c r="G39" s="627">
        <f>INDEX('REVIEW - Complete Role Mapping'!$AA:$AA,233)</f>
        <v>170489.75</v>
      </c>
      <c r="H39" s="627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Mapping'!$B:$B,234)</f>
        <v>Vacant</v>
      </c>
      <c r="C40" s="634" t="str">
        <f>INDEX('REVIEW - Complete Role Mapping'!$C:$C,234)</f>
        <v>Lead – Asset &amp; Configuration</v>
      </c>
      <c r="D40" s="612" t="str">
        <f>INDEX('REVIEW - Complete Role Mapping'!$AK:$AK,234)</f>
        <v>Vacant</v>
      </c>
      <c r="E40" s="612" t="inlineStr">
        <is>
          <t>Hold</t>
        </is>
      </c>
      <c r="F40" s="634" t="str">
        <f>IF(INDEX('REVIEW - Complete Role Mapping'!$AR:$AR,234)="Squad",INDEX('REVIEW - Complete Role Mapping'!$AP:$AP,234),INDEX('REVIEW - Complete Role Mapping'!$AR:$AR,234))</f>
        <v>Service Op &amp; Assurance</v>
      </c>
      <c r="G40" s="627">
        <f>INDEX('REVIEW - Complete Role Mapping'!$AA:$AA,234)</f>
        <v>202853.25</v>
      </c>
      <c r="H40" s="627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Mapping'!$B:$B,235)</f>
        <v>Vacant</v>
      </c>
      <c r="C41" s="634" t="str">
        <f>INDEX('REVIEW - Complete Role Mapping'!$C:$C,235)</f>
        <v>Lead – Service Performance &amp; Insights</v>
      </c>
      <c r="D41" s="612" t="str">
        <f>INDEX('REVIEW - Complete Role Mapping'!$AK:$AK,235)</f>
        <v>Vacant</v>
      </c>
      <c r="E41" s="612" t="inlineStr">
        <is>
          <t>Hold</t>
        </is>
      </c>
      <c r="F41" s="634" t="str">
        <f>IF(INDEX('REVIEW - Complete Role Mapping'!$AR:$AR,235)="Squad",INDEX('REVIEW - Complete Role Mapping'!$AP:$AP,235),INDEX('REVIEW - Complete Role Mapping'!$AR:$AR,235))</f>
        <v>Service Op &amp; Assurance</v>
      </c>
      <c r="G41" s="627">
        <f>INDEX('REVIEW - Complete Role Mapping'!$AA:$AA,235)</f>
        <v>202853.25</v>
      </c>
      <c r="H41" s="627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Mapping'!$B:$B,236)</f>
        <v>Vacant</v>
      </c>
      <c r="C42" s="634" t="str">
        <f>INDEX('REVIEW - Complete Role Mapping'!$C:$C,236)</f>
        <v>Tech Support Technician</v>
      </c>
      <c r="D42" s="612" t="str">
        <f>INDEX('REVIEW - Complete Role Mapping'!$AK:$AK,236)</f>
        <v>Vacant</v>
      </c>
      <c r="E42" s="612" t="inlineStr">
        <is>
          <t>Hold</t>
        </is>
      </c>
      <c r="F42" s="634" t="str">
        <f>IF(INDEX('REVIEW - Complete Role Mapping'!$AR:$AR,236)="Squad",INDEX('REVIEW - Complete Role Mapping'!$AP:$AP,236),INDEX('REVIEW - Complete Role Mapping'!$AR:$AR,236))</f>
        <v>Service Op &amp; Assurance</v>
      </c>
      <c r="G42" s="627">
        <f>INDEX('REVIEW - Complete Role Mapping'!$AA:$AA,236)</f>
        <v>122571.75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Mapping'!$B:$B,196)</f>
        <v>Cameron Watman</v>
      </c>
      <c r="C43" s="634" t="str">
        <f>INDEX('REVIEW - Complete Role Mapping'!$C:$C,196)</f>
        <v>Engineer - IDAM</v>
      </c>
      <c r="D43" s="612" t="str">
        <f>INDEX('REVIEW - Complete Role Mapping'!$AK:$AK,196)</f>
        <v>Filled</v>
      </c>
      <c r="E43" s="612" t="inlineStr">
        <is>
          <t>Filled</t>
        </is>
      </c>
      <c r="F43" s="634" t="str">
        <f>IF(INDEX('REVIEW - Complete Role Mapping'!$AR:$AR,196)="Squad",INDEX('REVIEW - Complete Role Mapping'!$AP:$AP,196),INDEX('REVIEW - Complete Role Mapping'!$AR:$AR,196))</f>
        <v>Cyber Strat &amp; Tech</v>
      </c>
      <c r="G43" s="627">
        <f>INDEX('REVIEW - Complete Role Mapping'!$AA:$AA,196)</f>
        <v>173132.9</v>
      </c>
      <c r="H43" s="627">
        <f>$G43*IFERROR(INDEX(Lists!$AD:$AD,MATCH($E43,Lists!$AC:$AC,0)),1)</f>
        <v>173132.9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Mapping'!$B:$B,197)</f>
        <v>Catherine Gire</v>
      </c>
      <c r="C44" s="634" t="str">
        <f>INDEX('REVIEW - Complete Role Mapping'!$C:$C,197)</f>
        <v>Cyber Technical Business Analyst</v>
      </c>
      <c r="D44" s="612" t="str">
        <f>INDEX('REVIEW - Complete Role Mapping'!$AK:$AK,197)</f>
        <v>Filled</v>
      </c>
      <c r="E44" s="612" t="inlineStr">
        <is>
          <t>Filled</t>
        </is>
      </c>
      <c r="F44" s="634" t="str">
        <f>IF(INDEX('REVIEW - Complete Role Mapping'!$AR:$AR,197)="Squad",INDEX('REVIEW - Complete Role Mapping'!$AP:$AP,197),INDEX('REVIEW - Complete Role Mapping'!$AR:$AR,197))</f>
        <v>Cyber Strat &amp; Tech</v>
      </c>
      <c r="G44" s="627">
        <f>INDEX('REVIEW - Complete Role Mapping'!$AA:$AA,197)</f>
        <v>227163.6</v>
      </c>
      <c r="H44" s="627">
        <f>$G44*IFERROR(INDEX(Lists!$AD:$AD,MATCH($E44,Lists!$AC:$AC,0)),1)</f>
        <v>227163.6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Mapping'!$B:$B,198)</f>
        <v>Chris Lyons</v>
      </c>
      <c r="C45" s="634" t="str">
        <f>INDEX('REVIEW - Complete Role Mapping'!$C:$C,198)</f>
        <v>Cyber Security Architect</v>
      </c>
      <c r="D45" s="612" t="str">
        <f>INDEX('REVIEW - Complete Role Mapping'!$AK:$AK,198)</f>
        <v>Filled</v>
      </c>
      <c r="E45" s="612" t="inlineStr">
        <is>
          <t>Filled</t>
        </is>
      </c>
      <c r="F45" s="634" t="str">
        <f>IF(INDEX('REVIEW - Complete Role Mapping'!$AR:$AR,198)="Squad",INDEX('REVIEW - Complete Role Mapping'!$AP:$AP,198),INDEX('REVIEW - Complete Role Mapping'!$AR:$AR,198))</f>
        <v>Cyber Strat &amp; Tech</v>
      </c>
      <c r="G45" s="627">
        <f>INDEX('REVIEW - Complete Role Mapping'!$AA:$AA,198)</f>
        <v>283353.75</v>
      </c>
      <c r="H45" s="627">
        <f>$G45*IFERROR(INDEX(Lists!$AD:$AD,MATCH($E45,Lists!$AC:$AC,0)),1)</f>
        <v>283353.75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Mapping'!$B:$B,200)</f>
        <v>Dan Balsamo</v>
      </c>
      <c r="C46" s="634" t="str">
        <f>INDEX('REVIEW - Complete Role Mapping'!$C:$C,200)</f>
        <v>Senior Cyber Project Manager</v>
      </c>
      <c r="D46" s="612" t="str">
        <f>INDEX('REVIEW - Complete Role Mapping'!$AK:$AK,200)</f>
        <v>Filled</v>
      </c>
      <c r="E46" s="612" t="inlineStr">
        <is>
          <t>Filled</t>
        </is>
      </c>
      <c r="F46" s="634" t="str">
        <f>IF(INDEX('REVIEW - Complete Role Mapping'!$AR:$AR,200)="Squad",INDEX('REVIEW - Complete Role Mapping'!$AP:$AP,200),INDEX('REVIEW - Complete Role Mapping'!$AR:$AR,200))</f>
        <v>Cyber Strat &amp; Tech</v>
      </c>
      <c r="G46" s="627">
        <f>INDEX('REVIEW - Complete Role Mapping'!$AA:$AA,200)</f>
        <v>258576.15</v>
      </c>
      <c r="H46" s="627">
        <f>$G46*IFERROR(INDEX(Lists!$AD:$AD,MATCH($E46,Lists!$AC:$AC,0)),1)</f>
        <v>258576.15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Mapping'!$B:$B,203)</f>
        <v>Darshan Suvama</v>
      </c>
      <c r="C47" s="634" t="str">
        <f>INDEX('REVIEW - Complete Role Mapping'!$C:$C,203)</f>
        <v>Cyber Offensive Security Lead</v>
      </c>
      <c r="D47" s="612" t="str">
        <f>INDEX('REVIEW - Complete Role Mapping'!$AK:$AK,203)</f>
        <v>Filled</v>
      </c>
      <c r="E47" s="612" t="inlineStr">
        <is>
          <t>Filled</t>
        </is>
      </c>
      <c r="F47" s="634" t="str">
        <f>IF(INDEX('REVIEW - Complete Role Mapping'!$AR:$AR,203)="Squad",INDEX('REVIEW - Complete Role Mapping'!$AP:$AP,203),INDEX('REVIEW - Complete Role Mapping'!$AR:$AR,203))</f>
        <v>Cyber Strat &amp; Tech</v>
      </c>
      <c r="G47" s="627">
        <f>INDEX('REVIEW - Complete Role Mapping'!$AA:$AA,203)</f>
        <v>285342.9</v>
      </c>
      <c r="H47" s="627">
        <f>$G47*IFERROR(INDEX(Lists!$AD:$AD,MATCH($E47,Lists!$AC:$AC,0)),1)</f>
        <v>285342.9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Mapping'!$B:$B,206)</f>
        <v>Iwan Wibisono</v>
      </c>
      <c r="C48" s="634" t="str">
        <f>INDEX('REVIEW - Complete Role Mapping'!$C:$C,206)</f>
        <v>Engineer - IDAM</v>
      </c>
      <c r="D48" s="612" t="str">
        <f>INDEX('REVIEW - Complete Role Mapping'!$AK:$AK,206)</f>
        <v>Filled</v>
      </c>
      <c r="E48" s="612" t="inlineStr">
        <is>
          <t>Filled</t>
        </is>
      </c>
      <c r="F48" s="634" t="str">
        <f>IF(INDEX('REVIEW - Complete Role Mapping'!$AR:$AR,206)="Squad",INDEX('REVIEW - Complete Role Mapping'!$AP:$AP,206),INDEX('REVIEW - Complete Role Mapping'!$AR:$AR,206))</f>
        <v>Cyber Strat &amp; Tech</v>
      </c>
      <c r="G48" s="627">
        <f>INDEX('REVIEW - Complete Role Mapping'!$AA:$AA,206)</f>
        <v>215682.6</v>
      </c>
      <c r="H48" s="627">
        <f>$G48*IFERROR(INDEX(Lists!$AD:$AD,MATCH($E48,Lists!$AC:$AC,0)),1)</f>
        <v>215682.6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Mapping'!$B:$B,208)</f>
        <v>James Byrne</v>
      </c>
      <c r="C49" s="634" t="str">
        <f>INDEX('REVIEW - Complete Role Mapping'!$C:$C,208)</f>
        <v>Head of Cyber Strategy &amp; Technology</v>
      </c>
      <c r="D49" s="612" t="str">
        <f>INDEX('REVIEW - Complete Role Mapping'!$AK:$AK,208)</f>
        <v>Filled</v>
      </c>
      <c r="E49" s="612" t="inlineStr">
        <is>
          <t>Filled</t>
        </is>
      </c>
      <c r="F49" s="634" t="str">
        <f>IF(INDEX('REVIEW - Complete Role Mapping'!$AR:$AR,208)="Squad",INDEX('REVIEW - Complete Role Mapping'!$AP:$AP,208),INDEX('REVIEW - Complete Role Mapping'!$AR:$AR,208))</f>
        <v>Cyber Strat &amp; Tech</v>
      </c>
      <c r="G49" s="627">
        <f>INDEX('REVIEW - Complete Role Mapping'!$AA:$AA,208)</f>
        <v>382587.7</v>
      </c>
      <c r="H49" s="627">
        <f>$G49*IFERROR(INDEX(Lists!$AD:$AD,MATCH($E49,Lists!$AC:$AC,0)),1)</f>
        <v>382587.7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Mapping'!$B:$B,210)</f>
        <v>Joe Nahma</v>
      </c>
      <c r="C50" s="634" t="str">
        <f>INDEX('REVIEW - Complete Role Mapping'!$C:$C,210)</f>
        <v>Manager Identity &amp; Access Management</v>
      </c>
      <c r="D50" s="612" t="str">
        <f>INDEX('REVIEW - Complete Role Mapping'!$AK:$AK,210)</f>
        <v>Filled</v>
      </c>
      <c r="E50" s="612" t="inlineStr">
        <is>
          <t>Filled</t>
        </is>
      </c>
      <c r="F50" s="634" t="str">
        <f>IF(INDEX('REVIEW - Complete Role Mapping'!$AR:$AR,210)="Squad",INDEX('REVIEW - Complete Role Mapping'!$AP:$AP,210),INDEX('REVIEW - Complete Role Mapping'!$AR:$AR,210))</f>
        <v>Cyber Strat &amp; Tech</v>
      </c>
      <c r="G50" s="627">
        <f>INDEX('REVIEW - Complete Role Mapping'!$AA:$AA,210)</f>
        <v>258709.65</v>
      </c>
      <c r="H50" s="627">
        <f>$G50*IFERROR(INDEX(Lists!$AD:$AD,MATCH($E50,Lists!$AC:$AC,0)),1)</f>
        <v>258709.65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Mapping'!$B:$B,212)</f>
        <v>Kevin Sheerin</v>
      </c>
      <c r="C51" s="634" t="str">
        <f>INDEX('REVIEW - Complete Role Mapping'!$C:$C,212)</f>
        <v>Cyber Architecture Lead</v>
      </c>
      <c r="D51" s="612" t="str">
        <f>INDEX('REVIEW - Complete Role Mapping'!$AK:$AK,212)</f>
        <v>Filled</v>
      </c>
      <c r="E51" s="612" t="inlineStr">
        <is>
          <t>Filled</t>
        </is>
      </c>
      <c r="F51" s="634" t="str">
        <f>IF(INDEX('REVIEW - Complete Role Mapping'!$AR:$AR,212)="Squad",INDEX('REVIEW - Complete Role Mapping'!$AP:$AP,212),INDEX('REVIEW - Complete Role Mapping'!$AR:$AR,212))</f>
        <v>Cyber Strat &amp; Tech</v>
      </c>
      <c r="G51" s="627">
        <f>INDEX('REVIEW - Complete Role Mapping'!$AA:$AA,212)</f>
        <v>284982.45</v>
      </c>
      <c r="H51" s="627">
        <f>$G51*IFERROR(INDEX(Lists!$AD:$AD,MATCH($E51,Lists!$AC:$AC,0)),1)</f>
        <v>284982.45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Mapping'!$B:$B,221)</f>
        <v>Rahul Sahni</v>
      </c>
      <c r="C52" s="634" t="str">
        <f>INDEX('REVIEW - Complete Role Mapping'!$C:$C,221)</f>
        <v>Cyber Security Architect</v>
      </c>
      <c r="D52" s="612" t="str">
        <f>INDEX('REVIEW - Complete Role Mapping'!$AK:$AK,221)</f>
        <v>Filled</v>
      </c>
      <c r="E52" s="612" t="inlineStr">
        <is>
          <t>Filled</t>
        </is>
      </c>
      <c r="F52" s="634" t="str">
        <f>IF(INDEX('REVIEW - Complete Role Mapping'!$AR:$AR,221)="Squad",INDEX('REVIEW - Complete Role Mapping'!$AP:$AP,221),INDEX('REVIEW - Complete Role Mapping'!$AR:$AR,221))</f>
        <v>Cyber Strat &amp; Tech</v>
      </c>
      <c r="G52" s="627">
        <f>INDEX('REVIEW - Complete Role Mapping'!$AA:$AA,221)</f>
        <v>226282.5</v>
      </c>
      <c r="H52" s="627">
        <f>$G52*IFERROR(INDEX(Lists!$AD:$AD,MATCH($E52,Lists!$AC:$AC,0)),1)</f>
        <v>226282.5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Mapping'!$B:$B,223)</f>
        <v>Raymond Cheung</v>
      </c>
      <c r="C53" s="634" t="str">
        <f>INDEX('REVIEW - Complete Role Mapping'!$C:$C,223)</f>
        <v>Engineer - IDAM</v>
      </c>
      <c r="D53" s="612" t="str">
        <f>INDEX('REVIEW - Complete Role Mapping'!$AK:$AK,223)</f>
        <v>Filled</v>
      </c>
      <c r="E53" s="612" t="inlineStr">
        <is>
          <t>Filled</t>
        </is>
      </c>
      <c r="F53" s="634" t="str">
        <f>IF(INDEX('REVIEW - Complete Role Mapping'!$AR:$AR,223)="Squad",INDEX('REVIEW - Complete Role Mapping'!$AP:$AP,223),INDEX('REVIEW - Complete Role Mapping'!$AR:$AR,223))</f>
        <v>Cyber Strat &amp; Tech</v>
      </c>
      <c r="G53" s="627">
        <f>INDEX('REVIEW - Complete Role Mapping'!$AA:$AA,223)</f>
        <v>190675</v>
      </c>
      <c r="H53" s="627">
        <f>$G53*IFERROR(INDEX(Lists!$AD:$AD,MATCH($E53,Lists!$AC:$AC,0)),1)</f>
        <v>190675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Mapping'!$B:$B,232)</f>
        <v>Tony Keeler</v>
      </c>
      <c r="C54" s="634" t="str">
        <f>INDEX('REVIEW - Complete Role Mapping'!$C:$C,232)</f>
        <v>Cyber Business Analyst</v>
      </c>
      <c r="D54" s="612" t="str">
        <f>INDEX('REVIEW - Complete Role Mapping'!$AK:$AK,232)</f>
        <v>Filled</v>
      </c>
      <c r="E54" s="612" t="inlineStr">
        <is>
          <t>Filled</t>
        </is>
      </c>
      <c r="F54" s="634" t="str">
        <f>IF(INDEX('REVIEW - Complete Role Mapping'!$AR:$AR,232)="Squad",INDEX('REVIEW - Complete Role Mapping'!$AP:$AP,232),INDEX('REVIEW - Complete Role Mapping'!$AR:$AR,232))</f>
        <v>Cyber Strat &amp; Tech</v>
      </c>
      <c r="G54" s="627">
        <f>INDEX('REVIEW - Complete Role Mapping'!$AA:$AA,232)</f>
        <v>213600</v>
      </c>
      <c r="H54" s="627">
        <f>$G54*IFERROR(INDEX(Lists!$AD:$AD,MATCH($E54,Lists!$AC:$AC,0)),1)</f>
        <v>213600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Mapping'!$B:$B,238)</f>
        <v>Vivienne Vasak</v>
      </c>
      <c r="C55" s="634" t="str">
        <f>INDEX('REVIEW - Complete Role Mapping'!$C:$C,238)</f>
        <v>Portfolio Manager Cyber Security</v>
      </c>
      <c r="D55" s="612" t="str">
        <f>INDEX('REVIEW - Complete Role Mapping'!$AK:$AK,238)</f>
        <v>Filled</v>
      </c>
      <c r="E55" s="612" t="inlineStr">
        <is>
          <t>Filled</t>
        </is>
      </c>
      <c r="F55" s="634" t="str">
        <f>IF(INDEX('REVIEW - Complete Role Mapping'!$AR:$AR,238)="Squad",INDEX('REVIEW - Complete Role Mapping'!$AP:$AP,238),INDEX('REVIEW - Complete Role Mapping'!$AR:$AR,238))</f>
        <v>Cyber Strat &amp; Tech</v>
      </c>
      <c r="G55" s="627">
        <f>INDEX('REVIEW - Complete Role Mapping'!$AA:$AA,238)</f>
        <v>315674.35</v>
      </c>
      <c r="H55" s="627">
        <f>$G55*IFERROR(INDEX(Lists!$AD:$AD,MATCH($E55,Lists!$AC:$AC,0)),1)</f>
        <v>315674.35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Mapping'!$B:$B,204)</f>
        <v>Diya Thomas</v>
      </c>
      <c r="C56" s="634" t="str">
        <f>INDEX('REVIEW - Complete Role Mapping'!$C:$C,204)</f>
        <v>Manager Cyber Security GRC</v>
      </c>
      <c r="D56" s="612" t="str">
        <f>INDEX('REVIEW - Complete Role Mapping'!$AK:$AK,204)</f>
        <v>Filled</v>
      </c>
      <c r="E56" s="647" t="inlineStr">
        <is>
          <t>Filled</t>
        </is>
      </c>
      <c r="F56" s="648" t="str">
        <f>IF(INDEX('REVIEW - Complete Role Mapping'!$AR:$AR,204)="Squad",INDEX('REVIEW - Complete Role Mapping'!$AP:$AP,204),INDEX('REVIEW - Complete Role Mapping'!$AR:$AR,204))</f>
        <v>Cyber GRC</v>
      </c>
      <c r="G56" s="627">
        <f>INDEX('REVIEW - Complete Role Mapping'!$AA:$AA,204)</f>
        <v>287043.2</v>
      </c>
      <c r="H56" s="627">
        <f>$G56*IFERROR(INDEX(Lists!$AD:$AD,MATCH($E56,Lists!$AC:$AC,0)),1)</f>
        <v>287043.2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Mapping'!$B:$B,219)</f>
        <v>Pooja Kuperkar</v>
      </c>
      <c r="C57" s="634" t="str">
        <f>INDEX('REVIEW - Complete Role Mapping'!$C:$C,219)</f>
        <v>Cyber GRC Analyst</v>
      </c>
      <c r="D57" s="612" t="str">
        <f>INDEX('REVIEW - Complete Role Mapping'!$AK:$AK,219)</f>
        <v>Filled</v>
      </c>
      <c r="E57" s="647" t="inlineStr">
        <is>
          <t>Filled</t>
        </is>
      </c>
      <c r="F57" s="648" t="str">
        <f>IF(INDEX('REVIEW - Complete Role Mapping'!$AR:$AR,219)="Squad",INDEX('REVIEW - Complete Role Mapping'!$AP:$AP,219),INDEX('REVIEW - Complete Role Mapping'!$AR:$AR,219))</f>
        <v>Cyber GRC</v>
      </c>
      <c r="G57" s="627">
        <f>INDEX('REVIEW - Complete Role Mapping'!$AA:$AA,219)</f>
        <v>203440.65</v>
      </c>
      <c r="H57" s="627">
        <f>$G57*IFERROR(INDEX(Lists!$AD:$AD,MATCH($E57,Lists!$AC:$AC,0)),1)</f>
        <v>203440.65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Mapping'!$B:$B,220)</f>
        <v>Prashanth Chandran</v>
      </c>
      <c r="C58" s="634" t="str">
        <f>INDEX('REVIEW - Complete Role Mapping'!$C:$C,220)</f>
        <v>Senior Cyber GRC Specialist</v>
      </c>
      <c r="D58" s="612" t="str">
        <f>INDEX('REVIEW - Complete Role Mapping'!$AK:$AK,220)</f>
        <v>Filled</v>
      </c>
      <c r="E58" s="647" t="inlineStr">
        <is>
          <t>Filled</t>
        </is>
      </c>
      <c r="F58" s="648" t="str">
        <f>IF(INDEX('REVIEW - Complete Role Mapping'!$AR:$AR,220)="Squad",INDEX('REVIEW - Complete Role Mapping'!$AP:$AP,220),INDEX('REVIEW - Complete Role Mapping'!$AR:$AR,220))</f>
        <v>Cyber GRC</v>
      </c>
      <c r="G58" s="627">
        <f>INDEX('REVIEW - Complete Role Mapping'!$AA:$AA,220)</f>
        <v>220275</v>
      </c>
      <c r="H58" s="627">
        <f>$G58*IFERROR(INDEX(Lists!$AD:$AD,MATCH($E58,Lists!$AC:$AC,0)),1)</f>
        <v>220275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Mapping'!$B:$B,228)</f>
        <v>Shruti Manchanda</v>
      </c>
      <c r="C59" s="634" t="str">
        <f>INDEX('REVIEW - Complete Role Mapping'!$C:$C,228)</f>
        <v>Cyber GRC Analyst</v>
      </c>
      <c r="D59" s="612" t="str">
        <f>INDEX('REVIEW - Complete Role Mapping'!$AK:$AK,228)</f>
        <v>Filled</v>
      </c>
      <c r="E59" s="647" t="inlineStr">
        <is>
          <t>Filled</t>
        </is>
      </c>
      <c r="F59" s="648" t="str">
        <f>IF(INDEX('REVIEW - Complete Role Mapping'!$AR:$AR,228)="Squad",INDEX('REVIEW - Complete Role Mapping'!$AP:$AP,228),INDEX('REVIEW - Complete Role Mapping'!$AR:$AR,228))</f>
        <v>Cyber GRC</v>
      </c>
      <c r="G59" s="627">
        <f>INDEX('REVIEW - Complete Role Mapping'!$AA:$AA,228)</f>
        <v>228885.75</v>
      </c>
      <c r="H59" s="627">
        <f>$G59*IFERROR(INDEX(Lists!$AD:$AD,MATCH($E59,Lists!$AC:$AC,0)),1)</f>
        <v>228885.75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Mapping'!$B:$B,237)</f>
        <v>Vanessa Castro</v>
      </c>
      <c r="C60" s="634" t="str">
        <f>INDEX('REVIEW - Complete Role Mapping'!$C:$C,237)</f>
        <v>Cyber GRC Analyst</v>
      </c>
      <c r="D60" s="612" t="str">
        <f>INDEX('REVIEW - Complete Role Mapping'!$AK:$AK,237)</f>
        <v>Filled</v>
      </c>
      <c r="E60" s="612" t="inlineStr">
        <is>
          <t>Filled</t>
        </is>
      </c>
      <c r="F60" s="634" t="str">
        <f>IF(INDEX('REVIEW - Complete Role Mapping'!$AR:$AR,237)="Squad",INDEX('REVIEW - Complete Role Mapping'!$AP:$AP,237),INDEX('REVIEW - Complete Role Mapping'!$AR:$AR,237))</f>
        <v>Cyber GRC</v>
      </c>
      <c r="G60" s="627">
        <f>INDEX('REVIEW - Complete Role Mapping'!$AA:$AA,237)</f>
        <v>131833.188</v>
      </c>
      <c r="H60" s="627">
        <f>$G60*IFERROR(INDEX(Lists!$AD:$AD,MATCH($E60,Lists!$AC:$AC,0)),1)</f>
        <v>131833.188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Mapping'!$B:$B,213)</f>
        <v>Lisa Ng</v>
      </c>
      <c r="C61" s="634" t="str">
        <f>INDEX('REVIEW - Complete Role Mapping'!$C:$C,213)</f>
        <v>Cyber Security Analyst</v>
      </c>
      <c r="D61" s="612" t="str">
        <f>INDEX('REVIEW - Complete Role Mapping'!$AK:$AK,213)</f>
        <v>Filled</v>
      </c>
      <c r="E61" s="612" t="inlineStr">
        <is>
          <t>Filled</t>
        </is>
      </c>
      <c r="F61" s="634" t="str">
        <f>IF(INDEX('REVIEW - Complete Role Mapping'!$AR:$AR,213)="Squad",INDEX('REVIEW - Complete Role Mapping'!$AP:$AP,213),INDEX('REVIEW - Complete Role Mapping'!$AR:$AR,213))</f>
        <v>Cyber Sec Ops</v>
      </c>
      <c r="G61" s="627">
        <f>INDEX('REVIEW - Complete Role Mapping'!$AA:$AA,213)</f>
        <v>147800.064</v>
      </c>
      <c r="H61" s="627">
        <f>$G61*IFERROR(INDEX(Lists!$AD:$AD,MATCH($E61,Lists!$AC:$AC,0)),1)</f>
        <v>147800.064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Mapping'!$B:$B,218)</f>
        <v>Nischal Bhusal</v>
      </c>
      <c r="C62" s="646" t="str">
        <f>INDEX('REVIEW - Complete Role Mapping'!$C:$C,218)</f>
        <v>Cyber Security Analyst</v>
      </c>
      <c r="D62" s="646" t="str">
        <f>INDEX('REVIEW - Complete Role Mapping'!$AK:$AK,218)</f>
        <v>Filled</v>
      </c>
      <c r="E62" s="646" t="inlineStr">
        <is>
          <t>Filled</t>
        </is>
      </c>
      <c r="F62" s="646" t="str">
        <f>IF(INDEX('REVIEW - Complete Role Mapping'!$AR:$AR,218)="Squad",INDEX('REVIEW - Complete Role Mapping'!$AP:$AP,218),INDEX('REVIEW - Complete Role Mapping'!$AR:$AR,218))</f>
        <v>Cyber Sec Ops</v>
      </c>
      <c r="G62" s="627">
        <f>INDEX('REVIEW - Complete Role Mapping'!$AA:$AA,218)</f>
        <v>215629.2</v>
      </c>
      <c r="H62" s="627">
        <f>$G62*IFERROR(INDEX(Lists!$AD:$AD,MATCH($E62,Lists!$AC:$AC,0)),1)</f>
        <v>215629.2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Mapping'!$B:$B,226)</f>
        <v>Sameer Pattanaik</v>
      </c>
      <c r="C63" s="634" t="str">
        <f>INDEX('REVIEW - Complete Role Mapping'!$C:$C,226)</f>
        <v>Cyber Security Operations Lead</v>
      </c>
      <c r="D63" s="612" t="str">
        <f>INDEX('REVIEW - Complete Role Mapping'!$AK:$AK,226)</f>
        <v>Filled</v>
      </c>
      <c r="E63" s="612" t="inlineStr">
        <is>
          <t>Filled</t>
        </is>
      </c>
      <c r="F63" s="634" t="str">
        <f>IF(INDEX('REVIEW - Complete Role Mapping'!$AR:$AR,226)="Squad",INDEX('REVIEW - Complete Role Mapping'!$AP:$AP,226),INDEX('REVIEW - Complete Role Mapping'!$AR:$AR,226))</f>
        <v>Cyber Sec Ops</v>
      </c>
      <c r="G63" s="627">
        <f>INDEX('REVIEW - Complete Role Mapping'!$AA:$AA,226)</f>
        <v>212878.38</v>
      </c>
      <c r="H63" s="627">
        <f>$G63*IFERROR(INDEX(Lists!$AD:$AD,MATCH($E63,Lists!$AC:$AC,0)),1)</f>
        <v>212878.38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Mapping'!$B:$B,230)</f>
        <v>Stafford Dowling</v>
      </c>
      <c r="C64" s="646" t="str">
        <f>INDEX('REVIEW - Complete Role Mapping'!$C:$C,230)</f>
        <v>Cyber Security Analyst</v>
      </c>
      <c r="D64" s="646" t="str">
        <f>INDEX('REVIEW - Complete Role Mapping'!$AK:$AK,230)</f>
        <v>Filled</v>
      </c>
      <c r="E64" s="646" t="inlineStr">
        <is>
          <t>Filled</t>
        </is>
      </c>
      <c r="F64" s="646" t="str">
        <f>IF(INDEX('REVIEW - Complete Role Mapping'!$AR:$AR,230)="Squad",INDEX('REVIEW - Complete Role Mapping'!$AP:$AP,230),INDEX('REVIEW - Complete Role Mapping'!$AR:$AR,230))</f>
        <v>Cyber Sec Ops</v>
      </c>
      <c r="G64" s="627">
        <f>INDEX('REVIEW - Complete Role Mapping'!$AA:$AA,230)</f>
        <v>218713.05</v>
      </c>
      <c r="H64" s="627">
        <f>$G64*IFERROR(INDEX(Lists!$AD:$AD,MATCH($E64,Lists!$AC:$AC,0)),1)</f>
        <v>218713.05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Mapping'!$B:$B,231)</f>
        <v>Steven Atcheson</v>
      </c>
      <c r="C65" s="634" t="str">
        <f>INDEX('REVIEW - Complete Role Mapping'!$C:$C,231)</f>
        <v>Manager Cyber Security Operations</v>
      </c>
      <c r="D65" s="612" t="str">
        <f>INDEX('REVIEW - Complete Role Mapping'!$AK:$AK,231)</f>
        <v>Filled</v>
      </c>
      <c r="E65" s="612" t="inlineStr">
        <is>
          <t>Filled</t>
        </is>
      </c>
      <c r="F65" s="634" t="str">
        <f>IF(INDEX('REVIEW - Complete Role Mapping'!$AR:$AR,231)="Squad",INDEX('REVIEW - Complete Role Mapping'!$AP:$AP,231),INDEX('REVIEW - Complete Role Mapping'!$AR:$AR,231))</f>
        <v>Cyber Sec Ops</v>
      </c>
      <c r="G65" s="627">
        <f>INDEX('REVIEW - Complete Role Mapping'!$AA:$AA,231)</f>
        <v>316568.65</v>
      </c>
      <c r="H65" s="627">
        <f>$G65*IFERROR(INDEX(Lists!$AD:$AD,MATCH($E65,Lists!$AC:$AC,0)),1)</f>
        <v>316568.65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Mapping'!$B:$B,195)</f>
        <v>Brian Gates</v>
      </c>
      <c r="C66" s="646" t="str">
        <f>INDEX('REVIEW - Complete Role Mapping'!$C:$C,195)</f>
        <v>Manager Risk &amp; Resilience</v>
      </c>
      <c r="D66" s="646" t="str">
        <f>INDEX('REVIEW - Complete Role Mapping'!$AK:$AK,195)</f>
        <v>Filled</v>
      </c>
      <c r="E66" s="646" t="inlineStr">
        <is>
          <t>Filled</t>
        </is>
      </c>
      <c r="F66" s="646" t="str">
        <f>IF(INDEX('REVIEW - Complete Role Mapping'!$AR:$AR,195)="Squad",INDEX('REVIEW - Complete Role Mapping'!$AP:$AP,195),INDEX('REVIEW - Complete Role Mapping'!$AR:$AR,195))</f>
        <v>Cyber Risk</v>
      </c>
      <c r="G66" s="1267">
        <f>INDEX('REVIEW - Complete Role Mapping'!$AA:$AA,195)</f>
        <v>287043.2</v>
      </c>
      <c r="H66" s="1267">
        <f>$G66*IFERROR(INDEX(Lists!$AD:$AD,MATCH($E66,Lists!$AC:$AC,0)),1)</f>
        <v>287043.2</v>
      </c>
      <c r="I66" s="442" t="n"/>
      <c r="J66" s="442" t="n"/>
      <c r="K66" s="442" t="n"/>
      <c r="L66" s="442" t="n"/>
      <c r="M66" s="442" t="n"/>
      <c r="N66" s="442" t="n"/>
    </row>
    <row r="67">
      <c r="B67" s="634" t="str">
        <f>INDEX('REVIEW - Complete Role Mapping'!$B:$B,227)</f>
        <v>Shomiya Shayal</v>
      </c>
      <c r="C67" s="634" t="str">
        <f>INDEX('REVIEW - Complete Role Mapping'!$C:$C,227)</f>
        <v>Risk &amp; Resilience Lead</v>
      </c>
      <c r="D67" s="612" t="str">
        <f>INDEX('REVIEW - Complete Role Mapping'!$AK:$AK,227)</f>
        <v>Filled</v>
      </c>
      <c r="E67" s="612" t="inlineStr">
        <is>
          <t>Filled</t>
        </is>
      </c>
      <c r="F67" s="634" t="str">
        <f>IF(INDEX('REVIEW - Complete Role Mapping'!$AR:$AR,227)="Squad",INDEX('REVIEW - Complete Role Mapping'!$AP:$AP,227),INDEX('REVIEW - Complete Role Mapping'!$AR:$AR,227))</f>
        <v>Cyber Risk</v>
      </c>
      <c r="G67" s="1267">
        <f>INDEX('REVIEW - Complete Role Mapping'!$AA:$AA,227)</f>
        <v>188515.032</v>
      </c>
      <c r="H67" s="1267">
        <f>$G67*IFERROR(INDEX(Lists!$AD:$AD,MATCH($E67,Lists!$AC:$AC,0)),1)</f>
        <v>188515.032</v>
      </c>
      <c r="I67" s="442" t="n"/>
      <c r="J67" s="442" t="n"/>
      <c r="K67" s="442" t="n"/>
      <c r="L67" s="442" t="n"/>
      <c r="M67" s="442" t="n"/>
      <c r="N67" s="442" t="n"/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67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3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4">
      <c r="B4" s="122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Transformation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COUNTIFS($F$20:$F$43,$B6)</f>
        <v>14</v>
      </c>
      <c r="F6" s="1271" t="str">
        <f>IFERROR($E6-$D6,"-")</f>
        <v>-</v>
      </c>
      <c r="G6" s="1261">
        <f>COUNTIFS($F$20:$F$43,$B6,$D$20:$D$43,"Vacant")</f>
        <v>8</v>
      </c>
      <c r="H6" s="1272">
        <f>COUNTIFS($F$20:$F$43,$B6,$D$20:$D$43,"Vacant",$E$20:$E$43,"Hire")+COUNTIFS($F$20:$F$43,$B6,$D$20:$D$43,"Vacant",$E$20:$E$43,"Offshore")</f>
        <v>0</v>
      </c>
      <c r="I6" s="1272">
        <f>COUNTIFS($F$20:$F$43,$B6,$D$20:$D$43,"Vacant",$E$20:$E$43,"Hold")</f>
        <v>8</v>
      </c>
      <c r="J6" s="1272">
        <f>$E6-COUNTIFS($F$20:$F$43,$B6,$E$20:$E$43,"Hold")</f>
        <v>6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SUMIFS($G$20:$G$43,$F$20:$F$43,$B6)/1000000</f>
        <v>3.10799923</v>
      </c>
      <c r="N6" s="1254" t="str">
        <f>IFERROR($M6-$L6,"-")</f>
        <v>-</v>
      </c>
      <c r="O6" s="1254">
        <f>SUMIFS($H$20:$H$43,$F$20:$F$43,$B6)/1000000</f>
        <v>1.19998525</v>
      </c>
      <c r="P6" s="1254">
        <f>$O6-$M6</f>
        <v>-1.90801398</v>
      </c>
      <c r="Q6" s="1254">
        <f>SUMIFS($G$20:$G$43,$F$20:$F$43,$B6,$D$20:$D$43,"Vacant")/1000000</f>
        <v>1.90801398</v>
      </c>
      <c r="R6" t="str">
        <f>"-"</f>
        <v>-</v>
      </c>
      <c r="S6" t="str">
        <f>IFERROR(INDEX(Lists!$AA:$AA,MATCH($B6,Lists!$Z:$Z,0)),$B6)</f>
        <v>Transformation</v>
      </c>
    </row>
    <row r="7">
      <c r="B7" s="546" t="inlineStr">
        <is>
          <t>Commercial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COUNTIFS($F$20:$F$43,$B7)</f>
        <v>4</v>
      </c>
      <c r="F7" s="1271" t="str">
        <f>IFERROR($E7-$D7,"-")</f>
        <v>-</v>
      </c>
      <c r="G7" s="1261">
        <f>COUNTIFS($F$20:$F$43,$B7,$D$20:$D$43,"Vacant")</f>
        <v>1</v>
      </c>
      <c r="H7" s="1272">
        <f>COUNTIFS($F$20:$F$43,$B7,$D$20:$D$43,"Vacant",$E$20:$E$43,"Hire")+COUNTIFS($F$20:$F$43,$B7,$D$20:$D$43,"Vacant",$E$20:$E$43,"Offshore")</f>
        <v>0</v>
      </c>
      <c r="I7" s="1272">
        <f>COUNTIFS($F$20:$F$43,$B7,$D$20:$D$43,"Vacant",$E$20:$E$43,"Hold")</f>
        <v>1</v>
      </c>
      <c r="J7" s="1272">
        <f>$E7-COUNTIFS($F$20:$F$43,$B7,$E$20:$E$43,"Hold")</f>
        <v>3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SUMIFS($G$20:$G$43,$F$20:$F$43,$B7)/1000000</f>
        <v>0.979014192</v>
      </c>
      <c r="N7" s="1254" t="str">
        <f>IFERROR($M7-$L7,"-")</f>
        <v>-</v>
      </c>
      <c r="O7" s="1254">
        <f>SUMIFS($H$20:$H$43,$F$20:$F$43,$B7)/1000000</f>
        <v>0.539514192</v>
      </c>
      <c r="P7" s="1254">
        <f>$O7-$M7</f>
        <v>-0.4395</v>
      </c>
      <c r="Q7" s="1254">
        <f>SUMIFS($G$20:$G$43,$F$20:$F$43,$B7,$D$20:$D$43,"Vacant")/1000000</f>
        <v>0.4395</v>
      </c>
      <c r="R7" t="str">
        <f>"-"</f>
        <v>-</v>
      </c>
      <c r="S7" t="str">
        <f>IFERROR(INDEX(Lists!$AA:$AA,MATCH($B7,Lists!$Z:$Z,0)),$B7)</f>
        <v>Commercial</v>
      </c>
    </row>
    <row r="8">
      <c r="B8" s="1218" t="inlineStr">
        <is>
          <t>Delivery squads</t>
        </is>
      </c>
      <c r="C8" s="620" t="n"/>
      <c r="D8" s="1261">
        <f>SUM(D6:D7)</f>
        <v>0</v>
      </c>
      <c r="E8" s="1261">
        <f>SUM(E6:E7)</f>
        <v>18</v>
      </c>
      <c r="F8" s="1261">
        <f>SUM(F6:F7)</f>
        <v>0</v>
      </c>
      <c r="G8" s="1261">
        <f>SUM(G6:G7)</f>
        <v>9</v>
      </c>
      <c r="H8" s="1272">
        <f>SUM(H6:H7)</f>
        <v>0</v>
      </c>
      <c r="I8" s="1272">
        <f>SUM(I6:I7)</f>
        <v>9</v>
      </c>
      <c r="J8" s="1272">
        <f>SUM(J6:J7)</f>
        <v>9</v>
      </c>
      <c r="L8" s="1254">
        <f>SUM(L6:L7)</f>
        <v>0</v>
      </c>
      <c r="M8" s="1254">
        <f>SUM(M6:M7)</f>
        <v>4.087013422</v>
      </c>
      <c r="N8" s="1254">
        <f>SUM(N6:N7)</f>
        <v>0</v>
      </c>
      <c r="O8" s="1254">
        <f>SUM(O6:O7)</f>
        <v>1.739499442</v>
      </c>
      <c r="P8" s="1254">
        <f>SUM(P6:P7)</f>
        <v>-2.34751398</v>
      </c>
      <c r="Q8" s="1254">
        <f>SUM(Q6:Q7)</f>
        <v>2.34751398</v>
      </c>
    </row>
    <row r="9">
      <c r="B9" s="1220" t="inlineStr">
        <is>
          <t>Overhead roles inside this portfolio - compared to the allowance</t>
        </is>
      </c>
      <c r="C9" s="510" t="n"/>
      <c r="D9" s="1261" t="n"/>
      <c r="E9" s="1261" t="n"/>
      <c r="F9" s="1261" t="n"/>
      <c r="G9" s="1261" t="n"/>
      <c r="H9" s="1272" t="n"/>
      <c r="I9" s="1272" t="n"/>
      <c r="J9" s="1272" t="n"/>
      <c r="L9" s="1254" t="n"/>
      <c r="M9" s="1254" t="n"/>
      <c r="N9" s="1254" t="n"/>
      <c r="O9" s="1254" t="n"/>
      <c r="P9" s="1254" t="n"/>
      <c r="Q9" s="1254" t="n"/>
    </row>
    <row r="10">
      <c r="B10" s="546" t="inlineStr">
        <is>
          <t>Business Partner</t>
        </is>
      </c>
      <c r="C10" s="510" t="str">
        <f>"Overhead - see 3.2"</f>
        <v>Overhead - see 3.2</v>
      </c>
      <c r="D10" s="1261" t="str">
        <f>"-"</f>
        <v>-</v>
      </c>
      <c r="E10" s="1261">
        <f>COUNTIFS($F$20:$F$43,$B10)</f>
        <v>6</v>
      </c>
      <c r="F10" s="1261" t="str">
        <f>"-"</f>
        <v>-</v>
      </c>
      <c r="G10" s="1261">
        <f>COUNTIFS($F$20:$F$43,$B10,$D$20:$D$43,"Vacant")</f>
        <v>0</v>
      </c>
      <c r="H10" s="1272">
        <f>COUNTIFS($F$20:$F$43,$B10,$D$20:$D$43,"Vacant",$E$20:$E$43,"Hire")+COUNTIFS($F$20:$F$43,$B10,$D$20:$D$43,"Vacant",$E$20:$E$43,"Offshore")</f>
        <v>0</v>
      </c>
      <c r="I10" s="1272">
        <f>COUNTIFS($F$20:$F$43,$B10,$D$20:$D$43,"Vacant",$E$20:$E$43,"Hold")</f>
        <v>0</v>
      </c>
      <c r="J10" s="1272">
        <f>$E10-COUNTIFS($F$20:$F$43,$B10,$E$20:$E$43,"Hold")</f>
        <v>6</v>
      </c>
      <c r="K10" t="str">
        <f>"Overhead"</f>
        <v>Overhead</v>
      </c>
      <c r="L10" s="1254" t="str">
        <f>"-"</f>
        <v>-</v>
      </c>
      <c r="M10" s="1254">
        <f>SUMIFS($G$20:$G$43,$F$20:$F$43,$B10)/1000000</f>
        <v>2.3135484</v>
      </c>
      <c r="N10" s="1254" t="str">
        <f>"-"</f>
        <v>-</v>
      </c>
      <c r="O10" s="1254">
        <f>SUMIFS($H$20:$H$43,$F$20:$F$43,$B10)/1000000</f>
        <v>2.3135484</v>
      </c>
      <c r="P10" s="1254">
        <f>$O10-$M10</f>
        <v>0</v>
      </c>
      <c r="Q10" s="1254">
        <f>SUMIFS($G$20:$G$43,$F$20:$F$43,$B10,$D$20:$D$43,"Vacant")/1000000</f>
        <v>0</v>
      </c>
      <c r="R10" t="str">
        <f>"-"</f>
        <v>-</v>
      </c>
    </row>
    <row r="11">
      <c r="B11" s="1218" t="inlineStr">
        <is>
          <t>Overhead roles</t>
        </is>
      </c>
      <c r="C11" s="510" t="n"/>
      <c r="D11" s="1261" t="n"/>
      <c r="E11" s="1261">
        <f>SUM(E10:E10)</f>
        <v>6</v>
      </c>
      <c r="F11" s="1261" t="n"/>
      <c r="G11" s="1261">
        <f>SUM(G10:G10)</f>
        <v>0</v>
      </c>
      <c r="H11" s="1272">
        <f>SUM(H10:H10)</f>
        <v>0</v>
      </c>
      <c r="I11" s="1272">
        <f>SUM(I10:I10)</f>
        <v>0</v>
      </c>
      <c r="J11" s="1272">
        <f>SUM(J10:J10)</f>
        <v>6</v>
      </c>
      <c r="L11" s="1254" t="n"/>
      <c r="M11" s="1254">
        <f>SUM(M10:M10)</f>
        <v>2.3135484</v>
      </c>
      <c r="N11" s="1254" t="n"/>
      <c r="O11" s="1254">
        <f>SUM(O10:O10)</f>
        <v>2.3135484</v>
      </c>
      <c r="P11" s="1254">
        <f>SUM(P10:P10)</f>
        <v>0</v>
      </c>
      <c r="Q11" s="1254">
        <f>SUM(Q10:Q10)</f>
        <v>0</v>
      </c>
    </row>
    <row r="12">
      <c r="B12" s="1240" t="n"/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295" t="inlineStr">
        <is>
          <t>Total portfolio</t>
        </is>
      </c>
      <c r="C13" s="533" t="n"/>
      <c r="D13" s="1288">
        <f>$D8</f>
        <v>0</v>
      </c>
      <c r="E13" s="1288">
        <f>$E8+$E11</f>
        <v>24</v>
      </c>
      <c r="F13" s="1288">
        <f>IFERROR($E8-$D8,"-")</f>
        <v>18</v>
      </c>
      <c r="G13" s="1288">
        <f>$G8+$G11</f>
        <v>9</v>
      </c>
      <c r="H13" s="1272">
        <f>$H8+$H11</f>
        <v>0</v>
      </c>
      <c r="I13" s="1272">
        <f>$I8+$I11</f>
        <v>9</v>
      </c>
      <c r="J13" s="1272">
        <f>$J8+$J11</f>
        <v>15</v>
      </c>
      <c r="L13" s="1254">
        <f>$L8</f>
        <v>0</v>
      </c>
      <c r="M13" s="1254">
        <f>$M8+$M11</f>
        <v>6.400561822</v>
      </c>
      <c r="N13" s="1254">
        <f>IFERROR($M8-$L8,"-")</f>
        <v>4.087013422</v>
      </c>
      <c r="O13" s="1254">
        <f>$O8+$O11</f>
        <v>4.053047842</v>
      </c>
      <c r="P13" s="1254">
        <f>$P8+$P11</f>
        <v>-2.34751398</v>
      </c>
      <c r="Q13" s="1254">
        <f>$Q8+$Q11</f>
        <v>2.34751398</v>
      </c>
    </row>
    <row r="14">
      <c r="B14" s="1220" t="inlineStr">
        <is>
          <t>Archetype columns D, F, L and N cover the delivery squads only - overhead is not priced by a squad archetype.</t>
        </is>
      </c>
      <c r="C14" s="622" t="n"/>
      <c r="D14" s="546" t="n"/>
      <c r="E14" s="612" t="n"/>
      <c r="F14" s="949" t="n"/>
      <c r="G14" s="949" t="n"/>
    </row>
    <row r="15">
      <c r="B15" s="1220" t="inlineStr">
        <is>
          <t>Control - roles vs the ledger, must be 0</t>
        </is>
      </c>
      <c r="C15" s="622" t="n"/>
      <c r="D15" s="546" t="n"/>
      <c r="E15" s="612">
        <f>COUNTIFS('REVIEW - Complete Role Mapping'!$AJ$2:$AJ$528,"COE BP&amp;T")-$E13</f>
        <v>0</v>
      </c>
      <c r="F15" s="949" t="n"/>
      <c r="G15" s="949" t="n"/>
    </row>
    <row r="16">
      <c r="B16" s="1294" t="inlineStr">
        <is>
          <t>Control - cost vs the ledger ($m), must be 0</t>
        </is>
      </c>
      <c r="C16" s="1264" t="n"/>
      <c r="D16" s="1264" t="n"/>
      <c r="E16" s="1264" t="n"/>
      <c r="F16" s="1259" t="n"/>
      <c r="G16" s="1259" t="n"/>
      <c r="H16" s="1273" t="n"/>
      <c r="M16">
        <f>ROUND(SUMIFS('REVIEW - Complete Role Mapping'!$AA$2:$AA$528,'REVIEW - Complete Role Mapping'!$AJ$2:$AJ$528,"COE BP&amp;T")/1000000-$M13,6)</f>
        <v>0</v>
      </c>
    </row>
    <row r="17">
      <c r="B17" s="546" t="n"/>
      <c r="C17" s="622" t="n"/>
      <c r="D17" s="546" t="n"/>
      <c r="E17" s="612" t="n"/>
      <c r="F17" s="949" t="n"/>
      <c r="G17" s="627" t="n"/>
      <c r="H17" s="1274" t="n"/>
    </row>
    <row r="18">
      <c r="B18" s="1220" t="inlineStr">
        <is>
          <t>COE BP&amp;T roles - one row per named role, from REVIEW</t>
        </is>
      </c>
      <c r="C18" s="622" t="n"/>
      <c r="D18" s="546" t="n"/>
      <c r="E18" s="612" t="n"/>
      <c r="F18" s="949" t="n"/>
      <c r="G18" s="627" t="n"/>
      <c r="H18" s="1274" t="n"/>
    </row>
    <row r="19">
      <c r="B19" s="1264" t="inlineStr">
        <is>
          <t>Name</t>
        </is>
      </c>
      <c r="C19" s="1264" t="inlineStr">
        <is>
          <t>Role</t>
        </is>
      </c>
      <c r="D19" s="1264" t="inlineStr">
        <is>
          <t>Status</t>
        </is>
      </c>
      <c r="E19" s="1264" t="inlineStr">
        <is>
          <t>Vacancy lever</t>
        </is>
      </c>
      <c r="F19" s="1259" t="inlineStr">
        <is>
          <t>Squad or overhead line</t>
        </is>
      </c>
      <c r="G19" s="1285" t="inlineStr">
        <is>
          <t>Cost if hired ($)</t>
        </is>
      </c>
      <c r="H19" s="1296" t="inlineStr">
        <is>
          <t>Effective cost ($)</t>
        </is>
      </c>
    </row>
    <row r="20">
      <c r="B20" s="546" t="str">
        <f>INDEX('REVIEW - Complete Role Mapping'!$B:$B,259)</f>
        <v>Jeannie Chu</v>
      </c>
      <c r="C20" s="622" t="str">
        <f>INDEX('REVIEW - Complete Role Mapping'!$C:$C,259)</f>
        <v>Snr Finance Support Administrator</v>
      </c>
      <c r="D20" s="546" t="str">
        <f>INDEX('REVIEW - Complete Role Mapping'!$AK:$AK,259)</f>
        <v>Filled</v>
      </c>
      <c r="E20" s="612" t="inlineStr">
        <is>
          <t>Filled</t>
        </is>
      </c>
      <c r="F20" s="949" t="str">
        <f>IF(INDEX('REVIEW - Complete Role Mapping'!$AR:$AR,259)="Squad",INDEX('REVIEW - Complete Role Mapping'!$AP:$AP,259),INDEX('REVIEW - Complete Role Mapping'!$AR:$AR,259))</f>
        <v>Transformation</v>
      </c>
      <c r="G20" s="627">
        <f>INDEX('REVIEW - Complete Role Mapping'!$AA:$AA,259)</f>
        <v>147687.65</v>
      </c>
      <c r="H20" s="1274">
        <f>$G20*IFERROR(INDEX(Lists!$AD:$AD,MATCH($E20,Lists!$AC:$AC,0)),1)</f>
        <v>147687.65</v>
      </c>
    </row>
    <row r="21">
      <c r="B21" s="546" t="str">
        <f>INDEX('REVIEW - Complete Role Mapping'!$B:$B,260)</f>
        <v>Jenny Chan</v>
      </c>
      <c r="C21" s="622" t="str">
        <f>INDEX('REVIEW - Complete Role Mapping'!$C:$C,260)</f>
        <v>Project Finance Lead</v>
      </c>
      <c r="D21" s="546" t="str">
        <f>INDEX('REVIEW - Complete Role Mapping'!$AK:$AK,260)</f>
        <v>Filled</v>
      </c>
      <c r="E21" s="612" t="inlineStr">
        <is>
          <t>Filled</t>
        </is>
      </c>
      <c r="F21" s="949" t="str">
        <f>IF(INDEX('REVIEW - Complete Role Mapping'!$AR:$AR,260)="Squad",INDEX('REVIEW - Complete Role Mapping'!$AP:$AP,260),INDEX('REVIEW - Complete Role Mapping'!$AR:$AR,260))</f>
        <v>Transformation</v>
      </c>
      <c r="G21" s="627">
        <f>INDEX('REVIEW - Complete Role Mapping'!$AA:$AA,260)</f>
        <v>206124</v>
      </c>
      <c r="H21" s="1274">
        <f>$G21*IFERROR(INDEX(Lists!$AD:$AD,MATCH($E21,Lists!$AC:$AC,0)),1)</f>
        <v>206124</v>
      </c>
    </row>
    <row r="22">
      <c r="B22" s="546" t="str">
        <f>INDEX('REVIEW - Complete Role Mapping'!$B:$B,262)</f>
        <v>Maria Somera</v>
      </c>
      <c r="C22" s="622" t="str">
        <f>INDEX('REVIEW - Complete Role Mapping'!$C:$C,262)</f>
        <v>Technology Finance Analyst</v>
      </c>
      <c r="D22" s="546" t="str">
        <f>INDEX('REVIEW - Complete Role Mapping'!$AK:$AK,262)</f>
        <v>Filled</v>
      </c>
      <c r="E22" s="612" t="inlineStr">
        <is>
          <t>Filled</t>
        </is>
      </c>
      <c r="F22" s="949" t="str">
        <f>IF(INDEX('REVIEW - Complete Role Mapping'!$AR:$AR,262)="Squad",INDEX('REVIEW - Complete Role Mapping'!$AP:$AP,262),INDEX('REVIEW - Complete Role Mapping'!$AR:$AR,262))</f>
        <v>Transformation</v>
      </c>
      <c r="G22" s="627">
        <f>INDEX('REVIEW - Complete Role Mapping'!$AA:$AA,262)</f>
        <v>179313.4</v>
      </c>
      <c r="H22" s="1274">
        <f>$G22*IFERROR(INDEX(Lists!$AD:$AD,MATCH($E22,Lists!$AC:$AC,0)),1)</f>
        <v>179313.4</v>
      </c>
    </row>
    <row r="23">
      <c r="B23" s="546" t="str">
        <f>INDEX('REVIEW - Complete Role Mapping'!$B:$B,263)</f>
        <v>Matt Saunders</v>
      </c>
      <c r="C23" s="622" t="str">
        <f>INDEX('REVIEW - Complete Role Mapping'!$C:$C,263)</f>
        <v>Scrum Master</v>
      </c>
      <c r="D23" s="546" t="str">
        <f>INDEX('REVIEW - Complete Role Mapping'!$AK:$AK,263)</f>
        <v>Filled</v>
      </c>
      <c r="E23" s="612" t="inlineStr">
        <is>
          <t>Filled</t>
        </is>
      </c>
      <c r="F23" s="949" t="str">
        <f>IF(INDEX('REVIEW - Complete Role Mapping'!$AR:$AR,263)="Squad",INDEX('REVIEW - Complete Role Mapping'!$AP:$AP,263),INDEX('REVIEW - Complete Role Mapping'!$AR:$AR,263))</f>
        <v>Transformation</v>
      </c>
      <c r="G23" s="627">
        <f>INDEX('REVIEW - Complete Role Mapping'!$AA:$AA,263)</f>
        <v>147754.8</v>
      </c>
      <c r="H23" s="1274">
        <f>$G23*IFERROR(INDEX(Lists!$AD:$AD,MATCH($E23,Lists!$AC:$AC,0)),1)</f>
        <v>147754.8</v>
      </c>
    </row>
    <row r="24">
      <c r="B24" s="546" t="str">
        <f>INDEX('REVIEW - Complete Role Mapping'!$B:$B,265)</f>
        <v>Ruth Chou</v>
      </c>
      <c r="C24" s="622" t="str">
        <f>INDEX('REVIEW - Complete Role Mapping'!$C:$C,265)</f>
        <v>Portfolio Reporting Manager</v>
      </c>
      <c r="D24" s="546" t="str">
        <f>INDEX('REVIEW - Complete Role Mapping'!$AK:$AK,265)</f>
        <v>Filled</v>
      </c>
      <c r="E24" s="612" t="inlineStr">
        <is>
          <t>Filled</t>
        </is>
      </c>
      <c r="F24" s="949" t="str">
        <f>IF(INDEX('REVIEW - Complete Role Mapping'!$AR:$AR,265)="Squad",INDEX('REVIEW - Complete Role Mapping'!$AP:$AP,265),INDEX('REVIEW - Complete Role Mapping'!$AR:$AR,265))</f>
        <v>Transformation</v>
      </c>
      <c r="G24" s="627">
        <f>INDEX('REVIEW - Complete Role Mapping'!$AA:$AA,265)</f>
        <v>293316.85</v>
      </c>
      <c r="H24" s="1274">
        <f>$G24*IFERROR(INDEX(Lists!$AD:$AD,MATCH($E24,Lists!$AC:$AC,0)),1)</f>
        <v>293316.85</v>
      </c>
    </row>
    <row r="25">
      <c r="B25" s="546" t="str">
        <f>INDEX('REVIEW - Complete Role Mapping'!$B:$B,266)</f>
        <v>Sam Chan</v>
      </c>
      <c r="C25" s="622" t="str">
        <f>INDEX('REVIEW - Complete Role Mapping'!$C:$C,266)</f>
        <v>FinOps Manager</v>
      </c>
      <c r="D25" s="546" t="str">
        <f>INDEX('REVIEW - Complete Role Mapping'!$AK:$AK,266)</f>
        <v>Filled</v>
      </c>
      <c r="E25" s="612" t="inlineStr">
        <is>
          <t>Filled</t>
        </is>
      </c>
      <c r="F25" s="949" t="str">
        <f>IF(INDEX('REVIEW - Complete Role Mapping'!$AR:$AR,266)="Squad",INDEX('REVIEW - Complete Role Mapping'!$AP:$AP,266),INDEX('REVIEW - Complete Role Mapping'!$AR:$AR,266))</f>
        <v>Transformation</v>
      </c>
      <c r="G25" s="627">
        <f>INDEX('REVIEW - Complete Role Mapping'!$AA:$AA,266)</f>
        <v>225788.55</v>
      </c>
      <c r="H25" s="1274">
        <f>$G25*IFERROR(INDEX(Lists!$AD:$AD,MATCH($E25,Lists!$AC:$AC,0)),1)</f>
        <v>225788.55</v>
      </c>
    </row>
    <row r="26">
      <c r="B26" s="546" t="str">
        <f>INDEX('REVIEW - Complete Role Mapping'!$B:$B,270)</f>
        <v>Vacant</v>
      </c>
      <c r="C26" s="622" t="str">
        <f>INDEX('REVIEW - Complete Role Mapping'!$C:$C,270)</f>
        <v>Head of Transformation</v>
      </c>
      <c r="D26" s="546" t="str">
        <f>INDEX('REVIEW - Complete Role Mapping'!$AK:$AK,270)</f>
        <v>Vacant</v>
      </c>
      <c r="E26" s="612" t="inlineStr">
        <is>
          <t>Hold</t>
        </is>
      </c>
      <c r="F26" s="949" t="str">
        <f>IF(INDEX('REVIEW - Complete Role Mapping'!$AR:$AR,270)="Squad",INDEX('REVIEW - Complete Role Mapping'!$AP:$AP,270),INDEX('REVIEW - Complete Role Mapping'!$AR:$AR,270))</f>
        <v>Transformation</v>
      </c>
      <c r="G26" s="627">
        <f>INDEX('REVIEW - Complete Role Mapping'!$AA:$AA,270)</f>
        <v>367900</v>
      </c>
      <c r="H26" s="1274">
        <f>$G26*IFERROR(INDEX(Lists!$AD:$AD,MATCH($E26,Lists!$AC:$AC,0)),1)</f>
        <v>0</v>
      </c>
    </row>
    <row r="27">
      <c r="B27" s="546" t="str">
        <f>INDEX('REVIEW - Complete Role Mapping'!$B:$B,271)</f>
        <v>Vacant</v>
      </c>
      <c r="C27" s="622" t="str">
        <f>INDEX('REVIEW - Complete Role Mapping'!$C:$C,271)</f>
        <v>Delivery Systems Analyst</v>
      </c>
      <c r="D27" s="546" t="str">
        <f>INDEX('REVIEW - Complete Role Mapping'!$AK:$AK,271)</f>
        <v>Vacant</v>
      </c>
      <c r="E27" s="612" t="inlineStr">
        <is>
          <t>Hold</t>
        </is>
      </c>
      <c r="F27" s="949" t="str">
        <f>IF(INDEX('REVIEW - Complete Role Mapping'!$AR:$AR,271)="Squad",INDEX('REVIEW - Complete Role Mapping'!$AP:$AP,271),INDEX('REVIEW - Complete Role Mapping'!$AR:$AR,271))</f>
        <v>Transformation</v>
      </c>
      <c r="G27" s="627">
        <f>INDEX('REVIEW - Complete Role Mapping'!$AA:$AA,271)</f>
        <v>202853.25</v>
      </c>
      <c r="H27" s="1274">
        <f>$G27*IFERROR(INDEX(Lists!$AD:$AD,MATCH($E27,Lists!$AC:$AC,0)),1)</f>
        <v>0</v>
      </c>
    </row>
    <row r="28">
      <c r="B28" s="546" t="str">
        <f>INDEX('REVIEW - Complete Role Mapping'!$B:$B,272)</f>
        <v>Vacant</v>
      </c>
      <c r="C28" s="622" t="str">
        <f>INDEX('REVIEW - Complete Role Mapping'!$C:$C,272)</f>
        <v>Business Analysis Practice Lead</v>
      </c>
      <c r="D28" s="546" t="str">
        <f>INDEX('REVIEW - Complete Role Mapping'!$AK:$AK,272)</f>
        <v>Vacant</v>
      </c>
      <c r="E28" s="612" t="inlineStr">
        <is>
          <t>Hold</t>
        </is>
      </c>
      <c r="F28" s="536" t="str">
        <f>IF(INDEX('REVIEW - Complete Role Mapping'!$AR:$AR,272)="Squad",INDEX('REVIEW - Complete Role Mapping'!$AP:$AP,272),INDEX('REVIEW - Complete Role Mapping'!$AR:$AR,272))</f>
        <v>Transformation</v>
      </c>
      <c r="G28" s="624">
        <f>INDEX('REVIEW - Complete Role Mapping'!$AA:$AA,272)</f>
        <v>231689.25</v>
      </c>
      <c r="H28" s="1274">
        <f>$G28*IFERROR(INDEX(Lists!$AD:$AD,MATCH($E28,Lists!$AC:$AC,0)),1)</f>
        <v>0</v>
      </c>
    </row>
    <row r="29">
      <c r="B29" s="546" t="str">
        <f>INDEX('REVIEW - Complete Role Mapping'!$B:$B,273)</f>
        <v>Vacant</v>
      </c>
      <c r="C29" s="622" t="str">
        <f>INDEX('REVIEW - Complete Role Mapping'!$C:$C,273)</f>
        <v>Delivery Assurance Manager</v>
      </c>
      <c r="D29" s="546" t="str">
        <f>INDEX('REVIEW - Complete Role Mapping'!$AK:$AK,273)</f>
        <v>Vacant</v>
      </c>
      <c r="E29" s="612" t="inlineStr">
        <is>
          <t>Hold</t>
        </is>
      </c>
      <c r="F29" s="536" t="str">
        <f>IF(INDEX('REVIEW - Complete Role Mapping'!$AR:$AR,273)="Squad",INDEX('REVIEW - Complete Role Mapping'!$AP:$AP,273),INDEX('REVIEW - Complete Role Mapping'!$AR:$AR,273))</f>
        <v>Transformation</v>
      </c>
      <c r="G29" s="624">
        <f>INDEX('REVIEW - Complete Role Mapping'!$AA:$AA,273)</f>
        <v>275810.25</v>
      </c>
      <c r="H29" s="1274">
        <f>$G29*IFERROR(INDEX(Lists!$AD:$AD,MATCH($E29,Lists!$AC:$AC,0)),1)</f>
        <v>0</v>
      </c>
    </row>
    <row r="30">
      <c r="B30" s="546" t="str">
        <f>INDEX('REVIEW - Complete Role Mapping'!$B:$B,274)</f>
        <v>Vacant</v>
      </c>
      <c r="C30" s="622" t="str">
        <f>INDEX('REVIEW - Complete Role Mapping'!$C:$C,274)</f>
        <v>Delivery Capacity &amp; Assurance Lead</v>
      </c>
      <c r="D30" s="546" t="str">
        <f>INDEX('REVIEW - Complete Role Mapping'!$AK:$AK,274)</f>
        <v>Vacant</v>
      </c>
      <c r="E30" s="612" t="inlineStr">
        <is>
          <t>Hold</t>
        </is>
      </c>
      <c r="F30" s="536" t="str">
        <f>IF(INDEX('REVIEW - Complete Role Mapping'!$AR:$AR,274)="Squad",INDEX('REVIEW - Complete Role Mapping'!$AP:$AP,274),INDEX('REVIEW - Complete Role Mapping'!$AR:$AR,274))</f>
        <v>Transformation</v>
      </c>
      <c r="G30" s="624">
        <f>INDEX('REVIEW - Complete Role Mapping'!$AA:$AA,274)</f>
        <v>231689.25</v>
      </c>
      <c r="H30" s="1274">
        <f>$G30*IFERROR(INDEX(Lists!$AD:$AD,MATCH($E30,Lists!$AC:$AC,0)),1)</f>
        <v>0</v>
      </c>
    </row>
    <row r="31">
      <c r="B31" s="546" t="str">
        <f>INDEX('REVIEW - Complete Role Mapping'!$B:$B,275)</f>
        <v>Vacant</v>
      </c>
      <c r="C31" s="622" t="str">
        <f>INDEX('REVIEW - Complete Role Mapping'!$C:$C,275)</f>
        <v>Delivery Excellence Manager</v>
      </c>
      <c r="D31" s="546" t="str">
        <f>INDEX('REVIEW - Complete Role Mapping'!$AK:$AK,275)</f>
        <v>Vacant</v>
      </c>
      <c r="E31" s="612" t="inlineStr">
        <is>
          <t>Hold</t>
        </is>
      </c>
      <c r="F31" s="536" t="str">
        <f>IF(INDEX('REVIEW - Complete Role Mapping'!$AR:$AR,275)="Squad",INDEX('REVIEW - Complete Role Mapping'!$AP:$AP,275),INDEX('REVIEW - Complete Role Mapping'!$AR:$AR,275))</f>
        <v>Transformation</v>
      </c>
      <c r="G31" s="624">
        <f>INDEX('REVIEW - Complete Role Mapping'!$AA:$AA,275)</f>
        <v>275810.25</v>
      </c>
      <c r="H31" s="1274">
        <f>$G31*IFERROR(INDEX(Lists!$AD:$AD,MATCH($E31,Lists!$AC:$AC,0)),1)</f>
        <v>0</v>
      </c>
    </row>
    <row r="32">
      <c r="B32" s="546" t="str">
        <f>INDEX('REVIEW - Complete Role Mapping'!$B:$B,276)</f>
        <v>Vacant</v>
      </c>
      <c r="C32" s="622" t="str">
        <f>INDEX('REVIEW - Complete Role Mapping'!$C:$C,276)</f>
        <v>Scrum Master</v>
      </c>
      <c r="D32" s="546" t="str">
        <f>INDEX('REVIEW - Complete Role Mapping'!$AK:$AK,276)</f>
        <v>Vacant</v>
      </c>
      <c r="E32" s="612" t="inlineStr">
        <is>
          <t>Hold</t>
        </is>
      </c>
      <c r="F32" s="536" t="str">
        <f>IF(INDEX('REVIEW - Complete Role Mapping'!$AR:$AR,276)="Squad",INDEX('REVIEW - Complete Role Mapping'!$AP:$AP,276),INDEX('REVIEW - Complete Role Mapping'!$AR:$AR,276))</f>
        <v>Transformation</v>
      </c>
      <c r="G32" s="624">
        <f>INDEX('REVIEW - Complete Role Mapping'!$AA:$AA,276)</f>
        <v>151771.98</v>
      </c>
      <c r="H32" s="1274">
        <f>$G32*IFERROR(INDEX(Lists!$AD:$AD,MATCH($E32,Lists!$AC:$AC,0)),1)</f>
        <v>0</v>
      </c>
    </row>
    <row r="33">
      <c r="B33" s="546" t="str">
        <f>INDEX('REVIEW - Complete Role Mapping'!$B:$B,277)</f>
        <v>Vacant</v>
      </c>
      <c r="C33" s="622" t="str">
        <f>INDEX('REVIEW - Complete Role Mapping'!$C:$C,277)</f>
        <v>Portfolio Analyst</v>
      </c>
      <c r="D33" s="546" t="str">
        <f>INDEX('REVIEW - Complete Role Mapping'!$AK:$AK,277)</f>
        <v>Vacant</v>
      </c>
      <c r="E33" s="612" t="inlineStr">
        <is>
          <t>Hold</t>
        </is>
      </c>
      <c r="F33" s="536" t="str">
        <f>IF(INDEX('REVIEW - Complete Role Mapping'!$AR:$AR,277)="Squad",INDEX('REVIEW - Complete Role Mapping'!$AP:$AP,277),INDEX('REVIEW - Complete Role Mapping'!$AR:$AR,277))</f>
        <v>Transformation</v>
      </c>
      <c r="G33" s="624">
        <f>INDEX('REVIEW - Complete Role Mapping'!$AA:$AA,277)</f>
        <v>170489.75</v>
      </c>
      <c r="H33" s="1274">
        <f>$G33*IFERROR(INDEX(Lists!$AD:$AD,MATCH($E33,Lists!$AC:$AC,0)),1)</f>
        <v>0</v>
      </c>
    </row>
    <row r="34">
      <c r="B34" s="546" t="str">
        <f>INDEX('REVIEW - Complete Role Mapping'!$B:$B,255)</f>
        <v>Briony Scott</v>
      </c>
      <c r="C34" s="622" t="str">
        <f>INDEX('REVIEW - Complete Role Mapping'!$C:$C,255)</f>
        <v>Service &amp; Contract Specialist AU</v>
      </c>
      <c r="D34" s="546" t="str">
        <f>INDEX('REVIEW - Complete Role Mapping'!$AK:$AK,255)</f>
        <v>Filled</v>
      </c>
      <c r="E34" s="612" t="inlineStr">
        <is>
          <t>Filled</t>
        </is>
      </c>
      <c r="F34" s="536" t="str">
        <f>IF(INDEX('REVIEW - Complete Role Mapping'!$AR:$AR,255)="Squad",INDEX('REVIEW - Complete Role Mapping'!$AP:$AP,255),INDEX('REVIEW - Complete Role Mapping'!$AR:$AR,255))</f>
        <v>Commercial</v>
      </c>
      <c r="G34" s="624">
        <f>INDEX('REVIEW - Complete Role Mapping'!$AA:$AA,255)</f>
        <v>205056</v>
      </c>
      <c r="H34" s="1274">
        <f>$G34*IFERROR(INDEX(Lists!$AD:$AD,MATCH($E34,Lists!$AC:$AC,0)),1)</f>
        <v>205056</v>
      </c>
    </row>
    <row r="35">
      <c r="B35" s="546" t="str">
        <f>INDEX('REVIEW - Complete Role Mapping'!$B:$B,257)</f>
        <v>Helen Ngu</v>
      </c>
      <c r="C35" s="622" t="str">
        <f>INDEX('REVIEW - Complete Role Mapping'!$C:$C,257)</f>
        <v>Service &amp; Contract Specialist NZ</v>
      </c>
      <c r="D35" s="546" t="str">
        <f>INDEX('REVIEW - Complete Role Mapping'!$AK:$AK,257)</f>
        <v>Filled</v>
      </c>
      <c r="E35" s="612" t="inlineStr">
        <is>
          <t>Filled</t>
        </is>
      </c>
      <c r="F35" s="536" t="str">
        <f>IF(INDEX('REVIEW - Complete Role Mapping'!$AR:$AR,257)="Squad",INDEX('REVIEW - Complete Role Mapping'!$AP:$AP,257),INDEX('REVIEW - Complete Role Mapping'!$AR:$AR,257))</f>
        <v>Commercial</v>
      </c>
      <c r="G35" s="624">
        <f>INDEX('REVIEW - Complete Role Mapping'!$AA:$AA,257)</f>
        <v>151002.492</v>
      </c>
      <c r="H35" s="1274">
        <f>$G35*IFERROR(INDEX(Lists!$AD:$AD,MATCH($E35,Lists!$AC:$AC,0)),1)</f>
        <v>151002.492</v>
      </c>
    </row>
    <row r="36">
      <c r="B36" s="546" t="str">
        <f>INDEX('REVIEW - Complete Role Mapping'!$B:$B,258)</f>
        <v>Jane Esclandra</v>
      </c>
      <c r="C36" s="622" t="str">
        <f>INDEX('REVIEW - Complete Role Mapping'!$C:$C,258)</f>
        <v>Software Asset Specialist</v>
      </c>
      <c r="D36" s="546" t="str">
        <f>INDEX('REVIEW - Complete Role Mapping'!$AK:$AK,258)</f>
        <v>Filled</v>
      </c>
      <c r="E36" s="612" t="inlineStr">
        <is>
          <t>Filled</t>
        </is>
      </c>
      <c r="F36" s="536" t="str">
        <f>IF(INDEX('REVIEW - Complete Role Mapping'!$AR:$AR,258)="Squad",INDEX('REVIEW - Complete Role Mapping'!$AP:$AP,258),INDEX('REVIEW - Complete Role Mapping'!$AR:$AR,258))</f>
        <v>Commercial</v>
      </c>
      <c r="G36" s="624">
        <f>INDEX('REVIEW - Complete Role Mapping'!$AA:$AA,258)</f>
        <v>183455.7</v>
      </c>
      <c r="H36" s="1274">
        <f>$G36*IFERROR(INDEX(Lists!$AD:$AD,MATCH($E36,Lists!$AC:$AC,0)),1)</f>
        <v>183455.7</v>
      </c>
    </row>
    <row r="37">
      <c r="B37" s="546" t="str">
        <f>INDEX('REVIEW - Complete Role Mapping'!$B:$B,269)</f>
        <v>Vacant</v>
      </c>
      <c r="C37" s="622" t="str">
        <f>INDEX('REVIEW - Complete Role Mapping'!$C:$C,269)</f>
        <v>Commercial Director</v>
      </c>
      <c r="D37" s="546" t="str">
        <f>INDEX('REVIEW - Complete Role Mapping'!$AK:$AK,269)</f>
        <v>Vacant</v>
      </c>
      <c r="E37" s="612" t="inlineStr">
        <is>
          <t>Hold</t>
        </is>
      </c>
      <c r="F37" s="949" t="str">
        <f>IF(INDEX('REVIEW - Complete Role Mapping'!$AR:$AR,269)="Squad",INDEX('REVIEW - Complete Role Mapping'!$AP:$AP,269),INDEX('REVIEW - Complete Role Mapping'!$AR:$AR,269))</f>
        <v>Commercial</v>
      </c>
      <c r="G37" s="627">
        <f>INDEX('REVIEW - Complete Role Mapping'!$AA:$AA,269)</f>
        <v>439500</v>
      </c>
      <c r="H37" s="1274">
        <f>$G37*IFERROR(INDEX(Lists!$AD:$AD,MATCH($E37,Lists!$AC:$AC,0)),1)</f>
        <v>0</v>
      </c>
    </row>
    <row r="38">
      <c r="B38" t="str">
        <f>INDEX('REVIEW - Complete Role Mapping'!$B:$B,256)</f>
        <v>Conli Mills</v>
      </c>
      <c r="C38" t="str">
        <f>INDEX('REVIEW - Complete Role Mapping'!$C:$C,256)</f>
        <v>TDD BP - Infrastructure</v>
      </c>
      <c r="D38" t="str">
        <f>INDEX('REVIEW - Complete Role Mapping'!$AK:$AK,256)</f>
        <v>Filled</v>
      </c>
      <c r="E38" t="inlineStr">
        <is>
          <t>Filled</t>
        </is>
      </c>
      <c r="F38" t="str">
        <f>IF(INDEX('REVIEW - Complete Role Mapping'!$AR:$AR,256)="Squad",INDEX('REVIEW - Complete Role Mapping'!$AP:$AP,256),INDEX('REVIEW - Complete Role Mapping'!$AR:$AR,256))</f>
        <v>Business Partner</v>
      </c>
      <c r="G38" s="1274">
        <f>INDEX('REVIEW - Complete Role Mapping'!$AA:$AA,256)</f>
        <v>297150</v>
      </c>
      <c r="H38" s="1274">
        <f>$G38*IFERROR(INDEX(Lists!$AD:$AD,MATCH($E38,Lists!$AC:$AC,0)),1)</f>
        <v>297150</v>
      </c>
    </row>
    <row r="39">
      <c r="B39" s="543" t="str">
        <f>INDEX('REVIEW - Complete Role Mapping'!$B:$B,261)</f>
        <v>Malcolm Deare</v>
      </c>
      <c r="C39" s="949" t="str">
        <f>INDEX('REVIEW - Complete Role Mapping'!$C:$C,261)</f>
        <v>TDD BP, Group Functions</v>
      </c>
      <c r="D39" s="949" t="str">
        <f>INDEX('REVIEW - Complete Role Mapping'!$AK:$AK,261)</f>
        <v>Filled</v>
      </c>
      <c r="E39" s="949" t="inlineStr">
        <is>
          <t>Filled</t>
        </is>
      </c>
      <c r="F39" s="949" t="str">
        <f>IF(INDEX('REVIEW - Complete Role Mapping'!$AR:$AR,261)="Squad",INDEX('REVIEW - Complete Role Mapping'!$AP:$AP,261),INDEX('REVIEW - Complete Role Mapping'!$AR:$AR,261))</f>
        <v>Business Partner</v>
      </c>
      <c r="G39" s="627">
        <f>INDEX('REVIEW - Complete Role Mapping'!$AA:$AA,261)</f>
        <v>298100</v>
      </c>
      <c r="H39" s="1274">
        <f>$G39*IFERROR(INDEX(Lists!$AD:$AD,MATCH($E39,Lists!$AC:$AC,0)),1)</f>
        <v>298100</v>
      </c>
    </row>
    <row r="40">
      <c r="B40" t="str">
        <f>INDEX('REVIEW - Complete Role Mapping'!$B:$B,264)</f>
        <v>Neil Reilly</v>
      </c>
      <c r="C40" t="str">
        <f>INDEX('REVIEW - Complete Role Mapping'!$C:$C,264)</f>
        <v>TDD BP - T&amp;S</v>
      </c>
      <c r="D40" t="str">
        <f>INDEX('REVIEW - Complete Role Mapping'!$AK:$AK,264)</f>
        <v>Filled</v>
      </c>
      <c r="E40" t="inlineStr">
        <is>
          <t>Filled</t>
        </is>
      </c>
      <c r="F40" t="str">
        <f>IF(INDEX('REVIEW - Complete Role Mapping'!$AR:$AR,264)="Squad",INDEX('REVIEW - Complete Role Mapping'!$AP:$AP,264),INDEX('REVIEW - Complete Role Mapping'!$AR:$AR,264))</f>
        <v>Business Partner</v>
      </c>
      <c r="G40" s="1274">
        <f>INDEX('REVIEW - Complete Role Mapping'!$AA:$AA,264)</f>
        <v>666087.5</v>
      </c>
      <c r="H40" s="1274">
        <f>$G40*IFERROR(INDEX(Lists!$AD:$AD,MATCH($E40,Lists!$AC:$AC,0)),1)</f>
        <v>666087.5</v>
      </c>
    </row>
    <row r="41">
      <c r="B41" t="str">
        <f>INDEX('REVIEW - Complete Role Mapping'!$B:$B,267)</f>
        <v>Shelley Crawford</v>
      </c>
      <c r="C41" t="str">
        <f>INDEX('REVIEW - Complete Role Mapping'!$C:$C,267)</f>
        <v>TDD BP - Z</v>
      </c>
      <c r="D41" t="str">
        <f>INDEX('REVIEW - Complete Role Mapping'!$AK:$AK,267)</f>
        <v>Filled</v>
      </c>
      <c r="E41" t="inlineStr">
        <is>
          <t>Filled</t>
        </is>
      </c>
      <c r="F41" t="str">
        <f>IF(INDEX('REVIEW - Complete Role Mapping'!$AR:$AR,267)="Squad",INDEX('REVIEW - Complete Role Mapping'!$AP:$AP,267),INDEX('REVIEW - Complete Role Mapping'!$AR:$AR,267))</f>
        <v>Business Partner</v>
      </c>
      <c r="G41" s="1274">
        <f>INDEX('REVIEW - Complete Role Mapping'!$AA:$AA,267)</f>
        <v>291422</v>
      </c>
      <c r="H41" s="1274">
        <f>$G41*IFERROR(INDEX(Lists!$AD:$AD,MATCH($E41,Lists!$AC:$AC,0)),1)</f>
        <v>291422</v>
      </c>
    </row>
    <row r="42">
      <c r="B42" t="str">
        <f>INDEX('REVIEW - Complete Role Mapping'!$B:$B,268)</f>
        <v>Thomas Reid</v>
      </c>
      <c r="C42" t="str">
        <f>INDEX('REVIEW - Complete Role Mapping'!$C:$C,268)</f>
        <v>TDD BP - Retail &amp; Customer - Store Digital</v>
      </c>
      <c r="D42" t="str">
        <f>INDEX('REVIEW - Complete Role Mapping'!$AK:$AK,268)</f>
        <v>Filled</v>
      </c>
      <c r="E42" t="inlineStr">
        <is>
          <t>Filled</t>
        </is>
      </c>
      <c r="F42" t="str">
        <f>IF(INDEX('REVIEW - Complete Role Mapping'!$AR:$AR,268)="Squad",INDEX('REVIEW - Complete Role Mapping'!$AP:$AP,268),INDEX('REVIEW - Complete Role Mapping'!$AR:$AR,268))</f>
        <v>Business Partner</v>
      </c>
      <c r="G42" s="1274">
        <f>INDEX('REVIEW - Complete Role Mapping'!$AA:$AA,268)</f>
        <v>417425</v>
      </c>
      <c r="H42" s="1274">
        <f>$G42*IFERROR(INDEX(Lists!$AD:$AD,MATCH($E42,Lists!$AC:$AC,0)),1)</f>
        <v>417425</v>
      </c>
    </row>
    <row r="43">
      <c r="B43" t="str">
        <f>INDEX('REVIEW - Complete Role Mapping'!$B:$B,278)</f>
        <v>Vaughn Scott</v>
      </c>
      <c r="C43" t="str">
        <f>INDEX('REVIEW - Complete Role Mapping'!$C:$C,278)</f>
        <v>TDD BP - ES</v>
      </c>
      <c r="D43" t="str">
        <f>INDEX('REVIEW - Complete Role Mapping'!$AK:$AK,278)</f>
        <v>Filled</v>
      </c>
      <c r="E43" t="inlineStr">
        <is>
          <t>Filled</t>
        </is>
      </c>
      <c r="F43" t="str">
        <f>IF(INDEX('REVIEW - Complete Role Mapping'!$AR:$AR,278)="Squad",INDEX('REVIEW - Complete Role Mapping'!$AP:$AP,278),INDEX('REVIEW - Complete Role Mapping'!$AR:$AR,278))</f>
        <v>Business Partner</v>
      </c>
      <c r="G43" s="1274">
        <f>INDEX('REVIEW - Complete Role Mapping'!$AA:$AA,278)</f>
        <v>343363.9</v>
      </c>
      <c r="H43" s="1274">
        <f>$G43*IFERROR(INDEX(Lists!$AD:$AD,MATCH($E43,Lists!$AC:$AC,0)),1)</f>
        <v>343363.9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20:E43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7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4">
      <c r="B4" s="122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Group Data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COUNTIFS($F$24:$F$47,$B6)</f>
        <v>7</v>
      </c>
      <c r="F6" s="1271" t="str">
        <f>IFERROR($E6-$D6,"-")</f>
        <v>-</v>
      </c>
      <c r="G6" s="1261">
        <f>COUNTIFS($F$24:$F$47,$B6,$D$24:$D$47,"Vacant")</f>
        <v>1</v>
      </c>
      <c r="H6" s="1272">
        <f>COUNTIFS($F$24:$F$47,$B6,$D$24:$D$47,"Vacant",$E$24:$E$47,"Hire")+COUNTIFS($F$24:$F$47,$B6,$D$24:$D$47,"Vacant",$E$24:$E$47,"Offshore")</f>
        <v>0</v>
      </c>
      <c r="I6" s="1272">
        <f>COUNTIFS($F$24:$F$47,$B6,$D$24:$D$47,"Vacant",$E$24:$E$47,"Hold")</f>
        <v>1</v>
      </c>
      <c r="J6" s="1272">
        <f>$E6-COUNTIFS($F$24:$F$47,$B6,$E$24:$E$47,"Hold")</f>
        <v>6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SUMIFS($G$24:$G$47,$F$24:$F$47,$B6)/1000000</f>
        <v>1.806520366</v>
      </c>
      <c r="N6" s="1254" t="str">
        <f>IFERROR($M6-$L6,"-")</f>
        <v>-</v>
      </c>
      <c r="O6" s="1254">
        <f>SUMIFS($H$24:$H$47,$F$24:$F$47,$B6)/1000000</f>
        <v>1.416914266</v>
      </c>
      <c r="P6" s="1254">
        <f>$O6-$M6</f>
        <v>-0.3896061</v>
      </c>
      <c r="Q6" s="1254">
        <f>SUMIFS($G$24:$G$47,$F$24:$F$47,$B6,$D$24:$D$47,"Vacant")/1000000</f>
        <v>0.3896061</v>
      </c>
      <c r="R6" t="str">
        <f>"-"</f>
        <v>-</v>
      </c>
      <c r="S6" t="str">
        <f>IFERROR(INDEX(Lists!$AA:$AA,MATCH($B6,Lists!$Z:$Z,0)),$B6)</f>
        <v>Group Data</v>
      </c>
    </row>
    <row r="7">
      <c r="B7" s="546" t="inlineStr">
        <is>
          <t>Technology Strategy &amp; AI Capability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COUNTIFS($F$24:$F$47,$B7)</f>
        <v>5</v>
      </c>
      <c r="F7" s="1271" t="str">
        <f>IFERROR($E7-$D7,"-")</f>
        <v>-</v>
      </c>
      <c r="G7" s="1261">
        <f>COUNTIFS($F$24:$F$47,$B7,$D$24:$D$47,"Vacant")</f>
        <v>4</v>
      </c>
      <c r="H7" s="1272">
        <f>COUNTIFS($F$24:$F$47,$B7,$D$24:$D$47,"Vacant",$E$24:$E$47,"Hire")+COUNTIFS($F$24:$F$47,$B7,$D$24:$D$47,"Vacant",$E$24:$E$47,"Offshore")</f>
        <v>0</v>
      </c>
      <c r="I7" s="1272">
        <f>COUNTIFS($F$24:$F$47,$B7,$D$24:$D$47,"Vacant",$E$24:$E$47,"Hold")</f>
        <v>4</v>
      </c>
      <c r="J7" s="1272">
        <f>$E7-COUNTIFS($F$24:$F$47,$B7,$E$24:$E$47,"Hold")</f>
        <v>1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SUMIFS($G$24:$G$47,$F$24:$F$47,$B7)/1000000</f>
        <v>1.06988875</v>
      </c>
      <c r="N7" s="1254" t="str">
        <f>IFERROR($M7-$L7,"-")</f>
        <v>-</v>
      </c>
      <c r="O7" s="1254">
        <f>SUMIFS($H$24:$H$47,$F$24:$F$47,$B7)/1000000</f>
        <v>0.25024575</v>
      </c>
      <c r="P7" s="1254">
        <f>$O7-$M7</f>
        <v>-0.819643</v>
      </c>
      <c r="Q7" s="1254">
        <f>SUMIFS($G$24:$G$47,$F$24:$F$47,$B7,$D$24:$D$47,"Vacant")/1000000</f>
        <v>0.819643</v>
      </c>
      <c r="R7" t="str">
        <f>"-"</f>
        <v>-</v>
      </c>
      <c r="S7" t="str">
        <f>IFERROR(INDEX(Lists!$AA:$AA,MATCH($B7,Lists!$Z:$Z,0)),$B7)</f>
        <v>Technology Strategy &amp; AI Capability</v>
      </c>
    </row>
    <row r="8">
      <c r="B8" s="546" t="inlineStr">
        <is>
          <t>Leadership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COUNTIFS($F$24:$F$47,$B8)</f>
        <v>2</v>
      </c>
      <c r="F8" s="1261" t="str">
        <f>IFERROR($E8-$D8,"-")</f>
        <v>-</v>
      </c>
      <c r="G8" s="1261">
        <f>COUNTIFS($F$24:$F$47,$B8,$D$24:$D$47,"Vacant")</f>
        <v>2</v>
      </c>
      <c r="H8" s="1272">
        <f>COUNTIFS($F$24:$F$47,$B8,$D$24:$D$47,"Vacant",$E$24:$E$47,"Hire")+COUNTIFS($F$24:$F$47,$B8,$D$24:$D$47,"Vacant",$E$24:$E$47,"Offshore")</f>
        <v>0</v>
      </c>
      <c r="I8" s="1272">
        <f>COUNTIFS($F$24:$F$47,$B8,$D$24:$D$47,"Vacant",$E$24:$E$47,"Hold")</f>
        <v>2</v>
      </c>
      <c r="J8" s="1272">
        <f>$E8-COUNTIFS($F$24:$F$47,$B8,$E$24:$E$47,"Hold")</f>
        <v>0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SUMIFS($G$24:$G$47,$F$24:$F$47,$B8)/1000000</f>
        <v>0.52187295</v>
      </c>
      <c r="N8" s="1254" t="str">
        <f>IFERROR($M8-$L8,"-")</f>
        <v>-</v>
      </c>
      <c r="O8" s="1254">
        <f>SUMIFS($H$24:$H$47,$F$24:$F$47,$B8)/1000000</f>
        <v>0</v>
      </c>
      <c r="P8" s="1254">
        <f>$O8-$M8</f>
        <v>-0.52187295</v>
      </c>
      <c r="Q8" s="1254">
        <f>SUMIFS($G$24:$G$47,$F$24:$F$47,$B8,$D$24:$D$47,"Vacant")/1000000</f>
        <v>0.52187295</v>
      </c>
      <c r="R8" t="str">
        <f>"-"</f>
        <v>-</v>
      </c>
      <c r="S8" t="str">
        <f>IFERROR(INDEX(Lists!$AA:$AA,MATCH($B8,Lists!$Z:$Z,0)),$B8)</f>
        <v>Leadership</v>
      </c>
    </row>
    <row r="9">
      <c r="B9" s="546" t="inlineStr">
        <is>
          <t>Data Platforms</t>
        </is>
      </c>
      <c r="C9" s="510" t="str">
        <f>"COE - measured against budget"</f>
        <v>COE - measured against budget</v>
      </c>
      <c r="D9" s="1261" t="str">
        <f>IFERROR(INDEX('0.3 Squad Archetypes'!$F$5:$F$23,MATCH($C9&amp;"|"&amp;$R9,'0.3 Squad Archetypes'!$A$5:$A$23,0)),"-")</f>
        <v>-</v>
      </c>
      <c r="E9" s="1261">
        <f>COUNTIFS($F$24:$F$47,$B9)</f>
        <v>1</v>
      </c>
      <c r="F9" s="1261" t="str">
        <f>IFERROR($E9-$D9,"-")</f>
        <v>-</v>
      </c>
      <c r="G9" s="1261">
        <f>COUNTIFS($F$24:$F$47,$B9,$D$24:$D$47,"Vacant")</f>
        <v>0</v>
      </c>
      <c r="H9" s="1272">
        <f>COUNTIFS($F$24:$F$47,$B9,$D$24:$D$47,"Vacant",$E$24:$E$47,"Hire")+COUNTIFS($F$24:$F$47,$B9,$D$24:$D$47,"Vacant",$E$24:$E$47,"Offshore")</f>
        <v>0</v>
      </c>
      <c r="I9" s="1272">
        <f>COUNTIFS($F$24:$F$47,$B9,$D$24:$D$47,"Vacant",$E$24:$E$47,"Hold")</f>
        <v>0</v>
      </c>
      <c r="J9" s="1272">
        <f>$E9-COUNTIFS($F$24:$F$47,$B9,$E$24:$E$47,"Hold")</f>
        <v>1</v>
      </c>
      <c r="K9" t="str">
        <f>IF(NOT(ISNUMBER($D9)),"No archetype - see 0.3",IF($J9&gt;$D9,"Over archetype after decisions",IF($J9&lt;$D9,"Under archetype","On archetype")))</f>
        <v>No archetype - see 0.3</v>
      </c>
      <c r="L9" s="1254" t="str">
        <f>IFERROR(INDEX('0.3 Squad Archetypes'!$G$5:$G$23,MATCH($C9&amp;"|"&amp;$R9,'0.3 Squad Archetypes'!$A$5:$A$23,0)),"-")</f>
        <v>-</v>
      </c>
      <c r="M9" s="1254">
        <f>SUMIFS($G$24:$G$47,$F$24:$F$47,$B9)/1000000</f>
        <v>0.2655849</v>
      </c>
      <c r="N9" s="1254" t="str">
        <f>IFERROR($M9-$L9,"-")</f>
        <v>-</v>
      </c>
      <c r="O9" s="1254">
        <f>SUMIFS($H$24:$H$47,$F$24:$F$47,$B9)/1000000</f>
        <v>0.2655849</v>
      </c>
      <c r="P9" s="1254">
        <f>$O9-$M9</f>
        <v>0</v>
      </c>
      <c r="Q9" s="1254">
        <f>SUMIFS($G$24:$G$47,$F$24:$F$47,$B9,$D$24:$D$47,"Vacant")/1000000</f>
        <v>0</v>
      </c>
      <c r="R9" t="str">
        <f>"-"</f>
        <v>-</v>
      </c>
      <c r="S9" t="str">
        <f>IFERROR(INDEX(Lists!$AA:$AA,MATCH($B9,Lists!$Z:$Z,0)),$B9)</f>
        <v>Data Platforms</v>
      </c>
    </row>
    <row r="10">
      <c r="B10" s="1218" t="inlineStr">
        <is>
          <t>Delivery squads</t>
        </is>
      </c>
      <c r="C10" s="510" t="n"/>
      <c r="D10" s="1261">
        <f>SUM(D6:D9)</f>
        <v>0</v>
      </c>
      <c r="E10" s="1261">
        <f>SUM(E6:E9)</f>
        <v>15</v>
      </c>
      <c r="F10" s="1261">
        <f>SUM(F6:F9)</f>
        <v>0</v>
      </c>
      <c r="G10" s="1261">
        <f>SUM(G6:G9)</f>
        <v>7</v>
      </c>
      <c r="H10" s="1272">
        <f>SUM(H6:H9)</f>
        <v>0</v>
      </c>
      <c r="I10" s="1272">
        <f>SUM(I6:I9)</f>
        <v>7</v>
      </c>
      <c r="J10" s="1272">
        <f>SUM(J6:J9)</f>
        <v>8</v>
      </c>
      <c r="L10" s="1254">
        <f>SUM(L6:L9)</f>
        <v>0</v>
      </c>
      <c r="M10" s="1254">
        <f>SUM(M6:M9)</f>
        <v>3.663866966</v>
      </c>
      <c r="N10" s="1254">
        <f>SUM(N6:N9)</f>
        <v>0</v>
      </c>
      <c r="O10" s="1254">
        <f>SUM(O6:O9)</f>
        <v>1.932744916</v>
      </c>
      <c r="P10" s="1254">
        <f>SUM(P6:P9)</f>
        <v>-1.73112205</v>
      </c>
      <c r="Q10" s="1254">
        <f>SUM(Q6:Q9)</f>
        <v>1.73112205</v>
      </c>
    </row>
    <row r="11">
      <c r="B11" s="1220" t="inlineStr">
        <is>
          <t>Overhead roles inside this portfolio - compared to the allowance</t>
        </is>
      </c>
      <c r="C11" s="510" t="n"/>
      <c r="D11" s="1261" t="n"/>
      <c r="E11" s="1261" t="n"/>
      <c r="F11" s="1261" t="n"/>
      <c r="G11" s="1261" t="n"/>
      <c r="H11" s="1272" t="n"/>
      <c r="I11" s="1272" t="n"/>
      <c r="J11" s="1272" t="n"/>
      <c r="L11" s="1254" t="n"/>
      <c r="M11" s="1254" t="n"/>
      <c r="N11" s="1254" t="n"/>
      <c r="O11" s="1254" t="n"/>
      <c r="P11" s="1254" t="n"/>
      <c r="Q11" s="1254" t="n"/>
    </row>
    <row r="12">
      <c r="B12" t="inlineStr">
        <is>
          <t>Head of Technology</t>
        </is>
      </c>
      <c r="C12" t="str">
        <f>"Overhead - see 3.2"</f>
        <v>Overhead - see 3.2</v>
      </c>
      <c r="D12" s="1272" t="str">
        <f>"-"</f>
        <v>-</v>
      </c>
      <c r="E12" s="1272">
        <f>COUNTIFS($F$24:$F$47,$B12)</f>
        <v>1</v>
      </c>
      <c r="F12" s="1272" t="str">
        <f>"-"</f>
        <v>-</v>
      </c>
      <c r="G12" s="1272">
        <f>COUNTIFS($F$24:$F$47,$B12,$D$24:$D$47,"Vacant")</f>
        <v>1</v>
      </c>
      <c r="H12" s="1272">
        <f>COUNTIFS($F$24:$F$47,$B12,$D$24:$D$47,"Vacant",$E$24:$E$47,"Hire")+COUNTIFS($F$24:$F$47,$B12,$D$24:$D$47,"Vacant",$E$24:$E$47,"Offshore")</f>
        <v>0</v>
      </c>
      <c r="I12" s="1272">
        <f>COUNTIFS($F$24:$F$47,$B12,$D$24:$D$47,"Vacant",$E$24:$E$47,"Hold")</f>
        <v>1</v>
      </c>
      <c r="J12" s="1272">
        <f>$E12-COUNTIFS($F$24:$F$47,$B12,$E$24:$E$47,"Hold")</f>
        <v>0</v>
      </c>
      <c r="K12" t="str">
        <f>"Overhead"</f>
        <v>Overhead</v>
      </c>
      <c r="L12" s="1254" t="str">
        <f>"-"</f>
        <v>-</v>
      </c>
      <c r="M12" s="1254">
        <f>SUMIFS($G$24:$G$47,$F$24:$F$47,$B12)/1000000</f>
        <v>0.33302025</v>
      </c>
      <c r="N12" s="1254" t="str">
        <f>"-"</f>
        <v>-</v>
      </c>
      <c r="O12" s="1254">
        <f>SUMIFS($H$24:$H$47,$F$24:$F$47,$B12)/1000000</f>
        <v>0</v>
      </c>
      <c r="P12" s="1254">
        <f>$O12-$M12</f>
        <v>-0.33302025</v>
      </c>
      <c r="Q12" s="1254">
        <f>SUMIFS($G$24:$G$47,$F$24:$F$47,$B12,$D$24:$D$47,"Vacant")/1000000</f>
        <v>0.33302025</v>
      </c>
      <c r="R12" t="str">
        <f>"-"</f>
        <v>-</v>
      </c>
    </row>
    <row r="13">
      <c r="B13" s="1232" t="inlineStr">
        <is>
          <t>Domain Architect</t>
        </is>
      </c>
      <c r="C13" s="533" t="str">
        <f>"Overhead - see 3.2"</f>
        <v>Overhead - see 3.2</v>
      </c>
      <c r="D13" s="1288" t="str">
        <f>"-"</f>
        <v>-</v>
      </c>
      <c r="E13" s="1288">
        <f>COUNTIFS($F$24:$F$47,$B13)</f>
        <v>7</v>
      </c>
      <c r="F13" s="1288" t="str">
        <f>"-"</f>
        <v>-</v>
      </c>
      <c r="G13" s="1288">
        <f>COUNTIFS($F$24:$F$47,$B13,$D$24:$D$47,"Vacant")</f>
        <v>0</v>
      </c>
      <c r="H13" s="1272">
        <f>COUNTIFS($F$24:$F$47,$B13,$D$24:$D$47,"Vacant",$E$24:$E$47,"Hire")+COUNTIFS($F$24:$F$47,$B13,$D$24:$D$47,"Vacant",$E$24:$E$47,"Offshore")</f>
        <v>0</v>
      </c>
      <c r="I13" s="1272">
        <f>COUNTIFS($F$24:$F$47,$B13,$D$24:$D$47,"Vacant",$E$24:$E$47,"Hold")</f>
        <v>0</v>
      </c>
      <c r="J13" s="1272">
        <f>$E13-COUNTIFS($F$24:$F$47,$B13,$E$24:$E$47,"Hold")</f>
        <v>7</v>
      </c>
      <c r="K13" t="str">
        <f>"Overhead"</f>
        <v>Overhead</v>
      </c>
      <c r="L13" s="1254" t="str">
        <f>"-"</f>
        <v>-</v>
      </c>
      <c r="M13" s="1254">
        <f>SUMIFS($G$24:$G$47,$F$24:$F$47,$B13)/1000000</f>
        <v>1.664746536</v>
      </c>
      <c r="N13" s="1254" t="str">
        <f>"-"</f>
        <v>-</v>
      </c>
      <c r="O13" s="1254">
        <f>SUMIFS($H$24:$H$47,$F$24:$F$47,$B13)/1000000</f>
        <v>1.664746536</v>
      </c>
      <c r="P13" s="1254">
        <f>$O13-$M13</f>
        <v>0</v>
      </c>
      <c r="Q13" s="1254">
        <f>SUMIFS($G$24:$G$47,$F$24:$F$47,$B13,$D$24:$D$47,"Vacant")/1000000</f>
        <v>0</v>
      </c>
      <c r="R13" t="str">
        <f>"-"</f>
        <v>-</v>
      </c>
    </row>
    <row r="14">
      <c r="B14" s="1220" t="inlineStr">
        <is>
          <t>Delivery Manager</t>
        </is>
      </c>
      <c r="C14" s="622" t="str">
        <f>"Overhead - see 3.2"</f>
        <v>Overhead - see 3.2</v>
      </c>
      <c r="D14" s="1270" t="str">
        <f>"-"</f>
        <v>-</v>
      </c>
      <c r="E14" s="1250">
        <f>COUNTIFS($F$24:$F$47,$B14)</f>
        <v>1</v>
      </c>
      <c r="F14" s="1272" t="str">
        <f>"-"</f>
        <v>-</v>
      </c>
      <c r="G14" s="1261">
        <f>COUNTIFS($F$24:$F$47,$B14,$D$24:$D$47,"Vacant")</f>
        <v>0</v>
      </c>
      <c r="H14" s="1272">
        <f>COUNTIFS($F$24:$F$47,$B14,$D$24:$D$47,"Vacant",$E$24:$E$47,"Hire")+COUNTIFS($F$24:$F$47,$B14,$D$24:$D$47,"Vacant",$E$24:$E$47,"Offshore")</f>
        <v>0</v>
      </c>
      <c r="I14" s="1272">
        <f>COUNTIFS($F$24:$F$47,$B14,$D$24:$D$47,"Vacant",$E$24:$E$47,"Hold")</f>
        <v>0</v>
      </c>
      <c r="J14" s="1272">
        <f>$E14-COUNTIFS($F$24:$F$47,$B14,$E$24:$E$47,"Hold")</f>
        <v>1</v>
      </c>
      <c r="K14" t="str">
        <f>"Overhead"</f>
        <v>Overhead</v>
      </c>
      <c r="L14" s="1254" t="str">
        <f>"-"</f>
        <v>-</v>
      </c>
      <c r="M14" s="1254">
        <f>SUMIFS($G$24:$G$47,$F$24:$F$47,$B14)/1000000</f>
        <v>0.3690886</v>
      </c>
      <c r="N14" s="1254" t="str">
        <f>"-"</f>
        <v>-</v>
      </c>
      <c r="O14" s="1254">
        <f>SUMIFS($H$24:$H$47,$F$24:$F$47,$B14)/1000000</f>
        <v>0.3690886</v>
      </c>
      <c r="P14" s="1254">
        <f>$O14-$M14</f>
        <v>0</v>
      </c>
      <c r="Q14" s="1254">
        <f>SUMIFS($G$24:$G$47,$F$24:$F$47,$B14,$D$24:$D$47,"Vacant")/1000000</f>
        <v>0</v>
      </c>
      <c r="R14" t="str">
        <f>"-"</f>
        <v>-</v>
      </c>
    </row>
    <row r="15" ht="29" customHeight="1">
      <c r="B15" s="1218" t="inlineStr">
        <is>
          <t>Overhead roles</t>
        </is>
      </c>
      <c r="C15" s="622" t="n"/>
      <c r="D15" s="1270" t="n"/>
      <c r="E15" s="1250">
        <f>SUM(E12:E14)</f>
        <v>9</v>
      </c>
      <c r="F15" s="1272" t="n"/>
      <c r="G15" s="1261">
        <f>SUM(G12:G14)</f>
        <v>1</v>
      </c>
      <c r="H15" s="1272">
        <f>SUM(H12:H14)</f>
        <v>0</v>
      </c>
      <c r="I15" s="1272">
        <f>SUM(I12:I14)</f>
        <v>1</v>
      </c>
      <c r="J15" s="1272">
        <f>SUM(J12:J14)</f>
        <v>8</v>
      </c>
      <c r="L15" s="1254" t="n"/>
      <c r="M15" s="1254">
        <f>SUM(M12:M14)</f>
        <v>2.366855386</v>
      </c>
      <c r="N15" s="1254" t="n"/>
      <c r="O15" s="1254">
        <f>SUM(O12:O14)</f>
        <v>2.033835136</v>
      </c>
      <c r="P15" s="1254">
        <f>SUM(P12:P14)</f>
        <v>-0.33302025</v>
      </c>
      <c r="Q15" s="1254">
        <f>SUM(Q12:Q14)</f>
        <v>0.33302025</v>
      </c>
    </row>
    <row r="16" ht="29.15" customHeight="1">
      <c r="B16" s="546" t="n"/>
      <c r="C16" s="622" t="n"/>
      <c r="D16" s="1270" t="n"/>
      <c r="E16" s="1250" t="n"/>
      <c r="F16" s="1272" t="n"/>
      <c r="G16" s="1261" t="n"/>
      <c r="H16" s="1272" t="n"/>
      <c r="I16" s="1272" t="n"/>
      <c r="J16" s="1272" t="n"/>
      <c r="L16" s="1254" t="n"/>
      <c r="M16" s="1254" t="n"/>
      <c r="N16" s="1254" t="n"/>
      <c r="O16" s="1254" t="n"/>
      <c r="P16" s="1254" t="n"/>
      <c r="Q16" s="1254" t="n"/>
    </row>
    <row r="17">
      <c r="B17" s="1218" t="inlineStr">
        <is>
          <t>Total portfolio</t>
        </is>
      </c>
      <c r="C17" s="622" t="n"/>
      <c r="D17" s="1270">
        <f>$D10</f>
        <v>0</v>
      </c>
      <c r="E17" s="1250">
        <f>$E10+$E15</f>
        <v>24</v>
      </c>
      <c r="F17" s="1272">
        <f>IFERROR($E10-$D10,"-")</f>
        <v>15</v>
      </c>
      <c r="G17" s="1261">
        <f>$G10+$G15</f>
        <v>8</v>
      </c>
      <c r="H17" s="1272">
        <f>$H10+$H15</f>
        <v>0</v>
      </c>
      <c r="I17" s="1272">
        <f>$I10+$I15</f>
        <v>8</v>
      </c>
      <c r="J17" s="1272">
        <f>$J10+$J15</f>
        <v>16</v>
      </c>
      <c r="L17" s="1254">
        <f>$L10</f>
        <v>0</v>
      </c>
      <c r="M17" s="1254">
        <f>$M10+$M15</f>
        <v>6.030722352</v>
      </c>
      <c r="N17" s="1254">
        <f>IFERROR($M10-$L10,"-")</f>
        <v>3.663866966</v>
      </c>
      <c r="O17" s="1254">
        <f>$O10+$O15</f>
        <v>3.966580052</v>
      </c>
      <c r="P17" s="1254">
        <f>$P10+$P15</f>
        <v>-2.0641423</v>
      </c>
      <c r="Q17" s="1254">
        <f>$Q10+$Q15</f>
        <v>2.0641423</v>
      </c>
    </row>
    <row r="18">
      <c r="B18" s="1294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73" t="n"/>
      <c r="G18" s="1259" t="n"/>
      <c r="H18" s="1273" t="n"/>
    </row>
    <row r="19">
      <c r="B19" s="1220" t="inlineStr">
        <is>
          <t>Control - roles vs the ledger, must be 0</t>
        </is>
      </c>
      <c r="C19" s="622" t="n"/>
      <c r="D19" s="546" t="n"/>
      <c r="E19" s="612">
        <f>COUNTIFS('REVIEW - Complete Role Mapping'!$AJ$2:$AJ$528,"COE SA&amp;D")-$E17</f>
        <v>0</v>
      </c>
      <c r="G19" s="627" t="n"/>
      <c r="H19" s="1274" t="n"/>
    </row>
    <row r="20">
      <c r="B20" s="1220" t="inlineStr">
        <is>
          <t>Control - cost vs the ledger ($m), must be 0</t>
        </is>
      </c>
      <c r="C20" s="622" t="n"/>
      <c r="D20" s="546" t="n"/>
      <c r="E20" s="612" t="n"/>
      <c r="G20" s="627" t="n"/>
      <c r="H20" s="1274" t="n"/>
      <c r="M20">
        <f>ROUND(SUMIFS('REVIEW - Complete Role Mapping'!$AA$2:$AA$528,'REVIEW - Complete Role Mapping'!$AJ$2:$AJ$528,"COE SA&amp;D")/1000000-$M17,6)</f>
        <v>0</v>
      </c>
    </row>
    <row r="21">
      <c r="B21" s="546" t="n"/>
      <c r="C21" s="622" t="n"/>
      <c r="D21" s="546" t="n"/>
      <c r="E21" s="612" t="n"/>
      <c r="G21" s="627" t="n"/>
      <c r="H21" s="1274" t="n"/>
    </row>
    <row r="22">
      <c r="B22" s="1220" t="inlineStr">
        <is>
          <t>COE SA&amp;D roles - one row per named role, from REVIEW</t>
        </is>
      </c>
      <c r="C22" s="622" t="n"/>
      <c r="D22" s="546" t="n"/>
      <c r="E22" s="612" t="n"/>
      <c r="G22" s="627" t="n"/>
      <c r="H22" s="1274" t="n"/>
    </row>
    <row r="23"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96" t="inlineStr">
        <is>
          <t>Effective cost ($)</t>
        </is>
      </c>
    </row>
    <row r="24">
      <c r="B24" s="546" t="str">
        <f>INDEX('REVIEW - Complete Role Mapping'!$B:$B,291)</f>
        <v>Lynn Yiew</v>
      </c>
      <c r="C24" s="622" t="str">
        <f>INDEX('REVIEW - Complete Role Mapping'!$C:$C,291)</f>
        <v>Data Governance Specialist</v>
      </c>
      <c r="D24" s="546" t="str">
        <f>INDEX('REVIEW - Complete Role Mapping'!$AK:$AK,291)</f>
        <v>Filled</v>
      </c>
      <c r="E24" s="612" t="inlineStr">
        <is>
          <t>Filled</t>
        </is>
      </c>
      <c r="F24" s="536" t="str">
        <f>IF(INDEX('REVIEW - Complete Role Mapping'!$AR:$AR,291)="Squad",INDEX('REVIEW - Complete Role Mapping'!$AP:$AP,291),INDEX('REVIEW - Complete Role Mapping'!$AR:$AR,291))</f>
        <v>Group Data</v>
      </c>
      <c r="G24" s="627">
        <f>INDEX('REVIEW - Complete Role Mapping'!$AA:$AA,291)</f>
        <v>149746.416</v>
      </c>
      <c r="H24" s="1274">
        <f>$G24*IFERROR(INDEX(Lists!$AD:$AD,MATCH($E24,Lists!$AC:$AC,0)),1)</f>
        <v>149746.416</v>
      </c>
    </row>
    <row r="25">
      <c r="B25" s="546" t="str">
        <f>INDEX('REVIEW - Complete Role Mapping'!$B:$B,294)</f>
        <v>Mitchell Clarke</v>
      </c>
      <c r="C25" s="622" t="str">
        <f>INDEX('REVIEW - Complete Role Mapping'!$C:$C,294)</f>
        <v>Snr Data Governance Specialist</v>
      </c>
      <c r="D25" s="546" t="str">
        <f>INDEX('REVIEW - Complete Role Mapping'!$AK:$AK,294)</f>
        <v>Filled</v>
      </c>
      <c r="E25" s="612" t="inlineStr">
        <is>
          <t>Filled</t>
        </is>
      </c>
      <c r="F25" s="536" t="str">
        <f>IF(INDEX('REVIEW - Complete Role Mapping'!$AR:$AR,294)="Squad",INDEX('REVIEW - Complete Role Mapping'!$AP:$AP,294),INDEX('REVIEW - Complete Role Mapping'!$AR:$AR,294))</f>
        <v>Group Data</v>
      </c>
      <c r="G25" s="624">
        <f>INDEX('REVIEW - Complete Role Mapping'!$AA:$AA,294)</f>
        <v>225988.8</v>
      </c>
      <c r="H25" s="1274">
        <f>$G25*IFERROR(INDEX(Lists!$AD:$AD,MATCH($E25,Lists!$AC:$AC,0)),1)</f>
        <v>225988.8</v>
      </c>
    </row>
    <row r="26">
      <c r="B26" s="546" t="str">
        <f>INDEX('REVIEW - Complete Role Mapping'!$B:$B,299)</f>
        <v>Raymond Bai</v>
      </c>
      <c r="C26" s="622" t="str">
        <f>INDEX('REVIEW - Complete Role Mapping'!$C:$C,299)</f>
        <v>Data Adoption Specialist</v>
      </c>
      <c r="D26" s="546" t="str">
        <f>INDEX('REVIEW - Complete Role Mapping'!$AK:$AK,299)</f>
        <v>Filled</v>
      </c>
      <c r="E26" s="612" t="inlineStr">
        <is>
          <t>Filled</t>
        </is>
      </c>
      <c r="F26" s="536" t="str">
        <f>IF(INDEX('REVIEW - Complete Role Mapping'!$AR:$AR,299)="Squad",INDEX('REVIEW - Complete Role Mapping'!$AP:$AP,299),INDEX('REVIEW - Complete Role Mapping'!$AR:$AR,299))</f>
        <v>Group Data</v>
      </c>
      <c r="G26" s="624">
        <f>INDEX('REVIEW - Complete Role Mapping'!$AA:$AA,299)</f>
        <v>175872.9</v>
      </c>
      <c r="H26" s="1274">
        <f>$G26*IFERROR(INDEX(Lists!$AD:$AD,MATCH($E26,Lists!$AC:$AC,0)),1)</f>
        <v>175872.9</v>
      </c>
    </row>
    <row r="27">
      <c r="B27" s="546" t="str">
        <f>INDEX('REVIEW - Complete Role Mapping'!$B:$B,300)</f>
        <v>Renosh Matthew Thomas</v>
      </c>
      <c r="C27" s="622" t="str">
        <f>INDEX('REVIEW - Complete Role Mapping'!$C:$C,300)</f>
        <v>Data Enablement Lead</v>
      </c>
      <c r="D27" s="546" t="str">
        <f>INDEX('REVIEW - Complete Role Mapping'!$AK:$AK,300)</f>
        <v>Filled</v>
      </c>
      <c r="E27" s="612" t="inlineStr">
        <is>
          <t>Filled</t>
        </is>
      </c>
      <c r="F27" s="536" t="str">
        <f>IF(INDEX('REVIEW - Complete Role Mapping'!$AR:$AR,300)="Squad",INDEX('REVIEW - Complete Role Mapping'!$AP:$AP,300),INDEX('REVIEW - Complete Role Mapping'!$AR:$AR,300))</f>
        <v>Group Data</v>
      </c>
      <c r="G27" s="624">
        <f>INDEX('REVIEW - Complete Role Mapping'!$AA:$AA,300)</f>
        <v>227056.8</v>
      </c>
      <c r="H27" s="1274">
        <f>$G27*IFERROR(INDEX(Lists!$AD:$AD,MATCH($E27,Lists!$AC:$AC,0)),1)</f>
        <v>227056.8</v>
      </c>
    </row>
    <row r="28">
      <c r="B28" s="546" t="str">
        <f>INDEX('REVIEW - Complete Role Mapping'!$B:$B,301)</f>
        <v>Rihan Schalkwyk</v>
      </c>
      <c r="C28" s="622" t="str">
        <f>INDEX('REVIEW - Complete Role Mapping'!$C:$C,301)</f>
        <v>Senior Business Analyst</v>
      </c>
      <c r="D28" s="546" t="str">
        <f>INDEX('REVIEW - Complete Role Mapping'!$AK:$AK,301)</f>
        <v>Filled</v>
      </c>
      <c r="E28" s="612" t="inlineStr">
        <is>
          <t>Filled</t>
        </is>
      </c>
      <c r="F28" s="536" t="str">
        <f>IF(INDEX('REVIEW - Complete Role Mapping'!$AR:$AR,301)="Squad",INDEX('REVIEW - Complete Role Mapping'!$AP:$AP,301),INDEX('REVIEW - Complete Role Mapping'!$AR:$AR,301))</f>
        <v>Group Data</v>
      </c>
      <c r="G28" s="624">
        <f>INDEX('REVIEW - Complete Role Mapping'!$AA:$AA,301)</f>
        <v>249124.35</v>
      </c>
      <c r="H28" s="1274">
        <f>$G28*IFERROR(INDEX(Lists!$AD:$AD,MATCH($E28,Lists!$AC:$AC,0)),1)</f>
        <v>249124.35</v>
      </c>
    </row>
    <row r="29">
      <c r="B29" s="546" t="str">
        <f>INDEX('REVIEW - Complete Role Mapping'!$B:$B,309)</f>
        <v>Sanjay Tikoo</v>
      </c>
      <c r="C29" s="622" t="str">
        <f>INDEX('REVIEW - Complete Role Mapping'!$C:$C,309)</f>
        <v>Principal, Data Architecture &amp; Governance</v>
      </c>
      <c r="D29" s="546" t="str">
        <f>INDEX('REVIEW - Complete Role Mapping'!$AK:$AK,309)</f>
        <v>Filled</v>
      </c>
      <c r="E29" s="612" t="inlineStr">
        <is>
          <t>Filled</t>
        </is>
      </c>
      <c r="F29" s="536" t="str">
        <f>IF(INDEX('REVIEW - Complete Role Mapping'!$AR:$AR,309)="Squad",INDEX('REVIEW - Complete Role Mapping'!$AP:$AP,309),INDEX('REVIEW - Complete Role Mapping'!$AR:$AR,309))</f>
        <v>Group Data</v>
      </c>
      <c r="G29" s="627">
        <f>INDEX('REVIEW - Complete Role Mapping'!$AA:$AA,309)</f>
        <v>389125</v>
      </c>
      <c r="H29" s="1274">
        <f>$G29*IFERROR(INDEX(Lists!$AD:$AD,MATCH($E29,Lists!$AC:$AC,0)),1)</f>
        <v>389125</v>
      </c>
    </row>
    <row r="30">
      <c r="B30" s="546" t="str">
        <f>INDEX('REVIEW - Complete Role Mapping'!$B:$B,321)</f>
        <v>Vacant</v>
      </c>
      <c r="C30" s="622" t="str">
        <f>INDEX('REVIEW - Complete Role Mapping'!$C:$C,321)</f>
        <v>Data Governance Lead</v>
      </c>
      <c r="D30" s="546" t="str">
        <f>INDEX('REVIEW - Complete Role Mapping'!$AK:$AK,321)</f>
        <v>Vacant</v>
      </c>
      <c r="E30" s="612" t="inlineStr">
        <is>
          <t>Hold</t>
        </is>
      </c>
      <c r="F30" s="536" t="str">
        <f>IF(INDEX('REVIEW - Complete Role Mapping'!$AR:$AR,321)="Squad",INDEX('REVIEW - Complete Role Mapping'!$AP:$AP,321),INDEX('REVIEW - Complete Role Mapping'!$AR:$AR,321))</f>
        <v>Group Data</v>
      </c>
      <c r="G30" s="627">
        <f>INDEX('REVIEW - Complete Role Mapping'!$AA:$AA,321)</f>
        <v>389606.1</v>
      </c>
      <c r="H30" s="1274">
        <f>$G30*IFERROR(INDEX(Lists!$AD:$AD,MATCH($E30,Lists!$AC:$AC,0)),1)</f>
        <v>0</v>
      </c>
    </row>
    <row r="31">
      <c r="B31" s="546" t="str">
        <f>INDEX('REVIEW - Complete Role Mapping'!$B:$B,306)</f>
        <v>Roger Blazey</v>
      </c>
      <c r="C31" s="622" t="str">
        <f>INDEX('REVIEW - Complete Role Mapping'!$C:$C,306)</f>
        <v>Architect (AI Innovation)</v>
      </c>
      <c r="D31" s="546" t="str">
        <f>INDEX('REVIEW - Complete Role Mapping'!$AK:$AK,306)</f>
        <v>Filled</v>
      </c>
      <c r="E31" s="612" t="inlineStr">
        <is>
          <t>Filled</t>
        </is>
      </c>
      <c r="F31" s="536" t="str">
        <f>IF(INDEX('REVIEW - Complete Role Mapping'!$AR:$AR,306)="Squad",INDEX('REVIEW - Complete Role Mapping'!$AP:$AP,306),INDEX('REVIEW - Complete Role Mapping'!$AR:$AR,306))</f>
        <v>Technology Strategy &amp; AI Capability</v>
      </c>
      <c r="G31" s="627">
        <f>INDEX('REVIEW - Complete Role Mapping'!$AA:$AA,306)</f>
        <v>250245.75</v>
      </c>
      <c r="H31" s="1274">
        <f>$G31*IFERROR(INDEX(Lists!$AD:$AD,MATCH($E31,Lists!$AC:$AC,0)),1)</f>
        <v>250245.75</v>
      </c>
    </row>
    <row r="32">
      <c r="B32" s="546" t="str">
        <f>INDEX('REVIEW - Complete Role Mapping'!$B:$B,325)</f>
        <v>Vacant</v>
      </c>
      <c r="C32" s="622" t="str">
        <f>INDEX('REVIEW - Complete Role Mapping'!$C:$C,325)</f>
        <v>AI Capability Lead</v>
      </c>
      <c r="D32" s="546" t="str">
        <f>INDEX('REVIEW - Complete Role Mapping'!$AK:$AK,325)</f>
        <v>Vacant</v>
      </c>
      <c r="E32" s="612" t="inlineStr">
        <is>
          <t>Hold</t>
        </is>
      </c>
      <c r="F32" s="536" t="str">
        <f>IF(INDEX('REVIEW - Complete Role Mapping'!$AR:$AR,325)="Squad",INDEX('REVIEW - Complete Role Mapping'!$AP:$AP,325),INDEX('REVIEW - Complete Role Mapping'!$AR:$AR,325))</f>
        <v>Technology Strategy &amp; AI Capability</v>
      </c>
      <c r="G32" s="624">
        <f>INDEX('REVIEW - Complete Role Mapping'!$AA:$AA,325)</f>
        <v>275810.25</v>
      </c>
      <c r="H32" s="1274">
        <f>$G32*IFERROR(INDEX(Lists!$AD:$AD,MATCH($E32,Lists!$AC:$AC,0)),1)</f>
        <v>0</v>
      </c>
    </row>
    <row r="33">
      <c r="B33" s="546" t="str">
        <f>INDEX('REVIEW - Complete Role Mapping'!$B:$B,326)</f>
        <v>Vacant</v>
      </c>
      <c r="C33" s="622" t="str">
        <f>INDEX('REVIEW - Complete Role Mapping'!$C:$C,326)</f>
        <v>Enterprise Process Lead</v>
      </c>
      <c r="D33" s="546" t="str">
        <f>INDEX('REVIEW - Complete Role Mapping'!$AK:$AK,326)</f>
        <v>Vacant</v>
      </c>
      <c r="E33" s="612" t="inlineStr">
        <is>
          <t>Hold</t>
        </is>
      </c>
      <c r="F33" s="536" t="str">
        <f>IF(INDEX('REVIEW - Complete Role Mapping'!$AR:$AR,326)="Squad",INDEX('REVIEW - Complete Role Mapping'!$AP:$AP,326),INDEX('REVIEW - Complete Role Mapping'!$AR:$AR,326))</f>
        <v>Technology Strategy &amp; AI Capability</v>
      </c>
      <c r="G33" s="624">
        <f>INDEX('REVIEW - Complete Role Mapping'!$AA:$AA,326)</f>
        <v>202853.25</v>
      </c>
      <c r="H33" s="1274">
        <f>$G33*IFERROR(INDEX(Lists!$AD:$AD,MATCH($E33,Lists!$AC:$AC,0)),1)</f>
        <v>0</v>
      </c>
    </row>
    <row r="34">
      <c r="B34" s="546" t="str">
        <f>INDEX('REVIEW - Complete Role Mapping'!$B:$B,327)</f>
        <v>Vacant</v>
      </c>
      <c r="C34" s="622" t="str">
        <f>INDEX('REVIEW - Complete Role Mapping'!$C:$C,327)</f>
        <v>EnterpriseProcess Analyst</v>
      </c>
      <c r="D34" s="546" t="str">
        <f>INDEX('REVIEW - Complete Role Mapping'!$AK:$AK,327)</f>
        <v>Vacant</v>
      </c>
      <c r="E34" s="612" t="inlineStr">
        <is>
          <t>Hold</t>
        </is>
      </c>
      <c r="F34" s="536" t="str">
        <f>IF(INDEX('REVIEW - Complete Role Mapping'!$AR:$AR,327)="Squad",INDEX('REVIEW - Complete Role Mapping'!$AP:$AP,327),INDEX('REVIEW - Complete Role Mapping'!$AR:$AR,327))</f>
        <v>Technology Strategy &amp; AI Capability</v>
      </c>
      <c r="G34" s="624">
        <f>INDEX('REVIEW - Complete Role Mapping'!$AA:$AA,327)</f>
        <v>170489.75</v>
      </c>
      <c r="H34" s="1274">
        <f>$G34*IFERROR(INDEX(Lists!$AD:$AD,MATCH($E34,Lists!$AC:$AC,0)),1)</f>
        <v>0</v>
      </c>
    </row>
    <row r="35">
      <c r="B35" s="546" t="str">
        <f>INDEX('REVIEW - Complete Role Mapping'!$B:$B,328)</f>
        <v>Vacant</v>
      </c>
      <c r="C35" s="622" t="str">
        <f>INDEX('REVIEW - Complete Role Mapping'!$C:$C,328)</f>
        <v>Strategy Analyst</v>
      </c>
      <c r="D35" s="546" t="str">
        <f>INDEX('REVIEW - Complete Role Mapping'!$AK:$AK,328)</f>
        <v>Vacant</v>
      </c>
      <c r="E35" s="612" t="inlineStr">
        <is>
          <t>Hold</t>
        </is>
      </c>
      <c r="F35" s="536" t="str">
        <f>IF(INDEX('REVIEW - Complete Role Mapping'!$AR:$AR,328)="Squad",INDEX('REVIEW - Complete Role Mapping'!$AP:$AP,328),INDEX('REVIEW - Complete Role Mapping'!$AR:$AR,328))</f>
        <v>Technology Strategy &amp; AI Capability</v>
      </c>
      <c r="G35" s="624">
        <f>INDEX('REVIEW - Complete Role Mapping'!$AA:$AA,328)</f>
        <v>170489.75</v>
      </c>
      <c r="H35" s="1274">
        <f>$G35*IFERROR(INDEX(Lists!$AD:$AD,MATCH($E35,Lists!$AC:$AC,0)),1)</f>
        <v>0</v>
      </c>
    </row>
    <row r="36">
      <c r="B36" s="546" t="str">
        <f>INDEX('REVIEW - Complete Role Mapping'!$B:$B,322)</f>
        <v>Vacant</v>
      </c>
      <c r="C36" s="622" t="str">
        <f>INDEX('REVIEW - Complete Role Mapping'!$C:$C,322)</f>
        <v>Head of Architecture</v>
      </c>
      <c r="D36" s="546" t="str">
        <f>INDEX('REVIEW - Complete Role Mapping'!$AK:$AK,322)</f>
        <v>Vacant</v>
      </c>
      <c r="E36" s="612" t="inlineStr">
        <is>
          <t>Hold</t>
        </is>
      </c>
      <c r="F36" s="536" t="str">
        <f>IF(INDEX('REVIEW - Complete Role Mapping'!$AR:$AR,322)="Squad",INDEX('REVIEW - Complete Role Mapping'!$AP:$AP,322),INDEX('REVIEW - Complete Role Mapping'!$AR:$AR,322))</f>
        <v>Leadership</v>
      </c>
      <c r="G36" s="624">
        <f>INDEX('REVIEW - Complete Role Mapping'!$AA:$AA,322)</f>
        <v>334972.95</v>
      </c>
      <c r="H36" s="1274">
        <f>$G36*IFERROR(INDEX(Lists!$AD:$AD,MATCH($E36,Lists!$AC:$AC,0)),1)</f>
        <v>0</v>
      </c>
    </row>
    <row r="37">
      <c r="B37" s="546" t="str">
        <f>INDEX('REVIEW - Complete Role Mapping'!$B:$B,324)</f>
        <v>Vacant</v>
      </c>
      <c r="C37" s="622" t="str">
        <f>INDEX('REVIEW - Complete Role Mapping'!$C:$C,324)</f>
        <v>Senior Communications Advisor</v>
      </c>
      <c r="D37" s="546" t="str">
        <f>INDEX('REVIEW - Complete Role Mapping'!$AK:$AK,324)</f>
        <v>Vacant</v>
      </c>
      <c r="E37" s="612" t="inlineStr">
        <is>
          <t>Hold</t>
        </is>
      </c>
      <c r="F37" s="442" t="str">
        <f>IF(INDEX('REVIEW - Complete Role Mapping'!$AR:$AR,324)="Squad",INDEX('REVIEW - Complete Role Mapping'!$AP:$AP,324),INDEX('REVIEW - Complete Role Mapping'!$AR:$AR,324))</f>
        <v>Leadership</v>
      </c>
      <c r="G37" s="1267">
        <f>INDEX('REVIEW - Complete Role Mapping'!$AA:$AA,324)</f>
        <v>186900</v>
      </c>
      <c r="H37" s="1274">
        <f>$G37*IFERROR(INDEX(Lists!$AD:$AD,MATCH($E37,Lists!$AC:$AC,0)),1)</f>
        <v>0</v>
      </c>
    </row>
    <row r="38">
      <c r="B38" s="546" t="str">
        <f>INDEX('REVIEW - Complete Role Mapping'!$B:$B,293)</f>
        <v>Milan Patel</v>
      </c>
      <c r="C38" s="622" t="str">
        <f>INDEX('REVIEW - Complete Role Mapping'!$C:$C,293)</f>
        <v>Platform Architect</v>
      </c>
      <c r="D38" s="546" t="str">
        <f>INDEX('REVIEW - Complete Role Mapping'!$AK:$AK,293)</f>
        <v>Filled</v>
      </c>
      <c r="E38" s="612" t="inlineStr">
        <is>
          <t>Filled</t>
        </is>
      </c>
      <c r="F38" s="536" t="str">
        <f>IF(INDEX('REVIEW - Complete Role Mapping'!$AR:$AR,293)="Squad",INDEX('REVIEW - Complete Role Mapping'!$AP:$AP,293),INDEX('REVIEW - Complete Role Mapping'!$AR:$AR,293))</f>
        <v>Data Platforms</v>
      </c>
      <c r="G38" s="624">
        <f>INDEX('REVIEW - Complete Role Mapping'!$AA:$AA,293)</f>
        <v>265584.9</v>
      </c>
      <c r="H38" s="1274">
        <f>$G38*IFERROR(INDEX(Lists!$AD:$AD,MATCH($E38,Lists!$AC:$AC,0)),1)</f>
        <v>265584.9</v>
      </c>
    </row>
    <row r="39">
      <c r="B39" s="546" t="str">
        <f>INDEX('REVIEW - Complete Role Mapping'!$B:$B,323)</f>
        <v>Vacant</v>
      </c>
      <c r="C39" s="622" t="str">
        <f>INDEX('REVIEW - Complete Role Mapping'!$C:$C,323)</f>
        <v>Head of Technology Strategy &amp; AI Capability</v>
      </c>
      <c r="D39" s="546" t="str">
        <f>INDEX('REVIEW - Complete Role Mapping'!$AK:$AK,323)</f>
        <v>Vacant</v>
      </c>
      <c r="E39" s="612" t="inlineStr">
        <is>
          <t>Hold</t>
        </is>
      </c>
      <c r="F39" s="536" t="str">
        <f>IF(INDEX('REVIEW - Complete Role Mapping'!$AR:$AR,323)="Squad",INDEX('REVIEW - Complete Role Mapping'!$AP:$AP,323),INDEX('REVIEW - Complete Role Mapping'!$AR:$AR,323))</f>
        <v>Head of Technology</v>
      </c>
      <c r="G39" s="624">
        <f>INDEX('REVIEW - Complete Role Mapping'!$AA:$AA,323)</f>
        <v>333020.25</v>
      </c>
      <c r="H39" s="1274">
        <f>$G39*IFERROR(INDEX(Lists!$AD:$AD,MATCH($E39,Lists!$AC:$AC,0)),1)</f>
        <v>0</v>
      </c>
    </row>
    <row r="40">
      <c r="B40" s="546" t="str">
        <f>INDEX('REVIEW - Complete Role Mapping'!$B:$B,282)</f>
        <v>Craig Ambrose</v>
      </c>
      <c r="C40" s="622" t="str">
        <f>INDEX('REVIEW - Complete Role Mapping'!$C:$C,282)</f>
        <v>Domain Architect - Group Functions</v>
      </c>
      <c r="D40" s="546" t="str">
        <f>INDEX('REVIEW - Complete Role Mapping'!$AK:$AK,282)</f>
        <v>Filled</v>
      </c>
      <c r="E40" s="612" t="inlineStr">
        <is>
          <t>Filled</t>
        </is>
      </c>
      <c r="F40" s="536" t="str">
        <f>IF(INDEX('REVIEW - Complete Role Mapping'!$AR:$AR,282)="Squad",INDEX('REVIEW - Complete Role Mapping'!$AP:$AP,282),INDEX('REVIEW - Complete Role Mapping'!$AR:$AR,282))</f>
        <v>Domain Architect</v>
      </c>
      <c r="G40" s="624">
        <f>INDEX('REVIEW - Complete Role Mapping'!$AA:$AA,282)</f>
        <v>242741.304</v>
      </c>
      <c r="H40" s="1274">
        <f>$G40*IFERROR(INDEX(Lists!$AD:$AD,MATCH($E40,Lists!$AC:$AC,0)),1)</f>
        <v>242741.304</v>
      </c>
    </row>
    <row r="41">
      <c r="B41" s="546" t="str">
        <f>INDEX('REVIEW - Complete Role Mapping'!$B:$B,288)</f>
        <v>John Forde</v>
      </c>
      <c r="C41" s="622" t="str">
        <f>INDEX('REVIEW - Complete Role Mapping'!$C:$C,288)</f>
        <v>Enterprise Architect</v>
      </c>
      <c r="D41" s="546" t="str">
        <f>INDEX('REVIEW - Complete Role Mapping'!$AK:$AK,288)</f>
        <v>Filled</v>
      </c>
      <c r="E41" s="612" t="inlineStr">
        <is>
          <t>Filled</t>
        </is>
      </c>
      <c r="F41" s="536" t="str">
        <f>IF(INDEX('REVIEW - Complete Role Mapping'!$AR:$AR,288)="Squad",INDEX('REVIEW - Complete Role Mapping'!$AP:$AP,288),INDEX('REVIEW - Complete Role Mapping'!$AR:$AR,288))</f>
        <v>Domain Architect</v>
      </c>
      <c r="G41" s="624">
        <f>INDEX('REVIEW - Complete Role Mapping'!$AA:$AA,288)</f>
        <v>214270.248</v>
      </c>
      <c r="H41" s="1274">
        <f>$G41*IFERROR(INDEX(Lists!$AD:$AD,MATCH($E41,Lists!$AC:$AC,0)),1)</f>
        <v>214270.248</v>
      </c>
    </row>
    <row r="42">
      <c r="B42" s="546" t="str">
        <f>INDEX('REVIEW - Complete Role Mapping'!$B:$B,292)</f>
        <v>Mike Gilbert</v>
      </c>
      <c r="C42" s="622" t="str">
        <f>INDEX('REVIEW - Complete Role Mapping'!$C:$C,292)</f>
        <v>Domain Architect - CFE &amp; Infrastructure </v>
      </c>
      <c r="D42" s="546" t="str">
        <f>INDEX('REVIEW - Complete Role Mapping'!$AK:$AK,292)</f>
        <v>Filled</v>
      </c>
      <c r="E42" s="612" t="inlineStr">
        <is>
          <t>Filled</t>
        </is>
      </c>
      <c r="F42" s="536" t="str">
        <f>IF(INDEX('REVIEW - Complete Role Mapping'!$AR:$AR,292)="Squad",INDEX('REVIEW - Complete Role Mapping'!$AP:$AP,292),INDEX('REVIEW - Complete Role Mapping'!$AR:$AR,292))</f>
        <v>Domain Architect</v>
      </c>
      <c r="G42" s="624">
        <f>INDEX('REVIEW - Complete Role Mapping'!$AA:$AA,292)</f>
        <v>236856.984</v>
      </c>
      <c r="H42" s="1274">
        <f>$G42*IFERROR(INDEX(Lists!$AD:$AD,MATCH($E42,Lists!$AC:$AC,0)),1)</f>
        <v>236856.984</v>
      </c>
    </row>
    <row r="43">
      <c r="B43" t="str">
        <f>INDEX('REVIEW - Complete Role Mapping'!$B:$B,302)</f>
        <v>ring fenced</v>
      </c>
      <c r="C43" t="str">
        <f>INDEX('REVIEW - Complete Role Mapping'!$C:$C,302)</f>
        <v>Enterprise Architect</v>
      </c>
      <c r="D43" t="str">
        <f>INDEX('REVIEW - Complete Role Mapping'!$AK:$AK,302)</f>
        <v>Filled</v>
      </c>
      <c r="E43" t="inlineStr">
        <is>
          <t>Filled</t>
        </is>
      </c>
      <c r="F43" t="str">
        <f>IF(INDEX('REVIEW - Complete Role Mapping'!$AR:$AR,302)="Squad",INDEX('REVIEW - Complete Role Mapping'!$AP:$AP,302),INDEX('REVIEW - Complete Role Mapping'!$AR:$AR,302))</f>
        <v>Domain Architect</v>
      </c>
      <c r="G43" s="1274">
        <f>INDEX('REVIEW - Complete Role Mapping'!$AA:$AA,302)</f>
        <v>275810.25</v>
      </c>
      <c r="H43" s="1274">
        <f>$G43*IFERROR(INDEX(Lists!$AD:$AD,MATCH($E43,Lists!$AC:$AC,0)),1)</f>
        <v>275810.25</v>
      </c>
    </row>
    <row r="44">
      <c r="B44" s="543" t="str">
        <f>INDEX('REVIEW - Complete Role Mapping'!$B:$B,303)</f>
        <v>ring fenced</v>
      </c>
      <c r="C44" s="949" t="str">
        <f>INDEX('REVIEW - Complete Role Mapping'!$C:$C,303)</f>
        <v>Domain Architect - Customer &amp; Digital Tech</v>
      </c>
      <c r="D44" s="949" t="str">
        <f>INDEX('REVIEW - Complete Role Mapping'!$AK:$AK,303)</f>
        <v>Filled</v>
      </c>
      <c r="E44" s="949" t="inlineStr">
        <is>
          <t>Filled</t>
        </is>
      </c>
      <c r="F44" s="949" t="str">
        <f>IF(INDEX('REVIEW - Complete Role Mapping'!$AR:$AR,303)="Squad",INDEX('REVIEW - Complete Role Mapping'!$AP:$AP,303),INDEX('REVIEW - Complete Role Mapping'!$AR:$AR,303))</f>
        <v>Domain Architect</v>
      </c>
      <c r="G44" s="627">
        <f>INDEX('REVIEW - Complete Role Mapping'!$AA:$AA,303)</f>
        <v>231689.25</v>
      </c>
      <c r="H44" s="1274">
        <f>$G44*IFERROR(INDEX(Lists!$AD:$AD,MATCH($E44,Lists!$AC:$AC,0)),1)</f>
        <v>231689.25</v>
      </c>
    </row>
    <row r="45">
      <c r="B45" t="str">
        <f>INDEX('REVIEW - Complete Role Mapping'!$B:$B,304)</f>
        <v>ring fenced</v>
      </c>
      <c r="C45" t="str">
        <f>INDEX('REVIEW - Complete Role Mapping'!$C:$C,304)</f>
        <v>Domain Architect - Retail &amp; Z</v>
      </c>
      <c r="D45" t="str">
        <f>INDEX('REVIEW - Complete Role Mapping'!$AK:$AK,304)</f>
        <v>Filled</v>
      </c>
      <c r="E45" t="inlineStr">
        <is>
          <t>Filled</t>
        </is>
      </c>
      <c r="F45" t="str">
        <f>IF(INDEX('REVIEW - Complete Role Mapping'!$AR:$AR,304)="Squad",INDEX('REVIEW - Complete Role Mapping'!$AP:$AP,304),INDEX('REVIEW - Complete Role Mapping'!$AR:$AR,304))</f>
        <v>Domain Architect</v>
      </c>
      <c r="G45" s="1274">
        <f>INDEX('REVIEW - Complete Role Mapping'!$AA:$AA,304)</f>
        <v>231689.25</v>
      </c>
      <c r="H45" s="1274">
        <f>$G45*IFERROR(INDEX(Lists!$AD:$AD,MATCH($E45,Lists!$AC:$AC,0)),1)</f>
        <v>231689.25</v>
      </c>
    </row>
    <row r="46">
      <c r="B46" t="str">
        <f>INDEX('REVIEW - Complete Role Mapping'!$B:$B,305)</f>
        <v>ring fenced</v>
      </c>
      <c r="C46" t="str">
        <f>INDEX('REVIEW - Complete Role Mapping'!$C:$C,305)</f>
        <v>Domain Architect - TDD</v>
      </c>
      <c r="D46" t="str">
        <f>INDEX('REVIEW - Complete Role Mapping'!$AK:$AK,305)</f>
        <v>Filled</v>
      </c>
      <c r="E46" t="inlineStr">
        <is>
          <t>Filled</t>
        </is>
      </c>
      <c r="F46" t="str">
        <f>IF(INDEX('REVIEW - Complete Role Mapping'!$AR:$AR,305)="Squad",INDEX('REVIEW - Complete Role Mapping'!$AP:$AP,305),INDEX('REVIEW - Complete Role Mapping'!$AR:$AR,305))</f>
        <v>Domain Architect</v>
      </c>
      <c r="G46" s="1274">
        <f>INDEX('REVIEW - Complete Role Mapping'!$AA:$AA,305)</f>
        <v>231689.25</v>
      </c>
      <c r="H46" s="1274">
        <f>$G46*IFERROR(INDEX(Lists!$AD:$AD,MATCH($E46,Lists!$AC:$AC,0)),1)</f>
        <v>231689.25</v>
      </c>
    </row>
    <row r="47">
      <c r="B47" t="str">
        <f>INDEX('REVIEW - Complete Role Mapping'!$B:$B,287)</f>
        <v>Joel Vijayakumar</v>
      </c>
      <c r="C47" t="str">
        <f>INDEX('REVIEW - Complete Role Mapping'!$C:$C,287)</f>
        <v>Delivery Manager, Strategy, Architecture &amp; Data</v>
      </c>
      <c r="D47" t="str">
        <f>INDEX('REVIEW - Complete Role Mapping'!$AK:$AK,287)</f>
        <v>Filled</v>
      </c>
      <c r="E47" t="inlineStr">
        <is>
          <t>Filled</t>
        </is>
      </c>
      <c r="F47" t="str">
        <f>IF(INDEX('REVIEW - Complete Role Mapping'!$AR:$AR,287)="Squad",INDEX('REVIEW - Complete Role Mapping'!$AP:$AP,287),INDEX('REVIEW - Complete Role Mapping'!$AR:$AR,287))</f>
        <v>Delivery Manager</v>
      </c>
      <c r="G47" s="1274">
        <f>INDEX('REVIEW - Complete Role Mapping'!$AA:$AA,287)</f>
        <v>369088.6</v>
      </c>
      <c r="H47" s="1274">
        <f>$G47*IFERROR(INDEX(Lists!$AD:$AD,MATCH($E47,Lists!$AC:$AC,0)),1)</f>
        <v>369088.6</v>
      </c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24:E47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EGI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COUNTIFS($F$18:$F$34,$B6)</f>
        <v>17</v>
      </c>
      <c r="F6" s="1250" t="str">
        <f>IFERROR($E6-$D6,"-")</f>
        <v>-</v>
      </c>
      <c r="G6" s="1250">
        <f>COUNTIFS($F$18:$F$34,$B6,$D$18:$D$34,"Vacant")</f>
        <v>0</v>
      </c>
      <c r="H6" s="1250">
        <f>COUNTIFS($F$18:$F$34,$B6,$D$18:$D$34,"Vacant",$E$18:$E$34,"Hire")+COUNTIFS($F$18:$F$34,$B6,$D$18:$D$34,"Vacant",$E$18:$E$34,"Offshore")</f>
        <v>0</v>
      </c>
      <c r="I6" s="1250">
        <f>COUNTIFS($F$18:$F$34,$B6,$D$18:$D$34,"Vacant",$E$18:$E$34,"Hold")</f>
        <v>0</v>
      </c>
      <c r="J6" s="1251">
        <f>$E6-COUNTIFS($F$18:$F$34,$B6,$E$18:$E$34,"Hold")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SUMIFS($G$18:$G$34,$F$18:$F$34,$B6)/1000000</f>
        <v>4.94341935</v>
      </c>
      <c r="N6" s="1252" t="str">
        <f>IFERROR($M6-$L6,"-")</f>
        <v>-</v>
      </c>
      <c r="O6" s="1253">
        <f>SUMIFS($H$18:$H$34,$F$18:$F$34,$B6)/1000000</f>
        <v>4.94341935</v>
      </c>
      <c r="P6" s="1254">
        <f>$O6-$M6</f>
        <v>0</v>
      </c>
      <c r="Q6" s="1254">
        <f>SUMIFS($G$18:$G$34,$F$18:$F$34,$B6,$D$18:$D$34,"Vacant")/1000000</f>
        <v>0</v>
      </c>
      <c r="R6" t="str">
        <f>"-"</f>
        <v>-</v>
      </c>
      <c r="S6" t="str">
        <f>IFERROR(INDEX(Lists!$AA:$AA,MATCH($B6,Lists!$Z:$Z,0)),$B6)</f>
        <v>EGI</v>
      </c>
    </row>
    <row r="7">
      <c r="A7" s="949" t="n"/>
      <c r="B7" s="1231" t="inlineStr">
        <is>
          <t>Delivery squads</t>
        </is>
      </c>
      <c r="C7" s="641" t="n"/>
      <c r="D7" s="1255">
        <f>SUM(D6:D6)</f>
        <v>0</v>
      </c>
      <c r="E7" s="1255">
        <f>SUM(E6:E6)</f>
        <v>17</v>
      </c>
      <c r="F7" s="1255">
        <f>SUM(F6:F6)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SUM(L6:L6)</f>
        <v>0</v>
      </c>
      <c r="M7" s="1257">
        <f>SUM(M6:M6)</f>
        <v>4.94341935</v>
      </c>
      <c r="N7" s="1257">
        <f>SUM(N6:N6)</f>
        <v>0</v>
      </c>
      <c r="O7" s="1258">
        <f>SUM(O6:O6)</f>
        <v>4.94341935</v>
      </c>
      <c r="P7" s="1254">
        <f>SUM(P6:P6)</f>
        <v>0</v>
      </c>
      <c r="Q7" s="1254">
        <f>SUM(Q6:Q6)</f>
        <v>0</v>
      </c>
    </row>
    <row r="8">
      <c r="A8" s="949" t="n"/>
      <c r="B8" s="994" t="inlineStr">
        <is>
          <t>Overhead roles inside this portfolio - compared to the allowance</t>
        </is>
      </c>
      <c r="C8" s="504" t="n"/>
      <c r="D8" s="1261" t="n"/>
      <c r="E8" s="1262" t="n"/>
      <c r="F8" s="1261" t="n"/>
      <c r="G8" s="1261" t="n"/>
      <c r="H8" s="1261" t="n"/>
      <c r="I8" s="1261" t="n"/>
      <c r="J8" s="1261" t="n"/>
      <c r="K8" s="949" t="n"/>
      <c r="L8" s="1263" t="n"/>
      <c r="M8" s="1263" t="n"/>
      <c r="N8" s="1263" t="n"/>
      <c r="O8" s="1263" t="n"/>
      <c r="P8" s="1254" t="n"/>
      <c r="Q8" s="1254" t="n"/>
    </row>
    <row r="9">
      <c r="A9" s="949" t="n"/>
      <c r="B9" s="1226" t="inlineStr">
        <is>
          <t>Overhead roles</t>
        </is>
      </c>
      <c r="C9" s="504" t="n"/>
      <c r="D9" s="1261" t="n"/>
      <c r="E9" s="1262" t="n">
        <v>0</v>
      </c>
      <c r="F9" s="1261" t="n"/>
      <c r="G9" s="1261" t="n">
        <v>0</v>
      </c>
      <c r="H9" s="1261" t="n">
        <v>0</v>
      </c>
      <c r="I9" s="1261" t="n">
        <v>0</v>
      </c>
      <c r="J9" s="1261" t="n">
        <v>0</v>
      </c>
      <c r="K9" s="949" t="n"/>
      <c r="L9" s="1263" t="n"/>
      <c r="M9" s="1263" t="n">
        <v>0</v>
      </c>
      <c r="N9" s="1263" t="n"/>
      <c r="O9" s="1263" t="n">
        <v>0</v>
      </c>
      <c r="P9" s="1254" t="n">
        <v>0</v>
      </c>
      <c r="Q9" s="1254" t="n">
        <v>0</v>
      </c>
    </row>
    <row r="10">
      <c r="A10" s="949" t="n"/>
      <c r="B10" s="994" t="n"/>
      <c r="C10" s="504" t="n"/>
      <c r="D10" s="1261" t="n"/>
      <c r="E10" s="1261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26" t="inlineStr">
        <is>
          <t>Total portfolio</t>
        </is>
      </c>
      <c r="C11" s="504" t="n"/>
      <c r="D11" s="1261">
        <f>$D7</f>
        <v>0</v>
      </c>
      <c r="E11" s="1261">
        <f>$E7+$E9</f>
        <v>17</v>
      </c>
      <c r="F11" s="1261">
        <f>IFERROR($E7-$D7,"-")</f>
        <v>17</v>
      </c>
      <c r="G11" s="1261">
        <f>$G7+$G9</f>
        <v>0</v>
      </c>
      <c r="H11" s="1261">
        <f>$H7+$H9</f>
        <v>0</v>
      </c>
      <c r="I11" s="1261">
        <f>$I7+$I9</f>
        <v>0</v>
      </c>
      <c r="J11" s="1261">
        <f>$J7+$J9</f>
        <v>17</v>
      </c>
      <c r="K11" s="949" t="n"/>
      <c r="L11" s="1263">
        <f>$L7</f>
        <v>0</v>
      </c>
      <c r="M11" s="1263">
        <f>$M7+$M9</f>
        <v>4.94341935</v>
      </c>
      <c r="N11" s="1263">
        <f>IFERROR($M7-$L7,"-")</f>
        <v>4.94341935</v>
      </c>
      <c r="O11" s="1263">
        <f>$O7+$O9</f>
        <v>4.94341935</v>
      </c>
      <c r="P11" s="1254">
        <f>$P7+$P9</f>
        <v>0</v>
      </c>
      <c r="Q11" s="1254">
        <f>$Q7+$Q9</f>
        <v>0</v>
      </c>
    </row>
    <row r="12">
      <c r="A12" s="949" t="n"/>
      <c r="B12" s="994" t="inlineStr">
        <is>
          <t>Archetype columns D, F, L and N cover the delivery squads only - overhead is not priced by a squad archetype.</t>
        </is>
      </c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Control - roles vs the ledger, must be 0</t>
        </is>
      </c>
      <c r="C13" s="432" t="n"/>
      <c r="D13" s="432" t="n"/>
      <c r="E13" s="432">
        <f>COUNTIFS('REVIEW - Complete Role Mapping'!$AJ$2:$AJ$528,"EGI")-$E11</f>
        <v>0</v>
      </c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283" t="inlineStr">
        <is>
          <t>Control - cost vs the ledger ($m), must be 0</t>
        </is>
      </c>
      <c r="C14" s="1259" t="n"/>
      <c r="D14" s="1259" t="n"/>
      <c r="E14" s="1259" t="n"/>
      <c r="F14" s="1259" t="n"/>
      <c r="G14" s="1259" t="n"/>
      <c r="H14" s="1259" t="n"/>
      <c r="I14" s="949" t="n"/>
      <c r="J14" s="949" t="n"/>
      <c r="K14" s="949" t="n"/>
      <c r="L14" s="949" t="n"/>
      <c r="M14" s="949">
        <f>ROUND(SUMIFS('REVIEW - Complete Role Mapping'!$AA$2:$AA$528,'REVIEW - Complete Role Mapping'!$AJ$2:$AJ$528,"EGI")/1000000-$M11,6)</f>
        <v>0</v>
      </c>
      <c r="N14" s="949" t="n"/>
      <c r="O14" s="949" t="n"/>
    </row>
    <row r="15">
      <c r="A15" s="949" t="n"/>
      <c r="B15" s="533" t="n"/>
      <c r="C15" s="533" t="n"/>
      <c r="D15" s="533" t="n"/>
      <c r="E15" s="533" t="n"/>
      <c r="F15" s="533" t="n"/>
      <c r="G15" s="627" t="n"/>
      <c r="H15" s="627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1284" t="inlineStr">
        <is>
          <t>EGI roles - one row per named role, from REVIEW</t>
        </is>
      </c>
      <c r="C16" s="646" t="n"/>
      <c r="D16" s="646" t="n"/>
      <c r="E16" s="646" t="n"/>
      <c r="F16" s="646" t="n"/>
      <c r="G16" s="627" t="n"/>
      <c r="H16" s="627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 or overhead line</t>
        </is>
      </c>
      <c r="G17" s="1285" t="inlineStr">
        <is>
          <t>Cost if hired ($)</t>
        </is>
      </c>
      <c r="H17" s="1296" t="inlineStr">
        <is>
          <t>Effective cost ($)</t>
        </is>
      </c>
    </row>
    <row r="18">
      <c r="A18" s="949" t="n"/>
      <c r="B18" s="634" t="str">
        <f>INDEX('REVIEW - Complete Role Mapping'!$B:$B,239)</f>
        <v>Ahmed Yehya</v>
      </c>
      <c r="C18" s="634" t="str">
        <f>INDEX('REVIEW - Complete Role Mapping'!$C:$C,239)</f>
        <v>TDD Strategic Delivery</v>
      </c>
      <c r="D18" s="612" t="str">
        <f>INDEX('REVIEW - Complete Role Mapping'!$AK:$AK,239)</f>
        <v>Filled</v>
      </c>
      <c r="E18" s="612" t="inlineStr">
        <is>
          <t>Filled</t>
        </is>
      </c>
      <c r="F18" s="634" t="str">
        <f>IF(INDEX('REVIEW - Complete Role Mapping'!$AR:$AR,239)="Squad",INDEX('REVIEW - Complete Role Mapping'!$AP:$AP,239),INDEX('REVIEW - Complete Role Mapping'!$AR:$AR,239))</f>
        <v>EGI</v>
      </c>
      <c r="G18" s="627">
        <f>INDEX('REVIEW - Complete Role Mapping'!$AA:$AA,239)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Mapping'!$B:$B,240)</f>
        <v>Anthony Huynh</v>
      </c>
      <c r="C19" s="634" t="str">
        <f>INDEX('REVIEW - Complete Role Mapping'!$C:$C,240)</f>
        <v>Strategic Delivery Consultant</v>
      </c>
      <c r="D19" s="612" t="str">
        <f>INDEX('REVIEW - Complete Role Mapping'!$AK:$AK,240)</f>
        <v>Filled</v>
      </c>
      <c r="E19" s="612" t="inlineStr">
        <is>
          <t>Filled</t>
        </is>
      </c>
      <c r="F19" s="634" t="str">
        <f>IF(INDEX('REVIEW - Complete Role Mapping'!$AR:$AR,240)="Squad",INDEX('REVIEW - Complete Role Mapping'!$AP:$AP,240),INDEX('REVIEW - Complete Role Mapping'!$AR:$AR,240))</f>
        <v>EGI</v>
      </c>
      <c r="G19" s="627">
        <f>INDEX('REVIEW - Complete Role Mapping'!$AA:$AA,240)</f>
        <v>301254</v>
      </c>
      <c r="H19" s="1274">
        <f>$G19*IFERROR(INDEX(Lists!$AD:$AD,MATCH($E19,Lists!$AC:$AC,0)),1)</f>
        <v>301254</v>
      </c>
    </row>
    <row r="20">
      <c r="A20" s="949" t="n"/>
      <c r="B20" s="634" t="str">
        <f>INDEX('REVIEW - Complete Role Mapping'!$B:$B,241)</f>
        <v>Areum Kim Lee</v>
      </c>
      <c r="C20" s="634" t="str">
        <f>INDEX('REVIEW - Complete Role Mapping'!$C:$C,241)</f>
        <v>Program Manager (PEP13-EGI-UKG)</v>
      </c>
      <c r="D20" s="612" t="str">
        <f>INDEX('REVIEW - Complete Role Mapping'!$AK:$AK,241)</f>
        <v>Filled</v>
      </c>
      <c r="E20" s="612" t="inlineStr">
        <is>
          <t>Filled</t>
        </is>
      </c>
      <c r="F20" s="634" t="str">
        <f>IF(INDEX('REVIEW - Complete Role Mapping'!$AR:$AR,241)="Squad",INDEX('REVIEW - Complete Role Mapping'!$AP:$AP,241),INDEX('REVIEW - Complete Role Mapping'!$AR:$AR,241))</f>
        <v>EGI</v>
      </c>
      <c r="G20" s="627">
        <f>INDEX('REVIEW - Complete Role Mapping'!$AA:$AA,241)</f>
        <v>343158.72</v>
      </c>
      <c r="H20" s="1274">
        <f>$G20*IFERROR(INDEX(Lists!$AD:$AD,MATCH($E20,Lists!$AC:$AC,0)),1)</f>
        <v>343158.72</v>
      </c>
    </row>
    <row r="21">
      <c r="A21" s="949" t="n"/>
      <c r="B21" s="634" t="str">
        <f>INDEX('REVIEW - Complete Role Mapping'!$B:$B,446)</f>
        <v>Ashish Gupte</v>
      </c>
      <c r="C21" s="634" t="str">
        <f>INDEX('REVIEW - Complete Role Mapping'!$C:$C,446)</f>
        <v>DeveloperSAP ECC</v>
      </c>
      <c r="D21" s="612" t="str">
        <f>INDEX('REVIEW - Complete Role Mapping'!$AK:$AK,446)</f>
        <v>Filled</v>
      </c>
      <c r="E21" s="612" t="inlineStr">
        <is>
          <t>Filled</t>
        </is>
      </c>
      <c r="F21" s="634" t="str">
        <f>IF(INDEX('REVIEW - Complete Role Mapping'!$AR:$AR,446)="Squad",INDEX('REVIEW - Complete Role Mapping'!$AP:$AP,446),INDEX('REVIEW - Complete Role Mapping'!$AR:$AR,446))</f>
        <v>EGI</v>
      </c>
      <c r="G21" s="627">
        <f>INDEX('REVIEW - Complete Role Mapping'!$AA:$AA,446)</f>
        <v>277500</v>
      </c>
      <c r="H21" s="1274">
        <f>$G21*IFERROR(INDEX(Lists!$AD:$AD,MATCH($E21,Lists!$AC:$AC,0)),1)</f>
        <v>277500</v>
      </c>
    </row>
    <row r="22">
      <c r="A22" s="949" t="n"/>
      <c r="B22" s="634" t="str">
        <f>INDEX('REVIEW - Complete Role Mapping'!$B:$B,242)</f>
        <v>Ernesto Pereira</v>
      </c>
      <c r="C22" s="634" t="str">
        <f>INDEX('REVIEW - Complete Role Mapping'!$C:$C,242)</f>
        <v>Project Manger</v>
      </c>
      <c r="D22" s="612" t="str">
        <f>INDEX('REVIEW - Complete Role Mapping'!$AK:$AK,242)</f>
        <v>Filled</v>
      </c>
      <c r="E22" s="612" t="inlineStr">
        <is>
          <t>Filled</t>
        </is>
      </c>
      <c r="F22" s="634" t="str">
        <f>IF(INDEX('REVIEW - Complete Role Mapping'!$AR:$AR,242)="Squad",INDEX('REVIEW - Complete Role Mapping'!$AP:$AP,242),INDEX('REVIEW - Complete Role Mapping'!$AR:$AR,242))</f>
        <v>EGI</v>
      </c>
      <c r="G22" s="627">
        <f>INDEX('REVIEW - Complete Role Mapping'!$AA:$AA,242)</f>
        <v>222000</v>
      </c>
      <c r="H22" s="1274">
        <f>$G22*IFERROR(INDEX(Lists!$AD:$AD,MATCH($E22,Lists!$AC:$AC,0)),1)</f>
        <v>222000</v>
      </c>
    </row>
    <row r="23">
      <c r="A23" s="949" t="n"/>
      <c r="B23" s="634" t="str">
        <f>INDEX('REVIEW - Complete Role Mapping'!$B:$B,243)</f>
        <v>Harish Dasari</v>
      </c>
      <c r="C23" s="634" t="str">
        <f>INDEX('REVIEW - Complete Role Mapping'!$C:$C,243)</f>
        <v>Business Analyst (SAP Payroll)</v>
      </c>
      <c r="D23" s="612" t="str">
        <f>INDEX('REVIEW - Complete Role Mapping'!$AK:$AK,243)</f>
        <v>Filled</v>
      </c>
      <c r="E23" s="612" t="inlineStr">
        <is>
          <t>Filled</t>
        </is>
      </c>
      <c r="F23" s="634" t="str">
        <f>IF(INDEX('REVIEW - Complete Role Mapping'!$AR:$AR,243)="Squad",INDEX('REVIEW - Complete Role Mapping'!$AP:$AP,243),INDEX('REVIEW - Complete Role Mapping'!$AR:$AR,243))</f>
        <v>EGI</v>
      </c>
      <c r="G23" s="627">
        <f>INDEX('REVIEW - Complete Role Mapping'!$AA:$AA,243)</f>
        <v>244200</v>
      </c>
      <c r="H23" s="1274">
        <f>$G23*IFERROR(INDEX(Lists!$AD:$AD,MATCH($E23,Lists!$AC:$AC,0)),1)</f>
        <v>244200</v>
      </c>
    </row>
    <row r="24">
      <c r="A24" s="949" t="n"/>
      <c r="B24" s="634" t="str">
        <f>INDEX('REVIEW - Complete Role Mapping'!$B:$B,244)</f>
        <v>James Munt</v>
      </c>
      <c r="C24" s="634" t="str">
        <f>INDEX('REVIEW - Complete Role Mapping'!$C:$C,244)</f>
        <v>Program Manager Tech &amp; P&amp;C</v>
      </c>
      <c r="D24" s="612" t="str">
        <f>INDEX('REVIEW - Complete Role Mapping'!$AK:$AK,244)</f>
        <v>Filled</v>
      </c>
      <c r="E24" s="612" t="inlineStr">
        <is>
          <t>Filled</t>
        </is>
      </c>
      <c r="F24" s="634" t="str">
        <f>IF(INDEX('REVIEW - Complete Role Mapping'!$AR:$AR,244)="Squad",INDEX('REVIEW - Complete Role Mapping'!$AP:$AP,244),INDEX('REVIEW - Complete Role Mapping'!$AR:$AR,244))</f>
        <v>EGI</v>
      </c>
      <c r="G24" s="627">
        <f>INDEX('REVIEW - Complete Role Mapping'!$AA:$AA,244)</f>
        <v>266400</v>
      </c>
      <c r="H24" s="1274">
        <f>$G24*IFERROR(INDEX(Lists!$AD:$AD,MATCH($E24,Lists!$AC:$AC,0)),1)</f>
        <v>266400</v>
      </c>
    </row>
    <row r="25">
      <c r="A25" s="949" t="n"/>
      <c r="B25" s="634" t="str">
        <f>INDEX('REVIEW - Complete Role Mapping'!$B:$B,245)</f>
        <v>Jason McNamara</v>
      </c>
      <c r="C25" s="634" t="str">
        <f>INDEX('REVIEW - Complete Role Mapping'!$C:$C,245)</f>
        <v>Project Manager Retail</v>
      </c>
      <c r="D25" s="612" t="str">
        <f>INDEX('REVIEW - Complete Role Mapping'!$AK:$AK,245)</f>
        <v>Filled</v>
      </c>
      <c r="E25" s="612" t="inlineStr">
        <is>
          <t>Filled</t>
        </is>
      </c>
      <c r="F25" s="634" t="str">
        <f>IF(INDEX('REVIEW - Complete Role Mapping'!$AR:$AR,245)="Squad",INDEX('REVIEW - Complete Role Mapping'!$AP:$AP,245),INDEX('REVIEW - Complete Role Mapping'!$AR:$AR,245))</f>
        <v>EGI</v>
      </c>
      <c r="G25" s="627">
        <f>INDEX('REVIEW - Complete Role Mapping'!$AA:$AA,245)</f>
        <v>488400</v>
      </c>
      <c r="H25" s="1274">
        <f>$G25*IFERROR(INDEX(Lists!$AD:$AD,MATCH($E25,Lists!$AC:$AC,0)),1)</f>
        <v>488400</v>
      </c>
    </row>
    <row r="26">
      <c r="A26" s="949" t="n"/>
      <c r="B26" s="634" t="str">
        <f>INDEX('REVIEW - Complete Role Mapping'!$B:$B,246)</f>
        <v>Jason Sipkovic</v>
      </c>
      <c r="C26" s="634" t="str">
        <f>INDEX('REVIEW - Complete Role Mapping'!$C:$C,246)</f>
        <v>strategic program architect</v>
      </c>
      <c r="D26" s="612" t="str">
        <f>INDEX('REVIEW - Complete Role Mapping'!$AK:$AK,246)</f>
        <v>Filled</v>
      </c>
      <c r="E26" s="612" t="inlineStr">
        <is>
          <t>Filled</t>
        </is>
      </c>
      <c r="F26" s="634" t="str">
        <f>IF(INDEX('REVIEW - Complete Role Mapping'!$AR:$AR,246)="Squad",INDEX('REVIEW - Complete Role Mapping'!$AP:$AP,246),INDEX('REVIEW - Complete Role Mapping'!$AR:$AR,246))</f>
        <v>EGI</v>
      </c>
      <c r="G26" s="627">
        <f>INDEX('REVIEW - Complete Role Mapping'!$AA:$AA,246)</f>
        <v>333000</v>
      </c>
      <c r="H26" s="1274">
        <f>$G26*IFERROR(INDEX(Lists!$AD:$AD,MATCH($E26,Lists!$AC:$AC,0)),1)</f>
        <v>333000</v>
      </c>
    </row>
    <row r="27">
      <c r="A27" s="949" t="n"/>
      <c r="B27" s="634" t="str">
        <f>INDEX('REVIEW - Complete Role Mapping'!$B:$B,247)</f>
        <v>Kanika Narula</v>
      </c>
      <c r="C27" s="634" t="str">
        <f>INDEX('REVIEW - Complete Role Mapping'!$C:$C,247)</f>
        <v>Business Analyst Digital</v>
      </c>
      <c r="D27" s="612" t="str">
        <f>INDEX('REVIEW - Complete Role Mapping'!$AK:$AK,247)</f>
        <v>Filled</v>
      </c>
      <c r="E27" s="612" t="inlineStr">
        <is>
          <t>Filled</t>
        </is>
      </c>
      <c r="F27" s="634" t="str">
        <f>IF(INDEX('REVIEW - Complete Role Mapping'!$AR:$AR,247)="Squad",INDEX('REVIEW - Complete Role Mapping'!$AP:$AP,247),INDEX('REVIEW - Complete Role Mapping'!$AR:$AR,247))</f>
        <v>EGI</v>
      </c>
      <c r="G27" s="627">
        <f>INDEX('REVIEW - Complete Role Mapping'!$AA:$AA,247)</f>
        <v>239502.48</v>
      </c>
      <c r="H27" s="1274">
        <f>$G27*IFERROR(INDEX(Lists!$AD:$AD,MATCH($E27,Lists!$AC:$AC,0)),1)</f>
        <v>239502.48</v>
      </c>
    </row>
    <row r="28">
      <c r="A28" s="949" t="n"/>
      <c r="B28" s="634" t="str">
        <f>INDEX('REVIEW - Complete Role Mapping'!$B:$B,248)</f>
        <v>Karl Reyneke</v>
      </c>
      <c r="C28" s="634" t="str">
        <f>INDEX('REVIEW - Complete Role Mapping'!$C:$C,248)</f>
        <v>Strategic Delivery Consultant</v>
      </c>
      <c r="D28" s="612" t="str">
        <f>INDEX('REVIEW - Complete Role Mapping'!$AK:$AK,248)</f>
        <v>Filled</v>
      </c>
      <c r="E28" s="612" t="inlineStr">
        <is>
          <t>Filled</t>
        </is>
      </c>
      <c r="F28" s="634" t="str">
        <f>IF(INDEX('REVIEW - Complete Role Mapping'!$AR:$AR,248)="Squad",INDEX('REVIEW - Complete Role Mapping'!$AP:$AP,248),INDEX('REVIEW - Complete Role Mapping'!$AR:$AR,248))</f>
        <v>EGI</v>
      </c>
      <c r="G28" s="627">
        <f>INDEX('REVIEW - Complete Role Mapping'!$AA:$AA,248)</f>
        <v>299700</v>
      </c>
      <c r="H28" s="1274">
        <f>$G28*IFERROR(INDEX(Lists!$AD:$AD,MATCH($E28,Lists!$AC:$AC,0)),1)</f>
        <v>299700</v>
      </c>
    </row>
    <row r="29">
      <c r="A29" s="949" t="n"/>
      <c r="B29" s="634" t="str">
        <f>INDEX('REVIEW - Complete Role Mapping'!$B:$B,250)</f>
        <v>Moitri Pal</v>
      </c>
      <c r="C29" s="634" t="str">
        <f>INDEX('REVIEW - Complete Role Mapping'!$C:$C,250)</f>
        <v>Portfolio Mnager</v>
      </c>
      <c r="D29" s="612" t="str">
        <f>INDEX('REVIEW - Complete Role Mapping'!$AK:$AK,250)</f>
        <v>Filled</v>
      </c>
      <c r="E29" s="612" t="inlineStr">
        <is>
          <t>Filled</t>
        </is>
      </c>
      <c r="F29" s="634" t="str">
        <f>IF(INDEX('REVIEW - Complete Role Mapping'!$AR:$AR,250)="Squad",INDEX('REVIEW - Complete Role Mapping'!$AP:$AP,250),INDEX('REVIEW - Complete Role Mapping'!$AR:$AR,250))</f>
        <v>EGI</v>
      </c>
      <c r="G29" s="627">
        <f>INDEX('REVIEW - Complete Role Mapping'!$AA:$AA,250)</f>
        <v>325464.15</v>
      </c>
      <c r="H29" s="1274">
        <f>$G29*IFERROR(INDEX(Lists!$AD:$AD,MATCH($E29,Lists!$AC:$AC,0)),1)</f>
        <v>325464.15</v>
      </c>
    </row>
    <row r="30">
      <c r="A30" s="949" t="n"/>
      <c r="B30" s="634" t="str">
        <f>INDEX('REVIEW - Complete Role Mapping'!$B:$B,251)</f>
        <v>Niall Greene</v>
      </c>
      <c r="C30" s="634" t="str">
        <f>INDEX('REVIEW - Complete Role Mapping'!$C:$C,251)</f>
        <v>Project Manager (PEP13-EGI-UKG)</v>
      </c>
      <c r="D30" s="612" t="str">
        <f>INDEX('REVIEW - Complete Role Mapping'!$AK:$AK,251)</f>
        <v>Filled</v>
      </c>
      <c r="E30" s="612" t="inlineStr">
        <is>
          <t>Filled</t>
        </is>
      </c>
      <c r="F30" s="634" t="str">
        <f>IF(INDEX('REVIEW - Complete Role Mapping'!$AR:$AR,251)="Squad",INDEX('REVIEW - Complete Role Mapping'!$AP:$AP,251),INDEX('REVIEW - Complete Role Mapping'!$AR:$AR,251))</f>
        <v>EGI</v>
      </c>
      <c r="G30" s="627">
        <f>INDEX('REVIEW - Complete Role Mapping'!$AA:$AA,251)</f>
        <v>244200</v>
      </c>
      <c r="H30" s="1274">
        <f>$G30*IFERROR(INDEX(Lists!$AD:$AD,MATCH($E30,Lists!$AC:$AC,0)),1)</f>
        <v>244200</v>
      </c>
    </row>
    <row r="31">
      <c r="A31" s="949" t="n"/>
      <c r="B31" s="634" t="str">
        <f>INDEX('REVIEW - Complete Role Mapping'!$B:$B,252)</f>
        <v>Paul Hassey</v>
      </c>
      <c r="C31" s="634" t="str">
        <f>INDEX('REVIEW - Complete Role Mapping'!$C:$C,252)</f>
        <v>Program Architect</v>
      </c>
      <c r="D31" s="612" t="str">
        <f>INDEX('REVIEW - Complete Role Mapping'!$AK:$AK,252)</f>
        <v>Filled</v>
      </c>
      <c r="E31" s="612" t="inlineStr">
        <is>
          <t>Filled</t>
        </is>
      </c>
      <c r="F31" s="634" t="str">
        <f>IF(INDEX('REVIEW - Complete Role Mapping'!$AR:$AR,252)="Squad",INDEX('REVIEW - Complete Role Mapping'!$AP:$AP,252),INDEX('REVIEW - Complete Role Mapping'!$AR:$AR,252))</f>
        <v>EGI</v>
      </c>
      <c r="G31" s="627">
        <f>INDEX('REVIEW - Complete Role Mapping'!$AA:$AA,252)</f>
        <v>310800</v>
      </c>
      <c r="H31" s="1274">
        <f>$G31*IFERROR(INDEX(Lists!$AD:$AD,MATCH($E31,Lists!$AC:$AC,0)),1)</f>
        <v>310800</v>
      </c>
    </row>
    <row r="32">
      <c r="A32" s="949" t="n"/>
      <c r="B32" s="634" t="str">
        <f>INDEX('REVIEW - Complete Role Mapping'!$B:$B,254)</f>
        <v>Winnie Fernandes</v>
      </c>
      <c r="C32" s="634" t="str">
        <f>INDEX('REVIEW - Complete Role Mapping'!$C:$C,254)</f>
        <v>Delivery Lead - Integration</v>
      </c>
      <c r="D32" s="612" t="str">
        <f>INDEX('REVIEW - Complete Role Mapping'!$AK:$AK,254)</f>
        <v>Filled</v>
      </c>
      <c r="E32" s="612" t="inlineStr">
        <is>
          <t>Filled</t>
        </is>
      </c>
      <c r="F32" s="634" t="str">
        <f>IF(INDEX('REVIEW - Complete Role Mapping'!$AR:$AR,254)="Squad",INDEX('REVIEW - Complete Role Mapping'!$AP:$AP,254),INDEX('REVIEW - Complete Role Mapping'!$AR:$AR,254))</f>
        <v>EGI</v>
      </c>
      <c r="G32" s="1297">
        <f>INDEX('REVIEW - Complete Role Mapping'!$AA:$AA,254)</f>
        <v>273504</v>
      </c>
      <c r="H32" s="1274">
        <f>$G32*IFERROR(INDEX(Lists!$AD:$AD,MATCH($E32,Lists!$AC:$AC,0)),1)</f>
        <v>273504</v>
      </c>
    </row>
    <row r="33">
      <c r="A33" s="949" t="n"/>
      <c r="B33" s="634" t="str">
        <f>INDEX('REVIEW - Complete Role Mapping'!$B:$B,249)</f>
        <v>michelle Siegman</v>
      </c>
      <c r="C33" s="634" t="str">
        <f>INDEX('REVIEW - Complete Role Mapping'!$C:$C,249)</f>
        <v>Strategic Delivery Consultant</v>
      </c>
      <c r="D33" s="612" t="str">
        <f>INDEX('REVIEW - Complete Role Mapping'!$AK:$AK,249)</f>
        <v>Filled</v>
      </c>
      <c r="E33" s="612" t="inlineStr">
        <is>
          <t>Filled</t>
        </is>
      </c>
      <c r="F33" s="634" t="str">
        <f>IF(INDEX('REVIEW - Complete Role Mapping'!$AR:$AR,249)="Squad",INDEX('REVIEW - Complete Role Mapping'!$AP:$AP,249),INDEX('REVIEW - Complete Role Mapping'!$AR:$AR,249))</f>
        <v>EGI</v>
      </c>
      <c r="G33" s="627">
        <f>INDEX('REVIEW - Complete Role Mapping'!$AA:$AA,249)</f>
        <v>230436</v>
      </c>
      <c r="H33" s="1274">
        <f>$G33*IFERROR(INDEX(Lists!$AD:$AD,MATCH($E33,Lists!$AC:$AC,0)),1)</f>
        <v>230436</v>
      </c>
    </row>
    <row r="34">
      <c r="A34" s="949" t="n"/>
      <c r="B34" s="504" t="str">
        <f>INDEX('REVIEW - Complete Role Mapping'!$B:$B,253)</f>
        <v>vijay Solanki</v>
      </c>
      <c r="C34" s="504" t="str">
        <f>INDEX('REVIEW - Complete Role Mapping'!$C:$C,253)</f>
        <v>Project Manager Deployment</v>
      </c>
      <c r="D34" s="504" t="str">
        <f>INDEX('REVIEW - Complete Role Mapping'!$AK:$AK,253)</f>
        <v>Filled</v>
      </c>
      <c r="E34" s="504" t="inlineStr">
        <is>
          <t>Filled</t>
        </is>
      </c>
      <c r="F34" s="949" t="str">
        <f>IF(INDEX('REVIEW - Complete Role Mapping'!$AR:$AR,253)="Squad",INDEX('REVIEW - Complete Role Mapping'!$AP:$AP,253),INDEX('REVIEW - Complete Role Mapping'!$AR:$AR,253))</f>
        <v>EGI</v>
      </c>
      <c r="G34" s="627">
        <f>INDEX('REVIEW - Complete Role Mapping'!$AA:$AA,253)</f>
        <v>266400</v>
      </c>
      <c r="H34" s="1274">
        <f>$G34*IFERROR(INDEX(Lists!$AD:$AD,MATCH($E34,Lists!$AC:$AC,0)),1)</f>
        <v>266400</v>
      </c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8:E34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994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533" t="inlineStr">
        <is>
          <t>Portfolio</t>
        </is>
      </c>
      <c r="C5" s="533" t="inlineStr">
        <is>
          <t>Squads roles</t>
        </is>
      </c>
      <c r="D5" s="533" t="inlineStr">
        <is>
          <t>Squads occupied</t>
        </is>
      </c>
      <c r="E5" s="533" t="inlineStr">
        <is>
          <t>Squads vacant</t>
        </is>
      </c>
      <c r="F5" s="533" t="inlineStr">
        <is>
          <t>REVIEW roles</t>
        </is>
      </c>
      <c r="G5" s="533" t="inlineStr">
        <is>
          <t>REVIEW occupied</t>
        </is>
      </c>
      <c r="H5" s="533" t="inlineStr">
        <is>
          <t>REVIEW vacant</t>
        </is>
      </c>
      <c r="I5" s="533" t="inlineStr">
        <is>
          <t>Δ roles</t>
        </is>
      </c>
      <c r="J5" s="533" t="inlineStr">
        <is>
          <t>Δ occupied</t>
        </is>
      </c>
      <c r="K5" s="533" t="inlineStr">
        <is>
          <t>Δ vacant</t>
        </is>
      </c>
    </row>
    <row r="6">
      <c r="B6" s="634" t="inlineStr">
        <is>
          <t>Ampol Retail</t>
        </is>
      </c>
      <c r="C6" s="612">
        <f>COUNTIF(Squads!$N:$N,"Ampol Retail")</f>
        <v>80</v>
      </c>
      <c r="D6" s="612">
        <f>C6-E6</f>
        <v>52</v>
      </c>
      <c r="E6" s="612">
        <f>COUNTIFS(Squads!$N:$N,"Ampol Retail",Squads!$R:$R,"Vacant")</f>
        <v>28</v>
      </c>
      <c r="F6" s="612">
        <f>COUNTIF('REVIEW - Complete Role Mapping'!$AJ:$AJ,"Ampol Retail")</f>
        <v>70</v>
      </c>
      <c r="G6" s="612">
        <f>F6-H6</f>
        <v>48</v>
      </c>
      <c r="H6" s="612">
        <f>COUNTIFS('REVIEW - Complete Role Mapping'!$AJ:$AJ,"Ampol Retail",'REVIEW - Complete Role Mapping'!$AK:$AK,"Vacant")</f>
        <v>22</v>
      </c>
      <c r="I6" s="1161">
        <f>F6-C6</f>
        <v>-10</v>
      </c>
      <c r="J6" s="1161">
        <f>G6-D6</f>
        <v>-4</v>
      </c>
      <c r="K6" s="1161">
        <f>H6-E6</f>
        <v>-6</v>
      </c>
    </row>
    <row r="7">
      <c r="B7" s="640" t="inlineStr">
        <is>
          <t>Customer</t>
        </is>
      </c>
      <c r="C7" s="612">
        <f>COUNTIF(Squads!$N:$N,"Customer")</f>
        <v>90</v>
      </c>
      <c r="D7" s="612">
        <f>C7-E7</f>
        <v>69</v>
      </c>
      <c r="E7" s="612">
        <f>COUNTIFS(Squads!$N:$N,"Customer",Squads!$R:$R,"Vacant")</f>
        <v>21</v>
      </c>
      <c r="F7" s="612">
        <f>COUNTIF('REVIEW - Complete Role Mapping'!$AJ:$AJ,"Customer")</f>
        <v>83</v>
      </c>
      <c r="G7" s="612">
        <f>F7-H7</f>
        <v>70</v>
      </c>
      <c r="H7" s="612">
        <f>COUNTIFS('REVIEW - Complete Role Mapping'!$AJ:$AJ,"Customer",'REVIEW - Complete Role Mapping'!$AK:$AK,"Vacant")</f>
        <v>13</v>
      </c>
      <c r="I7" s="1161">
        <f>F7-C7</f>
        <v>-7</v>
      </c>
      <c r="J7" s="1161">
        <f>G7-D7</f>
        <v>1</v>
      </c>
      <c r="K7" s="1161">
        <f>H7-E7</f>
        <v>-8</v>
      </c>
    </row>
    <row r="8">
      <c r="B8" s="634" t="inlineStr">
        <is>
          <t>Enterprise Data</t>
        </is>
      </c>
      <c r="C8" s="612">
        <f>COUNTIF(Squads!$N:$N,"Enterprise Data")</f>
        <v>30</v>
      </c>
      <c r="D8" s="612">
        <f>C8-E8</f>
        <v>16</v>
      </c>
      <c r="E8" s="612">
        <f>COUNTIFS(Squads!$N:$N,"Enterprise Data",Squads!$R:$R,"Vacant")</f>
        <v>14</v>
      </c>
      <c r="F8" s="612">
        <f>COUNTIF('REVIEW - Complete Role Mapping'!$AJ:$AJ,"Enterprise Data")</f>
        <v>30</v>
      </c>
      <c r="G8" s="612">
        <f>F8-H8</f>
        <v>20</v>
      </c>
      <c r="H8" s="612">
        <f>COUNTIFS('REVIEW - Complete Role Mapping'!$AJ:$AJ,"Enterprise Data",'REVIEW - Complete Role Mapping'!$AK:$AK,"Vacant")</f>
        <v>10</v>
      </c>
      <c r="I8" s="1161">
        <f>F8-C8</f>
        <v>0</v>
      </c>
      <c r="J8" s="1161">
        <f>G8-D8</f>
        <v>4</v>
      </c>
      <c r="K8" s="1161">
        <f>H8-E8</f>
        <v>-4</v>
      </c>
    </row>
    <row r="9">
      <c r="B9" s="640" t="inlineStr">
        <is>
          <t>TDD Group Functions</t>
        </is>
      </c>
      <c r="C9" s="612">
        <f>COUNTIF(Squads!$N:$N,"TDD Group Functions")</f>
        <v>45</v>
      </c>
      <c r="D9" s="612">
        <f>C9-E9</f>
        <v>31</v>
      </c>
      <c r="E9" s="612">
        <f>COUNTIFS(Squads!$N:$N,"TDD Group Functions",Squads!$R:$R,"Vacant")</f>
        <v>14</v>
      </c>
      <c r="F9" s="612">
        <f>COUNTIF('REVIEW - Complete Role Mapping'!$AJ:$AJ,"TDD Group Functions")</f>
        <v>46</v>
      </c>
      <c r="G9" s="612">
        <f>F9-H9</f>
        <v>32</v>
      </c>
      <c r="H9" s="612">
        <f>COUNTIFS('REVIEW - Complete Role Mapping'!$AJ:$AJ,"TDD Group Functions",'REVIEW - Complete Role Mapping'!$AK:$AK,"Vacant")</f>
        <v>14</v>
      </c>
      <c r="I9" s="1161">
        <f>F9-C9</f>
        <v>1</v>
      </c>
      <c r="J9" s="1161">
        <f>G9-D9</f>
        <v>1</v>
      </c>
      <c r="K9" s="1161">
        <f>H9-E9</f>
        <v>0</v>
      </c>
    </row>
    <row r="10">
      <c r="B10" s="634" t="inlineStr">
        <is>
          <t>P&amp;C</t>
        </is>
      </c>
      <c r="C10" s="612">
        <f>COUNTIF(Squads!$N:$N,"P&amp;C")</f>
        <v>18</v>
      </c>
      <c r="D10" s="612">
        <f>C10-E10</f>
        <v>9</v>
      </c>
      <c r="E10" s="612">
        <f>COUNTIFS(Squads!$N:$N,"P&amp;C",Squads!$R:$R,"Vacant")</f>
        <v>9</v>
      </c>
      <c r="F10" s="612">
        <f>COUNTIF('REVIEW - Complete Role Mapping'!$AJ:$AJ,"P&amp;C")</f>
        <v>18</v>
      </c>
      <c r="G10" s="612">
        <f>F10-H10</f>
        <v>8</v>
      </c>
      <c r="H10" s="612">
        <f>COUNTIFS('REVIEW - Complete Role Mapping'!$AJ:$AJ,"P&amp;C",'REVIEW - Complete Role Mapping'!$AK:$AK,"Vacant")</f>
        <v>10</v>
      </c>
      <c r="I10" s="1161">
        <f>F10-C10</f>
        <v>0</v>
      </c>
      <c r="J10" s="1161">
        <f>G10-D10</f>
        <v>-1</v>
      </c>
      <c r="K10" s="1161">
        <f>H10-E10</f>
        <v>1</v>
      </c>
    </row>
    <row r="11">
      <c r="B11" s="640" t="inlineStr">
        <is>
          <t>Finance</t>
        </is>
      </c>
      <c r="C11" s="612">
        <f>COUNTIF(Squads!$N:$N,"Finance")</f>
        <v>16</v>
      </c>
      <c r="D11" s="612">
        <f>C11-E11</f>
        <v>8</v>
      </c>
      <c r="E11" s="612">
        <f>COUNTIFS(Squads!$N:$N,"Finance",Squads!$R:$R,"Vacant")</f>
        <v>8</v>
      </c>
      <c r="F11" s="612">
        <f>COUNTIF('REVIEW - Complete Role Mapping'!$AJ:$AJ,"Finance")</f>
        <v>17</v>
      </c>
      <c r="G11" s="612">
        <f>F11-H11</f>
        <v>9</v>
      </c>
      <c r="H11" s="612">
        <f>COUNTIFS('REVIEW - Complete Role Mapping'!$AJ:$AJ,"Finance",'REVIEW - Complete Role Mapping'!$AK:$AK,"Vacant")</f>
        <v>8</v>
      </c>
      <c r="I11" s="1161">
        <f>F11-C11</f>
        <v>1</v>
      </c>
      <c r="J11" s="1161">
        <f>G11-D11</f>
        <v>1</v>
      </c>
      <c r="K11" s="1161">
        <f>H11-E11</f>
        <v>0</v>
      </c>
    </row>
    <row r="12">
      <c r="B12" s="634" t="inlineStr">
        <is>
          <t>Infrastructure</t>
        </is>
      </c>
      <c r="C12" s="612">
        <f>COUNTIF(Squads!$N:$N,"Infrastructure")</f>
        <v>35</v>
      </c>
      <c r="D12" s="612">
        <f>C12-E12</f>
        <v>21</v>
      </c>
      <c r="E12" s="612">
        <f>COUNTIFS(Squads!$N:$N,"Infrastructure",Squads!$R:$R,"Vacant")</f>
        <v>14</v>
      </c>
      <c r="F12" s="612">
        <f>COUNTIF('REVIEW - Complete Role Mapping'!$AJ:$AJ,"Infrastructure")</f>
        <v>36</v>
      </c>
      <c r="G12" s="612">
        <f>F12-H12</f>
        <v>24</v>
      </c>
      <c r="H12" s="612">
        <f>COUNTIFS('REVIEW - Complete Role Mapping'!$AJ:$AJ,"Infrastructure",'REVIEW - Complete Role Mapping'!$AK:$AK,"Vacant")</f>
        <v>12</v>
      </c>
      <c r="I12" s="1161">
        <f>F12-C12</f>
        <v>1</v>
      </c>
      <c r="J12" s="1161">
        <f>G12-D12</f>
        <v>3</v>
      </c>
      <c r="K12" s="1161">
        <f>H12-E12</f>
        <v>-2</v>
      </c>
    </row>
    <row r="13">
      <c r="B13" s="640" t="inlineStr">
        <is>
          <t>Energy Solutions &amp; B2B</t>
        </is>
      </c>
      <c r="C13" s="612">
        <f>COUNTIF(Squads!$N:$N,"Energy Solutions &amp; B2B")</f>
        <v>37</v>
      </c>
      <c r="D13" s="612">
        <f>C13-E13</f>
        <v>25</v>
      </c>
      <c r="E13" s="612">
        <f>COUNTIFS(Squads!$N:$N,"Energy Solutions &amp; B2B",Squads!$R:$R,"Vacant")</f>
        <v>12</v>
      </c>
      <c r="F13" s="612">
        <f>COUNTIF('REVIEW - Complete Role Mapping'!$AJ:$AJ,"Energy Solutions &amp; B2B")</f>
        <v>33</v>
      </c>
      <c r="G13" s="612">
        <f>F13-H13</f>
        <v>24</v>
      </c>
      <c r="H13" s="612">
        <f>COUNTIFS('REVIEW - Complete Role Mapping'!$AJ:$AJ,"Energy Solutions &amp; B2B",'REVIEW - Complete Role Mapping'!$AK:$AK,"Vacant")</f>
        <v>9</v>
      </c>
      <c r="I13" s="1161">
        <f>F13-C13</f>
        <v>-4</v>
      </c>
      <c r="J13" s="1161">
        <f>G13-D13</f>
        <v>-1</v>
      </c>
      <c r="K13" s="1161">
        <f>H13-E13</f>
        <v>-3</v>
      </c>
    </row>
    <row r="14">
      <c r="B14" s="634" t="inlineStr">
        <is>
          <t>Commercial Fuels</t>
        </is>
      </c>
      <c r="C14" s="612">
        <f>COUNTIF(Squads!$N:$N,"Commercial Fuels")</f>
        <v>42</v>
      </c>
      <c r="D14" s="612">
        <f>C14-E14</f>
        <v>32</v>
      </c>
      <c r="E14" s="612">
        <f>COUNTIFS(Squads!$N:$N,"Commercial Fuels",Squads!$R:$R,"Vacant")</f>
        <v>10</v>
      </c>
      <c r="F14" s="612">
        <f>COUNTIF('REVIEW - Complete Role Mapping'!$AJ:$AJ,"Commercial Fuels")</f>
        <v>42</v>
      </c>
      <c r="G14" s="612">
        <f>F14-H14</f>
        <v>33</v>
      </c>
      <c r="H14" s="612">
        <f>COUNTIFS('REVIEW - Complete Role Mapping'!$AJ:$AJ,"Commercial Fuels",'REVIEW - Complete Role Mapping'!$AK:$AK,"Vacant")</f>
        <v>9</v>
      </c>
      <c r="I14" s="1161">
        <f>F14-C14</f>
        <v>0</v>
      </c>
      <c r="J14" s="1161">
        <f>G14-D14</f>
        <v>1</v>
      </c>
      <c r="K14" s="1161">
        <f>H14-E14</f>
        <v>-1</v>
      </c>
    </row>
    <row r="15">
      <c r="B15" s="640" t="inlineStr">
        <is>
          <t>Z Retail</t>
        </is>
      </c>
      <c r="C15" s="612">
        <f>COUNTIF(Squads!$N:$N,"Z Retail")</f>
        <v>34</v>
      </c>
      <c r="D15" s="612">
        <f>C15-E15</f>
        <v>28</v>
      </c>
      <c r="E15" s="612">
        <f>COUNTIFS(Squads!$N:$N,"Z Retail",Squads!$R:$R,"Vacant")</f>
        <v>6</v>
      </c>
      <c r="F15" s="612">
        <f>COUNTIF('REVIEW - Complete Role Mapping'!$AJ:$AJ,"Z Retail")</f>
        <v>39</v>
      </c>
      <c r="G15" s="612">
        <f>F15-H15</f>
        <v>32</v>
      </c>
      <c r="H15" s="612">
        <f>COUNTIFS('REVIEW - Complete Role Mapping'!$AJ:$AJ,"Z Retail",'REVIEW - Complete Role Mapping'!$AK:$AK,"Vacant")</f>
        <v>7</v>
      </c>
      <c r="I15" s="1161">
        <f>F15-C15</f>
        <v>5</v>
      </c>
      <c r="J15" s="1161">
        <f>G15-D15</f>
        <v>4</v>
      </c>
      <c r="K15" s="1161">
        <f>H15-E15</f>
        <v>1</v>
      </c>
    </row>
    <row r="16">
      <c r="B16" s="634" t="inlineStr">
        <is>
          <t>COE - Cyber</t>
        </is>
      </c>
      <c r="C16" s="612">
        <f>COUNTIF(Squads!$N:$N,"TDD Cyber")</f>
        <v>48</v>
      </c>
      <c r="D16" s="612">
        <f>C16-E16</f>
        <v>40</v>
      </c>
      <c r="E16" s="612">
        <f>COUNTIFS(Squads!$N:$N,"TDD Cyber",Squads!$R:$R,"Vacant")</f>
        <v>8</v>
      </c>
      <c r="F16" s="612">
        <f>COUNTIF('REVIEW - Complete Role Mapping'!$AJ:$AJ,"COE Cyber")</f>
        <v>46</v>
      </c>
      <c r="G16" s="612">
        <f>F16-H16</f>
        <v>42</v>
      </c>
      <c r="H16" s="612">
        <f>COUNTIFS('REVIEW - Complete Role Mapping'!$AJ:$AJ,"COE Cyber",'REVIEW - Complete Role Mapping'!$AK:$AK,"Vacant")</f>
        <v>4</v>
      </c>
      <c r="I16" s="1161">
        <f>F16-C16</f>
        <v>-2</v>
      </c>
      <c r="J16" s="1161">
        <f>G16-D16</f>
        <v>2</v>
      </c>
      <c r="K16" s="1161">
        <f>H16-E16</f>
        <v>-4</v>
      </c>
    </row>
    <row r="17">
      <c r="B17" s="640" t="inlineStr">
        <is>
          <t>COE - Partnering, Strategy, Arch &amp; Data</t>
        </is>
      </c>
      <c r="C17" s="612">
        <f>COUNTIF(Squads!$N:$N,"COE")</f>
        <v>52</v>
      </c>
      <c r="D17" s="612">
        <f>C17-E17</f>
        <v>31</v>
      </c>
      <c r="E17" s="612">
        <f>COUNTIFS(Squads!$N:$N,"COE",Squads!$R:$R,"Vacant")</f>
        <v>21</v>
      </c>
      <c r="F17" s="612">
        <f>COUNTIF('REVIEW - Complete Role Mapping'!$AJ:$AJ,"COE BP&amp;T")+COUNTIF('REVIEW - Complete Role Mapping'!$AJ:$AJ,"COE SA&amp;D")</f>
        <v>48</v>
      </c>
      <c r="G17" s="612">
        <f>F17-H17</f>
        <v>31</v>
      </c>
      <c r="H17" s="612">
        <f>COUNTIFS('REVIEW - Complete Role Mapping'!$AJ:$AJ,"COE BP&amp;T",'REVIEW - Complete Role Mapping'!$AK:$AK,"Vacant")+COUNTIFS('REVIEW - Complete Role Mapping'!$AJ:$AJ,"COE SA&amp;D",'REVIEW - Complete Role Mapping'!$AK:$AK,"Vacant")</f>
        <v>17</v>
      </c>
      <c r="I17" s="1161">
        <f>F17-C17</f>
        <v>-4</v>
      </c>
      <c r="J17" s="1161">
        <f>G17-D17</f>
        <v>0</v>
      </c>
      <c r="K17" s="1161">
        <f>H17-E17</f>
        <v>-4</v>
      </c>
    </row>
    <row r="18">
      <c r="B18" s="634" t="inlineStr">
        <is>
          <t>EGI</t>
        </is>
      </c>
      <c r="C18" s="612">
        <f>COUNTIF(Squads!$N:$N,"EGI")</f>
        <v>5</v>
      </c>
      <c r="D18" s="612">
        <f>C18-E18</f>
        <v>5</v>
      </c>
      <c r="E18" s="612">
        <f>COUNTIFS(Squads!$N:$N,"EGI",Squads!$R:$R,"Vacant")</f>
        <v>0</v>
      </c>
      <c r="F18" s="612">
        <f>COUNTIF('REVIEW - Complete Role Mapping'!$AJ:$AJ,"EGI")</f>
        <v>17</v>
      </c>
      <c r="G18" s="612">
        <f>F18-H18</f>
        <v>17</v>
      </c>
      <c r="H18" s="612">
        <f>COUNTIFS('REVIEW - Complete Role Mapping'!$AJ:$AJ,"EGI",'REVIEW - Complete Role Mapping'!$AK:$AK,"Vacant")</f>
        <v>0</v>
      </c>
      <c r="I18" s="1161">
        <f>F18-C18</f>
        <v>12</v>
      </c>
      <c r="J18" s="1161">
        <f>G18-D18</f>
        <v>12</v>
      </c>
      <c r="K18" s="1161">
        <f>H18-E18</f>
        <v>0</v>
      </c>
    </row>
    <row r="19">
      <c r="B19" s="640" t="inlineStr">
        <is>
          <t>Unmapped (Squads only)</t>
        </is>
      </c>
      <c r="C19" s="612">
        <f>COUNTIF(Squads!$N:$N,"Unmapped")</f>
        <v>4</v>
      </c>
      <c r="D19" s="612">
        <f>C19-E19</f>
        <v>3</v>
      </c>
      <c r="E19" s="612">
        <f>COUNTIFS(Squads!$N:$N,"Unmapped",Squads!$R:$R,"Vacant")</f>
        <v>1</v>
      </c>
      <c r="F19" s="612">
        <f>0</f>
        <v>0</v>
      </c>
      <c r="G19" s="612">
        <f>F19-H19</f>
        <v>0</v>
      </c>
      <c r="H19" s="612">
        <f>0</f>
        <v>0</v>
      </c>
      <c r="I19" s="1161">
        <f>F19-C19</f>
        <v>-4</v>
      </c>
      <c r="J19" s="1161">
        <f>G19-D19</f>
        <v>-3</v>
      </c>
      <c r="K19" s="1161">
        <f>H19-E19</f>
        <v>-1</v>
      </c>
    </row>
    <row r="20">
      <c r="B20" s="641" t="inlineStr">
        <is>
          <t>Total</t>
        </is>
      </c>
      <c r="C20" s="651">
        <f>SUM(C6:C19)</f>
        <v>536</v>
      </c>
      <c r="D20" s="651">
        <f>SUM(D6:D19)</f>
        <v>370</v>
      </c>
      <c r="E20" s="651">
        <f>SUM(E6:E19)</f>
        <v>166</v>
      </c>
      <c r="F20" s="651">
        <f>SUM(F6:F19)</f>
        <v>525</v>
      </c>
      <c r="G20" s="651">
        <f>SUM(G6:G19)</f>
        <v>390</v>
      </c>
      <c r="H20" s="651">
        <f>SUM(H6:H19)</f>
        <v>135</v>
      </c>
      <c r="I20" s="1162">
        <f>SUM(I6:I19)</f>
        <v>-11</v>
      </c>
      <c r="J20" s="1162">
        <f>SUM(J6:J19)</f>
        <v>20</v>
      </c>
      <c r="K20" s="1162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G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value.</t>
        </is>
      </c>
      <c r="C4" s="306" t="n"/>
      <c r="D4" s="306" t="n"/>
      <c r="E4" s="306" t="n"/>
      <c r="F4" s="290" t="n"/>
    </row>
    <row r="5">
      <c r="B5" s="1226" t="inlineStr">
        <is>
          <t>Check</t>
        </is>
      </c>
      <c r="C5" s="1243" t="inlineStr">
        <is>
          <t>Value</t>
        </is>
      </c>
      <c r="D5" s="1243" t="inlineStr">
        <is>
          <t>Expected</t>
        </is>
      </c>
      <c r="E5" s="1243" t="inlineStr">
        <is>
          <t>Difference</t>
        </is>
      </c>
      <c r="F5" s="949" t="n"/>
    </row>
    <row r="6">
      <c r="B6" s="285" t="inlineStr">
        <is>
          <t>Roles in the ledger</t>
        </is>
      </c>
      <c r="C6" s="288">
        <f>COUNTA('REVIEW - Complete Role Mapping'!$B$2:$B$528)</f>
        <v>525</v>
      </c>
      <c r="D6" s="288" t="n">
        <v>525</v>
      </c>
      <c r="E6" s="307">
        <f>ROUND($C6-$D6,6)</f>
        <v>0</v>
      </c>
      <c r="F6" s="949" t="n"/>
    </row>
    <row r="7">
      <c r="B7" s="285" t="inlineStr">
        <is>
          <t>Cost in the ledger ($m)</t>
        </is>
      </c>
      <c r="C7" s="288">
        <f>SUMIFS('REVIEW - Complete Role Mapping'!$AA$2:$AA$528,'REVIEW - Complete Role Mapping'!$B$2:$B$528,"&lt;&gt;")/1000000</f>
        <v>115.1132622681</v>
      </c>
      <c r="D7" s="288" t="n">
        <v>115.113262268</v>
      </c>
      <c r="E7" s="307">
        <f>ROUND($C7-$D7,6)</f>
        <v>0</v>
      </c>
      <c r="F7" s="949" t="n"/>
    </row>
    <row r="8">
      <c r="B8" s="285" t="inlineStr">
        <is>
          <t>Filled</t>
        </is>
      </c>
      <c r="C8" s="288">
        <f>COUNTIFS('REVIEW - Complete Role Mapping'!$AK$2:$AK$528,"Filled")</f>
        <v>390</v>
      </c>
      <c r="D8" s="288" t="n">
        <v>390</v>
      </c>
      <c r="E8" s="307">
        <f>ROUND($C8-$D8,6)</f>
        <v>0</v>
      </c>
      <c r="F8" s="949" t="n"/>
    </row>
    <row r="9">
      <c r="B9" s="285" t="inlineStr">
        <is>
          <t>Vacant</t>
        </is>
      </c>
      <c r="C9" s="288">
        <f>COUNTIFS('REVIEW - Complete Role Mapping'!$AK$2:$AK$528,"Vacant")</f>
        <v>135</v>
      </c>
      <c r="D9" s="288" t="n">
        <v>135</v>
      </c>
      <c r="E9" s="307">
        <f>ROUND($C9-$D9,6)</f>
        <v>0</v>
      </c>
      <c r="F9" s="949" t="n"/>
    </row>
    <row r="10">
      <c r="B10" t="inlineStr">
        <is>
          <t>Roles with no portfolio</t>
        </is>
      </c>
      <c r="C10">
        <f>COUNTIFS('REVIEW - Complete Role Mapping'!$B$2:$B$528,"&lt;&gt;",'REVIEW - Complete Role Mapping'!$AJ$2:$AJ$528,"")</f>
        <v>0</v>
      </c>
      <c r="D10" t="n">
        <v>0</v>
      </c>
      <c r="E10">
        <f>ROUND($C10-$D10,6)</f>
        <v>0</v>
      </c>
    </row>
    <row r="11">
      <c r="B11" s="289" t="inlineStr">
        <is>
          <t>Roles with no squad</t>
        </is>
      </c>
      <c r="C11" s="306">
        <f>COUNTIFS('REVIEW - Complete Role Mapping'!$AP$2:$AP$528,"Unassigned")</f>
        <v>1</v>
      </c>
      <c r="D11" s="306" t="n">
        <v>1</v>
      </c>
      <c r="E11" s="306">
        <f>ROUND($C11-$D11,6)</f>
        <v>0</v>
      </c>
      <c r="F11" s="290" t="n"/>
    </row>
    <row r="12">
      <c r="B12" s="285" t="inlineStr">
        <is>
          <t>3.2 roles vs ledger</t>
        </is>
      </c>
      <c r="C12" s="504">
        <f>'3.2 Total Cost'!$C$24</f>
        <v>0</v>
      </c>
      <c r="D12" s="504" t="n">
        <v>0</v>
      </c>
      <c r="E12" s="504">
        <f>ROUND($C12-$D12,6)</f>
        <v>0</v>
      </c>
      <c r="F12" s="285" t="n"/>
    </row>
    <row r="13">
      <c r="B13" s="285" t="inlineStr">
        <is>
          <t>3.2 cost vs ledger ($m)</t>
        </is>
      </c>
      <c r="C13" s="504">
        <f>'3.2 Total Cost'!$F$25</f>
        <v>0</v>
      </c>
      <c r="D13" s="504" t="n">
        <v>0</v>
      </c>
      <c r="E13" s="504">
        <f>ROUND($C13-$D13,6)</f>
        <v>0</v>
      </c>
      <c r="F13" s="285" t="n"/>
    </row>
    <row r="14">
      <c r="B14" s="285" t="inlineStr">
        <is>
          <t>3.2 squad + overhead vs total ($m)</t>
        </is>
      </c>
      <c r="C14" s="504">
        <f>'3.2 Total Cost'!$F$26</f>
        <v>0</v>
      </c>
      <c r="D14" s="504" t="n">
        <v>0</v>
      </c>
      <c r="E14" s="504">
        <f>ROUND($C14-$D14,6)</f>
        <v>0</v>
      </c>
      <c r="F14" s="285" t="n"/>
    </row>
    <row r="15">
      <c r="B15" s="1228" t="inlineStr">
        <is>
          <t>3.3 roles vs ledger</t>
        </is>
      </c>
      <c r="C15" s="504">
        <f>'3.3 FTE View'!$I$119</f>
        <v>0</v>
      </c>
      <c r="D15" s="504" t="n">
        <v>0</v>
      </c>
      <c r="E15" s="504">
        <f>ROUND($C15-$D15,6)</f>
        <v>0</v>
      </c>
      <c r="F15" s="285" t="n"/>
    </row>
    <row r="16">
      <c r="B16" s="285" t="inlineStr">
        <is>
          <t>3.1 cost vs 3.2 ($m)</t>
        </is>
      </c>
      <c r="C16" s="504">
        <f>ROUND('3.1 Group Summary'!$D$20-'3.2 Total Cost'!$F$21,6)</f>
        <v>0</v>
      </c>
      <c r="D16" s="504" t="n">
        <v>0</v>
      </c>
      <c r="E16" s="504">
        <f>ROUND($C16-$D16,6)</f>
        <v>0</v>
      </c>
      <c r="F16" s="285" t="n"/>
    </row>
    <row r="17">
      <c r="B17" s="285" t="inlineStr">
        <is>
          <t>3.1 roles vs 3.2</t>
        </is>
      </c>
      <c r="C17" s="285">
        <f>'3.1 Group Summary'!$J$20-'3.2 Total Cost'!$C$21</f>
        <v>0</v>
      </c>
      <c r="D17" s="285" t="n">
        <v>0</v>
      </c>
      <c r="E17" s="285">
        <f>ROUND($C17-$D17,6)</f>
        <v>0</v>
      </c>
      <c r="F17" s="285" t="n"/>
    </row>
    <row r="18">
      <c r="B18" s="285" t="inlineStr">
        <is>
          <t>3.4 roles vs COE+EGI ledger</t>
        </is>
      </c>
      <c r="C18" s="504">
        <f>'3.4 COE Summary'!$C$14</f>
        <v>0</v>
      </c>
      <c r="D18" s="504" t="n">
        <v>0</v>
      </c>
      <c r="E18" s="504">
        <f>ROUND($C18-$D18,6)</f>
        <v>0</v>
      </c>
      <c r="F18" s="285" t="n"/>
    </row>
    <row r="19">
      <c r="B19" s="285" t="inlineStr">
        <is>
          <t>3.4 cost vs COE+EGI ledger ($m)</t>
        </is>
      </c>
      <c r="C19" s="504">
        <f>'3.4 COE Summary'!$F$15</f>
        <v>0</v>
      </c>
      <c r="D19" s="504" t="n">
        <v>0</v>
      </c>
      <c r="E19" s="504">
        <f>ROUND($C19-$D19,6)</f>
        <v>0</v>
      </c>
      <c r="F19" s="285" t="n"/>
    </row>
    <row r="20">
      <c r="B20" s="285" t="inlineStr">
        <is>
          <t>3.4 AU + NZ + other vs gross ($m)</t>
        </is>
      </c>
      <c r="C20" s="504">
        <f>'3.4 COE Summary'!$F$17</f>
        <v>0</v>
      </c>
      <c r="D20" s="504" t="n">
        <v>0</v>
      </c>
      <c r="E20" s="504">
        <f>ROUND($C20-$D20,6)</f>
        <v>0</v>
      </c>
      <c r="F20" s="285" t="n"/>
    </row>
    <row r="21">
      <c r="B21" s="1228" t="inlineStr">
        <is>
          <t>Squad cost + overhead cost vs ledger ($m)</t>
        </is>
      </c>
      <c r="C21" s="504">
        <f>ROUND('3.2 Total Cost'!$H$21+'3.2 Total Cost'!$M$21-'3.2 Total Cost'!$F$21,6)</f>
        <v>0</v>
      </c>
      <c r="D21" s="504" t="n">
        <v>0</v>
      </c>
      <c r="E21" s="504">
        <f>ROUND($C21-$D21,6)</f>
        <v>0</v>
      </c>
      <c r="F21" s="285" t="n"/>
    </row>
    <row r="22">
      <c r="B22" s="285" t="inlineStr">
        <is>
          <t>Filled cost + vacant cost vs ledger ($m)</t>
        </is>
      </c>
      <c r="C22" s="504">
        <f>ROUND((SUMIFS('REVIEW - Complete Role Mapping'!$AA$2:$AA$528,'REVIEW - Complete Role Mapping'!$AK$2:$AK$528,"Filled")+SUMIFS('REVIEW - Complete Role Mapping'!$AA$2:$AA$528,'REVIEW - Complete Role Mapping'!$AK$2:$AK$528,"Vacant"))/1000000-'3.2 Total Cost'!$F$21,6)</f>
        <v>0</v>
      </c>
      <c r="D22" s="504" t="n">
        <v>0</v>
      </c>
      <c r="E22" s="504">
        <f>ROUND($C22-$D22,6)</f>
        <v>0</v>
      </c>
      <c r="F22" s="285" t="n"/>
    </row>
    <row r="23">
      <c r="B23" s="285" t="inlineStr">
        <is>
          <t>Overhead roles: ledger lines vs 3.2 block</t>
        </is>
      </c>
      <c r="C23" s="504">
        <f>COUNTIFS('REVIEW - Complete Role Mapping'!$AR$2:$AR$528,"&lt;&gt;Squad",'REVIEW - Complete Role Mapping'!$B$2:$B$528,"&lt;&gt;")-'3.2 Total Cost'!$C$21+'3.2 Total Cost'!$G$21</f>
        <v>0</v>
      </c>
      <c r="D23" s="504" t="n">
        <v>0</v>
      </c>
      <c r="E23" s="504">
        <f>ROUND($C23-$D23,6)</f>
        <v>0</v>
      </c>
      <c r="F23" s="285" t="n"/>
    </row>
    <row r="24">
      <c r="B24" s="1228" t="inlineStr">
        <is>
          <t>Checks failing</t>
        </is>
      </c>
      <c r="C24" s="504" t="n"/>
      <c r="D24" s="504" t="n"/>
      <c r="E24" s="504">
        <f>COUNTIF(E6:E23,"&lt;&gt;0")</f>
        <v>0</v>
      </c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–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–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–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–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–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–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–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–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–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–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–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–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–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–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–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–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–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–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–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–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–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–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–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–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–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–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–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–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–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–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–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–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–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–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–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–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–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–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–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–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–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–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–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–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–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–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–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–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–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–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–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–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Canonical squad</t>
        </is>
      </c>
      <c r="AA1" s="1208" t="inlineStr">
        <is>
          <t>Name on 1.x design tab</t>
        </is>
      </c>
      <c r="AC1" s="1208" t="inlineStr">
        <is>
          <t>Lever</t>
        </is>
      </c>
      <c r="AD1" s="1208" t="inlineStr">
        <is>
          <t>Cost factor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Z2" t="inlineStr">
        <is>
          <t>Z Loyalty &amp; Martech</t>
        </is>
      </c>
      <c r="AA2" t="inlineStr">
        <is>
          <t>Z Energy Martech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77.5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Z3" t="inlineStr">
        <is>
          <t>Cloud, Network &amp; Infra Ops</t>
        </is>
      </c>
      <c r="AA3" t="inlineStr">
        <is>
          <t>Network &amp; Infrastructure</t>
        </is>
      </c>
      <c r="AC3" t="inlineStr">
        <is>
          <t>Hire</t>
        </is>
      </c>
      <c r="AD3" t="n">
        <v>1</v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Z4" t="inlineStr">
        <is>
          <t>Integration &amp; Process Automation</t>
        </is>
      </c>
      <c r="AA4" t="inlineStr">
        <is>
          <t>Integration</t>
        </is>
      </c>
      <c r="AC4" t="inlineStr">
        <is>
          <t>Hold</t>
        </is>
      </c>
      <c r="AD4" t="n">
        <v>0</v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Z5" t="inlineStr">
        <is>
          <t>Manufacturing Group Projects</t>
        </is>
      </c>
      <c r="AA5" t="inlineStr">
        <is>
          <t>Manufacturing &amp; Group Projects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Z6" t="inlineStr">
        <is>
          <t>SAP ERP</t>
        </is>
      </c>
      <c r="AA6" t="inlineStr">
        <is>
          <t>AU Finance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Z7" t="inlineStr">
        <is>
          <t>DevOps &amp; QE</t>
        </is>
      </c>
      <c r="AA7" t="inlineStr">
        <is>
          <t>DevOps &amp; Engineering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Z8" t="inlineStr">
        <is>
          <t>Ampol Loyalty &amp; Martech</t>
        </is>
      </c>
      <c r="AA8" t="inlineStr">
        <is>
          <t>AU CRM &amp; Martech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Z9" t="inlineStr">
        <is>
          <t>Network &amp; QSR</t>
        </is>
      </c>
      <c r="AA9" t="inlineStr">
        <is>
          <t>Network / QSR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Z10" t="inlineStr">
        <is>
          <t>P&amp;C RTA</t>
        </is>
      </c>
      <c r="AA10" t="inlineStr">
        <is>
          <t>P&amp;C - RTA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Z11" t="inlineStr">
        <is>
          <t>Z App and Web</t>
        </is>
      </c>
      <c r="AA11" t="inlineStr">
        <is>
          <t>Z Energy Apps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240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2026-07-25T16:26:20Z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