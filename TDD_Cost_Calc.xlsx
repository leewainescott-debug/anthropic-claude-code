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comments/comment1.xml" ContentType="application/vnd.openxmlformats-officedocument.spreadsheetml.comments+xml"/>
  <Override PartName="/xl/worksheets/sheet4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39" activeTab="43"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DECISIONS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TDD Cyber" sheetId="33" state="visible" r:id="rId33"/>
    <sheet name="2.12 BP&amp;T" sheetId="34" state="visible" r:id="rId34"/>
    <sheet name="2.13 SA&amp;D" sheetId="35" state="visible" r:id="rId35"/>
    <sheet name="2.14 EGI &amp; Central" sheetId="36" state="visible" r:id="rId36"/>
    <sheet name="- SUMMARIES -" sheetId="37" state="visible" r:id="rId37"/>
    <sheet name="3.1 Group Summary" sheetId="38" state="visible" r:id="rId38"/>
    <sheet name="3.2 Total Cost" sheetId="39" state="visible" r:id="rId39"/>
    <sheet name="3.3 FTE View" sheetId="40" state="visible" r:id="rId40"/>
    <sheet name="3.4 COE Summary" sheetId="41" state="visible" r:id="rId41"/>
    <sheet name="3.5 Source Reconciliation" sheetId="42" state="visible" r:id="rId42"/>
    <sheet name="- EVIDENCE -" sheetId="43" state="visible" r:id="rId43"/>
    <sheet name="4.0 Data QA" sheetId="44" state="visible" r:id="rId44"/>
    <sheet name="REVIEW - Complete Role Mapping" sheetId="45" state="visible" r:id="rId45"/>
    <sheet name="Squads" sheetId="46" state="visible" r:id="rId46"/>
    <sheet name="Added data" sheetId="47" state="visible" r:id="rId47"/>
    <sheet name="Sheet2" sheetId="48" state="visible" r:id="rId48"/>
    <sheet name="FY26 Budget (superseded)" sheetId="49" state="hidden" r:id="rId49"/>
    <sheet name="squad mapping (superseded)" sheetId="50" state="hidden" r:id="rId50"/>
    <sheet name="Lists" sheetId="51" state="hidden" r:id="rId51"/>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4" hidden="1">'REVIEW - Complete Role Mapping'!$A$1:$AH$528</definedName>
    <definedName name="_xlnm._FilterDatabase" localSheetId="45" hidden="1">'Squads'!$A$1:$XEV$538</definedName>
    <definedName name="_xlnm._FilterDatabase" localSheetId="46" hidden="1">'Added data'!$A$1:$AC$550</definedName>
    <definedName name="_xlnm._FilterDatabase" localSheetId="47" hidden="1">'Sheet2'!$A$1:$AB$153</definedName>
  </definedNames>
  <calcPr calcId="191029" fullCalcOnLoad="1" iterateDelta="0.0001"/>
  <pivotCaches>
    <pivotCache cacheId="57" r:id="rId52"/>
    <pivotCache cacheId="58" r:id="rId53"/>
  </pivotCaches>
</workbook>
</file>

<file path=xl/styles.xml><?xml version="1.0" encoding="utf-8"?>
<styleSheet xmlns="http://schemas.openxmlformats.org/spreadsheetml/2006/main">
  <numFmts count="20">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 numFmtId="179" formatCode="#,##0.00;[Red]\(#,##0.00\);&quot;-&quot;"/>
    <numFmt numFmtId="180" formatCode="_-&quot;$&quot;* #,##0.00_-;\-&quot;$&quot;* #,##0.00_-;_-&quot;$&quot;* &quot;-&quot;??_-;_-@_-"/>
    <numFmt numFmtId="181" formatCode="#,##0;[Red]\(#,##0\);&quot;-&quot;"/>
    <numFmt numFmtId="182" formatCode="\$#,##0;[Red]\(\$#,##0\);\-"/>
    <numFmt numFmtId="183" formatCode="#,##0;[Red]-#,##0;&quot;-&quot;"/>
  </numFmts>
  <fonts count="93">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i val="1"/>
      <sz val="10"/>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family val="2"/>
      <b val="1"/>
      <sz val="10"/>
    </font>
    <font>
      <name val="Calibri"/>
      <family val="2"/>
      <b val="1"/>
      <color rgb="FFFFFFFF"/>
      <sz val="10"/>
    </font>
    <font>
      <name val="Calibri"/>
      <family val="2"/>
      <sz val="10"/>
    </font>
    <font>
      <name val="Calibri"/>
      <family val="2"/>
      <color rgb="FF0000FF"/>
      <sz val="10"/>
    </font>
    <font>
      <name val="Calibri"/>
      <family val="2"/>
      <b val="1"/>
      <sz val="16"/>
    </font>
    <font>
      <name val="Calibri"/>
      <family val="2"/>
      <b val="1"/>
      <color rgb="FF9C0006"/>
      <sz val="11"/>
    </font>
    <font>
      <name val="Calibri"/>
      <family val="2"/>
      <b val="1"/>
      <sz val="18"/>
    </font>
    <font>
      <name val="Calibri"/>
      <family val="2"/>
      <b val="1"/>
      <sz val="14"/>
    </font>
    <font>
      <name val="Calibri"/>
      <family val="2"/>
      <color rgb="FFFF0000"/>
      <sz val="10"/>
    </font>
    <font>
      <name val="Calibri"/>
      <family val="2"/>
      <b val="1"/>
      <sz val="16"/>
    </font>
    <font>
      <name val="Calibri"/>
      <family val="2"/>
      <sz val="10"/>
    </font>
    <font>
      <name val="Calibri"/>
      <family val="2"/>
      <b val="1"/>
      <color rgb="FFFFFFFF"/>
      <sz val="10"/>
    </font>
    <font>
      <name val="Calibri"/>
      <family val="2"/>
      <sz val="11"/>
    </font>
    <font>
      <name val="Calibri"/>
      <family val="2"/>
      <b val="1"/>
      <color rgb="FFFFFFFF"/>
      <sz val="11"/>
    </font>
    <font>
      <name val="Calibri"/>
      <family val="2"/>
      <b val="1"/>
      <sz val="11"/>
    </font>
    <font>
      <name val="Calibri"/>
      <family val="2"/>
      <b val="1"/>
      <color rgb="FF002F6C"/>
      <sz val="14"/>
    </font>
    <font>
      <name val="Calibri"/>
      <family val="2"/>
      <b val="1"/>
      <color rgb="FF002F6C"/>
      <sz val="16"/>
    </font>
    <font>
      <name val="Calibri"/>
      <family val="2"/>
      <b val="1"/>
      <color rgb="FF002F6C"/>
      <sz val="12"/>
    </font>
    <font>
      <name val="Calibri"/>
      <family val="2"/>
      <b val="1"/>
      <color rgb="FF808080"/>
      <sz val="16"/>
    </font>
    <font>
      <name val="Calibri"/>
      <family val="2"/>
      <b val="1"/>
      <color rgb="FF1F4E79"/>
      <sz val="16"/>
    </font>
    <font>
      <name val="Calibri"/>
      <family val="2"/>
      <b val="1"/>
      <color rgb="FFBF8F00"/>
      <sz val="16"/>
    </font>
    <font>
      <name val="Calibri"/>
      <family val="2"/>
      <b val="1"/>
      <color rgb="FF375623"/>
      <sz val="16"/>
    </font>
    <font>
      <name val="Calibri"/>
      <family val="2"/>
      <color rgb="FF0000FF"/>
      <sz val="11"/>
    </font>
    <font>
      <name val="Calibri"/>
      <family val="2"/>
      <b val="1"/>
      <color rgb="FFFF0000"/>
      <sz val="11"/>
    </font>
    <font>
      <name val="Calibri"/>
      <family val="2"/>
      <color rgb="FFFF0000"/>
      <sz val="11"/>
    </font>
    <font>
      <name val="Tahoma"/>
      <family val="2"/>
      <b val="1"/>
      <color indexed="81"/>
      <sz val="9"/>
    </font>
    <font>
      <name val="Tahoma"/>
      <family val="2"/>
      <color indexed="81"/>
      <sz val="9"/>
    </font>
    <font>
      <i val="1"/>
      <sz val="10"/>
    </font>
    <font>
      <b val="1"/>
      <sz val="14"/>
    </font>
    <font>
      <b val="1"/>
      <color rgb="00FFFFFF"/>
    </font>
    <font/>
    <font>
      <b val="1"/>
    </font>
  </fonts>
  <fills count="49">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6704000976593"/>
        <bgColor rgb="FFF8CBAD"/>
      </patternFill>
    </fill>
    <fill>
      <patternFill patternType="solid">
        <fgColor rgb="FFFFF2CC"/>
        <bgColor rgb="FFFBE4D5"/>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2F2F2"/>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0" tint="-0.1499984740745262"/>
        <bgColor indexed="64"/>
      </patternFill>
    </fill>
    <fill>
      <patternFill patternType="solid">
        <fgColor rgb="001F4E79"/>
      </patternFill>
    </fill>
    <fill>
      <patternFill patternType="solid">
        <fgColor rgb="00F2F2F2"/>
      </patternFill>
    </fill>
    <fill>
      <patternFill patternType="solid">
        <fgColor rgb="00D9D9D9"/>
      </patternFill>
    </fill>
  </fills>
  <borders count="115">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style="medium">
        <color rgb="FFFFFFFF"/>
      </left>
      <right/>
      <top/>
      <bottom/>
      <diagonal/>
    </border>
    <border>
      <left/>
      <right/>
      <top style="medium">
        <color rgb="FFFFFFFF"/>
      </top>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thin">
        <color rgb="00BFBFBF"/>
      </left>
      <right style="thin">
        <color rgb="00BFBFBF"/>
      </right>
      <top style="thin">
        <color rgb="00BFBFBF"/>
      </top>
      <bottom style="thin">
        <color rgb="00BFBFBF"/>
      </bottom>
    </border>
  </borders>
  <cellStyleXfs count="15">
    <xf numFmtId="0" fontId="49" fillId="0" borderId="103"/>
    <xf numFmtId="0" fontId="49" fillId="0" borderId="103"/>
    <xf numFmtId="9" fontId="49" fillId="0" borderId="103"/>
    <xf numFmtId="0" fontId="5" fillId="0" borderId="103"/>
    <xf numFmtId="43" fontId="49" fillId="0" borderId="103"/>
    <xf numFmtId="9" fontId="49" fillId="0" borderId="103"/>
    <xf numFmtId="0" fontId="5" fillId="0" borderId="103"/>
    <xf numFmtId="0" fontId="5" fillId="0" borderId="103"/>
    <xf numFmtId="43" fontId="49" fillId="0" borderId="103"/>
    <xf numFmtId="9" fontId="49" fillId="0" borderId="103"/>
    <xf numFmtId="44" fontId="49" fillId="0" borderId="103"/>
    <xf numFmtId="0" fontId="49" fillId="0" borderId="103"/>
    <xf numFmtId="0" fontId="5" fillId="0" borderId="103"/>
    <xf numFmtId="43" fontId="49" fillId="0" borderId="103"/>
    <xf numFmtId="9" fontId="49" fillId="0" borderId="103"/>
  </cellStyleXfs>
  <cellXfs count="992">
    <xf numFmtId="0" fontId="0" fillId="0" borderId="0" pivotButton="0" quotePrefix="0" xfId="0"/>
    <xf numFmtId="0" fontId="8" fillId="2" borderId="2" applyAlignment="1" pivotButton="0" quotePrefix="0" xfId="0">
      <alignment horizontal="left" vertical="center"/>
    </xf>
    <xf numFmtId="0" fontId="6" fillId="0" borderId="0" pivotButton="0" quotePrefix="0" xfId="0"/>
    <xf numFmtId="0" fontId="7" fillId="3" borderId="2" applyAlignment="1" pivotButton="0" quotePrefix="0" xfId="0">
      <alignment horizontal="left" vertical="center"/>
    </xf>
    <xf numFmtId="0" fontId="7" fillId="3" borderId="0" applyAlignment="1" pivotButton="0" quotePrefix="0" xfId="0">
      <alignment horizontal="left" vertical="center"/>
    </xf>
    <xf numFmtId="0" fontId="8" fillId="3" borderId="2" applyAlignment="1" pivotButton="0" quotePrefix="0" xfId="0">
      <alignment horizontal="left" vertical="center"/>
    </xf>
    <xf numFmtId="0" fontId="9" fillId="4" borderId="2" pivotButton="0" quotePrefix="0" xfId="0"/>
    <xf numFmtId="164" fontId="9" fillId="4" borderId="2" pivotButton="0" quotePrefix="0" xfId="0"/>
    <xf numFmtId="0" fontId="10" fillId="0" borderId="2" pivotButton="0" quotePrefix="0" xfId="0"/>
    <xf numFmtId="164" fontId="10" fillId="0" borderId="2" pivotButton="0" quotePrefix="0" xfId="0"/>
    <xf numFmtId="0" fontId="9" fillId="0" borderId="2" pivotButton="0" quotePrefix="0" xfId="0"/>
    <xf numFmtId="164" fontId="9" fillId="0" borderId="2" pivotButton="0" quotePrefix="0" xfId="0"/>
    <xf numFmtId="0" fontId="11" fillId="0" borderId="0" pivotButton="0" quotePrefix="0" xfId="0"/>
    <xf numFmtId="165" fontId="11" fillId="0" borderId="2" pivotButton="0" quotePrefix="0" xfId="0"/>
    <xf numFmtId="0" fontId="12" fillId="0" borderId="2" pivotButton="0" quotePrefix="0" xfId="0"/>
    <xf numFmtId="0" fontId="13" fillId="0" borderId="0" pivotButton="0" quotePrefix="0" xfId="0"/>
    <xf numFmtId="164" fontId="13" fillId="0" borderId="2" pivotButton="0" quotePrefix="0" xfId="0"/>
    <xf numFmtId="166" fontId="0" fillId="0" borderId="0" pivotButton="0" quotePrefix="0" xfId="0"/>
    <xf numFmtId="0" fontId="15" fillId="0" borderId="0" pivotButton="0" quotePrefix="0" xfId="0"/>
    <xf numFmtId="0" fontId="10" fillId="4" borderId="2" pivotButton="0" quotePrefix="0" xfId="0"/>
    <xf numFmtId="164" fontId="10" fillId="4" borderId="2" pivotButton="0" quotePrefix="0" xfId="0"/>
    <xf numFmtId="164" fontId="11" fillId="0" borderId="2" pivotButton="0" quotePrefix="0" xfId="0"/>
    <xf numFmtId="0" fontId="16" fillId="5" borderId="0" pivotButton="0" quotePrefix="0" xfId="1"/>
    <xf numFmtId="0" fontId="17" fillId="5" borderId="0" pivotButton="0" quotePrefix="0" xfId="1"/>
    <xf numFmtId="0" fontId="22" fillId="6" borderId="10" applyAlignment="1" pivotButton="0" quotePrefix="0" xfId="1">
      <alignment horizontal="center" vertical="center" wrapText="1" readingOrder="1"/>
    </xf>
    <xf numFmtId="0" fontId="22" fillId="6" borderId="11" applyAlignment="1" pivotButton="0" quotePrefix="0" xfId="1">
      <alignment horizontal="center" vertical="center" wrapText="1" readingOrder="1"/>
    </xf>
    <xf numFmtId="0" fontId="23" fillId="9" borderId="11" applyAlignment="1" pivotButton="0" quotePrefix="0" xfId="1">
      <alignment horizontal="center" vertical="center" wrapText="1" readingOrder="1"/>
    </xf>
    <xf numFmtId="0" fontId="23" fillId="9" borderId="12" applyAlignment="1" pivotButton="0" quotePrefix="0" xfId="1">
      <alignment horizontal="center" vertical="center" wrapText="1" readingOrder="1"/>
    </xf>
    <xf numFmtId="0" fontId="23" fillId="9" borderId="13" applyAlignment="1" pivotButton="0" quotePrefix="0" xfId="1">
      <alignment horizontal="center" vertical="center" wrapText="1" readingOrder="1"/>
    </xf>
    <xf numFmtId="0" fontId="22" fillId="6" borderId="12" applyAlignment="1" pivotButton="0" quotePrefix="0" xfId="1">
      <alignment horizontal="center" vertical="center" wrapText="1" readingOrder="1"/>
    </xf>
    <xf numFmtId="0" fontId="16" fillId="5" borderId="0" applyAlignment="1" pivotButton="0" quotePrefix="0" xfId="1">
      <alignment vertical="center"/>
    </xf>
    <xf numFmtId="0" fontId="18" fillId="10" borderId="14" applyAlignment="1" pivotButton="0" quotePrefix="0" xfId="1">
      <alignment horizontal="left" vertical="center" wrapText="1" indent="1" readingOrder="1"/>
    </xf>
    <xf numFmtId="0" fontId="24" fillId="11" borderId="14" applyAlignment="1" pivotButton="0" quotePrefix="0" xfId="1">
      <alignment horizontal="left" vertical="center" wrapText="1" indent="1" readingOrder="1"/>
    </xf>
    <xf numFmtId="167" fontId="25" fillId="4" borderId="15" applyAlignment="1" pivotButton="0" quotePrefix="0" xfId="1">
      <alignment horizontal="center" vertical="center" wrapText="1" readingOrder="1"/>
    </xf>
    <xf numFmtId="167" fontId="25" fillId="4" borderId="16" applyAlignment="1" pivotButton="0" quotePrefix="0" xfId="1">
      <alignment horizontal="center" vertical="center" wrapText="1" readingOrder="1"/>
    </xf>
    <xf numFmtId="168" fontId="25" fillId="4" borderId="17" applyAlignment="1" pivotButton="0" quotePrefix="0" xfId="2">
      <alignment horizontal="center" vertical="center" wrapText="1" readingOrder="1"/>
    </xf>
    <xf numFmtId="0" fontId="23" fillId="12" borderId="17" applyAlignment="1" pivotButton="0" quotePrefix="0" xfId="1">
      <alignment horizontal="center" vertical="center" wrapText="1" readingOrder="1"/>
    </xf>
    <xf numFmtId="0" fontId="23" fillId="12" borderId="18" applyAlignment="1" pivotButton="0" quotePrefix="0" xfId="1">
      <alignment horizontal="center" vertical="center" wrapText="1" readingOrder="1"/>
    </xf>
    <xf numFmtId="0" fontId="23" fillId="13" borderId="17" applyAlignment="1" pivotButton="0" quotePrefix="0" xfId="1">
      <alignment horizontal="center" vertical="center" wrapText="1" readingOrder="1"/>
    </xf>
    <xf numFmtId="0" fontId="23" fillId="12" borderId="19" applyAlignment="1" pivotButton="0" quotePrefix="0" xfId="1">
      <alignment horizontal="center" vertical="center" wrapText="1" readingOrder="1"/>
    </xf>
    <xf numFmtId="167" fontId="25" fillId="4" borderId="20" applyAlignment="1" pivotButton="0" quotePrefix="0" xfId="1">
      <alignment horizontal="center" vertical="center" wrapText="1" readingOrder="1"/>
    </xf>
    <xf numFmtId="167" fontId="25" fillId="4" borderId="21" applyAlignment="1" pivotButton="0" quotePrefix="0" xfId="1">
      <alignment horizontal="center" vertical="center" wrapText="1" readingOrder="1"/>
    </xf>
    <xf numFmtId="0" fontId="23" fillId="13" borderId="22" applyAlignment="1" pivotButton="0" quotePrefix="0" xfId="1">
      <alignment horizontal="center" vertical="center" wrapText="1" readingOrder="1"/>
    </xf>
    <xf numFmtId="0" fontId="18" fillId="10" borderId="23" applyAlignment="1" pivotButton="0" quotePrefix="0" xfId="1">
      <alignment horizontal="left" vertical="center" wrapText="1" indent="1" readingOrder="1"/>
    </xf>
    <xf numFmtId="0" fontId="24" fillId="11" borderId="23" applyAlignment="1" pivotButton="0" quotePrefix="0" xfId="1">
      <alignment horizontal="left" vertical="center" wrapText="1" indent="1" readingOrder="1"/>
    </xf>
    <xf numFmtId="168" fontId="25" fillId="4" borderId="18" applyAlignment="1" pivotButton="0" quotePrefix="0" xfId="2">
      <alignment horizontal="center" vertical="center" wrapText="1" readingOrder="1"/>
    </xf>
    <xf numFmtId="0" fontId="26" fillId="4" borderId="18" applyAlignment="1" pivotButton="0" quotePrefix="0" xfId="1">
      <alignment horizontal="center" vertical="center" wrapText="1"/>
    </xf>
    <xf numFmtId="0" fontId="23" fillId="12" borderId="24" applyAlignment="1" pivotButton="0" quotePrefix="0" xfId="1">
      <alignment horizontal="center" vertical="center" wrapText="1" readingOrder="1"/>
    </xf>
    <xf numFmtId="0" fontId="19" fillId="14" borderId="22" applyAlignment="1" pivotButton="0" quotePrefix="0" xfId="1">
      <alignment horizontal="center" vertical="center" wrapText="1" readingOrder="1"/>
    </xf>
    <xf numFmtId="0" fontId="19" fillId="14" borderId="17" applyAlignment="1" pivotButton="0" quotePrefix="0" xfId="1">
      <alignment horizontal="center" vertical="center" wrapText="1" readingOrder="1"/>
    </xf>
    <xf numFmtId="0" fontId="19" fillId="14" borderId="25" applyAlignment="1" pivotButton="0" quotePrefix="0" xfId="1">
      <alignment horizontal="center" vertical="center" wrapText="1" readingOrder="1"/>
    </xf>
    <xf numFmtId="0" fontId="26" fillId="4" borderId="24" applyAlignment="1" pivotButton="0" quotePrefix="0" xfId="1">
      <alignment horizontal="center" vertical="center" wrapText="1"/>
    </xf>
    <xf numFmtId="0" fontId="18" fillId="10" borderId="26" applyAlignment="1" pivotButton="0" quotePrefix="0" xfId="1">
      <alignment horizontal="left" vertical="center" wrapText="1" indent="1" readingOrder="1"/>
    </xf>
    <xf numFmtId="0" fontId="24" fillId="11" borderId="26" applyAlignment="1" pivotButton="0" quotePrefix="0" xfId="1">
      <alignment horizontal="left" vertical="center" wrapText="1" indent="1" readingOrder="1"/>
    </xf>
    <xf numFmtId="167" fontId="25" fillId="4" borderId="27" applyAlignment="1" pivotButton="0" quotePrefix="0" xfId="1">
      <alignment horizontal="center" vertical="center" wrapText="1" readingOrder="1"/>
    </xf>
    <xf numFmtId="167" fontId="25" fillId="4" borderId="28" applyAlignment="1" pivotButton="0" quotePrefix="0" xfId="1">
      <alignment horizontal="center" vertical="center" wrapText="1" readingOrder="1"/>
    </xf>
    <xf numFmtId="168" fontId="25" fillId="4" borderId="29" applyAlignment="1" pivotButton="0" quotePrefix="0" xfId="2">
      <alignment horizontal="center" vertical="center" wrapText="1" readingOrder="1"/>
    </xf>
    <xf numFmtId="0" fontId="23" fillId="12" borderId="29" applyAlignment="1" pivotButton="0" quotePrefix="0" xfId="1">
      <alignment horizontal="center" vertical="center" wrapText="1" readingOrder="1"/>
    </xf>
    <xf numFmtId="167" fontId="25" fillId="4" borderId="30" applyAlignment="1" pivotButton="0" quotePrefix="0" xfId="1">
      <alignment horizontal="center" vertical="center" wrapText="1" readingOrder="1"/>
    </xf>
    <xf numFmtId="0" fontId="26" fillId="4" borderId="29" applyAlignment="1" pivotButton="0" quotePrefix="0" xfId="1">
      <alignment horizontal="center" vertical="center" wrapText="1"/>
    </xf>
    <xf numFmtId="0" fontId="23" fillId="12" borderId="22" applyAlignment="1" pivotButton="0" quotePrefix="0" xfId="1">
      <alignment horizontal="center" vertical="center" wrapText="1" readingOrder="1"/>
    </xf>
    <xf numFmtId="0" fontId="27" fillId="5" borderId="0" applyAlignment="1" pivotButton="0" quotePrefix="0" xfId="1">
      <alignment vertical="center"/>
    </xf>
    <xf numFmtId="0" fontId="28" fillId="15" borderId="4" applyAlignment="1" pivotButton="0" quotePrefix="0" xfId="1">
      <alignment horizontal="left" vertical="center" wrapText="1" indent="1" readingOrder="1"/>
    </xf>
    <xf numFmtId="167" fontId="23" fillId="4" borderId="31" applyAlignment="1" pivotButton="0" quotePrefix="0" xfId="1">
      <alignment horizontal="center" vertical="center" wrapText="1" readingOrder="1"/>
    </xf>
    <xf numFmtId="167" fontId="23" fillId="4" borderId="32" applyAlignment="1" pivotButton="0" quotePrefix="0" xfId="1">
      <alignment horizontal="center" vertical="center" wrapText="1" readingOrder="1"/>
    </xf>
    <xf numFmtId="168" fontId="29" fillId="4" borderId="33" applyAlignment="1" pivotButton="0" quotePrefix="0" xfId="2">
      <alignment horizontal="center" vertical="center" wrapText="1" readingOrder="1"/>
    </xf>
    <xf numFmtId="0" fontId="30" fillId="12" borderId="33" applyAlignment="1" pivotButton="0" quotePrefix="0" xfId="1">
      <alignment horizontal="center" vertical="center" wrapText="1" readingOrder="1"/>
    </xf>
    <xf numFmtId="167" fontId="23" fillId="4" borderId="33" applyAlignment="1" pivotButton="0" quotePrefix="0" xfId="1">
      <alignment horizontal="center" vertical="center" wrapText="1" readingOrder="1"/>
    </xf>
    <xf numFmtId="0" fontId="23" fillId="13" borderId="33" applyAlignment="1" pivotButton="0" quotePrefix="0" xfId="1">
      <alignment horizontal="center" vertical="center" wrapText="1" readingOrder="1"/>
    </xf>
    <xf numFmtId="0" fontId="30" fillId="12" borderId="34" applyAlignment="1" pivotButton="0" quotePrefix="0" xfId="1">
      <alignment horizontal="center" vertical="center" wrapText="1" readingOrder="1"/>
    </xf>
    <xf numFmtId="168" fontId="31" fillId="15" borderId="33" applyAlignment="1" pivotButton="0" quotePrefix="0" xfId="2">
      <alignment horizontal="center" vertical="center" wrapText="1" readingOrder="1"/>
    </xf>
    <xf numFmtId="168" fontId="23" fillId="4" borderId="17" applyAlignment="1" pivotButton="0" quotePrefix="0" xfId="2">
      <alignment horizontal="center" vertical="center" wrapText="1" readingOrder="1"/>
    </xf>
    <xf numFmtId="0" fontId="32" fillId="5" borderId="0" pivotButton="0" quotePrefix="0" xfId="1"/>
    <xf numFmtId="0" fontId="33" fillId="15" borderId="11" applyAlignment="1" pivotButton="0" quotePrefix="0" xfId="1">
      <alignment horizontal="center" vertical="center" wrapText="1" readingOrder="1"/>
    </xf>
    <xf numFmtId="0" fontId="23" fillId="9" borderId="35" applyAlignment="1" pivotButton="0" quotePrefix="0" xfId="1">
      <alignment horizontal="center" vertical="center" wrapText="1" readingOrder="1"/>
    </xf>
    <xf numFmtId="0" fontId="18" fillId="10" borderId="15" applyAlignment="1" pivotButton="0" quotePrefix="0" xfId="1">
      <alignment horizontal="left" vertical="center" wrapText="1" indent="1" readingOrder="1"/>
    </xf>
    <xf numFmtId="169" fontId="16" fillId="5" borderId="0" applyAlignment="1" pivotButton="0" quotePrefix="0" xfId="1">
      <alignment vertical="center"/>
    </xf>
    <xf numFmtId="0" fontId="18" fillId="10" borderId="20" applyAlignment="1" pivotButton="0" quotePrefix="0" xfId="1">
      <alignment horizontal="left" vertical="center" wrapText="1" indent="1" readingOrder="1"/>
    </xf>
    <xf numFmtId="0" fontId="18" fillId="10" borderId="27" applyAlignment="1" pivotButton="0" quotePrefix="0" xfId="1">
      <alignment horizontal="left" vertical="center" wrapText="1" indent="1" readingOrder="1"/>
    </xf>
    <xf numFmtId="0" fontId="19" fillId="14" borderId="29" applyAlignment="1" pivotButton="0" quotePrefix="0" xfId="1">
      <alignment horizontal="center" vertical="center" wrapText="1"/>
    </xf>
    <xf numFmtId="0" fontId="20" fillId="12" borderId="29" applyAlignment="1" pivotButton="0" quotePrefix="0" xfId="1">
      <alignment horizontal="center" vertical="center" wrapText="1"/>
    </xf>
    <xf numFmtId="170" fontId="16" fillId="5" borderId="0" pivotButton="0" quotePrefix="0" xfId="1"/>
    <xf numFmtId="0" fontId="17" fillId="5" borderId="36" pivotButton="0" quotePrefix="0" xfId="1"/>
    <xf numFmtId="0" fontId="19" fillId="15" borderId="14" applyAlignment="1" pivotButton="0" quotePrefix="0" xfId="1">
      <alignment vertical="center" wrapText="1" readingOrder="1"/>
    </xf>
    <xf numFmtId="0" fontId="19" fillId="15" borderId="37" applyAlignment="1" pivotButton="0" quotePrefix="0" xfId="1">
      <alignment vertical="center" wrapText="1" readingOrder="1"/>
    </xf>
    <xf numFmtId="171" fontId="33" fillId="15" borderId="27" applyAlignment="1" pivotButton="0" quotePrefix="0" xfId="1">
      <alignment horizontal="center" vertical="center" wrapText="1" readingOrder="1"/>
    </xf>
    <xf numFmtId="171" fontId="33" fillId="15" borderId="29" applyAlignment="1" pivotButton="0" quotePrefix="0" xfId="1">
      <alignment horizontal="center" vertical="center" wrapText="1" readingOrder="1"/>
    </xf>
    <xf numFmtId="0" fontId="25" fillId="4" borderId="14" applyAlignment="1" pivotButton="0" quotePrefix="0" xfId="1">
      <alignment horizontal="left" vertical="center" wrapText="1" indent="1" readingOrder="1"/>
    </xf>
    <xf numFmtId="0" fontId="23" fillId="13" borderId="24" applyAlignment="1" pivotButton="0" quotePrefix="0" xfId="1">
      <alignment horizontal="center" vertical="center" wrapText="1" readingOrder="1"/>
    </xf>
    <xf numFmtId="0" fontId="25" fillId="4" borderId="37" applyAlignment="1" pivotButton="0" quotePrefix="0" xfId="1">
      <alignment horizontal="left" vertical="center" wrapText="1" indent="1" readingOrder="1"/>
    </xf>
    <xf numFmtId="0" fontId="23" fillId="11" borderId="4" applyAlignment="1" pivotButton="0" quotePrefix="0" xfId="1">
      <alignment vertical="center" wrapText="1" readingOrder="1"/>
    </xf>
    <xf numFmtId="167" fontId="23" fillId="11" borderId="31" applyAlignment="1" pivotButton="0" quotePrefix="0" xfId="1">
      <alignment horizontal="center" vertical="center" wrapText="1" readingOrder="1"/>
    </xf>
    <xf numFmtId="167" fontId="23" fillId="11" borderId="32" applyAlignment="1" pivotButton="0" quotePrefix="0" xfId="1">
      <alignment horizontal="center" vertical="center" wrapText="1" readingOrder="1"/>
    </xf>
    <xf numFmtId="168" fontId="23" fillId="11" borderId="33" applyAlignment="1" pivotButton="0" quotePrefix="0" xfId="2">
      <alignment horizontal="center" vertical="center" wrapText="1" readingOrder="1"/>
    </xf>
    <xf numFmtId="0" fontId="23" fillId="13" borderId="34" applyAlignment="1" pivotButton="0" quotePrefix="0" xfId="1">
      <alignment horizontal="center" vertical="center" wrapText="1" readingOrder="1"/>
    </xf>
    <xf numFmtId="0" fontId="25" fillId="4" borderId="38" applyAlignment="1" pivotButton="0" quotePrefix="0" xfId="1">
      <alignment horizontal="left" vertical="center" wrapText="1" indent="1" readingOrder="1"/>
    </xf>
    <xf numFmtId="0" fontId="25" fillId="4" borderId="36" applyAlignment="1" pivotButton="0" quotePrefix="0" xfId="1">
      <alignment horizontal="left" vertical="center" wrapText="1" indent="1" readingOrder="1"/>
    </xf>
    <xf numFmtId="0" fontId="23" fillId="12" borderId="34" applyAlignment="1" pivotButton="0" quotePrefix="0" xfId="1">
      <alignment horizontal="center" vertical="center" wrapText="1" readingOrder="1"/>
    </xf>
    <xf numFmtId="0" fontId="19" fillId="15" borderId="39" applyAlignment="1" pivotButton="0" quotePrefix="0" xfId="1">
      <alignment horizontal="left" vertical="center" wrapText="1" indent="1" readingOrder="1"/>
    </xf>
    <xf numFmtId="0" fontId="19" fillId="15" borderId="36" applyAlignment="1" pivotButton="0" quotePrefix="0" xfId="1">
      <alignment horizontal="left" vertical="center" wrapText="1" readingOrder="1"/>
    </xf>
    <xf numFmtId="0" fontId="19" fillId="15" borderId="37" applyAlignment="1" pivotButton="0" quotePrefix="0" xfId="1">
      <alignment horizontal="left" vertical="center" wrapText="1" readingOrder="1"/>
    </xf>
    <xf numFmtId="0" fontId="34" fillId="0" borderId="0" pivotButton="0" quotePrefix="0" xfId="0"/>
    <xf numFmtId="0" fontId="35" fillId="15" borderId="40" applyAlignment="1" pivotButton="0" quotePrefix="0" xfId="0">
      <alignment horizontal="center" vertical="center" wrapText="1" readingOrder="1"/>
    </xf>
    <xf numFmtId="0" fontId="35" fillId="15" borderId="42" applyAlignment="1" pivotButton="0" quotePrefix="0" xfId="0">
      <alignment horizontal="center" vertical="center" wrapText="1" readingOrder="1"/>
    </xf>
    <xf numFmtId="0" fontId="37" fillId="4" borderId="43" applyAlignment="1" pivotButton="0" quotePrefix="0" xfId="0">
      <alignment vertical="center" wrapText="1"/>
    </xf>
    <xf numFmtId="0" fontId="35" fillId="15" borderId="45" applyAlignment="1" pivotButton="0" quotePrefix="0" xfId="0">
      <alignment horizontal="center" vertical="center" wrapText="1" readingOrder="1"/>
    </xf>
    <xf numFmtId="0" fontId="36" fillId="18" borderId="18" applyAlignment="1" pivotButton="0" quotePrefix="0" xfId="0">
      <alignment horizontal="center" vertical="center" wrapText="1" readingOrder="1"/>
    </xf>
    <xf numFmtId="0" fontId="35" fillId="15" borderId="46" applyAlignment="1" pivotButton="0" quotePrefix="0" xfId="0">
      <alignment horizontal="center" vertical="center" wrapText="1" readingOrder="1"/>
    </xf>
    <xf numFmtId="0" fontId="37" fillId="4" borderId="43" applyAlignment="1" pivotButton="0" quotePrefix="0" xfId="0">
      <alignment horizontal="center" vertical="center" wrapText="1"/>
    </xf>
    <xf numFmtId="0" fontId="35" fillId="19" borderId="47" applyAlignment="1" pivotButton="0" quotePrefix="0" xfId="0">
      <alignment horizontal="left" vertical="center" wrapText="1" readingOrder="1"/>
    </xf>
    <xf numFmtId="0" fontId="38" fillId="4" borderId="18" applyAlignment="1" pivotButton="0" quotePrefix="0" xfId="0">
      <alignment horizontal="left" vertical="center" wrapText="1" readingOrder="1"/>
    </xf>
    <xf numFmtId="0" fontId="37" fillId="4" borderId="18" applyAlignment="1" pivotButton="0" quotePrefix="0" xfId="0">
      <alignment vertical="center" wrapText="1"/>
    </xf>
    <xf numFmtId="0" fontId="38" fillId="4" borderId="18" applyAlignment="1" pivotButton="0" quotePrefix="0" xfId="0">
      <alignment horizontal="center" vertical="center" wrapText="1" readingOrder="1"/>
    </xf>
    <xf numFmtId="0" fontId="36" fillId="9" borderId="18" applyAlignment="1" pivotButton="0" quotePrefix="0" xfId="0">
      <alignment horizontal="center" vertical="center" wrapText="1" readingOrder="1"/>
    </xf>
    <xf numFmtId="0" fontId="36" fillId="18" borderId="48" applyAlignment="1" pivotButton="0" quotePrefix="0" xfId="0">
      <alignment horizontal="center" vertical="center" wrapText="1" readingOrder="1"/>
    </xf>
    <xf numFmtId="0" fontId="37" fillId="4" borderId="47" applyAlignment="1" pivotButton="0" quotePrefix="0" xfId="0">
      <alignment horizontal="center" vertical="center" wrapText="1"/>
    </xf>
    <xf numFmtId="0" fontId="37" fillId="4" borderId="18" applyAlignment="1" pivotButton="0" quotePrefix="0" xfId="0">
      <alignment horizontal="center" vertical="center" wrapText="1"/>
    </xf>
    <xf numFmtId="0" fontId="36" fillId="20" borderId="18" applyAlignment="1" pivotButton="0" quotePrefix="0" xfId="0">
      <alignment horizontal="center" vertical="center" wrapText="1" readingOrder="1"/>
    </xf>
    <xf numFmtId="0" fontId="36" fillId="4" borderId="47" applyAlignment="1" pivotButton="0" quotePrefix="0" xfId="0">
      <alignment horizontal="center" vertical="center" wrapText="1" readingOrder="1"/>
    </xf>
    <xf numFmtId="0" fontId="37" fillId="9" borderId="18" applyAlignment="1" pivotButton="0" quotePrefix="0" xfId="0">
      <alignment horizontal="center" vertical="center" wrapText="1"/>
    </xf>
    <xf numFmtId="0" fontId="36" fillId="17" borderId="18" applyAlignment="1" pivotButton="0" quotePrefix="0" xfId="0">
      <alignment horizontal="center" vertical="center" wrapText="1" readingOrder="1"/>
    </xf>
    <xf numFmtId="0" fontId="38" fillId="4" borderId="49" applyAlignment="1" pivotButton="0" quotePrefix="0" xfId="0">
      <alignment horizontal="left" vertical="center" wrapText="1" readingOrder="1"/>
    </xf>
    <xf numFmtId="0" fontId="37" fillId="4" borderId="49" applyAlignment="1" pivotButton="0" quotePrefix="0" xfId="0">
      <alignment vertical="center" wrapText="1"/>
    </xf>
    <xf numFmtId="0" fontId="37" fillId="4" borderId="49" applyAlignment="1" pivotButton="0" quotePrefix="0" xfId="0">
      <alignment horizontal="center" vertical="center" wrapText="1"/>
    </xf>
    <xf numFmtId="0" fontId="38" fillId="4" borderId="49" applyAlignment="1" pivotButton="0" quotePrefix="0" xfId="0">
      <alignment horizontal="center" vertical="center" wrapText="1" readingOrder="1"/>
    </xf>
    <xf numFmtId="0" fontId="36" fillId="9" borderId="49" applyAlignment="1" pivotButton="0" quotePrefix="0" xfId="0">
      <alignment horizontal="center" vertical="center" wrapText="1" readingOrder="1"/>
    </xf>
    <xf numFmtId="0" fontId="37" fillId="9" borderId="49" applyAlignment="1" pivotButton="0" quotePrefix="0" xfId="0">
      <alignment horizontal="center" vertical="center" wrapText="1"/>
    </xf>
    <xf numFmtId="0" fontId="36" fillId="18" borderId="50" applyAlignment="1" pivotButton="0" quotePrefix="0" xfId="0">
      <alignment horizontal="center" vertical="center" wrapText="1" readingOrder="1"/>
    </xf>
    <xf numFmtId="0" fontId="37" fillId="4" borderId="51" applyAlignment="1" pivotButton="0" quotePrefix="0" xfId="0">
      <alignment horizontal="center" vertical="center" wrapText="1"/>
    </xf>
    <xf numFmtId="0" fontId="36" fillId="4" borderId="52" applyAlignment="1" pivotButton="0" quotePrefix="0" xfId="0">
      <alignment horizontal="center" vertical="center" wrapText="1" readingOrder="1"/>
    </xf>
    <xf numFmtId="0" fontId="36" fillId="17" borderId="49" applyAlignment="1" pivotButton="0" quotePrefix="0" xfId="0">
      <alignment horizontal="center" vertical="center" wrapText="1" readingOrder="1"/>
    </xf>
    <xf numFmtId="0" fontId="35" fillId="19" borderId="52" applyAlignment="1" pivotButton="0" quotePrefix="0" xfId="0">
      <alignment horizontal="left" vertical="center" wrapText="1" readingOrder="1"/>
    </xf>
    <xf numFmtId="0" fontId="37" fillId="4" borderId="53" applyAlignment="1" pivotButton="0" quotePrefix="0" xfId="0">
      <alignment vertical="center" wrapText="1"/>
    </xf>
    <xf numFmtId="0" fontId="38" fillId="4" borderId="53" applyAlignment="1" pivotButton="0" quotePrefix="0" xfId="0">
      <alignment horizontal="center" vertical="center" wrapText="1" readingOrder="1"/>
    </xf>
    <xf numFmtId="0" fontId="36" fillId="9" borderId="53" applyAlignment="1" pivotButton="0" quotePrefix="0" xfId="0">
      <alignment horizontal="center" vertical="center" wrapText="1" readingOrder="1"/>
    </xf>
    <xf numFmtId="0" fontId="36" fillId="18" borderId="54" applyAlignment="1" pivotButton="0" quotePrefix="0" xfId="0">
      <alignment horizontal="center" vertical="center" wrapText="1" readingOrder="1"/>
    </xf>
    <xf numFmtId="0" fontId="37" fillId="4" borderId="55" applyAlignment="1" pivotButton="0" quotePrefix="0" xfId="0">
      <alignment horizontal="center" vertical="center" wrapText="1"/>
    </xf>
    <xf numFmtId="0" fontId="36" fillId="4" borderId="56" applyAlignment="1" pivotButton="0" quotePrefix="0" xfId="0">
      <alignment horizontal="center" vertical="center" wrapText="1" readingOrder="1"/>
    </xf>
    <xf numFmtId="0" fontId="36" fillId="4" borderId="53" applyAlignment="1" pivotButton="0" quotePrefix="0" xfId="0">
      <alignment horizontal="center" vertical="center" wrapText="1" readingOrder="1"/>
    </xf>
    <xf numFmtId="0" fontId="14" fillId="15" borderId="58" applyAlignment="1" pivotButton="0" quotePrefix="0" xfId="0">
      <alignment horizontal="center" vertical="center" wrapText="1" readingOrder="1"/>
    </xf>
    <xf numFmtId="0" fontId="26" fillId="5" borderId="43" applyAlignment="1" pivotButton="0" quotePrefix="0" xfId="0">
      <alignment vertical="center" wrapText="1"/>
    </xf>
    <xf numFmtId="0" fontId="39" fillId="17" borderId="59" applyAlignment="1" pivotButton="0" quotePrefix="0" xfId="0">
      <alignment horizontal="center" vertical="center" wrapText="1" readingOrder="1"/>
    </xf>
    <xf numFmtId="0" fontId="14" fillId="15" borderId="42" applyAlignment="1" pivotButton="0" quotePrefix="0" xfId="0">
      <alignment horizontal="center" vertical="center" wrapText="1" readingOrder="1"/>
    </xf>
    <xf numFmtId="0" fontId="39" fillId="18" borderId="57" applyAlignment="1" pivotButton="0" quotePrefix="0" xfId="0">
      <alignment horizontal="center" vertical="center" wrapText="1" readingOrder="1"/>
    </xf>
    <xf numFmtId="0" fontId="14" fillId="15" borderId="60" applyAlignment="1" pivotButton="0" quotePrefix="0" xfId="0">
      <alignment horizontal="center" vertical="center" wrapText="1" readingOrder="1"/>
    </xf>
    <xf numFmtId="0" fontId="26" fillId="5" borderId="43" applyAlignment="1" pivotButton="0" quotePrefix="0" xfId="0">
      <alignment horizontal="center" vertical="center" wrapText="1"/>
    </xf>
    <xf numFmtId="0" fontId="39" fillId="17" borderId="17" applyAlignment="1" pivotButton="0" quotePrefix="0" xfId="0">
      <alignment horizontal="center" vertical="center" wrapText="1" readingOrder="1"/>
    </xf>
    <xf numFmtId="0" fontId="14" fillId="15" borderId="46" applyAlignment="1" pivotButton="0" quotePrefix="0" xfId="0">
      <alignment horizontal="center" vertical="center" wrapText="1" readingOrder="1"/>
    </xf>
    <xf numFmtId="0" fontId="40" fillId="17" borderId="44" applyAlignment="1" pivotButton="0" quotePrefix="0" xfId="0">
      <alignment horizontal="left" vertical="center" wrapText="1" readingOrder="1"/>
    </xf>
    <xf numFmtId="0" fontId="26" fillId="17" borderId="41" applyAlignment="1" pivotButton="0" quotePrefix="0" xfId="0">
      <alignment vertical="center" wrapText="1"/>
    </xf>
    <xf numFmtId="0" fontId="39" fillId="21" borderId="41" applyAlignment="1" pivotButton="0" quotePrefix="0" xfId="0">
      <alignment horizontal="center" vertical="center" wrapText="1" readingOrder="1"/>
    </xf>
    <xf numFmtId="0" fontId="26" fillId="21" borderId="41" applyAlignment="1" pivotButton="0" quotePrefix="0" xfId="0">
      <alignment horizontal="center" vertical="center" wrapText="1"/>
    </xf>
    <xf numFmtId="0" fontId="26" fillId="21" borderId="61" applyAlignment="1" pivotButton="0" quotePrefix="0" xfId="0">
      <alignment horizontal="center" vertical="center" wrapText="1"/>
    </xf>
    <xf numFmtId="0" fontId="39" fillId="17" borderId="55" applyAlignment="1" pivotButton="0" quotePrefix="0" xfId="0">
      <alignment horizontal="center" vertical="center" wrapText="1" readingOrder="1"/>
    </xf>
    <xf numFmtId="0" fontId="26" fillId="21" borderId="47" applyAlignment="1" pivotButton="0" quotePrefix="0" xfId="0">
      <alignment horizontal="center" vertical="center" wrapText="1"/>
    </xf>
    <xf numFmtId="0" fontId="26" fillId="21" borderId="18" applyAlignment="1" pivotButton="0" quotePrefix="0" xfId="0">
      <alignment horizontal="center" vertical="center" wrapText="1"/>
    </xf>
    <xf numFmtId="0" fontId="39" fillId="18" borderId="48" applyAlignment="1" pivotButton="0" quotePrefix="0" xfId="0">
      <alignment horizontal="center" vertical="center" wrapText="1" readingOrder="1"/>
    </xf>
    <xf numFmtId="0" fontId="40" fillId="17" borderId="47" applyAlignment="1" pivotButton="0" quotePrefix="0" xfId="0">
      <alignment horizontal="left" vertical="center" wrapText="1" readingOrder="1"/>
    </xf>
    <xf numFmtId="0" fontId="26" fillId="17" borderId="18" applyAlignment="1" pivotButton="0" quotePrefix="0" xfId="0">
      <alignment vertical="center" wrapText="1"/>
    </xf>
    <xf numFmtId="0" fontId="39" fillId="21" borderId="18" applyAlignment="1" pivotButton="0" quotePrefix="0" xfId="0">
      <alignment horizontal="center" vertical="center" wrapText="1" readingOrder="1"/>
    </xf>
    <xf numFmtId="0" fontId="26" fillId="21" borderId="48" applyAlignment="1" pivotButton="0" quotePrefix="0" xfId="0">
      <alignment horizontal="center" vertical="center" wrapText="1"/>
    </xf>
    <xf numFmtId="0" fontId="39" fillId="17" borderId="43" applyAlignment="1" pivotButton="0" quotePrefix="0" xfId="0">
      <alignment horizontal="center" vertical="center" wrapText="1" readingOrder="1"/>
    </xf>
    <xf numFmtId="0" fontId="40" fillId="20" borderId="47" applyAlignment="1" pivotButton="0" quotePrefix="0" xfId="0">
      <alignment horizontal="left" vertical="center" wrapText="1" readingOrder="1"/>
    </xf>
    <xf numFmtId="0" fontId="26" fillId="20" borderId="18" applyAlignment="1" pivotButton="0" quotePrefix="0" xfId="0">
      <alignment vertical="center" wrapText="1"/>
    </xf>
    <xf numFmtId="0" fontId="40" fillId="20" borderId="18" applyAlignment="1" pivotButton="0" quotePrefix="0" xfId="0">
      <alignment horizontal="left" vertical="center" wrapText="1" readingOrder="1"/>
    </xf>
    <xf numFmtId="0" fontId="39" fillId="20" borderId="43" applyAlignment="1" pivotButton="0" quotePrefix="0" xfId="0">
      <alignment horizontal="center" vertical="center" wrapText="1" readingOrder="1"/>
    </xf>
    <xf numFmtId="0" fontId="39" fillId="20" borderId="18" applyAlignment="1" pivotButton="0" quotePrefix="0" xfId="0">
      <alignment horizontal="center" vertical="center" wrapText="1" readingOrder="1"/>
    </xf>
    <xf numFmtId="0" fontId="39" fillId="21" borderId="48" applyAlignment="1" pivotButton="0" quotePrefix="0" xfId="0">
      <alignment horizontal="center" vertical="center" wrapText="1" readingOrder="1"/>
    </xf>
    <xf numFmtId="0" fontId="40" fillId="20" borderId="52" applyAlignment="1" pivotButton="0" quotePrefix="0" xfId="0">
      <alignment horizontal="left" vertical="center" wrapText="1" readingOrder="1"/>
    </xf>
    <xf numFmtId="0" fontId="26" fillId="20" borderId="49" applyAlignment="1" pivotButton="0" quotePrefix="0" xfId="0">
      <alignment vertical="center" wrapText="1"/>
    </xf>
    <xf numFmtId="0" fontId="40" fillId="20" borderId="49" applyAlignment="1" pivotButton="0" quotePrefix="0" xfId="0">
      <alignment horizontal="left" vertical="center" wrapText="1" readingOrder="1"/>
    </xf>
    <xf numFmtId="0" fontId="39" fillId="21" borderId="49" applyAlignment="1" pivotButton="0" quotePrefix="0" xfId="0">
      <alignment horizontal="center" vertical="center" wrapText="1" readingOrder="1"/>
    </xf>
    <xf numFmtId="0" fontId="26" fillId="21" borderId="49" applyAlignment="1" pivotButton="0" quotePrefix="0" xfId="0">
      <alignment horizontal="center" vertical="center" wrapText="1"/>
    </xf>
    <xf numFmtId="0" fontId="26" fillId="21" borderId="50" applyAlignment="1" pivotButton="0" quotePrefix="0" xfId="0">
      <alignment horizontal="center" vertical="center" wrapText="1"/>
    </xf>
    <xf numFmtId="0" fontId="39" fillId="20" borderId="51" applyAlignment="1" pivotButton="0" quotePrefix="0" xfId="0">
      <alignment horizontal="center" vertical="center" wrapText="1" readingOrder="1"/>
    </xf>
    <xf numFmtId="0" fontId="26" fillId="5" borderId="51" applyAlignment="1" pivotButton="0" quotePrefix="0" xfId="0">
      <alignment horizontal="center" vertical="center" wrapText="1"/>
    </xf>
    <xf numFmtId="0" fontId="26" fillId="21" borderId="52" applyAlignment="1" pivotButton="0" quotePrefix="0" xfId="0">
      <alignment horizontal="center" vertical="center" wrapText="1"/>
    </xf>
    <xf numFmtId="0" fontId="39" fillId="20" borderId="49" applyAlignment="1" pivotButton="0" quotePrefix="0" xfId="0">
      <alignment horizontal="center" vertical="center" wrapText="1" readingOrder="1"/>
    </xf>
    <xf numFmtId="0" fontId="39" fillId="18" borderId="50" applyAlignment="1" pivotButton="0" quotePrefix="0" xfId="0">
      <alignment horizontal="center" vertical="center" wrapText="1" readingOrder="1"/>
    </xf>
    <xf numFmtId="0" fontId="14" fillId="19" borderId="53" applyAlignment="1" pivotButton="0" quotePrefix="0" xfId="0">
      <alignment horizontal="left" vertical="center" wrapText="1" readingOrder="1"/>
    </xf>
    <xf numFmtId="0" fontId="26" fillId="19" borderId="53" applyAlignment="1" pivotButton="0" quotePrefix="0" xfId="0">
      <alignment vertical="center" wrapText="1"/>
    </xf>
    <xf numFmtId="0" fontId="39" fillId="18" borderId="53" applyAlignment="1" pivotButton="0" quotePrefix="0" xfId="0">
      <alignment horizontal="center" vertical="center" wrapText="1" readingOrder="1"/>
    </xf>
    <xf numFmtId="0" fontId="39" fillId="18" borderId="54" applyAlignment="1" pivotButton="0" quotePrefix="0" xfId="0">
      <alignment horizontal="center" vertical="center" wrapText="1" readingOrder="1"/>
    </xf>
    <xf numFmtId="0" fontId="26" fillId="5" borderId="57" applyAlignment="1" pivotButton="0" quotePrefix="0" xfId="0">
      <alignment horizontal="center" vertical="center" wrapText="1"/>
    </xf>
    <xf numFmtId="0" fontId="26" fillId="18" borderId="56" applyAlignment="1" pivotButton="0" quotePrefix="0" xfId="0">
      <alignment horizontal="center" vertical="center" wrapText="1"/>
    </xf>
    <xf numFmtId="0" fontId="26" fillId="18" borderId="53" applyAlignment="1" pivotButton="0" quotePrefix="0" xfId="0">
      <alignment horizontal="center" vertical="center" wrapText="1"/>
    </xf>
    <xf numFmtId="0" fontId="26" fillId="21" borderId="55" applyAlignment="1" pivotButton="0" quotePrefix="0" xfId="0">
      <alignment vertical="center" wrapText="1"/>
    </xf>
    <xf numFmtId="0" fontId="26" fillId="21" borderId="41" applyAlignment="1" pivotButton="0" quotePrefix="0" xfId="0">
      <alignment vertical="center" wrapText="1"/>
    </xf>
    <xf numFmtId="0" fontId="39" fillId="21" borderId="61" applyAlignment="1" pivotButton="0" quotePrefix="0" xfId="0">
      <alignment horizontal="center" vertical="center" wrapText="1" readingOrder="1"/>
    </xf>
    <xf numFmtId="0" fontId="39" fillId="18" borderId="55" applyAlignment="1" pivotButton="0" quotePrefix="0" xfId="0">
      <alignment horizontal="center" vertical="center" wrapText="1" readingOrder="1"/>
    </xf>
    <xf numFmtId="0" fontId="26" fillId="5" borderId="55" applyAlignment="1" pivotButton="0" quotePrefix="0" xfId="0">
      <alignment horizontal="center" vertical="center" wrapText="1"/>
    </xf>
    <xf numFmtId="0" fontId="26" fillId="21" borderId="44" applyAlignment="1" pivotButton="0" quotePrefix="0" xfId="0">
      <alignment horizontal="center" vertical="center" wrapText="1"/>
    </xf>
    <xf numFmtId="0" fontId="39" fillId="18" borderId="61" applyAlignment="1" pivotButton="0" quotePrefix="0" xfId="0">
      <alignment horizontal="center" vertical="center" wrapText="1" readingOrder="1"/>
    </xf>
    <xf numFmtId="0" fontId="26" fillId="21" borderId="51" applyAlignment="1" pivotButton="0" quotePrefix="0" xfId="0">
      <alignment vertical="center" wrapText="1"/>
    </xf>
    <xf numFmtId="0" fontId="26" fillId="21" borderId="49" applyAlignment="1" pivotButton="0" quotePrefix="0" xfId="0">
      <alignment vertical="center" wrapText="1"/>
    </xf>
    <xf numFmtId="0" fontId="39" fillId="18" borderId="51" applyAlignment="1" pivotButton="0" quotePrefix="0" xfId="0">
      <alignment horizontal="center" vertical="center" wrapText="1" readingOrder="1"/>
    </xf>
    <xf numFmtId="0" fontId="39" fillId="18" borderId="56" applyAlignment="1" pivotButton="0" quotePrefix="0" xfId="0">
      <alignment horizontal="center" vertical="center" wrapText="1" readingOrder="1"/>
    </xf>
    <xf numFmtId="0" fontId="41" fillId="0" borderId="0" pivotButton="0" quotePrefix="0" xfId="0"/>
    <xf numFmtId="0" fontId="42" fillId="0" borderId="0" pivotButton="0" quotePrefix="0" xfId="0"/>
    <xf numFmtId="0" fontId="8" fillId="15" borderId="2" applyAlignment="1" pivotButton="0" quotePrefix="0" xfId="0">
      <alignment vertical="center"/>
    </xf>
    <xf numFmtId="0" fontId="34" fillId="0" borderId="2" pivotButton="0" quotePrefix="0" xfId="0"/>
    <xf numFmtId="164" fontId="43" fillId="0" borderId="2" pivotButton="0" quotePrefix="0" xfId="0"/>
    <xf numFmtId="0" fontId="11" fillId="9" borderId="2" pivotButton="0" quotePrefix="0" xfId="0"/>
    <xf numFmtId="164" fontId="11" fillId="9" borderId="2" pivotButton="0" quotePrefix="0" xfId="0"/>
    <xf numFmtId="0" fontId="8" fillId="15" borderId="2" applyAlignment="1" pivotButton="0" quotePrefix="0" xfId="0">
      <alignment horizontal="left" vertical="center"/>
    </xf>
    <xf numFmtId="164" fontId="34" fillId="0" borderId="62" pivotButton="0" quotePrefix="0" xfId="0"/>
    <xf numFmtId="2" fontId="34" fillId="0" borderId="62" pivotButton="0" quotePrefix="0" xfId="0"/>
    <xf numFmtId="164" fontId="44" fillId="23" borderId="2" pivotButton="0" quotePrefix="0" xfId="0"/>
    <xf numFmtId="0" fontId="11" fillId="0" borderId="2" pivotButton="0" quotePrefix="0" xfId="0"/>
    <xf numFmtId="0" fontId="34" fillId="9" borderId="2" pivotButton="0" quotePrefix="0" xfId="0"/>
    <xf numFmtId="0" fontId="10" fillId="23" borderId="2" pivotButton="0" quotePrefix="0" xfId="0"/>
    <xf numFmtId="9" fontId="34" fillId="23" borderId="2" pivotButton="0" quotePrefix="0" xfId="0"/>
    <xf numFmtId="0" fontId="45" fillId="0" borderId="2" pivotButton="0" quotePrefix="0" xfId="0"/>
    <xf numFmtId="0" fontId="8" fillId="3" borderId="62" applyAlignment="1" pivotButton="0" quotePrefix="0" xfId="0">
      <alignment horizontal="left" vertical="center"/>
    </xf>
    <xf numFmtId="0" fontId="10" fillId="0" borderId="62" pivotButton="0" quotePrefix="0" xfId="0"/>
    <xf numFmtId="0" fontId="10" fillId="23" borderId="62" pivotButton="0" quotePrefix="0" xfId="0"/>
    <xf numFmtId="9" fontId="34" fillId="23" borderId="62" pivotButton="0" quotePrefix="0" xfId="0"/>
    <xf numFmtId="164" fontId="43" fillId="0" borderId="62" pivotButton="0" quotePrefix="0" xfId="0"/>
    <xf numFmtId="164" fontId="10" fillId="0" borderId="62" pivotButton="0" quotePrefix="0" xfId="0"/>
    <xf numFmtId="0" fontId="45" fillId="0" borderId="62" pivotButton="0" quotePrefix="0" xfId="0"/>
    <xf numFmtId="0" fontId="0" fillId="0" borderId="62" pivotButton="0" quotePrefix="0" xfId="0"/>
    <xf numFmtId="0" fontId="11" fillId="9" borderId="62" pivotButton="0" quotePrefix="0" xfId="0"/>
    <xf numFmtId="164" fontId="11" fillId="9" borderId="62" pivotButton="0" quotePrefix="0" xfId="0"/>
    <xf numFmtId="164" fontId="46" fillId="0" borderId="2" pivotButton="0" quotePrefix="0" xfId="0"/>
    <xf numFmtId="164" fontId="44" fillId="23" borderId="62" pivotButton="0" quotePrefix="0" xfId="0"/>
    <xf numFmtId="0" fontId="11" fillId="0" borderId="62" pivotButton="0" quotePrefix="0" xfId="0"/>
    <xf numFmtId="164" fontId="11" fillId="0" borderId="62" pivotButton="0" quotePrefix="0" xfId="0"/>
    <xf numFmtId="0" fontId="10" fillId="0" borderId="65" pivotButton="0" quotePrefix="0" xfId="0"/>
    <xf numFmtId="0" fontId="0" fillId="0" borderId="66" pivotButton="0" quotePrefix="0" xfId="0"/>
    <xf numFmtId="0" fontId="0" fillId="0" borderId="67" pivotButton="0" quotePrefix="0" xfId="0"/>
    <xf numFmtId="0" fontId="48" fillId="0" borderId="2" pivotButton="0" quotePrefix="0" xfId="0"/>
    <xf numFmtId="164" fontId="48" fillId="0" borderId="2" pivotButton="0" quotePrefix="0" xfId="0"/>
    <xf numFmtId="0" fontId="0" fillId="24" borderId="0" pivotButton="0" quotePrefix="0" xfId="0"/>
    <xf numFmtId="9" fontId="0" fillId="0" borderId="0" pivotButton="0" quotePrefix="0" xfId="0"/>
    <xf numFmtId="0" fontId="10" fillId="23" borderId="0" pivotButton="0" quotePrefix="0" xfId="0"/>
    <xf numFmtId="9" fontId="34" fillId="23" borderId="0" pivotButton="0" quotePrefix="0" xfId="0"/>
    <xf numFmtId="0" fontId="52" fillId="0" borderId="2" pivotButton="0" quotePrefix="0" xfId="0"/>
    <xf numFmtId="0" fontId="52" fillId="23" borderId="2" pivotButton="0" quotePrefix="0" xfId="0"/>
    <xf numFmtId="9" fontId="52" fillId="23" borderId="2" pivotButton="0" quotePrefix="0" xfId="0"/>
    <xf numFmtId="0" fontId="52" fillId="0" borderId="62" pivotButton="0" quotePrefix="0" xfId="0"/>
    <xf numFmtId="0" fontId="8" fillId="3" borderId="2" applyAlignment="1" pivotButton="0" quotePrefix="0" xfId="0">
      <alignment horizontal="left" vertical="center" wrapText="1"/>
    </xf>
    <xf numFmtId="0" fontId="34" fillId="0" borderId="0" applyAlignment="1" pivotButton="0" quotePrefix="0" xfId="0">
      <alignment wrapText="1"/>
    </xf>
    <xf numFmtId="0" fontId="51" fillId="25" borderId="68" applyAlignment="1" pivotButton="0" quotePrefix="0" xfId="0">
      <alignment horizontal="left" vertical="top" wrapText="1"/>
    </xf>
    <xf numFmtId="0" fontId="51" fillId="25" borderId="62" applyAlignment="1" pivotButton="0" quotePrefix="0" xfId="0">
      <alignment horizontal="left" vertical="top" wrapText="1"/>
    </xf>
    <xf numFmtId="0" fontId="5" fillId="26" borderId="62" applyAlignment="1" pivotButton="0" quotePrefix="0" xfId="0">
      <alignment horizontal="left" vertical="top" wrapText="1"/>
    </xf>
    <xf numFmtId="0" fontId="51" fillId="25" borderId="62" applyAlignment="1" pivotButton="0" quotePrefix="0" xfId="3">
      <alignment horizontal="left" vertical="top" wrapText="1"/>
    </xf>
    <xf numFmtId="0" fontId="51" fillId="27" borderId="62" applyAlignment="1" pivotButton="0" quotePrefix="0" xfId="3">
      <alignment horizontal="left" vertical="top" wrapText="1"/>
    </xf>
    <xf numFmtId="0" fontId="51" fillId="27" borderId="62" applyAlignment="1" pivotButton="0" quotePrefix="0" xfId="0">
      <alignment horizontal="left" vertical="top" wrapText="1"/>
    </xf>
    <xf numFmtId="0" fontId="53" fillId="28" borderId="0" pivotButton="0" quotePrefix="0" xfId="0"/>
    <xf numFmtId="0" fontId="5" fillId="0" borderId="0" applyAlignment="1" pivotButton="0" quotePrefix="0" xfId="3">
      <alignment horizontal="left" vertical="top" wrapText="1"/>
    </xf>
    <xf numFmtId="1" fontId="54" fillId="0" borderId="62" applyAlignment="1" pivotButton="0" quotePrefix="0" xfId="0">
      <alignment horizontal="left"/>
    </xf>
    <xf numFmtId="0" fontId="5" fillId="0" borderId="62" pivotButton="0" quotePrefix="0" xfId="3"/>
    <xf numFmtId="0" fontId="54" fillId="0" borderId="62" applyAlignment="1" pivotButton="0" quotePrefix="0" xfId="0">
      <alignment horizontal="left"/>
    </xf>
    <xf numFmtId="0" fontId="5" fillId="0" borderId="0" pivotButton="0" quotePrefix="0" xfId="3"/>
    <xf numFmtId="0" fontId="0" fillId="0" borderId="69" pivotButton="0" quotePrefix="0" xfId="0"/>
    <xf numFmtId="0" fontId="0" fillId="0" borderId="70" pivotButton="0" quotePrefix="0" xfId="0"/>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5" fillId="0" borderId="62" applyAlignment="1" pivotButton="0" quotePrefix="0" xfId="3">
      <alignment vertical="top" wrapText="1"/>
    </xf>
    <xf numFmtId="0" fontId="0" fillId="26" borderId="62" pivotButton="0" quotePrefix="0" xfId="0"/>
    <xf numFmtId="0" fontId="0" fillId="0" borderId="75" pivotButton="0" quotePrefix="0" xfId="0"/>
    <xf numFmtId="0" fontId="0" fillId="0" borderId="76" pivotButton="0" quotePrefix="0" xfId="0"/>
    <xf numFmtId="0" fontId="0" fillId="0" borderId="77" pivotButton="0" quotePrefix="0" xfId="0"/>
    <xf numFmtId="0" fontId="0" fillId="29" borderId="62" pivotButton="0" quotePrefix="0" xfId="0"/>
    <xf numFmtId="0" fontId="55" fillId="29" borderId="62" pivotButton="0" quotePrefix="0" xfId="0"/>
    <xf numFmtId="0" fontId="5" fillId="29" borderId="62" pivotButton="0" quotePrefix="0" xfId="3"/>
    <xf numFmtId="0" fontId="50" fillId="0" borderId="0" pivotButton="0" quotePrefix="0" xfId="3"/>
    <xf numFmtId="0" fontId="57" fillId="0" borderId="0" pivotButton="0" quotePrefix="0" xfId="3"/>
    <xf numFmtId="1" fontId="54" fillId="29" borderId="62" applyAlignment="1" pivotButton="0" quotePrefix="0" xfId="0">
      <alignment horizontal="left"/>
    </xf>
    <xf numFmtId="0" fontId="54" fillId="29" borderId="62" applyAlignment="1" pivotButton="0" quotePrefix="0" xfId="0">
      <alignment horizontal="left"/>
    </xf>
    <xf numFmtId="0" fontId="5" fillId="29" borderId="0" pivotButton="0" quotePrefix="0" xfId="3"/>
    <xf numFmtId="0" fontId="5" fillId="0" borderId="62" applyAlignment="1" pivotButton="0" quotePrefix="0" xfId="3">
      <alignment horizontal="left" vertical="top" wrapText="1"/>
    </xf>
    <xf numFmtId="0" fontId="5" fillId="30" borderId="0" pivotButton="0" quotePrefix="0" xfId="3"/>
    <xf numFmtId="0" fontId="55" fillId="0" borderId="62" pivotButton="0" quotePrefix="0" xfId="3"/>
    <xf numFmtId="0" fontId="55" fillId="0" borderId="62" applyAlignment="1" pivotButton="0" quotePrefix="0" xfId="3">
      <alignment vertical="top" wrapText="1"/>
    </xf>
    <xf numFmtId="1" fontId="58" fillId="0" borderId="62" applyAlignment="1" pivotButton="0" quotePrefix="0" xfId="0">
      <alignment horizontal="left"/>
    </xf>
    <xf numFmtId="0" fontId="58" fillId="0" borderId="62" pivotButton="0" quotePrefix="0" xfId="0"/>
    <xf numFmtId="0" fontId="57" fillId="0" borderId="62" pivotButton="0" quotePrefix="0" xfId="3"/>
    <xf numFmtId="0" fontId="57" fillId="0" borderId="62" applyAlignment="1" pivotButton="0" quotePrefix="0" xfId="3">
      <alignment vertical="top" wrapText="1"/>
    </xf>
    <xf numFmtId="0" fontId="58" fillId="0" borderId="62" applyAlignment="1" pivotButton="0" quotePrefix="0" xfId="0">
      <alignment horizontal="left"/>
    </xf>
    <xf numFmtId="0" fontId="5" fillId="0" borderId="0" applyAlignment="1" pivotButton="0" quotePrefix="0" xfId="3">
      <alignment vertical="top" wrapText="1"/>
    </xf>
    <xf numFmtId="0" fontId="0" fillId="29" borderId="0" pivotButton="0" quotePrefix="0" xfId="0"/>
    <xf numFmtId="0" fontId="5" fillId="0" borderId="62" pivotButton="0" quotePrefix="0" xfId="0"/>
    <xf numFmtId="1" fontId="54" fillId="26" borderId="62" applyAlignment="1" pivotButton="0" quotePrefix="0" xfId="0">
      <alignment horizontal="left"/>
    </xf>
    <xf numFmtId="0" fontId="0" fillId="26" borderId="0" pivotButton="0" quotePrefix="0" xfId="0"/>
    <xf numFmtId="0" fontId="5" fillId="26" borderId="62" pivotButton="0" quotePrefix="0" xfId="3"/>
    <xf numFmtId="0" fontId="54" fillId="26" borderId="62" applyAlignment="1" pivotButton="0" quotePrefix="0" xfId="0">
      <alignment horizontal="left"/>
    </xf>
    <xf numFmtId="0" fontId="5" fillId="26" borderId="0" pivotButton="0" quotePrefix="0" xfId="3"/>
    <xf numFmtId="0" fontId="50" fillId="0" borderId="62" pivotButton="0" quotePrefix="0" xfId="3"/>
    <xf numFmtId="0" fontId="5" fillId="30" borderId="62" pivotButton="0" quotePrefix="0" xfId="3"/>
    <xf numFmtId="0" fontId="0" fillId="0" borderId="62" applyAlignment="1" pivotButton="0" quotePrefix="0" xfId="0">
      <alignment horizontal="left"/>
    </xf>
    <xf numFmtId="0" fontId="5" fillId="0" borderId="0" applyAlignment="1" pivotButton="0" quotePrefix="0" xfId="3">
      <alignment horizontal="center"/>
    </xf>
    <xf numFmtId="0" fontId="4" fillId="26" borderId="62" applyAlignment="1" pivotButton="0" quotePrefix="0" xfId="0">
      <alignment horizontal="left" vertical="top" wrapText="1"/>
    </xf>
    <xf numFmtId="0" fontId="51" fillId="25" borderId="62" applyAlignment="1" pivotButton="0" quotePrefix="0" xfId="6">
      <alignment horizontal="left" vertical="top" wrapText="1"/>
    </xf>
    <xf numFmtId="0" fontId="51" fillId="27" borderId="62" applyAlignment="1" pivotButton="0" quotePrefix="0" xfId="6">
      <alignment horizontal="left" vertical="top" wrapText="1"/>
    </xf>
    <xf numFmtId="0" fontId="53" fillId="28" borderId="62" applyAlignment="1" pivotButton="0" quotePrefix="0" xfId="0">
      <alignment horizontal="center"/>
    </xf>
    <xf numFmtId="0" fontId="60" fillId="33" borderId="62" applyAlignment="1" pivotButton="0" quotePrefix="0" xfId="0">
      <alignment horizontal="center"/>
    </xf>
    <xf numFmtId="0" fontId="60" fillId="33" borderId="4" applyAlignment="1" pivotButton="0" quotePrefix="0" xfId="0">
      <alignment horizontal="center" wrapText="1"/>
    </xf>
    <xf numFmtId="0" fontId="60" fillId="33" borderId="62" applyAlignment="1" pivotButton="0" quotePrefix="0" xfId="0">
      <alignment horizontal="center" wrapText="1"/>
    </xf>
    <xf numFmtId="0" fontId="60" fillId="33" borderId="68" applyAlignment="1" pivotButton="0" quotePrefix="0" xfId="0">
      <alignment horizontal="center"/>
    </xf>
    <xf numFmtId="0" fontId="60" fillId="33" borderId="0" applyAlignment="1" pivotButton="0" quotePrefix="0" xfId="0">
      <alignment horizontal="center"/>
    </xf>
    <xf numFmtId="0" fontId="60" fillId="33" borderId="0" applyAlignment="1" pivotButton="0" quotePrefix="0" xfId="0">
      <alignment horizontal="center" wrapText="1"/>
    </xf>
    <xf numFmtId="0" fontId="4" fillId="0" borderId="0" applyAlignment="1" pivotButton="0" quotePrefix="0" xfId="6">
      <alignment horizontal="left" vertical="top" wrapText="1"/>
    </xf>
    <xf numFmtId="0" fontId="0" fillId="34" borderId="62" pivotButton="0" quotePrefix="0" xfId="0"/>
    <xf numFmtId="0" fontId="4" fillId="0" borderId="62" pivotButton="0" quotePrefix="0" xfId="6"/>
    <xf numFmtId="0" fontId="54" fillId="0" borderId="4" applyAlignment="1" pivotButton="0" quotePrefix="0" xfId="0">
      <alignment horizontal="left"/>
    </xf>
    <xf numFmtId="0" fontId="4" fillId="0" borderId="62" applyAlignment="1" pivotButton="0" quotePrefix="0" xfId="6">
      <alignment horizontal="center" vertical="center"/>
    </xf>
    <xf numFmtId="0" fontId="0" fillId="0" borderId="62" applyAlignment="1" pivotButton="0" quotePrefix="0" xfId="0">
      <alignment horizontal="center"/>
    </xf>
    <xf numFmtId="0" fontId="4" fillId="0" borderId="62" applyAlignment="1" pivotButton="0" quotePrefix="0" xfId="6">
      <alignment horizontal="center"/>
    </xf>
    <xf numFmtId="172" fontId="4" fillId="0" borderId="62" applyAlignment="1" pivotButton="0" quotePrefix="0" xfId="4">
      <alignment horizontal="center"/>
    </xf>
    <xf numFmtId="9" fontId="0" fillId="0" borderId="62" applyAlignment="1" pivotButton="0" quotePrefix="0" xfId="0">
      <alignment horizontal="center"/>
    </xf>
    <xf numFmtId="9" fontId="4" fillId="0" borderId="62" applyAlignment="1" pivotButton="0" quotePrefix="0" xfId="6">
      <alignment horizontal="center"/>
    </xf>
    <xf numFmtId="173" fontId="4" fillId="0" borderId="62" pivotButton="0" quotePrefix="0" xfId="6"/>
    <xf numFmtId="174" fontId="4" fillId="0" borderId="62" pivotButton="0" quotePrefix="0" xfId="6"/>
    <xf numFmtId="0" fontId="4" fillId="0" borderId="0" pivotButton="0" quotePrefix="0" xfId="6"/>
    <xf numFmtId="175" fontId="4" fillId="0" borderId="62" applyAlignment="1" pivotButton="0" quotePrefix="0" xfId="6">
      <alignment horizontal="center"/>
    </xf>
    <xf numFmtId="175" fontId="4" fillId="0" borderId="62" pivotButton="0" quotePrefix="0" xfId="6"/>
    <xf numFmtId="14" fontId="4" fillId="0" borderId="62" applyAlignment="1" pivotButton="0" quotePrefix="0" xfId="6">
      <alignment horizontal="center"/>
    </xf>
    <xf numFmtId="172" fontId="4" fillId="0" borderId="62" pivotButton="0" quotePrefix="0" xfId="4"/>
    <xf numFmtId="172" fontId="4" fillId="0" borderId="4" applyAlignment="1" pivotButton="0" quotePrefix="0" xfId="4">
      <alignment horizontal="center"/>
    </xf>
    <xf numFmtId="0" fontId="4" fillId="0" borderId="4" applyAlignment="1" pivotButton="0" quotePrefix="0" xfId="6">
      <alignment horizontal="center"/>
    </xf>
    <xf numFmtId="0" fontId="4" fillId="0" borderId="62" applyAlignment="1" pivotButton="0" quotePrefix="0" xfId="6">
      <alignment vertical="top" wrapText="1"/>
    </xf>
    <xf numFmtId="0" fontId="4" fillId="34" borderId="62" pivotButton="0" quotePrefix="0" xfId="6"/>
    <xf numFmtId="1" fontId="54" fillId="0" borderId="0" applyAlignment="1" pivotButton="0" quotePrefix="0" xfId="0">
      <alignment horizontal="left"/>
    </xf>
    <xf numFmtId="0" fontId="55" fillId="34" borderId="62" pivotButton="0" quotePrefix="0" xfId="0"/>
    <xf numFmtId="0" fontId="4" fillId="26" borderId="62" pivotButton="0" quotePrefix="0" xfId="6"/>
    <xf numFmtId="0" fontId="57" fillId="0" borderId="62" applyAlignment="1" pivotButton="0" quotePrefix="0" xfId="6">
      <alignment horizontal="center"/>
    </xf>
    <xf numFmtId="0" fontId="4" fillId="0" borderId="0" applyAlignment="1" pivotButton="0" quotePrefix="0" xfId="6">
      <alignment horizontal="center"/>
    </xf>
    <xf numFmtId="0" fontId="50" fillId="0" borderId="0" pivotButton="0" quotePrefix="0" xfId="6"/>
    <xf numFmtId="0" fontId="4" fillId="0" borderId="0" applyAlignment="1" pivotButton="0" quotePrefix="0" xfId="6">
      <alignment horizontal="center" vertical="center"/>
    </xf>
    <xf numFmtId="0" fontId="4" fillId="30" borderId="62" pivotButton="0" quotePrefix="0" xfId="6"/>
    <xf numFmtId="0" fontId="0" fillId="0" borderId="0" applyAlignment="1" pivotButton="0" quotePrefix="0" xfId="0">
      <alignment horizontal="center"/>
    </xf>
    <xf numFmtId="0" fontId="57" fillId="0" borderId="0" pivotButton="0" quotePrefix="0" xfId="6"/>
    <xf numFmtId="10" fontId="4" fillId="0" borderId="62" applyAlignment="1" pivotButton="0" quotePrefix="0" xfId="6">
      <alignment horizontal="center"/>
    </xf>
    <xf numFmtId="14" fontId="4" fillId="0" borderId="0" applyAlignment="1" pivotButton="0" quotePrefix="0" xfId="6">
      <alignment horizontal="center"/>
    </xf>
    <xf numFmtId="0" fontId="4" fillId="35" borderId="62" applyAlignment="1" pivotButton="0" quotePrefix="0" xfId="6">
      <alignment horizontal="center"/>
    </xf>
    <xf numFmtId="0" fontId="4" fillId="0" borderId="68" applyAlignment="1" pivotButton="0" quotePrefix="0" xfId="6">
      <alignment horizontal="center" vertical="center"/>
    </xf>
    <xf numFmtId="0" fontId="4" fillId="0" borderId="68" applyAlignment="1" pivotButton="0" quotePrefix="0" xfId="6">
      <alignment horizontal="center"/>
    </xf>
    <xf numFmtId="0" fontId="4" fillId="0" borderId="99" applyAlignment="1" pivotButton="0" quotePrefix="0" xfId="6">
      <alignment horizontal="center" vertical="center"/>
    </xf>
    <xf numFmtId="0" fontId="4" fillId="0" borderId="99" applyAlignment="1" pivotButton="0" quotePrefix="0" xfId="6">
      <alignment horizontal="center"/>
    </xf>
    <xf numFmtId="14" fontId="4" fillId="0" borderId="99" applyAlignment="1" pivotButton="0" quotePrefix="0" xfId="6">
      <alignment horizontal="center"/>
    </xf>
    <xf numFmtId="0" fontId="4" fillId="35" borderId="99" applyAlignment="1" pivotButton="0" quotePrefix="0" xfId="6">
      <alignment horizontal="center"/>
    </xf>
    <xf numFmtId="1" fontId="54" fillId="0" borderId="68" applyAlignment="1" pivotButton="0" quotePrefix="0" xfId="0">
      <alignment horizontal="left"/>
    </xf>
    <xf numFmtId="0" fontId="0" fillId="0" borderId="68" pivotButton="0" quotePrefix="0" xfId="0"/>
    <xf numFmtId="0" fontId="0" fillId="34" borderId="68" pivotButton="0" quotePrefix="0" xfId="0"/>
    <xf numFmtId="0" fontId="4" fillId="0" borderId="68" pivotButton="0" quotePrefix="0" xfId="6"/>
    <xf numFmtId="0" fontId="54" fillId="0" borderId="36" applyAlignment="1" pivotButton="0" quotePrefix="0" xfId="0">
      <alignment horizontal="left"/>
    </xf>
    <xf numFmtId="9" fontId="4" fillId="0" borderId="0" applyAlignment="1" pivotButton="0" quotePrefix="0" xfId="6">
      <alignment horizontal="center"/>
    </xf>
    <xf numFmtId="175" fontId="4" fillId="0" borderId="0" applyAlignment="1" pivotButton="0" quotePrefix="0" xfId="6">
      <alignment horizontal="center"/>
    </xf>
    <xf numFmtId="175" fontId="4" fillId="0" borderId="0" pivotButton="0" quotePrefix="0" xfId="6"/>
    <xf numFmtId="174" fontId="4" fillId="0" borderId="0" pivotButton="0" quotePrefix="0" xfId="6"/>
    <xf numFmtId="9" fontId="0" fillId="0" borderId="0" applyAlignment="1" pivotButton="0" quotePrefix="0" xfId="0">
      <alignment horizontal="center"/>
    </xf>
    <xf numFmtId="173" fontId="4" fillId="0" borderId="0" pivotButton="0" quotePrefix="0" xfId="6"/>
    <xf numFmtId="0" fontId="4" fillId="0" borderId="62" applyAlignment="1" pivotButton="0" quotePrefix="0" xfId="6">
      <alignment horizontal="left" vertical="top" wrapText="1"/>
    </xf>
    <xf numFmtId="1" fontId="54" fillId="0" borderId="99" applyAlignment="1" pivotButton="0" quotePrefix="0" xfId="0">
      <alignment horizontal="left"/>
    </xf>
    <xf numFmtId="0" fontId="4" fillId="0" borderId="99" applyAlignment="1" pivotButton="0" quotePrefix="0" xfId="6">
      <alignment horizontal="left" vertical="top" wrapText="1"/>
    </xf>
    <xf numFmtId="0" fontId="4" fillId="34" borderId="99" pivotButton="0" quotePrefix="0" xfId="6"/>
    <xf numFmtId="0" fontId="4" fillId="0" borderId="99" pivotButton="0" quotePrefix="0" xfId="6"/>
    <xf numFmtId="0" fontId="0" fillId="0" borderId="99" pivotButton="0" quotePrefix="0" xfId="0"/>
    <xf numFmtId="0" fontId="54" fillId="0" borderId="37" applyAlignment="1" pivotButton="0" quotePrefix="0" xfId="0">
      <alignment horizontal="left"/>
    </xf>
    <xf numFmtId="0" fontId="4" fillId="0" borderId="64" applyAlignment="1" pivotButton="0" quotePrefix="0" xfId="6">
      <alignment horizontal="center" vertical="center"/>
    </xf>
    <xf numFmtId="0" fontId="4" fillId="0" borderId="64" applyAlignment="1" pivotButton="0" quotePrefix="0" xfId="6">
      <alignment horizontal="center"/>
    </xf>
    <xf numFmtId="0" fontId="4" fillId="0" borderId="36" applyAlignment="1" pivotButton="0" quotePrefix="0" xfId="6">
      <alignment horizontal="center"/>
    </xf>
    <xf numFmtId="172" fontId="4" fillId="0" borderId="36" applyAlignment="1" pivotButton="0" quotePrefix="0" xfId="4">
      <alignment horizontal="center"/>
    </xf>
    <xf numFmtId="9" fontId="4" fillId="0" borderId="68" applyAlignment="1" pivotButton="0" quotePrefix="0" xfId="6">
      <alignment horizontal="center"/>
    </xf>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0" fontId="54" fillId="0" borderId="39" applyAlignment="1" pivotButton="0" quotePrefix="0" xfId="0">
      <alignment horizontal="left"/>
    </xf>
    <xf numFmtId="0" fontId="4" fillId="0" borderId="39" applyAlignment="1" pivotButton="0" quotePrefix="0" xfId="6">
      <alignment horizontal="center"/>
    </xf>
    <xf numFmtId="172" fontId="4" fillId="0" borderId="39" applyAlignment="1" pivotButton="0" quotePrefix="0" xfId="4">
      <alignment horizontal="center"/>
    </xf>
    <xf numFmtId="9" fontId="4" fillId="0" borderId="99" applyAlignment="1" pivotButton="0" quotePrefix="0" xfId="6">
      <alignment horizontal="center"/>
    </xf>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0" fontId="0" fillId="0" borderId="4" applyAlignment="1" pivotButton="0" quotePrefix="0" xfId="0">
      <alignment horizontal="center"/>
    </xf>
    <xf numFmtId="176" fontId="4"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4" fillId="0" borderId="62" applyAlignment="1" pivotButton="0" quotePrefix="0" xfId="5">
      <alignment horizontal="center"/>
    </xf>
    <xf numFmtId="175" fontId="4" fillId="0" borderId="62" pivotButton="0" quotePrefix="0" xfId="5"/>
    <xf numFmtId="0" fontId="55" fillId="0" borderId="62" pivotButton="0" quotePrefix="0" xfId="6"/>
    <xf numFmtId="0" fontId="4" fillId="0" borderId="0" applyAlignment="1" pivotButton="0" quotePrefix="0" xfId="6">
      <alignment vertical="top" wrapText="1"/>
    </xf>
    <xf numFmtId="0" fontId="55" fillId="0" borderId="62" applyAlignment="1" pivotButton="0" quotePrefix="0" xfId="6">
      <alignment vertical="top" wrapText="1"/>
    </xf>
    <xf numFmtId="0" fontId="50" fillId="36" borderId="62" applyAlignment="1" pivotButton="0" quotePrefix="0" xfId="6">
      <alignment horizontal="center" vertical="center"/>
    </xf>
    <xf numFmtId="0" fontId="58" fillId="34" borderId="62" pivotButton="0" quotePrefix="0" xfId="0"/>
    <xf numFmtId="0" fontId="57" fillId="0" borderId="62" applyAlignment="1" pivotButton="0" quotePrefix="0" xfId="6">
      <alignment vertical="top" wrapText="1"/>
    </xf>
    <xf numFmtId="0" fontId="57" fillId="0" borderId="62" pivotButton="0" quotePrefix="0" xfId="6"/>
    <xf numFmtId="172" fontId="0" fillId="0" borderId="4" applyAlignment="1" pivotButton="0" quotePrefix="0" xfId="4">
      <alignment horizontal="center"/>
    </xf>
    <xf numFmtId="0" fontId="4" fillId="34" borderId="62" applyAlignment="1" pivotButton="0" quotePrefix="0" xfId="6">
      <alignment vertical="top" wrapText="1"/>
    </xf>
    <xf numFmtId="0" fontId="4" fillId="34" borderId="62" pivotButton="0" quotePrefix="0" xfId="0"/>
    <xf numFmtId="0" fontId="54" fillId="26" borderId="4" applyAlignment="1" pivotButton="0" quotePrefix="0" xfId="0">
      <alignment horizontal="left"/>
    </xf>
    <xf numFmtId="0" fontId="4" fillId="26" borderId="4" applyAlignment="1" pivotButton="0" quotePrefix="0" xfId="6">
      <alignment horizontal="center"/>
    </xf>
    <xf numFmtId="172" fontId="4" fillId="26" borderId="4" applyAlignment="1" pivotButton="0" quotePrefix="0" xfId="4">
      <alignment horizontal="center"/>
    </xf>
    <xf numFmtId="0" fontId="57" fillId="34" borderId="62" applyAlignment="1" pivotButton="0" quotePrefix="0" xfId="6">
      <alignment vertical="top" wrapText="1"/>
    </xf>
    <xf numFmtId="0" fontId="58" fillId="0" borderId="4" applyAlignment="1" pivotButton="0" quotePrefix="0" xfId="0">
      <alignment horizontal="left"/>
    </xf>
    <xf numFmtId="0" fontId="57" fillId="0" borderId="4" applyAlignment="1" pivotButton="0" quotePrefix="0" xfId="6">
      <alignment horizontal="center"/>
    </xf>
    <xf numFmtId="172" fontId="57" fillId="0" borderId="4" applyAlignment="1" pivotButton="0" quotePrefix="0" xfId="4">
      <alignment horizontal="center"/>
    </xf>
    <xf numFmtId="9" fontId="57" fillId="0" borderId="62" applyAlignment="1" pivotButton="0" quotePrefix="0" xfId="6">
      <alignment horizontal="center"/>
    </xf>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0" fontId="50" fillId="0" borderId="62" pivotButton="0" quotePrefix="0" xfId="6"/>
    <xf numFmtId="172" fontId="4" fillId="0" borderId="0" applyAlignment="1" pivotButton="0" quotePrefix="0" xfId="4">
      <alignment horizontal="center"/>
    </xf>
    <xf numFmtId="0" fontId="0" fillId="34" borderId="0" pivotButton="0" quotePrefix="0" xfId="0"/>
    <xf numFmtId="0" fontId="54" fillId="0" borderId="0" applyAlignment="1" pivotButton="0" quotePrefix="0" xfId="0">
      <alignment horizontal="left"/>
    </xf>
    <xf numFmtId="0" fontId="4" fillId="0" borderId="0" applyAlignment="1" pivotButton="0" quotePrefix="0" xfId="6">
      <alignment horizontal="left"/>
    </xf>
    <xf numFmtId="0" fontId="4" fillId="34" borderId="0" pivotButton="0" quotePrefix="0" xfId="6"/>
    <xf numFmtId="172" fontId="4" fillId="26" borderId="0" pivotButton="0" quotePrefix="0" xfId="6"/>
    <xf numFmtId="0" fontId="4" fillId="26" borderId="0" pivotButton="0" quotePrefix="0" xfId="6"/>
    <xf numFmtId="0" fontId="4" fillId="35" borderId="0" applyAlignment="1" pivotButton="0" quotePrefix="0" xfId="6">
      <alignment horizontal="center"/>
    </xf>
    <xf numFmtId="172" fontId="4" fillId="0" borderId="0" applyAlignment="1" pivotButton="0" quotePrefix="0" xfId="6">
      <alignment horizontal="center"/>
    </xf>
    <xf numFmtId="9" fontId="4" fillId="0" borderId="0" pivotButton="0" quotePrefix="0" xfId="5"/>
    <xf numFmtId="0" fontId="62" fillId="37" borderId="100" applyAlignment="1" pivotButton="0" quotePrefix="0" xfId="0">
      <alignment horizontal="left" vertical="center"/>
    </xf>
    <xf numFmtId="0" fontId="62" fillId="37" borderId="100" pivotButton="0" quotePrefix="0" xfId="0"/>
    <xf numFmtId="0" fontId="63" fillId="0" borderId="100" applyAlignment="1" pivotButton="0" quotePrefix="0" xfId="0">
      <alignment horizontal="left" vertical="center"/>
    </xf>
    <xf numFmtId="164" fontId="63" fillId="0" borderId="100" applyAlignment="1" pivotButton="0" quotePrefix="0" xfId="0">
      <alignment horizontal="right" vertical="center"/>
    </xf>
    <xf numFmtId="0" fontId="61" fillId="38" borderId="100" applyAlignment="1" pivotButton="0" quotePrefix="0" xfId="0">
      <alignment horizontal="left" vertical="center"/>
    </xf>
    <xf numFmtId="164" fontId="61" fillId="38" borderId="100" applyAlignment="1" pivotButton="0" quotePrefix="0" xfId="0">
      <alignment horizontal="right" vertical="center"/>
    </xf>
    <xf numFmtId="0" fontId="63" fillId="0" borderId="100" pivotButton="0" quotePrefix="0" xfId="0"/>
    <xf numFmtId="164" fontId="63" fillId="0" borderId="2" pivotButton="0" quotePrefix="0" xfId="0"/>
    <xf numFmtId="0" fontId="65" fillId="0" borderId="0" pivotButton="0" quotePrefix="0" xfId="0"/>
    <xf numFmtId="0" fontId="62" fillId="37" borderId="100" applyAlignment="1" pivotButton="0" quotePrefix="0" xfId="0">
      <alignment horizontal="center" vertical="center"/>
    </xf>
    <xf numFmtId="0" fontId="63" fillId="0" borderId="100" applyAlignment="1" pivotButton="0" quotePrefix="0" xfId="0">
      <alignment horizontal="center" vertical="center"/>
    </xf>
    <xf numFmtId="177" fontId="63" fillId="0" borderId="100" applyAlignment="1" pivotButton="0" quotePrefix="0" xfId="0">
      <alignment horizontal="right" vertical="center"/>
    </xf>
    <xf numFmtId="0" fontId="62" fillId="39" borderId="100" applyAlignment="1" pivotButton="0" quotePrefix="0" xfId="0">
      <alignment horizontal="left" vertical="center"/>
    </xf>
    <xf numFmtId="0" fontId="62" fillId="39" borderId="100" pivotButton="0" quotePrefix="0" xfId="0"/>
    <xf numFmtId="164" fontId="61" fillId="0" borderId="100" applyAlignment="1" pivotButton="0" quotePrefix="0" xfId="0">
      <alignment horizontal="right" vertical="center"/>
    </xf>
    <xf numFmtId="0" fontId="63" fillId="0" borderId="0" pivotButton="0" quotePrefix="0" xfId="0"/>
    <xf numFmtId="0" fontId="61" fillId="38" borderId="100" applyAlignment="1" pivotButton="0" quotePrefix="0" xfId="0">
      <alignment horizontal="center" vertical="center"/>
    </xf>
    <xf numFmtId="0" fontId="61" fillId="0" borderId="100" applyAlignment="1" pivotButton="0" quotePrefix="0" xfId="0">
      <alignment horizontal="left" vertical="center"/>
    </xf>
    <xf numFmtId="9" fontId="61" fillId="38" borderId="100" applyAlignment="1" pivotButton="0" quotePrefix="0" xfId="0">
      <alignment horizontal="center" vertical="center"/>
    </xf>
    <xf numFmtId="9" fontId="63" fillId="0" borderId="100" applyAlignment="1" pivotButton="0" quotePrefix="0" xfId="0">
      <alignment horizontal="center" vertical="center"/>
    </xf>
    <xf numFmtId="0" fontId="61" fillId="38" borderId="100" pivotButton="0" quotePrefix="0" xfId="0"/>
    <xf numFmtId="0" fontId="62" fillId="39" borderId="100" applyAlignment="1" pivotButton="0" quotePrefix="0" xfId="0">
      <alignment horizontal="center" vertical="center"/>
    </xf>
    <xf numFmtId="9" fontId="62" fillId="39" borderId="100" applyAlignment="1" pivotButton="0" quotePrefix="0" xfId="0">
      <alignment horizontal="center" vertical="center"/>
    </xf>
    <xf numFmtId="164" fontId="62" fillId="39" borderId="100" applyAlignment="1" pivotButton="0" quotePrefix="0" xfId="0">
      <alignment horizontal="right" vertical="center"/>
    </xf>
    <xf numFmtId="0" fontId="66" fillId="32" borderId="100" applyAlignment="1" pivotButton="0" quotePrefix="0" xfId="0">
      <alignment horizontal="left" vertical="center"/>
    </xf>
    <xf numFmtId="0" fontId="63" fillId="32" borderId="100" applyAlignment="1" pivotButton="0" quotePrefix="0" xfId="0">
      <alignment horizontal="left" vertical="center"/>
    </xf>
    <xf numFmtId="0" fontId="63" fillId="32" borderId="100" applyAlignment="1" pivotButton="0" quotePrefix="0" xfId="0">
      <alignment horizontal="center" vertical="center"/>
    </xf>
    <xf numFmtId="0" fontId="61" fillId="0" borderId="100" applyAlignment="1" pivotButton="0" quotePrefix="0" xfId="0">
      <alignment horizontal="center" vertical="center"/>
    </xf>
    <xf numFmtId="0" fontId="61" fillId="0" borderId="100" applyAlignment="1" pivotButton="0" quotePrefix="0" xfId="0">
      <alignment horizontal="right" vertical="center"/>
    </xf>
    <xf numFmtId="9" fontId="61" fillId="0" borderId="100" applyAlignment="1" pivotButton="0" quotePrefix="0" xfId="0">
      <alignment horizontal="right" vertical="center"/>
    </xf>
    <xf numFmtId="0" fontId="64" fillId="31" borderId="100" applyAlignment="1" pivotButton="0" quotePrefix="0" xfId="0">
      <alignment horizontal="center" vertical="center"/>
    </xf>
    <xf numFmtId="0" fontId="56" fillId="0" borderId="62" pivotButton="0" quotePrefix="0" xfId="0"/>
    <xf numFmtId="0" fontId="67" fillId="0" borderId="0" pivotButton="0" quotePrefix="0" xfId="0"/>
    <xf numFmtId="0" fontId="61" fillId="40" borderId="100" applyAlignment="1" pivotButton="0" quotePrefix="0" xfId="0">
      <alignment horizontal="left" vertical="center"/>
    </xf>
    <xf numFmtId="0" fontId="61" fillId="40" borderId="100" pivotButton="0" quotePrefix="0" xfId="0"/>
    <xf numFmtId="178" fontId="61" fillId="0" borderId="100" applyAlignment="1" pivotButton="0" quotePrefix="0" xfId="0">
      <alignment horizontal="right" vertical="center"/>
    </xf>
    <xf numFmtId="164" fontId="0" fillId="0" borderId="0" pivotButton="0" quotePrefix="0" xfId="0"/>
    <xf numFmtId="0" fontId="68" fillId="0" borderId="0" pivotButton="0" quotePrefix="0" xfId="0"/>
    <xf numFmtId="0" fontId="62" fillId="2" borderId="2" applyAlignment="1" pivotButton="0" quotePrefix="0" xfId="0">
      <alignment horizontal="left" vertical="center"/>
    </xf>
    <xf numFmtId="0" fontId="63" fillId="0" borderId="2" pivotButton="0" quotePrefix="0" xfId="0"/>
    <xf numFmtId="178" fontId="63" fillId="0" borderId="2" pivotButton="0" quotePrefix="0" xfId="0"/>
    <xf numFmtId="9" fontId="61" fillId="31" borderId="100" applyAlignment="1" pivotButton="0" quotePrefix="0" xfId="0">
      <alignment horizontal="center" vertical="center"/>
    </xf>
    <xf numFmtId="0" fontId="63" fillId="4" borderId="2" pivotButton="0" quotePrefix="0" xfId="0"/>
    <xf numFmtId="178" fontId="63" fillId="4" borderId="2" pivotButton="0" quotePrefix="0" xfId="0"/>
    <xf numFmtId="164" fontId="63" fillId="4" borderId="2" pivotButton="0" quotePrefix="0" xfId="0"/>
    <xf numFmtId="0" fontId="69" fillId="4" borderId="2" pivotButton="0" quotePrefix="0" xfId="0"/>
    <xf numFmtId="178" fontId="69" fillId="4" borderId="2" pivotButton="0" quotePrefix="0" xfId="0"/>
    <xf numFmtId="0" fontId="63" fillId="4" borderId="3" pivotButton="0" quotePrefix="0" xfId="0"/>
    <xf numFmtId="0" fontId="8" fillId="3" borderId="2" applyAlignment="1" pivotButton="0" quotePrefix="0" xfId="0">
      <alignment horizontal="center" vertical="center"/>
    </xf>
    <xf numFmtId="9" fontId="34" fillId="0" borderId="2" pivotButton="0" quotePrefix="0" xfId="0"/>
    <xf numFmtId="0" fontId="8" fillId="3" borderId="3" applyAlignment="1" pivotButton="0" quotePrefix="0" xfId="0">
      <alignment horizontal="center" vertical="center"/>
    </xf>
    <xf numFmtId="164" fontId="34" fillId="9" borderId="2" pivotButton="0" quotePrefix="0" xfId="0"/>
    <xf numFmtId="0" fontId="8" fillId="3" borderId="62" applyAlignment="1" pivotButton="0" quotePrefix="0" xfId="0">
      <alignment horizontal="center" vertical="center"/>
    </xf>
    <xf numFmtId="0" fontId="63" fillId="0" borderId="62" pivotButton="0" quotePrefix="0" xfId="0"/>
    <xf numFmtId="164" fontId="8" fillId="3" borderId="62" applyAlignment="1" pivotButton="0" quotePrefix="0" xfId="0">
      <alignment horizontal="center" vertical="center"/>
    </xf>
    <xf numFmtId="164" fontId="47" fillId="9" borderId="2" pivotButton="0" quotePrefix="0" xfId="0"/>
    <xf numFmtId="0" fontId="63" fillId="40" borderId="100" applyAlignment="1" pivotButton="0" quotePrefix="0" xfId="0">
      <alignment horizontal="left" vertical="center"/>
    </xf>
    <xf numFmtId="164" fontId="63" fillId="40" borderId="100" applyAlignment="1" pivotButton="0" quotePrefix="0" xfId="0">
      <alignment horizontal="right" vertical="center"/>
    </xf>
    <xf numFmtId="9" fontId="43" fillId="0" borderId="2" pivotButton="0" quotePrefix="0" xfId="0"/>
    <xf numFmtId="164" fontId="61" fillId="40" borderId="100" applyAlignment="1" pivotButton="0" quotePrefix="0" xfId="0">
      <alignment horizontal="right" vertical="center"/>
    </xf>
    <xf numFmtId="0" fontId="61" fillId="40" borderId="100" applyAlignment="1" pivotButton="0" quotePrefix="0" xfId="0">
      <alignment horizontal="center" vertical="center"/>
    </xf>
    <xf numFmtId="164" fontId="61" fillId="38" borderId="100" applyAlignment="1" pivotButton="0" quotePrefix="0" xfId="0">
      <alignment horizontal="center" vertical="center"/>
    </xf>
    <xf numFmtId="9" fontId="61" fillId="40" borderId="100" applyAlignment="1" pivotButton="0" quotePrefix="0" xfId="0">
      <alignment horizontal="center" vertical="center"/>
    </xf>
    <xf numFmtId="0" fontId="61" fillId="0" borderId="100" pivotButton="0" quotePrefix="0" xfId="0"/>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0" fontId="61" fillId="31" borderId="100" applyAlignment="1" pivotButton="0" quotePrefix="0" xfId="0">
      <alignment horizontal="center" vertical="center"/>
    </xf>
    <xf numFmtId="0" fontId="70" fillId="0" borderId="0" pivotButton="0" quotePrefix="0" xfId="0"/>
    <xf numFmtId="0" fontId="58" fillId="0" borderId="0" pivotButton="0" quotePrefix="0" xfId="0"/>
    <xf numFmtId="0" fontId="48" fillId="39" borderId="100" pivotButton="0" quotePrefix="0" xfId="0"/>
    <xf numFmtId="0" fontId="48" fillId="37" borderId="100" applyAlignment="1" pivotButton="0" quotePrefix="0" xfId="0">
      <alignment horizontal="center" vertical="center"/>
    </xf>
    <xf numFmtId="0" fontId="71" fillId="0" borderId="100" applyAlignment="1" pivotButton="0" quotePrefix="0" xfId="0">
      <alignment horizontal="center" vertical="center"/>
    </xf>
    <xf numFmtId="0" fontId="48" fillId="32" borderId="100" applyAlignment="1" pivotButton="0" quotePrefix="0" xfId="0">
      <alignment horizontal="center" vertical="center"/>
    </xf>
    <xf numFmtId="0" fontId="48" fillId="0" borderId="100" applyAlignment="1" pivotButton="0" quotePrefix="0" xfId="0">
      <alignment horizontal="center" vertical="center"/>
    </xf>
    <xf numFmtId="0" fontId="48" fillId="40" borderId="100" applyAlignment="1" pivotButton="0" quotePrefix="0" xfId="0">
      <alignment horizontal="center" vertical="center"/>
    </xf>
    <xf numFmtId="0" fontId="72" fillId="37" borderId="100" applyAlignment="1" pivotButton="0" quotePrefix="0" xfId="0">
      <alignment horizontal="center" vertical="center"/>
    </xf>
    <xf numFmtId="0" fontId="71" fillId="40" borderId="100" applyAlignment="1" pivotButton="0" quotePrefix="0" xfId="0">
      <alignment horizontal="left" vertical="center"/>
    </xf>
    <xf numFmtId="0" fontId="3" fillId="26" borderId="62" applyAlignment="1" pivotButton="0" quotePrefix="0" xfId="0">
      <alignment horizontal="left" vertical="top" wrapText="1"/>
    </xf>
    <xf numFmtId="0" fontId="51" fillId="25" borderId="62" applyAlignment="1" pivotButton="0" quotePrefix="0" xfId="7">
      <alignment horizontal="left" vertical="top" wrapText="1"/>
    </xf>
    <xf numFmtId="0" fontId="51" fillId="27" borderId="62" applyAlignment="1" pivotButton="0" quotePrefix="0" xfId="7">
      <alignment horizontal="left" vertical="top" wrapText="1"/>
    </xf>
    <xf numFmtId="0" fontId="53" fillId="28" borderId="0" applyAlignment="1" pivotButton="0" quotePrefix="0" xfId="0">
      <alignment wrapText="1"/>
    </xf>
    <xf numFmtId="0" fontId="53" fillId="28" borderId="62" applyAlignment="1" pivotButton="0" quotePrefix="0" xfId="0">
      <alignment horizontal="center" wrapText="1"/>
    </xf>
    <xf numFmtId="0" fontId="60" fillId="33" borderId="68" applyAlignment="1" pivotButton="0" quotePrefix="0" xfId="0">
      <alignment horizontal="center" wrapText="1"/>
    </xf>
    <xf numFmtId="0" fontId="3" fillId="0" borderId="0" applyAlignment="1" pivotButton="0" quotePrefix="0" xfId="7">
      <alignment horizontal="left" vertical="top" wrapText="1"/>
    </xf>
    <xf numFmtId="0" fontId="0" fillId="0" borderId="0" applyAlignment="1" pivotButton="0" quotePrefix="0" xfId="0">
      <alignment wrapText="1"/>
    </xf>
    <xf numFmtId="1" fontId="54" fillId="0" borderId="62" applyAlignment="1" pivotButton="0" quotePrefix="0" xfId="0">
      <alignment horizontal="left" wrapText="1"/>
    </xf>
    <xf numFmtId="0" fontId="0" fillId="0" borderId="62" applyAlignment="1" pivotButton="0" quotePrefix="0" xfId="0">
      <alignment wrapText="1"/>
    </xf>
    <xf numFmtId="0" fontId="0" fillId="34" borderId="62" applyAlignment="1" pivotButton="0" quotePrefix="0" xfId="0">
      <alignment wrapText="1"/>
    </xf>
    <xf numFmtId="0" fontId="3" fillId="0" borderId="62" applyAlignment="1" pivotButton="0" quotePrefix="0" xfId="7">
      <alignment wrapText="1"/>
    </xf>
    <xf numFmtId="0" fontId="54" fillId="0" borderId="4" applyAlignment="1" pivotButton="0" quotePrefix="0" xfId="0">
      <alignment horizontal="left" wrapText="1"/>
    </xf>
    <xf numFmtId="0" fontId="3" fillId="0" borderId="62" applyAlignment="1" pivotButton="0" quotePrefix="0" xfId="7">
      <alignment horizontal="center" vertical="center" wrapText="1"/>
    </xf>
    <xf numFmtId="0" fontId="0" fillId="0" borderId="62" applyAlignment="1" pivotButton="0" quotePrefix="0" xfId="0">
      <alignment horizontal="center" wrapText="1"/>
    </xf>
    <xf numFmtId="0" fontId="3" fillId="0" borderId="62" applyAlignment="1" pivotButton="0" quotePrefix="0" xfId="7">
      <alignment horizontal="center" wrapText="1"/>
    </xf>
    <xf numFmtId="0" fontId="3" fillId="0" borderId="4" applyAlignment="1" pivotButton="0" quotePrefix="0" xfId="7">
      <alignment horizontal="center" wrapText="1"/>
    </xf>
    <xf numFmtId="172" fontId="3" fillId="0" borderId="4" applyAlignment="1" pivotButton="0" quotePrefix="0" xfId="8">
      <alignment horizontal="center" wrapText="1"/>
    </xf>
    <xf numFmtId="9" fontId="0" fillId="0" borderId="62" applyAlignment="1" pivotButton="0" quotePrefix="0" xfId="0">
      <alignment horizontal="center" wrapText="1"/>
    </xf>
    <xf numFmtId="9" fontId="3" fillId="0" borderId="62" applyAlignment="1" pivotButton="0" quotePrefix="0" xfId="7">
      <alignment horizontal="center" wrapText="1"/>
    </xf>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0" fontId="3" fillId="0" borderId="0" applyAlignment="1" pivotButton="0" quotePrefix="0" xfId="7">
      <alignment wrapText="1"/>
    </xf>
    <xf numFmtId="172" fontId="3" fillId="0" borderId="62" applyAlignment="1" pivotButton="0" quotePrefix="0" xfId="8">
      <alignment horizontal="center" wrapText="1"/>
    </xf>
    <xf numFmtId="9" fontId="3" fillId="0" borderId="0" applyAlignment="1" pivotButton="0" quotePrefix="0" xfId="7">
      <alignment horizontal="center"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55" fillId="0" borderId="62" applyAlignment="1" pivotButton="0" quotePrefix="0" xfId="7">
      <alignment wrapText="1"/>
    </xf>
    <xf numFmtId="172" fontId="3" fillId="0" borderId="62" applyAlignment="1" pivotButton="0" quotePrefix="0" xfId="8">
      <alignment wrapText="1"/>
    </xf>
    <xf numFmtId="14" fontId="3" fillId="0" borderId="62" applyAlignment="1" pivotButton="0" quotePrefix="0" xfId="7">
      <alignment horizontal="center" wrapText="1"/>
    </xf>
    <xf numFmtId="10" fontId="3" fillId="0" borderId="62" applyAlignment="1" pivotButton="0" quotePrefix="0" xfId="7">
      <alignment horizontal="center" wrapText="1"/>
    </xf>
    <xf numFmtId="0" fontId="0" fillId="0" borderId="62" applyAlignment="1" pivotButton="0" quotePrefix="0" xfId="0">
      <alignment horizontal="left" wrapText="1"/>
    </xf>
    <xf numFmtId="0" fontId="3" fillId="26" borderId="62" applyAlignment="1" pivotButton="0" quotePrefix="0" xfId="7">
      <alignment wrapText="1"/>
    </xf>
    <xf numFmtId="0" fontId="3" fillId="34" borderId="62" applyAlignment="1" pivotButton="0" quotePrefix="0" xfId="7">
      <alignment wrapText="1"/>
    </xf>
    <xf numFmtId="0" fontId="3"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3" fillId="0" borderId="0" applyAlignment="1" pivotButton="0" quotePrefix="0" xfId="7">
      <alignment vertical="top" wrapText="1"/>
    </xf>
    <xf numFmtId="0" fontId="55" fillId="0" borderId="62" applyAlignment="1" pivotButton="0" quotePrefix="0" xfId="7">
      <alignment vertical="top" wrapText="1"/>
    </xf>
    <xf numFmtId="0" fontId="50" fillId="36" borderId="62" applyAlignment="1" pivotButton="0" quotePrefix="0" xfId="7">
      <alignment horizontal="center" vertical="center" wrapText="1"/>
    </xf>
    <xf numFmtId="0" fontId="58" fillId="0" borderId="62" applyAlignment="1" pivotButton="0" quotePrefix="0" xfId="0">
      <alignment wrapText="1"/>
    </xf>
    <xf numFmtId="0" fontId="58" fillId="34" borderId="62" applyAlignment="1" pivotButton="0" quotePrefix="0" xfId="0">
      <alignment wrapText="1"/>
    </xf>
    <xf numFmtId="0" fontId="57" fillId="0" borderId="0" applyAlignment="1" pivotButton="0" quotePrefix="0" xfId="7">
      <alignment wrapText="1"/>
    </xf>
    <xf numFmtId="0" fontId="57" fillId="0" borderId="62" applyAlignment="1" pivotButton="0" quotePrefix="0" xfId="7">
      <alignment vertical="top" wrapText="1"/>
    </xf>
    <xf numFmtId="0" fontId="57" fillId="0" borderId="62" applyAlignment="1" pivotButton="0" quotePrefix="0" xfId="7">
      <alignment wrapText="1"/>
    </xf>
    <xf numFmtId="0" fontId="76" fillId="0" borderId="101" applyAlignment="1" pivotButton="0" quotePrefix="0" xfId="0">
      <alignment vertical="center"/>
    </xf>
    <xf numFmtId="0" fontId="73" fillId="0" borderId="101" pivotButton="0" quotePrefix="0" xfId="0"/>
    <xf numFmtId="0" fontId="74" fillId="39" borderId="102" applyAlignment="1" pivotButton="0" quotePrefix="0" xfId="0">
      <alignment vertical="center"/>
    </xf>
    <xf numFmtId="0" fontId="74" fillId="37" borderId="102" applyAlignment="1" pivotButton="0" quotePrefix="0" xfId="0">
      <alignment horizontal="center" vertical="center" wrapText="1"/>
    </xf>
    <xf numFmtId="0" fontId="75" fillId="0" borderId="102" applyAlignment="1" pivotButton="0" quotePrefix="0" xfId="0">
      <alignment vertical="center"/>
    </xf>
    <xf numFmtId="2" fontId="73" fillId="0" borderId="102" applyAlignment="1" pivotButton="0" quotePrefix="0" xfId="0">
      <alignment horizontal="right" vertical="center"/>
    </xf>
    <xf numFmtId="0" fontId="73" fillId="0" borderId="102" applyAlignment="1" pivotButton="0" quotePrefix="0" xfId="0">
      <alignment horizontal="center" vertical="center"/>
    </xf>
    <xf numFmtId="2" fontId="75" fillId="41" borderId="102" applyAlignment="1" pivotButton="0" quotePrefix="0" xfId="0">
      <alignment horizontal="right" vertical="center"/>
    </xf>
    <xf numFmtId="0" fontId="73" fillId="0" borderId="101" applyAlignment="1" pivotButton="0" quotePrefix="0" xfId="0">
      <alignment horizontal="left" vertical="center"/>
    </xf>
    <xf numFmtId="164" fontId="73" fillId="0" borderId="101" applyAlignment="1" pivotButton="0" quotePrefix="0" xfId="0">
      <alignment horizontal="right" vertical="center"/>
    </xf>
    <xf numFmtId="0" fontId="73" fillId="0" borderId="101" applyAlignment="1" pivotButton="0" quotePrefix="0" xfId="0">
      <alignment vertical="center"/>
    </xf>
    <xf numFmtId="2" fontId="73" fillId="0" borderId="101" pivotButton="0" quotePrefix="0" xfId="0"/>
    <xf numFmtId="1" fontId="73" fillId="0" borderId="101" pivotButton="0" quotePrefix="0" xfId="0"/>
    <xf numFmtId="0" fontId="73" fillId="0" borderId="101" applyAlignment="1" pivotButton="0" quotePrefix="0" xfId="0">
      <alignment horizontal="center" vertical="center"/>
    </xf>
    <xf numFmtId="177" fontId="73" fillId="0" borderId="101" applyAlignment="1" pivotButton="0" quotePrefix="0" xfId="0">
      <alignment horizontal="right" vertical="center"/>
    </xf>
    <xf numFmtId="0" fontId="75" fillId="41" borderId="102" applyAlignment="1" pivotButton="0" quotePrefix="0" xfId="0">
      <alignment vertical="center"/>
    </xf>
    <xf numFmtId="1" fontId="75" fillId="41" borderId="102" applyAlignment="1" pivotButton="0" quotePrefix="0" xfId="0">
      <alignment horizontal="center" vertical="center"/>
    </xf>
    <xf numFmtId="0" fontId="73" fillId="0" borderId="102" applyAlignment="1" pivotButton="0" quotePrefix="0" xfId="0">
      <alignment vertical="center"/>
    </xf>
    <xf numFmtId="1" fontId="73" fillId="0" borderId="102" applyAlignment="1" pivotButton="0" quotePrefix="0" xfId="0">
      <alignment horizontal="right" vertical="center"/>
    </xf>
    <xf numFmtId="178" fontId="73" fillId="0" borderId="102" applyAlignment="1" pivotButton="0" quotePrefix="0" xfId="0">
      <alignment horizontal="right" vertical="center"/>
    </xf>
    <xf numFmtId="2" fontId="75" fillId="0" borderId="102" applyAlignment="1" pivotButton="0" quotePrefix="0" xfId="0">
      <alignment horizontal="right" vertical="center"/>
    </xf>
    <xf numFmtId="0" fontId="73" fillId="0" borderId="102" applyAlignment="1" pivotButton="0" quotePrefix="0" xfId="0">
      <alignment vertical="center" wrapText="1"/>
    </xf>
    <xf numFmtId="2" fontId="0" fillId="0" borderId="0" pivotButton="0" quotePrefix="0" xfId="0"/>
    <xf numFmtId="3" fontId="73" fillId="0" borderId="102" applyAlignment="1" pivotButton="0" quotePrefix="0" xfId="0">
      <alignment horizontal="right" vertical="center"/>
    </xf>
    <xf numFmtId="0" fontId="73" fillId="0" borderId="0" applyAlignment="1" pivotButton="0" quotePrefix="0" xfId="0">
      <alignment vertical="center"/>
    </xf>
    <xf numFmtId="0" fontId="74" fillId="37" borderId="102" applyAlignment="1" pivotButton="0" quotePrefix="0" xfId="0">
      <alignment horizontal="center" vertical="center"/>
    </xf>
    <xf numFmtId="0" fontId="75" fillId="0" borderId="100" applyAlignment="1" pivotButton="0" quotePrefix="0" xfId="0">
      <alignment vertical="center"/>
    </xf>
    <xf numFmtId="178" fontId="78" fillId="0" borderId="100" applyAlignment="1" pivotButton="0" quotePrefix="0" xfId="0">
      <alignment horizontal="right" vertical="center"/>
    </xf>
    <xf numFmtId="0" fontId="75" fillId="0" borderId="0" applyAlignment="1" pivotButton="0" quotePrefix="0" xfId="0">
      <alignment vertical="center"/>
    </xf>
    <xf numFmtId="178" fontId="78" fillId="0" borderId="0" applyAlignment="1" pivotButton="0" quotePrefix="0" xfId="0">
      <alignment horizontal="right" vertical="center"/>
    </xf>
    <xf numFmtId="0" fontId="73" fillId="0" borderId="0" applyAlignment="1" pivotButton="0" quotePrefix="0" xfId="0">
      <alignment vertical="center" wrapText="1"/>
    </xf>
    <xf numFmtId="0" fontId="79" fillId="0" borderId="0" applyAlignment="1" pivotButton="0" quotePrefix="0" xfId="0">
      <alignment vertical="center"/>
    </xf>
    <xf numFmtId="0" fontId="77" fillId="0" borderId="101" applyAlignment="1" pivotButton="0" quotePrefix="0" xfId="0">
      <alignment vertical="center"/>
    </xf>
    <xf numFmtId="0" fontId="73" fillId="0" borderId="101" applyAlignment="1" pivotButton="0" quotePrefix="0" xfId="0">
      <alignment vertical="center" wrapText="1"/>
    </xf>
    <xf numFmtId="164" fontId="83" fillId="31" borderId="2" pivotButton="0" quotePrefix="0" xfId="0"/>
    <xf numFmtId="9" fontId="83" fillId="31" borderId="2" pivotButton="0" quotePrefix="0" xfId="0"/>
    <xf numFmtId="0" fontId="80" fillId="0" borderId="0" applyAlignment="1" pivotButton="0" quotePrefix="0" xfId="0">
      <alignment vertical="center"/>
    </xf>
    <xf numFmtId="0" fontId="49" fillId="0" borderId="0" pivotButton="0" quotePrefix="0" xfId="0"/>
    <xf numFmtId="0" fontId="73" fillId="9" borderId="102" applyAlignment="1" pivotButton="0" quotePrefix="0" xfId="0">
      <alignment vertical="center"/>
    </xf>
    <xf numFmtId="2" fontId="73" fillId="9" borderId="102" applyAlignment="1" pivotButton="0" quotePrefix="0" xfId="0">
      <alignment horizontal="right" vertical="center"/>
    </xf>
    <xf numFmtId="164" fontId="43" fillId="0" borderId="2" pivotButton="0" quotePrefix="0" xfId="1"/>
    <xf numFmtId="164" fontId="49" fillId="0" borderId="0" pivotButton="0" quotePrefix="0" xfId="0"/>
    <xf numFmtId="164" fontId="44" fillId="0" borderId="2" pivotButton="0" quotePrefix="0" xfId="0"/>
    <xf numFmtId="0" fontId="74" fillId="0" borderId="101" applyAlignment="1" pivotButton="0" quotePrefix="0" xfId="0">
      <alignment horizontal="center" vertical="center"/>
    </xf>
    <xf numFmtId="0" fontId="73" fillId="31" borderId="102" applyAlignment="1" pivotButton="0" quotePrefix="0" xfId="0">
      <alignment horizontal="center" vertical="center"/>
    </xf>
    <xf numFmtId="164" fontId="59" fillId="23" borderId="2" pivotButton="0" quotePrefix="0" xfId="0"/>
    <xf numFmtId="2" fontId="73" fillId="0" borderId="101" applyAlignment="1" pivotButton="0" quotePrefix="0" xfId="0">
      <alignment horizontal="right" vertical="center"/>
    </xf>
    <xf numFmtId="0" fontId="73" fillId="0" borderId="102" applyAlignment="1" pivotButton="0" quotePrefix="0" xfId="0">
      <alignment horizontal="center" vertical="center" wrapText="1"/>
    </xf>
    <xf numFmtId="0" fontId="73" fillId="31" borderId="102" applyAlignment="1" pivotButton="0" quotePrefix="0" xfId="0">
      <alignment vertical="center"/>
    </xf>
    <xf numFmtId="0" fontId="49" fillId="0" borderId="62" pivotButton="0" quotePrefix="0" xfId="0"/>
    <xf numFmtId="164" fontId="59" fillId="23" borderId="62" pivotButton="0" quotePrefix="0" xfId="0"/>
    <xf numFmtId="164" fontId="49" fillId="0" borderId="62" pivotButton="0" quotePrefix="0" xfId="0"/>
    <xf numFmtId="164" fontId="44" fillId="0" borderId="62" pivotButton="0" quotePrefix="0" xfId="0"/>
    <xf numFmtId="0" fontId="75" fillId="9" borderId="102" applyAlignment="1" pivotButton="0" quotePrefix="0" xfId="0">
      <alignment vertical="center"/>
    </xf>
    <xf numFmtId="1" fontId="73" fillId="0" borderId="102" applyAlignment="1" pivotButton="0" quotePrefix="0" xfId="0">
      <alignment horizontal="center" vertical="center"/>
    </xf>
    <xf numFmtId="2" fontId="73" fillId="31" borderId="102" applyAlignment="1" pivotButton="0" quotePrefix="0" xfId="0">
      <alignment horizontal="right" vertical="center"/>
    </xf>
    <xf numFmtId="0" fontId="81" fillId="0" borderId="0" applyAlignment="1" pivotButton="0" quotePrefix="0" xfId="0">
      <alignment vertical="center"/>
    </xf>
    <xf numFmtId="1" fontId="63" fillId="0" borderId="100" applyAlignment="1" pivotButton="0" quotePrefix="0" xfId="0">
      <alignment horizontal="center" vertical="center"/>
    </xf>
    <xf numFmtId="0" fontId="75" fillId="41" borderId="102" applyAlignment="1" pivotButton="0" quotePrefix="0" xfId="0">
      <alignment horizontal="center" vertical="center"/>
    </xf>
    <xf numFmtId="0" fontId="74" fillId="39" borderId="100" applyAlignment="1" pivotButton="0" quotePrefix="0" xfId="0">
      <alignment horizontal="left" vertical="center"/>
    </xf>
    <xf numFmtId="0" fontId="74" fillId="39" borderId="100" pivotButton="0" quotePrefix="0" xfId="0"/>
    <xf numFmtId="0" fontId="62" fillId="0" borderId="101" pivotButton="0" quotePrefix="0" xfId="0"/>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0" fontId="76" fillId="0" borderId="0" applyAlignment="1" pivotButton="0" quotePrefix="0" xfId="0">
      <alignment vertical="center"/>
    </xf>
    <xf numFmtId="0" fontId="77" fillId="0" borderId="0" applyAlignment="1" pivotButton="0" quotePrefix="0" xfId="0">
      <alignment vertical="center"/>
    </xf>
    <xf numFmtId="179" fontId="10" fillId="0" borderId="2" pivotButton="0" quotePrefix="0" xfId="0"/>
    <xf numFmtId="179" fontId="73" fillId="0" borderId="102" applyAlignment="1" pivotButton="0" quotePrefix="0" xfId="0">
      <alignment horizontal="right" vertical="center"/>
    </xf>
    <xf numFmtId="164" fontId="73" fillId="0" borderId="101"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64" fontId="74" fillId="37" borderId="102" applyAlignment="1" pivotButton="0" quotePrefix="0" xfId="0">
      <alignment horizontal="center" vertical="center"/>
    </xf>
    <xf numFmtId="0" fontId="82" fillId="0" borderId="0" applyAlignment="1" pivotButton="0" quotePrefix="0" xfId="0">
      <alignment vertical="center"/>
    </xf>
    <xf numFmtId="0" fontId="75" fillId="0" borderId="101" applyAlignment="1" pivotButton="0" quotePrefix="0" xfId="0">
      <alignment vertical="center"/>
    </xf>
    <xf numFmtId="2" fontId="75" fillId="0" borderId="101" applyAlignment="1" pivotButton="0" quotePrefix="0" xfId="0">
      <alignment horizontal="right" vertical="center"/>
    </xf>
    <xf numFmtId="2" fontId="75" fillId="0" borderId="66" applyAlignment="1" pivotButton="0" quotePrefix="0" xfId="0">
      <alignment horizontal="right" vertical="center"/>
    </xf>
    <xf numFmtId="0" fontId="75" fillId="0" borderId="63" applyAlignment="1" pivotButton="0" quotePrefix="0" xfId="0">
      <alignment vertical="center"/>
    </xf>
    <xf numFmtId="2" fontId="75" fillId="0" borderId="97" applyAlignment="1" pivotButton="0" quotePrefix="0" xfId="0">
      <alignment horizontal="right" vertical="center"/>
    </xf>
    <xf numFmtId="0" fontId="84" fillId="0" borderId="102" applyAlignment="1" pivotButton="0" quotePrefix="0" xfId="0">
      <alignment vertical="center"/>
    </xf>
    <xf numFmtId="180" fontId="73" fillId="0" borderId="102" applyAlignment="1" pivotButton="0" quotePrefix="0" xfId="10">
      <alignment horizontal="right" vertical="center"/>
    </xf>
    <xf numFmtId="0" fontId="58" fillId="0" borderId="102" applyAlignment="1" pivotButton="0" quotePrefix="0" xfId="0">
      <alignment vertical="center"/>
    </xf>
    <xf numFmtId="0" fontId="74" fillId="0" borderId="103" applyAlignment="1" pivotButton="0" quotePrefix="0" xfId="0">
      <alignment horizontal="center" vertical="center" wrapText="1"/>
    </xf>
    <xf numFmtId="2" fontId="73" fillId="0" borderId="103" applyAlignment="1" pivotButton="0" quotePrefix="0" xfId="0">
      <alignment horizontal="right" vertical="center"/>
    </xf>
    <xf numFmtId="2" fontId="75" fillId="0" borderId="103" applyAlignment="1" pivotButton="0" quotePrefix="0" xfId="0">
      <alignment horizontal="right" vertical="center"/>
    </xf>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81" fontId="73" fillId="0" borderId="101" pivotButton="0" quotePrefix="0" xfId="0"/>
    <xf numFmtId="181" fontId="0" fillId="0" borderId="0" pivotButton="0" quotePrefix="0" xfId="0"/>
    <xf numFmtId="179" fontId="61" fillId="0" borderId="100"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79" fontId="75" fillId="41" borderId="102" applyAlignment="1" pivotButton="0" quotePrefix="0" xfId="0">
      <alignment vertical="center"/>
    </xf>
    <xf numFmtId="178" fontId="75" fillId="41" borderId="102" applyAlignment="1" pivotButton="0" quotePrefix="0" xfId="0">
      <alignment vertical="center"/>
    </xf>
    <xf numFmtId="0" fontId="51" fillId="25" borderId="68" applyAlignment="1" pivotButton="0" quotePrefix="0" xfId="11">
      <alignment horizontal="left" vertical="top" wrapText="1"/>
    </xf>
    <xf numFmtId="0" fontId="51" fillId="25" borderId="62" applyAlignment="1" pivotButton="0" quotePrefix="0" xfId="11">
      <alignment horizontal="left" vertical="top" wrapText="1"/>
    </xf>
    <xf numFmtId="0" fontId="2" fillId="26" borderId="62" applyAlignment="1" pivotButton="0" quotePrefix="0" xfId="11">
      <alignment horizontal="left" vertical="top" wrapText="1"/>
    </xf>
    <xf numFmtId="0" fontId="51" fillId="25" borderId="62" applyAlignment="1" pivotButton="0" quotePrefix="0" xfId="12">
      <alignment horizontal="left" vertical="top" wrapText="1"/>
    </xf>
    <xf numFmtId="0" fontId="51" fillId="27" borderId="62" applyAlignment="1" pivotButton="0" quotePrefix="0" xfId="12">
      <alignment horizontal="left" vertical="top" wrapText="1"/>
    </xf>
    <xf numFmtId="0" fontId="51" fillId="27" borderId="62" applyAlignment="1" pivotButton="0" quotePrefix="0" xfId="11">
      <alignment horizontal="left" vertical="top" wrapText="1"/>
    </xf>
    <xf numFmtId="0" fontId="53" fillId="28" borderId="103" pivotButton="0" quotePrefix="0" xfId="11"/>
    <xf numFmtId="0" fontId="53" fillId="28" borderId="62" applyAlignment="1" pivotButton="0" quotePrefix="0" xfId="11">
      <alignment horizontal="center"/>
    </xf>
    <xf numFmtId="0" fontId="60" fillId="33" borderId="62" applyAlignment="1" pivotButton="0" quotePrefix="0" xfId="11">
      <alignment horizontal="center"/>
    </xf>
    <xf numFmtId="0" fontId="60" fillId="33" borderId="4" applyAlignment="1" pivotButton="0" quotePrefix="0" xfId="11">
      <alignment horizontal="center" wrapText="1"/>
    </xf>
    <xf numFmtId="0" fontId="60" fillId="33" borderId="62" applyAlignment="1" pivotButton="0" quotePrefix="0" xfId="11">
      <alignment horizontal="center" wrapText="1"/>
    </xf>
    <xf numFmtId="0" fontId="60" fillId="33" borderId="68" applyAlignment="1" pivotButton="0" quotePrefix="0" xfId="11">
      <alignment horizontal="center"/>
    </xf>
    <xf numFmtId="0" fontId="60" fillId="33" borderId="103" applyAlignment="1" pivotButton="0" quotePrefix="0" xfId="11">
      <alignment horizontal="center"/>
    </xf>
    <xf numFmtId="0" fontId="60" fillId="33" borderId="103" applyAlignment="1" pivotButton="0" quotePrefix="0" xfId="11">
      <alignment horizontal="center" wrapText="1"/>
    </xf>
    <xf numFmtId="0" fontId="2" fillId="0" borderId="103" applyAlignment="1" pivotButton="0" quotePrefix="0" xfId="12">
      <alignment horizontal="left" vertical="top" wrapText="1"/>
    </xf>
    <xf numFmtId="1" fontId="54" fillId="42" borderId="62" applyAlignment="1" pivotButton="0" quotePrefix="0" xfId="11">
      <alignment horizontal="left"/>
    </xf>
    <xf numFmtId="0" fontId="49" fillId="42" borderId="62" pivotButton="0" quotePrefix="0" xfId="11"/>
    <xf numFmtId="0" fontId="49" fillId="43" borderId="62" pivotButton="0" quotePrefix="0" xfId="11"/>
    <xf numFmtId="0" fontId="2" fillId="42" borderId="62" pivotButton="0" quotePrefix="0" xfId="12"/>
    <xf numFmtId="0" fontId="54" fillId="42" borderId="4" applyAlignment="1" pivotButton="0" quotePrefix="0" xfId="11">
      <alignment horizontal="left"/>
    </xf>
    <xf numFmtId="0" fontId="2" fillId="42" borderId="62" applyAlignment="1" pivotButton="0" quotePrefix="0" xfId="12">
      <alignment horizontal="center" vertical="center"/>
    </xf>
    <xf numFmtId="0" fontId="49" fillId="42" borderId="62" applyAlignment="1" pivotButton="0" quotePrefix="0" xfId="11">
      <alignment horizontal="center"/>
    </xf>
    <xf numFmtId="0" fontId="2" fillId="42" borderId="62" applyAlignment="1" pivotButton="0" quotePrefix="0" xfId="12">
      <alignment horizontal="center"/>
    </xf>
    <xf numFmtId="0" fontId="2" fillId="42" borderId="4" applyAlignment="1" pivotButton="0" quotePrefix="0" xfId="12">
      <alignment horizontal="center"/>
    </xf>
    <xf numFmtId="172" fontId="2" fillId="42" borderId="4" applyAlignment="1" pivotButton="0" quotePrefix="0" xfId="13">
      <alignment horizontal="center"/>
    </xf>
    <xf numFmtId="9" fontId="49" fillId="42" borderId="62" applyAlignment="1" pivotButton="0" quotePrefix="0" xfId="11">
      <alignment horizontal="center"/>
    </xf>
    <xf numFmtId="9" fontId="2" fillId="42" borderId="62" applyAlignment="1" pivotButton="0" quotePrefix="0" xfId="12">
      <alignment horizontal="center"/>
    </xf>
    <xf numFmtId="173" fontId="2" fillId="42" borderId="62" pivotButton="0" quotePrefix="0" xfId="12"/>
    <xf numFmtId="174" fontId="2" fillId="42" borderId="62" pivotButton="0" quotePrefix="0" xfId="12"/>
    <xf numFmtId="0" fontId="2" fillId="0" borderId="103"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4" fontId="2" fillId="42" borderId="62" applyAlignment="1" pivotButton="0" quotePrefix="0" xfId="12">
      <alignment horizontal="center"/>
    </xf>
    <xf numFmtId="172" fontId="2" fillId="42" borderId="62" pivotButton="0" quotePrefix="0" xfId="13"/>
    <xf numFmtId="172" fontId="2" fillId="42" borderId="62" applyAlignment="1" pivotButton="0" quotePrefix="0" xfId="13">
      <alignment horizontal="center"/>
    </xf>
    <xf numFmtId="1" fontId="54" fillId="42" borderId="68" applyAlignment="1" pivotButton="0" quotePrefix="0" xfId="11">
      <alignment horizontal="left"/>
    </xf>
    <xf numFmtId="0" fontId="2" fillId="42" borderId="68" applyAlignment="1" pivotButton="0" quotePrefix="0" xfId="12">
      <alignment vertical="top" wrapText="1"/>
    </xf>
    <xf numFmtId="0" fontId="2" fillId="42" borderId="68" pivotButton="0" quotePrefix="0" xfId="12"/>
    <xf numFmtId="0" fontId="49" fillId="43" borderId="68" pivotButton="0" quotePrefix="0" xfId="11"/>
    <xf numFmtId="0" fontId="49" fillId="42" borderId="68" pivotButton="0" quotePrefix="0" xfId="11"/>
    <xf numFmtId="0" fontId="2" fillId="42" borderId="103" pivotButton="0" quotePrefix="0" xfId="12"/>
    <xf numFmtId="0" fontId="54" fillId="42" borderId="36" applyAlignment="1" pivotButton="0" quotePrefix="0" xfId="11">
      <alignment horizontal="left"/>
    </xf>
    <xf numFmtId="0" fontId="2" fillId="42" borderId="68" applyAlignment="1" pivotButton="0" quotePrefix="0" xfId="12">
      <alignment horizontal="center" vertical="center"/>
    </xf>
    <xf numFmtId="0" fontId="54" fillId="42" borderId="62" applyAlignment="1" pivotButton="0" quotePrefix="0" xfId="11">
      <alignment horizontal="left"/>
    </xf>
    <xf numFmtId="1" fontId="54" fillId="42" borderId="99" applyAlignment="1" pivotButton="0" quotePrefix="0" xfId="11">
      <alignment horizontal="left"/>
    </xf>
    <xf numFmtId="0" fontId="49" fillId="42" borderId="99" pivotButton="0" quotePrefix="0" xfId="11"/>
    <xf numFmtId="0" fontId="49" fillId="43" borderId="99" pivotButton="0" quotePrefix="0" xfId="11"/>
    <xf numFmtId="0" fontId="2" fillId="42" borderId="99" pivotButton="0" quotePrefix="0" xfId="12"/>
    <xf numFmtId="0" fontId="54" fillId="42" borderId="37" applyAlignment="1" pivotButton="0" quotePrefix="0" xfId="11">
      <alignment horizontal="left"/>
    </xf>
    <xf numFmtId="0" fontId="2" fillId="42" borderId="64" applyAlignment="1" pivotButton="0" quotePrefix="0" xfId="12">
      <alignment horizontal="center"/>
    </xf>
    <xf numFmtId="0" fontId="54" fillId="42" borderId="39" applyAlignment="1" pivotButton="0" quotePrefix="0" xfId="11">
      <alignment horizontal="left"/>
    </xf>
    <xf numFmtId="0" fontId="2" fillId="42" borderId="99" applyAlignment="1" pivotButton="0" quotePrefix="0" xfId="12">
      <alignment horizontal="center" vertical="center"/>
    </xf>
    <xf numFmtId="0" fontId="2" fillId="42" borderId="39" applyAlignment="1" pivotButton="0" quotePrefix="0" xfId="12">
      <alignment horizontal="center"/>
    </xf>
    <xf numFmtId="172" fontId="2" fillId="42" borderId="39" applyAlignment="1" pivotButton="0" quotePrefix="0" xfId="13">
      <alignment horizontal="center"/>
    </xf>
    <xf numFmtId="9" fontId="49" fillId="42" borderId="99" applyAlignment="1" pivotButton="0" quotePrefix="0" xfId="11">
      <alignment horizontal="center"/>
    </xf>
    <xf numFmtId="0" fontId="49" fillId="42" borderId="99" applyAlignment="1" pivotButton="0" quotePrefix="0" xfId="11">
      <alignment horizontal="center"/>
    </xf>
    <xf numFmtId="9" fontId="2" fillId="42" borderId="99" applyAlignment="1" pivotButton="0" quotePrefix="0" xfId="12">
      <alignment horizontal="center"/>
    </xf>
    <xf numFmtId="173" fontId="2" fillId="42" borderId="99" pivotButton="0" quotePrefix="0" xfId="12"/>
    <xf numFmtId="174" fontId="2" fillId="42" borderId="99" pivotButton="0" quotePrefix="0" xfId="12"/>
    <xf numFmtId="0" fontId="55" fillId="42" borderId="62" pivotButton="0" quotePrefix="0" xfId="11"/>
    <xf numFmtId="0" fontId="2" fillId="42" borderId="62" applyAlignment="1" pivotButton="0" quotePrefix="0" xfId="12">
      <alignment vertical="top" wrapText="1"/>
    </xf>
    <xf numFmtId="0" fontId="57" fillId="42" borderId="62" applyAlignment="1" pivotButton="0" quotePrefix="0" xfId="12">
      <alignment horizontal="center"/>
    </xf>
    <xf numFmtId="0" fontId="49" fillId="42" borderId="103" pivotButton="0" quotePrefix="0" xfId="11"/>
    <xf numFmtId="0" fontId="57" fillId="0" borderId="103" pivotButton="0" quotePrefix="0" xfId="12"/>
    <xf numFmtId="9" fontId="2" fillId="42" borderId="103" applyAlignment="1" pivotButton="0" quotePrefix="0" xfId="12">
      <alignment horizontal="center"/>
    </xf>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0" fontId="2" fillId="42" borderId="62" applyAlignment="1" pivotButton="0" quotePrefix="0" xfId="12">
      <alignment horizontal="center"/>
    </xf>
    <xf numFmtId="1" fontId="54" fillId="42" borderId="62" applyAlignment="1" pivotButton="0" quotePrefix="0" xfId="11">
      <alignment vertical="top" wrapText="1"/>
    </xf>
    <xf numFmtId="0" fontId="49" fillId="42" borderId="62" applyAlignment="1" pivotButton="0" quotePrefix="0" xfId="11">
      <alignment vertical="top" wrapText="1"/>
    </xf>
    <xf numFmtId="0" fontId="49" fillId="44" borderId="62" applyAlignment="1" pivotButton="0" quotePrefix="0" xfId="11">
      <alignment vertical="top" wrapText="1"/>
    </xf>
    <xf numFmtId="0" fontId="54" fillId="42" borderId="4" applyAlignment="1" pivotButton="0" quotePrefix="0" xfId="11">
      <alignment vertical="top" wrapText="1"/>
    </xf>
    <xf numFmtId="0" fontId="2" fillId="42" borderId="4" applyAlignment="1" pivotButton="0" quotePrefix="0" xfId="12">
      <alignment vertical="top" wrapText="1"/>
    </xf>
    <xf numFmtId="172" fontId="49" fillId="42" borderId="4" applyAlignment="1" pivotButton="0" quotePrefix="0" xfId="13">
      <alignment vertical="top" wrapText="1"/>
    </xf>
    <xf numFmtId="9" fontId="2" fillId="42" borderId="62" applyAlignment="1" pivotButton="0" quotePrefix="0" xfId="12">
      <alignment vertical="top" wrapText="1"/>
    </xf>
    <xf numFmtId="175" fontId="2" fillId="42" borderId="62" applyAlignment="1" pivotButton="0" quotePrefix="0" xfId="12">
      <alignment vertical="top" wrapText="1"/>
    </xf>
    <xf numFmtId="174" fontId="2" fillId="42" borderId="62" applyAlignment="1" pivotButton="0" quotePrefix="0" xfId="12">
      <alignment vertical="top" wrapText="1"/>
    </xf>
    <xf numFmtId="0" fontId="49" fillId="0" borderId="103" applyAlignment="1" pivotButton="0" quotePrefix="0" xfId="11">
      <alignment vertical="top" wrapText="1"/>
    </xf>
    <xf numFmtId="14" fontId="2" fillId="42" borderId="62" applyAlignment="1" pivotButton="0" quotePrefix="0" xfId="12">
      <alignment vertical="top" wrapText="1"/>
    </xf>
    <xf numFmtId="172" fontId="49" fillId="42" borderId="62" applyAlignment="1" pivotButton="0" quotePrefix="0" xfId="13">
      <alignment vertical="top" wrapText="1"/>
    </xf>
    <xf numFmtId="1" fontId="49" fillId="42" borderId="62" applyAlignment="1" pivotButton="0" quotePrefix="0" xfId="11">
      <alignment vertical="top" wrapText="1"/>
    </xf>
    <xf numFmtId="0" fontId="49" fillId="42" borderId="103" applyAlignment="1" pivotButton="0" quotePrefix="0" xfId="11">
      <alignment vertical="top" wrapText="1"/>
    </xf>
    <xf numFmtId="0" fontId="2" fillId="44" borderId="62" applyAlignment="1" pivotButton="0" quotePrefix="0" xfId="12">
      <alignment vertical="top" wrapText="1"/>
    </xf>
    <xf numFmtId="173" fontId="2" fillId="42" borderId="62" applyAlignment="1" pivotButton="0" quotePrefix="0" xfId="12">
      <alignment vertical="top" wrapText="1"/>
    </xf>
    <xf numFmtId="9" fontId="49" fillId="42" borderId="62" applyAlignment="1" pivotButton="0" quotePrefix="0" xfId="11">
      <alignment vertical="top" wrapText="1"/>
    </xf>
    <xf numFmtId="0" fontId="49" fillId="42" borderId="4" applyAlignment="1" pivotButton="0" quotePrefix="0" xfId="11">
      <alignment vertical="top" wrapText="1"/>
    </xf>
    <xf numFmtId="176" fontId="2" fillId="42" borderId="62" applyAlignment="1" pivotButton="0" quotePrefix="0" xfId="12">
      <alignment vertical="top" wrapText="1"/>
    </xf>
    <xf numFmtId="9" fontId="2" fillId="42" borderId="103"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0" fontId="2" fillId="0" borderId="103" applyAlignment="1" pivotButton="0" quotePrefix="0" xfId="12">
      <alignment vertical="top" wrapText="1"/>
    </xf>
    <xf numFmtId="0"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0" fontId="55" fillId="42" borderId="62" pivotButton="0" quotePrefix="0" xfId="12"/>
    <xf numFmtId="1" fontId="54" fillId="0" borderId="62" applyAlignment="1" pivotButton="0" quotePrefix="0" xfId="11">
      <alignment horizontal="left"/>
    </xf>
    <xf numFmtId="0" fontId="49" fillId="0" borderId="62" pivotButton="0" quotePrefix="0" xfId="11"/>
    <xf numFmtId="0" fontId="49" fillId="34" borderId="62" pivotButton="0" quotePrefix="0" xfId="11"/>
    <xf numFmtId="0" fontId="2" fillId="0" borderId="62" pivotButton="0" quotePrefix="0" xfId="12"/>
    <xf numFmtId="0" fontId="54" fillId="0" borderId="4" applyAlignment="1" pivotButton="0" quotePrefix="0" xfId="11">
      <alignment horizontal="left"/>
    </xf>
    <xf numFmtId="0" fontId="2" fillId="0" borderId="62" applyAlignment="1" pivotButton="0" quotePrefix="0" xfId="12">
      <alignment horizontal="center" vertical="center"/>
    </xf>
    <xf numFmtId="0" fontId="2" fillId="0" borderId="62" applyAlignment="1" pivotButton="0" quotePrefix="0" xfId="12">
      <alignment horizontal="center"/>
    </xf>
    <xf numFmtId="0" fontId="2" fillId="0" borderId="4" applyAlignment="1" pivotButton="0" quotePrefix="0" xfId="12">
      <alignment horizontal="center"/>
    </xf>
    <xf numFmtId="172" fontId="2" fillId="0" borderId="4" applyAlignment="1" pivotButton="0" quotePrefix="0" xfId="13">
      <alignment horizontal="center"/>
    </xf>
    <xf numFmtId="9" fontId="2" fillId="0" borderId="62" applyAlignment="1" pivotButton="0" quotePrefix="0" xfId="12">
      <alignment horizontal="center"/>
    </xf>
    <xf numFmtId="175" fontId="2" fillId="0" borderId="62" applyAlignment="1" pivotButton="0" quotePrefix="0" xfId="12">
      <alignment horizontal="center"/>
    </xf>
    <xf numFmtId="175" fontId="2" fillId="0" borderId="62" pivotButton="0" quotePrefix="0" xfId="12"/>
    <xf numFmtId="172" fontId="2" fillId="0" borderId="62" pivotButton="0" quotePrefix="0" xfId="13"/>
    <xf numFmtId="0" fontId="49" fillId="0" borderId="103" pivotButton="0" quotePrefix="0" xfId="11"/>
    <xf numFmtId="14" fontId="2" fillId="0" borderId="62" applyAlignment="1" pivotButton="0" quotePrefix="0" xfId="12">
      <alignment horizontal="center"/>
    </xf>
    <xf numFmtId="173" fontId="2" fillId="0" borderId="62" pivotButton="0" quotePrefix="0" xfId="12"/>
    <xf numFmtId="10" fontId="2" fillId="0" borderId="62" applyAlignment="1" pivotButton="0" quotePrefix="0" xfId="12">
      <alignment horizontal="center"/>
    </xf>
    <xf numFmtId="0" fontId="49" fillId="0" borderId="62" applyAlignment="1" pivotButton="0" quotePrefix="0" xfId="11">
      <alignment horizontal="center"/>
    </xf>
    <xf numFmtId="9" fontId="49" fillId="0" borderId="62" applyAlignment="1" pivotButton="0" quotePrefix="0" xfId="11">
      <alignment horizontal="center"/>
    </xf>
    <xf numFmtId="0" fontId="49" fillId="0" borderId="62" applyAlignment="1" pivotButton="0" quotePrefix="0" xfId="11">
      <alignment horizontal="left"/>
    </xf>
    <xf numFmtId="174" fontId="2" fillId="0" borderId="62" pivotButton="0" quotePrefix="0" xfId="12"/>
    <xf numFmtId="0" fontId="2" fillId="26" borderId="62" pivotButton="0" quotePrefix="0" xfId="12"/>
    <xf numFmtId="0" fontId="2" fillId="43" borderId="62" applyAlignment="1" pivotButton="0" quotePrefix="0" xfId="12">
      <alignment vertical="top" wrapText="1"/>
    </xf>
    <xf numFmtId="1" fontId="49" fillId="42" borderId="62" applyAlignment="1" pivotButton="0" quotePrefix="0" xfId="11">
      <alignment horizontal="left"/>
    </xf>
    <xf numFmtId="0" fontId="49" fillId="42" borderId="62" applyAlignment="1" pivotButton="0" quotePrefix="0" xfId="11">
      <alignment horizontal="center" vertical="center"/>
    </xf>
    <xf numFmtId="0" fontId="49" fillId="42" borderId="4" applyAlignment="1" pivotButton="0" quotePrefix="0" xfId="11">
      <alignment horizontal="center"/>
    </xf>
    <xf numFmtId="0" fontId="55" fillId="42" borderId="62" applyAlignment="1" pivotButton="0" quotePrefix="0" xfId="12">
      <alignment vertical="top" wrapText="1"/>
    </xf>
    <xf numFmtId="0" fontId="50" fillId="42" borderId="62" applyAlignment="1" pivotButton="0" quotePrefix="0" xfId="12">
      <alignment horizontal="center" vertical="center"/>
    </xf>
    <xf numFmtId="1" fontId="58" fillId="42" borderId="62" applyAlignment="1" pivotButton="0" quotePrefix="0" xfId="11">
      <alignment horizontal="left"/>
    </xf>
    <xf numFmtId="0" fontId="58" fillId="42" borderId="62" pivotButton="0" quotePrefix="0" xfId="11"/>
    <xf numFmtId="0" fontId="57" fillId="43" borderId="62" applyAlignment="1" pivotButton="0" quotePrefix="0" xfId="12">
      <alignment vertical="top" wrapText="1"/>
    </xf>
    <xf numFmtId="0" fontId="57" fillId="42" borderId="62" pivotButton="0" quotePrefix="0" xfId="12"/>
    <xf numFmtId="0" fontId="57" fillId="42" borderId="62" applyAlignment="1" pivotButton="0" quotePrefix="0" xfId="12">
      <alignment vertical="top" wrapText="1"/>
    </xf>
    <xf numFmtId="0" fontId="58" fillId="42" borderId="4" applyAlignment="1" pivotButton="0" quotePrefix="0" xfId="11">
      <alignment horizontal="left"/>
    </xf>
    <xf numFmtId="0" fontId="57" fillId="42" borderId="62" applyAlignment="1" pivotButton="0" quotePrefix="0" xfId="12">
      <alignment horizontal="center" vertical="center"/>
    </xf>
    <xf numFmtId="0" fontId="57" fillId="42" borderId="4" applyAlignment="1" pivotButton="0" quotePrefix="0" xfId="12">
      <alignment horizontal="center"/>
    </xf>
    <xf numFmtId="172" fontId="57" fillId="42" borderId="4" applyAlignment="1" pivotButton="0" quotePrefix="0" xfId="13">
      <alignment horizontal="center"/>
    </xf>
    <xf numFmtId="9" fontId="57" fillId="42" borderId="62" applyAlignment="1" pivotButton="0" quotePrefix="0" xfId="12">
      <alignment horizontal="center"/>
    </xf>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0" fontId="2" fillId="42" borderId="103" applyAlignment="1" pivotButton="0" quotePrefix="0" xfId="12">
      <alignment horizontal="center"/>
    </xf>
    <xf numFmtId="172" fontId="0" fillId="42" borderId="4" applyAlignment="1" pivotButton="0" quotePrefix="0" xfId="13">
      <alignment horizontal="center"/>
    </xf>
    <xf numFmtId="0" fontId="2" fillId="42" borderId="103" applyAlignment="1" pivotButton="0" quotePrefix="0" xfId="12">
      <alignment horizontal="center" vertical="center"/>
    </xf>
    <xf numFmtId="0" fontId="49" fillId="42" borderId="103" applyAlignment="1" pivotButton="0" quotePrefix="0" xfId="11">
      <alignment horizontal="center"/>
    </xf>
    <xf numFmtId="0" fontId="2" fillId="42" borderId="62" pivotButton="0" quotePrefix="0" xfId="11"/>
    <xf numFmtId="0" fontId="58" fillId="43" borderId="62" pivotButton="0" quotePrefix="0" xfId="11"/>
    <xf numFmtId="0" fontId="57" fillId="42" borderId="103" applyAlignment="1" pivotButton="0" quotePrefix="0" xfId="12">
      <alignment horizontal="center"/>
    </xf>
    <xf numFmtId="0" fontId="2" fillId="42" borderId="68" applyAlignment="1" pivotButton="0" quotePrefix="0" xfId="12">
      <alignment horizontal="center"/>
    </xf>
    <xf numFmtId="0" fontId="2" fillId="42" borderId="36" applyAlignment="1" pivotButton="0" quotePrefix="0" xfId="12">
      <alignment horizontal="center"/>
    </xf>
    <xf numFmtId="172" fontId="2" fillId="42" borderId="36" applyAlignment="1" pivotButton="0" quotePrefix="0" xfId="13">
      <alignment horizontal="center"/>
    </xf>
    <xf numFmtId="9" fontId="2" fillId="42" borderId="68" applyAlignment="1" pivotButton="0" quotePrefix="0" xfId="12">
      <alignment horizontal="center"/>
    </xf>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0" fontId="50" fillId="42" borderId="62" pivotButton="0" quotePrefix="0" xfId="12"/>
    <xf numFmtId="176" fontId="2" fillId="42" borderId="62" pivotButton="0" quotePrefix="0" xfId="12"/>
    <xf numFmtId="0" fontId="49" fillId="42" borderId="62" applyAlignment="1" pivotButton="0" quotePrefix="0" xfId="11">
      <alignment horizontal="left"/>
    </xf>
    <xf numFmtId="0" fontId="2" fillId="42" borderId="62" applyAlignment="1" pivotButton="0" quotePrefix="0" xfId="12">
      <alignment horizontal="left" vertical="top" wrapText="1"/>
    </xf>
    <xf numFmtId="0" fontId="2" fillId="43" borderId="62" pivotButton="0" quotePrefix="0" xfId="12"/>
    <xf numFmtId="9" fontId="49" fillId="42" borderId="103" applyAlignment="1" pivotButton="0" quotePrefix="0" xfId="11">
      <alignment horizontal="center"/>
    </xf>
    <xf numFmtId="173" fontId="2" fillId="42" borderId="103" pivotButton="0" quotePrefix="0" xfId="12"/>
    <xf numFmtId="0" fontId="49" fillId="26" borderId="62" pivotButton="0" quotePrefix="0" xfId="11"/>
    <xf numFmtId="0" fontId="85" fillId="0" borderId="62" pivotButton="0" quotePrefix="0" xfId="11"/>
    <xf numFmtId="0" fontId="50" fillId="42" borderId="62" applyAlignment="1" pivotButton="0" quotePrefix="0" xfId="12">
      <alignment vertical="top" wrapText="1"/>
    </xf>
    <xf numFmtId="0" fontId="85" fillId="42" borderId="62" pivotButton="0" quotePrefix="0" xfId="11"/>
    <xf numFmtId="0" fontId="85" fillId="43" borderId="62" pivotButton="0" quotePrefix="0" xfId="11"/>
    <xf numFmtId="0" fontId="85" fillId="42" borderId="4" applyAlignment="1" pivotButton="0" quotePrefix="0" xfId="11">
      <alignment horizontal="left"/>
    </xf>
    <xf numFmtId="0" fontId="50" fillId="42" borderId="62" applyAlignment="1" pivotButton="0" quotePrefix="0" xfId="12">
      <alignment horizontal="center"/>
    </xf>
    <xf numFmtId="0" fontId="50" fillId="42" borderId="4" applyAlignment="1" pivotButton="0" quotePrefix="0" xfId="12">
      <alignment horizontal="center"/>
    </xf>
    <xf numFmtId="172" fontId="50" fillId="42" borderId="4" applyAlignment="1" pivotButton="0" quotePrefix="0" xfId="13">
      <alignment horizontal="center"/>
    </xf>
    <xf numFmtId="9" fontId="50" fillId="42" borderId="62" applyAlignment="1" pivotButton="0" quotePrefix="0" xfId="12">
      <alignment horizontal="center"/>
    </xf>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0" fontId="50" fillId="0" borderId="62" pivotButton="0" quotePrefix="0" xfId="12"/>
    <xf numFmtId="0" fontId="50" fillId="0" borderId="103" pivotButton="0" quotePrefix="0" xfId="12"/>
    <xf numFmtId="0" fontId="2" fillId="0" borderId="103" applyAlignment="1" pivotButton="0" quotePrefix="0" xfId="12">
      <alignment horizontal="left"/>
    </xf>
    <xf numFmtId="0" fontId="2" fillId="0" borderId="103" applyAlignment="1" pivotButton="0" quotePrefix="0" xfId="12">
      <alignment horizontal="center"/>
    </xf>
    <xf numFmtId="179" fontId="48" fillId="45" borderId="100" applyAlignment="1" pivotButton="0" quotePrefix="0" xfId="0">
      <alignment horizontal="right" vertical="center"/>
    </xf>
    <xf numFmtId="0" fontId="39" fillId="17" borderId="41" applyAlignment="1" pivotButton="0" quotePrefix="0" xfId="0">
      <alignment horizontal="center" vertical="center" wrapText="1" readingOrder="1"/>
    </xf>
    <xf numFmtId="0" fontId="0" fillId="0" borderId="17" pivotButton="0" quotePrefix="0" xfId="0"/>
    <xf numFmtId="0" fontId="36" fillId="17" borderId="44" applyAlignment="1" pivotButton="0" quotePrefix="0" xfId="0">
      <alignment horizontal="center" vertical="center" wrapText="1" readingOrder="1"/>
    </xf>
    <xf numFmtId="0" fontId="0" fillId="0" borderId="45" pivotButton="0" quotePrefix="0" xfId="0"/>
    <xf numFmtId="0" fontId="26" fillId="21" borderId="57" applyAlignment="1" pivotButton="0" quotePrefix="0" xfId="0">
      <alignment horizontal="center" vertical="center" wrapText="1"/>
    </xf>
    <xf numFmtId="0" fontId="0" fillId="0" borderId="86" pivotButton="0" quotePrefix="0" xfId="0"/>
    <xf numFmtId="0" fontId="0" fillId="0" borderId="85" pivotButton="0" quotePrefix="0" xfId="0"/>
    <xf numFmtId="0" fontId="0" fillId="0" borderId="87" pivotButton="0" quotePrefix="0" xfId="0"/>
    <xf numFmtId="0" fontId="0" fillId="0" borderId="88" pivotButton="0" quotePrefix="0" xfId="0"/>
    <xf numFmtId="0" fontId="0" fillId="0" borderId="89" pivotButton="0" quotePrefix="0" xfId="0"/>
    <xf numFmtId="0" fontId="14" fillId="19" borderId="56" applyAlignment="1" pivotButton="0" quotePrefix="0" xfId="0">
      <alignment horizontal="left" vertical="center" wrapText="1" readingOrder="1"/>
    </xf>
    <xf numFmtId="0" fontId="0" fillId="0" borderId="83" pivotButton="0" quotePrefix="0" xfId="0"/>
    <xf numFmtId="0" fontId="0" fillId="0" borderId="84" pivotButton="0" quotePrefix="0" xfId="0"/>
    <xf numFmtId="0" fontId="39" fillId="17" borderId="57" applyAlignment="1" pivotButton="0" quotePrefix="0" xfId="0">
      <alignment horizontal="center" vertical="center" wrapText="1" readingOrder="1"/>
    </xf>
    <xf numFmtId="0" fontId="0" fillId="0" borderId="60" pivotButton="0" quotePrefix="0" xfId="0"/>
    <xf numFmtId="0" fontId="36" fillId="17" borderId="41" applyAlignment="1" pivotButton="0" quotePrefix="0" xfId="0">
      <alignment horizontal="center" vertical="center" wrapText="1" readingOrder="1"/>
    </xf>
    <xf numFmtId="0" fontId="40" fillId="21" borderId="52" applyAlignment="1" pivotButton="0" quotePrefix="0" xfId="0">
      <alignment horizontal="left" vertical="center" wrapText="1" readingOrder="1"/>
    </xf>
    <xf numFmtId="0" fontId="0" fillId="0" borderId="91" pivotButton="0" quotePrefix="0" xfId="0"/>
    <xf numFmtId="0" fontId="35" fillId="15" borderId="41" applyAlignment="1" pivotButton="0" quotePrefix="0" xfId="0">
      <alignment horizontal="center" vertical="center" wrapText="1" readingOrder="1"/>
    </xf>
    <xf numFmtId="0" fontId="40" fillId="21" borderId="44" applyAlignment="1" pivotButton="0" quotePrefix="0" xfId="0">
      <alignment horizontal="left" vertical="center" wrapText="1" readingOrder="1"/>
    </xf>
    <xf numFmtId="0" fontId="0" fillId="0" borderId="90" pivotButton="0" quotePrefix="0" xfId="0"/>
    <xf numFmtId="0" fontId="14" fillId="15" borderId="57" applyAlignment="1" pivotButton="0" quotePrefix="0" xfId="0">
      <alignment horizontal="center" vertical="center" wrapText="1" readingOrder="1"/>
    </xf>
    <xf numFmtId="0" fontId="0" fillId="0" borderId="82" pivotButton="0" quotePrefix="0" xfId="0"/>
    <xf numFmtId="0" fontId="0" fillId="0" borderId="92" pivotButton="0" quotePrefix="0" xfId="0"/>
    <xf numFmtId="0" fontId="39" fillId="17" borderId="44" applyAlignment="1" pivotButton="0" quotePrefix="0" xfId="0">
      <alignment horizontal="center" vertical="center" wrapText="1" readingOrder="1"/>
    </xf>
    <xf numFmtId="0" fontId="0" fillId="0" borderId="94" pivotButton="0" quotePrefix="0" xfId="0"/>
    <xf numFmtId="0" fontId="0" fillId="0" borderId="93" pivotButton="0" quotePrefix="0" xfId="0"/>
    <xf numFmtId="0" fontId="7" fillId="2" borderId="1" applyAlignment="1" pivotButton="0" quotePrefix="0" xfId="0">
      <alignment horizontal="center" vertical="center"/>
    </xf>
    <xf numFmtId="0" fontId="0" fillId="0" borderId="0" pivotButton="0" quotePrefix="0" xfId="0"/>
    <xf numFmtId="0" fontId="8" fillId="2" borderId="102" applyAlignment="1" pivotButton="0" quotePrefix="0" xfId="0">
      <alignment horizontal="left" vertical="center"/>
    </xf>
    <xf numFmtId="0" fontId="0" fillId="0" borderId="66" pivotButton="0" quotePrefix="0" xfId="0"/>
    <xf numFmtId="0" fontId="0" fillId="0" borderId="67" pivotButton="0" quotePrefix="0" xfId="0"/>
    <xf numFmtId="0" fontId="19" fillId="7" borderId="9" applyAlignment="1" pivotButton="0" quotePrefix="0" xfId="1">
      <alignment horizontal="center" vertical="center" wrapText="1" readingOrder="1"/>
    </xf>
    <xf numFmtId="0" fontId="0" fillId="0" borderId="79" pivotButton="0" quotePrefix="0" xfId="0"/>
    <xf numFmtId="0" fontId="0" fillId="0" borderId="80" pivotButton="0" quotePrefix="0" xfId="0"/>
    <xf numFmtId="0" fontId="18" fillId="6" borderId="4" applyAlignment="1" pivotButton="0" quotePrefix="0" xfId="1">
      <alignment horizontal="left" vertical="center" wrapText="1" indent="1" readingOrder="1"/>
    </xf>
    <xf numFmtId="0" fontId="0" fillId="0" borderId="39" pivotButton="0" quotePrefix="0" xfId="0"/>
    <xf numFmtId="0" fontId="20" fillId="8" borderId="6" applyAlignment="1" pivotButton="0" quotePrefix="0" xfId="1">
      <alignment horizontal="center" vertical="center" wrapText="1" readingOrder="1"/>
    </xf>
    <xf numFmtId="0" fontId="0" fillId="0" borderId="81" pivotButton="0" quotePrefix="0" xfId="0"/>
    <xf numFmtId="0" fontId="19" fillId="7" borderId="5" applyAlignment="1" pivotButton="0" quotePrefix="0" xfId="1">
      <alignment horizontal="center" vertical="center" wrapText="1" readingOrder="1"/>
    </xf>
    <xf numFmtId="0" fontId="20" fillId="16" borderId="9" applyAlignment="1" pivotButton="0" quotePrefix="0" xfId="1">
      <alignment horizontal="center" vertical="center" wrapText="1" readingOrder="1"/>
    </xf>
    <xf numFmtId="0" fontId="21" fillId="7" borderId="9" applyAlignment="1" pivotButton="0" quotePrefix="0" xfId="1">
      <alignment horizontal="center" vertical="center" wrapText="1" readingOrder="1"/>
    </xf>
    <xf numFmtId="0" fontId="19" fillId="15" borderId="9" applyAlignment="1" pivotButton="0" quotePrefix="0" xfId="1">
      <alignment horizontal="left" vertical="center" wrapText="1" readingOrder="1"/>
    </xf>
    <xf numFmtId="0" fontId="0" fillId="0" borderId="78" pivotButton="0" quotePrefix="0" xfId="0"/>
    <xf numFmtId="0" fontId="20" fillId="8" borderId="7" applyAlignment="1" pivotButton="0" quotePrefix="0" xfId="1">
      <alignment horizontal="center" vertical="center" wrapText="1" readingOrder="1"/>
    </xf>
    <xf numFmtId="0" fontId="19" fillId="7" borderId="6" applyAlignment="1" pivotButton="0" quotePrefix="0" xfId="1">
      <alignment horizontal="center" vertical="center" wrapText="1" readingOrder="1"/>
    </xf>
    <xf numFmtId="0" fontId="20" fillId="8" borderId="8" applyAlignment="1" pivotButton="0" quotePrefix="0" xfId="1">
      <alignment horizontal="center" vertical="center" wrapText="1" readingOrder="1"/>
    </xf>
    <xf numFmtId="0" fontId="8" fillId="15" borderId="102" applyAlignment="1" pivotButton="0" quotePrefix="0" xfId="0">
      <alignment horizontal="left" vertical="center"/>
    </xf>
    <xf numFmtId="0" fontId="34" fillId="22" borderId="62" applyAlignment="1" pivotButton="0" quotePrefix="0" xfId="0">
      <alignment horizontal="center"/>
    </xf>
    <xf numFmtId="0" fontId="0" fillId="0" borderId="95" pivotButton="0" quotePrefix="0" xfId="0"/>
    <xf numFmtId="0" fontId="0" fillId="0" borderId="96" pivotButton="0" quotePrefix="0" xfId="0"/>
    <xf numFmtId="0" fontId="8" fillId="15" borderId="1" applyAlignment="1" pivotButton="0" quotePrefix="0" xfId="0">
      <alignment horizontal="left" vertical="center"/>
    </xf>
    <xf numFmtId="0" fontId="8" fillId="15" borderId="63" applyAlignment="1" pivotButton="0" quotePrefix="0" xfId="0">
      <alignment horizontal="left" vertical="center"/>
    </xf>
    <xf numFmtId="0" fontId="0" fillId="0" borderId="97" pivotButton="0" quotePrefix="0" xfId="0"/>
    <xf numFmtId="0" fontId="34" fillId="22" borderId="64" applyAlignment="1" pivotButton="0" quotePrefix="0" xfId="0">
      <alignment horizontal="center"/>
    </xf>
    <xf numFmtId="0" fontId="0" fillId="0" borderId="98" pivotButton="0" quotePrefix="0" xfId="0"/>
    <xf numFmtId="0" fontId="8" fillId="15" borderId="62" applyAlignment="1" pivotButton="0" quotePrefix="0" xfId="0">
      <alignment horizontal="left" vertical="center"/>
    </xf>
    <xf numFmtId="0" fontId="63" fillId="22" borderId="64" applyAlignment="1" pivotButton="0" quotePrefix="0" xfId="0">
      <alignment horizontal="left"/>
    </xf>
    <xf numFmtId="0" fontId="34" fillId="22" borderId="64" applyAlignment="1" pivotButton="0" quotePrefix="0" xfId="0">
      <alignment horizontal="left"/>
    </xf>
    <xf numFmtId="0" fontId="8" fillId="15" borderId="102" applyAlignment="1" pivotButton="0" quotePrefix="0" xfId="0">
      <alignment horizontal="center" vertical="center"/>
    </xf>
    <xf numFmtId="0" fontId="34" fillId="22" borderId="62" applyAlignment="1" pivotButton="0" quotePrefix="0" xfId="0">
      <alignment horizontal="left"/>
    </xf>
    <xf numFmtId="0" fontId="8" fillId="15" borderId="62" applyAlignment="1" pivotButton="0" quotePrefix="0" xfId="0">
      <alignment horizontal="left" vertical="top"/>
    </xf>
    <xf numFmtId="0" fontId="1" fillId="42" borderId="62" applyAlignment="1" pivotButton="0" quotePrefix="0" xfId="12">
      <alignment vertical="top" wrapText="1"/>
    </xf>
    <xf numFmtId="0" fontId="1" fillId="42" borderId="62" pivotButton="0" quotePrefix="0" xfId="12"/>
    <xf numFmtId="178" fontId="78" fillId="0" borderId="100" applyAlignment="1" pivotButton="0" quotePrefix="0" xfId="0">
      <alignment horizontal="right" vertical="center"/>
    </xf>
    <xf numFmtId="178" fontId="78" fillId="0" borderId="0" applyAlignment="1" pivotButton="0" quotePrefix="0" xfId="0">
      <alignment horizontal="right" vertical="center"/>
    </xf>
    <xf numFmtId="179" fontId="61" fillId="0" borderId="100" applyAlignment="1" pivotButton="0" quotePrefix="0" xfId="0">
      <alignment horizontal="right" vertical="center"/>
    </xf>
    <xf numFmtId="178" fontId="61" fillId="0" borderId="100" applyAlignment="1" pivotButton="0" quotePrefix="0" xfId="0">
      <alignment horizontal="right" vertical="center"/>
    </xf>
    <xf numFmtId="178" fontId="63" fillId="0" borderId="2" pivotButton="0" quotePrefix="0" xfId="0"/>
    <xf numFmtId="178" fontId="63" fillId="4" borderId="2" pivotButton="0" quotePrefix="0" xfId="0"/>
    <xf numFmtId="178" fontId="69" fillId="4" borderId="2" pivotButton="0" quotePrefix="0" xfId="0"/>
    <xf numFmtId="179" fontId="84" fillId="0" borderId="102" applyAlignment="1" pivotButton="0" quotePrefix="0" xfId="0">
      <alignment horizontal="right" vertical="center"/>
    </xf>
    <xf numFmtId="179" fontId="75" fillId="0" borderId="102" applyAlignment="1" pivotButton="0" quotePrefix="0" xfId="0">
      <alignment horizontal="right" vertical="center"/>
    </xf>
    <xf numFmtId="179" fontId="63" fillId="0" borderId="100" applyAlignment="1" pivotButton="0" quotePrefix="0" xfId="0">
      <alignment horizontal="right" vertical="center"/>
    </xf>
    <xf numFmtId="179" fontId="61" fillId="38" borderId="100" applyAlignment="1" pivotButton="0" quotePrefix="0" xfId="0">
      <alignment horizontal="right" vertical="center"/>
    </xf>
    <xf numFmtId="179" fontId="75" fillId="9" borderId="102" applyAlignment="1" pivotButton="0" quotePrefix="0" xfId="0">
      <alignment horizontal="right" vertical="center"/>
    </xf>
    <xf numFmtId="179" fontId="48" fillId="45" borderId="100" applyAlignment="1" pivotButton="0" quotePrefix="0" xfId="0">
      <alignment horizontal="right" vertical="center"/>
    </xf>
    <xf numFmtId="179" fontId="73" fillId="0" borderId="102" applyAlignment="1" pivotButton="0" quotePrefix="0" xfId="0">
      <alignment horizontal="right" vertical="center"/>
    </xf>
    <xf numFmtId="178" fontId="73" fillId="0" borderId="102" applyAlignment="1" pivotButton="0" quotePrefix="0" xfId="0">
      <alignment horizontal="right" vertical="center"/>
    </xf>
    <xf numFmtId="177" fontId="73" fillId="0" borderId="101" applyAlignment="1" pivotButton="0" quotePrefix="0" xfId="0">
      <alignment horizontal="right" vertical="center"/>
    </xf>
    <xf numFmtId="180" fontId="73" fillId="0" borderId="102" applyAlignment="1" pivotButton="0" quotePrefix="0" xfId="10">
      <alignment horizontal="right" vertical="center"/>
    </xf>
    <xf numFmtId="178" fontId="63" fillId="0" borderId="100" applyAlignment="1" pivotButton="0" quotePrefix="0" xfId="0">
      <alignment horizontal="center" vertical="center"/>
    </xf>
    <xf numFmtId="178" fontId="61" fillId="38" borderId="100" applyAlignment="1" pivotButton="0" quotePrefix="0" xfId="0">
      <alignment horizontal="center" vertical="center"/>
    </xf>
    <xf numFmtId="177" fontId="63" fillId="0" borderId="100" applyAlignment="1" pivotButton="0" quotePrefix="0" xfId="0">
      <alignment horizontal="right" vertical="center"/>
    </xf>
    <xf numFmtId="178" fontId="73" fillId="0" borderId="102" applyAlignment="1" pivotButton="0" quotePrefix="0" xfId="0">
      <alignment horizontal="center" vertical="center"/>
    </xf>
    <xf numFmtId="178" fontId="75" fillId="41" borderId="102" applyAlignment="1" pivotButton="0" quotePrefix="0" xfId="0">
      <alignment horizontal="center" vertical="center"/>
    </xf>
    <xf numFmtId="179" fontId="10" fillId="0" borderId="2" pivotButton="0" quotePrefix="0" xfId="0"/>
    <xf numFmtId="179" fontId="73" fillId="0" borderId="101" pivotButton="0" quotePrefix="0" xfId="0"/>
    <xf numFmtId="179" fontId="73" fillId="0" borderId="101" applyAlignment="1" pivotButton="0" quotePrefix="0" xfId="0">
      <alignment horizontal="right" vertical="center"/>
    </xf>
    <xf numFmtId="179" fontId="11" fillId="9" borderId="2" pivotButton="0" quotePrefix="0" xfId="0"/>
    <xf numFmtId="179" fontId="75" fillId="41" borderId="102" applyAlignment="1" pivotButton="0" quotePrefix="0" xfId="0">
      <alignment horizontal="right" vertical="center"/>
    </xf>
    <xf numFmtId="179" fontId="73" fillId="0" borderId="102" applyAlignment="1" pivotButton="0" quotePrefix="0" xfId="0">
      <alignment vertical="center"/>
    </xf>
    <xf numFmtId="181" fontId="73" fillId="0" borderId="102" applyAlignment="1" pivotButton="0" quotePrefix="0" xfId="0">
      <alignment vertical="center"/>
    </xf>
    <xf numFmtId="181" fontId="73" fillId="0" borderId="101" pivotButton="0" quotePrefix="0" xfId="0"/>
    <xf numFmtId="181" fontId="0" fillId="0" borderId="0" pivotButton="0" quotePrefix="0" xfId="0"/>
    <xf numFmtId="179" fontId="75" fillId="41" borderId="102" applyAlignment="1" pivotButton="0" quotePrefix="0" xfId="0">
      <alignment vertical="center"/>
    </xf>
    <xf numFmtId="178" fontId="75" fillId="41" borderId="102" applyAlignment="1" pivotButton="0" quotePrefix="0" xfId="0">
      <alignment vertical="center"/>
    </xf>
    <xf numFmtId="173" fontId="2" fillId="42" borderId="62" pivotButton="0" quotePrefix="0" xfId="12"/>
    <xf numFmtId="174" fontId="2" fillId="42" borderId="62" pivotButton="0" quotePrefix="0" xfId="12"/>
    <xf numFmtId="182" fontId="49" fillId="0" borderId="103" applyAlignment="1" pivotButton="0" quotePrefix="0" xfId="11">
      <alignment vertical="top" wrapText="1"/>
    </xf>
    <xf numFmtId="175" fontId="2" fillId="42" borderId="62" applyAlignment="1" pivotButton="0" quotePrefix="0" xfId="12">
      <alignment horizontal="center"/>
    </xf>
    <xf numFmtId="175" fontId="2" fillId="42" borderId="62" pivotButton="0" quotePrefix="0" xfId="12"/>
    <xf numFmtId="173" fontId="2" fillId="42" borderId="99" pivotButton="0" quotePrefix="0" xfId="12"/>
    <xf numFmtId="174" fontId="2" fillId="42" borderId="99" pivotButton="0" quotePrefix="0" xfId="12"/>
    <xf numFmtId="175" fontId="2" fillId="42" borderId="103" applyAlignment="1" pivotButton="0" quotePrefix="0" xfId="12">
      <alignment horizontal="center"/>
    </xf>
    <xf numFmtId="175" fontId="2" fillId="42" borderId="103" pivotButton="0" quotePrefix="0" xfId="12"/>
    <xf numFmtId="174" fontId="2" fillId="42" borderId="103" pivotButton="0" quotePrefix="0" xfId="12"/>
    <xf numFmtId="175" fontId="2" fillId="42" borderId="62" applyAlignment="1" pivotButton="0" quotePrefix="0" xfId="12">
      <alignment vertical="top" wrapText="1"/>
    </xf>
    <xf numFmtId="174" fontId="2" fillId="42" borderId="62" applyAlignment="1" pivotButton="0" quotePrefix="0" xfId="12">
      <alignment vertical="top" wrapText="1"/>
    </xf>
    <xf numFmtId="173" fontId="2" fillId="42" borderId="62" applyAlignment="1" pivotButton="0" quotePrefix="0" xfId="12">
      <alignment vertical="top" wrapText="1"/>
    </xf>
    <xf numFmtId="176" fontId="2" fillId="42" borderId="62" applyAlignment="1" pivotButton="0" quotePrefix="0" xfId="12">
      <alignment vertical="top" wrapText="1"/>
    </xf>
    <xf numFmtId="175" fontId="2" fillId="42" borderId="103" applyAlignment="1" pivotButton="0" quotePrefix="0" xfId="12">
      <alignment vertical="top" wrapText="1"/>
    </xf>
    <xf numFmtId="174" fontId="2" fillId="42" borderId="103" applyAlignment="1" pivotButton="0" quotePrefix="0" xfId="12">
      <alignment vertical="top" wrapText="1"/>
    </xf>
    <xf numFmtId="175" fontId="2" fillId="42" borderId="62" applyAlignment="1" pivotButton="0" quotePrefix="0" xfId="14">
      <alignment horizontal="center"/>
    </xf>
    <xf numFmtId="175" fontId="2" fillId="42" borderId="62" pivotButton="0" quotePrefix="0" xfId="14"/>
    <xf numFmtId="175" fontId="2" fillId="0" borderId="62" applyAlignment="1" pivotButton="0" quotePrefix="0" xfId="12">
      <alignment horizontal="center"/>
    </xf>
    <xf numFmtId="175" fontId="2" fillId="0" borderId="62" pivotButton="0" quotePrefix="0" xfId="12"/>
    <xf numFmtId="173" fontId="2" fillId="0" borderId="62" pivotButton="0" quotePrefix="0" xfId="12"/>
    <xf numFmtId="174" fontId="2" fillId="0" borderId="62" pivotButton="0" quotePrefix="0" xfId="12"/>
    <xf numFmtId="175" fontId="57" fillId="42" borderId="62" applyAlignment="1" pivotButton="0" quotePrefix="0" xfId="12">
      <alignment horizontal="center"/>
    </xf>
    <xf numFmtId="175" fontId="57" fillId="42" borderId="62" pivotButton="0" quotePrefix="0" xfId="12"/>
    <xf numFmtId="174" fontId="57" fillId="42" borderId="62" pivotButton="0" quotePrefix="0" xfId="12"/>
    <xf numFmtId="175" fontId="2" fillId="42" borderId="68" applyAlignment="1" pivotButton="0" quotePrefix="0" xfId="12">
      <alignment horizontal="center"/>
    </xf>
    <xf numFmtId="175" fontId="2" fillId="42" borderId="68" pivotButton="0" quotePrefix="0" xfId="12"/>
    <xf numFmtId="174" fontId="2" fillId="42" borderId="68" pivotButton="0" quotePrefix="0" xfId="12"/>
    <xf numFmtId="176" fontId="2" fillId="42" borderId="62" pivotButton="0" quotePrefix="0" xfId="12"/>
    <xf numFmtId="173" fontId="2" fillId="42" borderId="103" pivotButton="0" quotePrefix="0" xfId="12"/>
    <xf numFmtId="175" fontId="50" fillId="42" borderId="62" applyAlignment="1" pivotButton="0" quotePrefix="0" xfId="12">
      <alignment horizontal="center"/>
    </xf>
    <xf numFmtId="175" fontId="50" fillId="42" borderId="62" pivotButton="0" quotePrefix="0" xfId="12"/>
    <xf numFmtId="174" fontId="50" fillId="42" borderId="62" pivotButton="0" quotePrefix="0" xfId="12"/>
    <xf numFmtId="173" fontId="4" fillId="0" borderId="62" pivotButton="0" quotePrefix="0" xfId="6"/>
    <xf numFmtId="174" fontId="4" fillId="0" borderId="62" pivotButton="0" quotePrefix="0" xfId="6"/>
    <xf numFmtId="175" fontId="4" fillId="0" borderId="62" applyAlignment="1" pivotButton="0" quotePrefix="0" xfId="6">
      <alignment horizontal="center"/>
    </xf>
    <xf numFmtId="175" fontId="4" fillId="0" borderId="62" pivotButton="0" quotePrefix="0" xfId="6"/>
    <xf numFmtId="175" fontId="4" fillId="0" borderId="0" applyAlignment="1" pivotButton="0" quotePrefix="0" xfId="6">
      <alignment horizontal="center"/>
    </xf>
    <xf numFmtId="175" fontId="4" fillId="0" borderId="0" pivotButton="0" quotePrefix="0" xfId="6"/>
    <xf numFmtId="174" fontId="4" fillId="0" borderId="0" pivotButton="0" quotePrefix="0" xfId="6"/>
    <xf numFmtId="173" fontId="4" fillId="0" borderId="0" pivotButton="0" quotePrefix="0" xfId="6"/>
    <xf numFmtId="175" fontId="4" fillId="0" borderId="68" applyAlignment="1" pivotButton="0" quotePrefix="0" xfId="6">
      <alignment horizontal="center"/>
    </xf>
    <xf numFmtId="175" fontId="4" fillId="0" borderId="68" pivotButton="0" quotePrefix="0" xfId="6"/>
    <xf numFmtId="174" fontId="4" fillId="0" borderId="68" pivotButton="0" quotePrefix="0" xfId="6"/>
    <xf numFmtId="175" fontId="4" fillId="0" borderId="99" applyAlignment="1" pivotButton="0" quotePrefix="0" xfId="6">
      <alignment horizontal="center"/>
    </xf>
    <xf numFmtId="175" fontId="4" fillId="0" borderId="99" pivotButton="0" quotePrefix="0" xfId="6"/>
    <xf numFmtId="174" fontId="4" fillId="0" borderId="99" pivotButton="0" quotePrefix="0" xfId="6"/>
    <xf numFmtId="176" fontId="4" fillId="0" borderId="62" pivotButton="0" quotePrefix="0" xfId="6"/>
    <xf numFmtId="175" fontId="4" fillId="0" borderId="62" applyAlignment="1" pivotButton="0" quotePrefix="0" xfId="5">
      <alignment horizontal="center"/>
    </xf>
    <xf numFmtId="175" fontId="4" fillId="0" borderId="62" pivotButton="0" quotePrefix="0" xfId="5"/>
    <xf numFmtId="175" fontId="57" fillId="0" borderId="62" applyAlignment="1" pivotButton="0" quotePrefix="0" xfId="6">
      <alignment horizontal="center"/>
    </xf>
    <xf numFmtId="175" fontId="57" fillId="0" borderId="62" pivotButton="0" quotePrefix="0" xfId="6"/>
    <xf numFmtId="174" fontId="57" fillId="0" borderId="62" pivotButton="0" quotePrefix="0" xfId="6"/>
    <xf numFmtId="173" fontId="3" fillId="0" borderId="62" applyAlignment="1" pivotButton="0" quotePrefix="0" xfId="7">
      <alignment wrapText="1"/>
    </xf>
    <xf numFmtId="174" fontId="3" fillId="0" borderId="62" applyAlignment="1" pivotButton="0" quotePrefix="0" xfId="7">
      <alignment wrapText="1"/>
    </xf>
    <xf numFmtId="175" fontId="3" fillId="0" borderId="62" applyAlignment="1" pivotButton="0" quotePrefix="0" xfId="7">
      <alignment horizontal="center" wrapText="1"/>
    </xf>
    <xf numFmtId="175" fontId="3" fillId="0" borderId="62" applyAlignment="1" pivotButton="0" quotePrefix="0" xfId="7">
      <alignment wrapText="1"/>
    </xf>
    <xf numFmtId="175" fontId="3" fillId="0" borderId="0" applyAlignment="1" pivotButton="0" quotePrefix="0" xfId="7">
      <alignment horizontal="center" wrapText="1"/>
    </xf>
    <xf numFmtId="175" fontId="3" fillId="0" borderId="0" applyAlignment="1" pivotButton="0" quotePrefix="0" xfId="7">
      <alignment wrapText="1"/>
    </xf>
    <xf numFmtId="174" fontId="3" fillId="0" borderId="0" applyAlignment="1" pivotButton="0" quotePrefix="0" xfId="7">
      <alignment wrapText="1"/>
    </xf>
    <xf numFmtId="173" fontId="3" fillId="0" borderId="0" applyAlignment="1" pivotButton="0" quotePrefix="0" xfId="7">
      <alignment wrapText="1"/>
    </xf>
    <xf numFmtId="175" fontId="3" fillId="0" borderId="62" applyAlignment="1" pivotButton="0" quotePrefix="0" xfId="9">
      <alignment horizontal="center" wrapText="1"/>
    </xf>
    <xf numFmtId="175" fontId="3" fillId="0" borderId="62" applyAlignment="1" pivotButton="0" quotePrefix="0" xfId="9">
      <alignment wrapText="1"/>
    </xf>
    <xf numFmtId="0" fontId="88" fillId="0" borderId="101" pivotButton="0" quotePrefix="0" xfId="0"/>
    <xf numFmtId="0" fontId="89" fillId="0" borderId="0" pivotButton="0" quotePrefix="0" xfId="0"/>
    <xf numFmtId="0" fontId="88" fillId="0" borderId="0" pivotButton="0" quotePrefix="0" xfId="0"/>
    <xf numFmtId="0" fontId="90" fillId="46" borderId="114" applyAlignment="1" pivotButton="0" quotePrefix="0" xfId="0">
      <alignment horizontal="center" vertical="center"/>
    </xf>
    <xf numFmtId="0" fontId="91" fillId="0" borderId="114" pivotButton="0" quotePrefix="0" xfId="0"/>
    <xf numFmtId="0" fontId="91" fillId="0" borderId="114" applyAlignment="1" pivotButton="0" quotePrefix="0" xfId="0">
      <alignment horizontal="center" vertical="center"/>
    </xf>
    <xf numFmtId="183" fontId="92" fillId="0" borderId="114" applyAlignment="1" pivotButton="0" quotePrefix="0" xfId="0">
      <alignment horizontal="center" vertical="center"/>
    </xf>
    <xf numFmtId="0" fontId="91" fillId="47" borderId="114" pivotButton="0" quotePrefix="0" xfId="0"/>
    <xf numFmtId="0" fontId="92" fillId="48" borderId="114" pivotButton="0" quotePrefix="0" xfId="0"/>
    <xf numFmtId="0" fontId="92" fillId="48" borderId="114" applyAlignment="1" pivotButton="0" quotePrefix="0" xfId="0">
      <alignment horizontal="center" vertical="center"/>
    </xf>
    <xf numFmtId="183" fontId="92" fillId="48" borderId="114" applyAlignment="1" pivotButton="0" quotePrefix="0" xfId="0">
      <alignment horizontal="center" vertical="center"/>
    </xf>
  </cellXfs>
  <cellStyles count="15">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 name="Currency" xfId="10" builtinId="4"/>
    <cellStyle name="Normal 4" xfId="11"/>
    <cellStyle name="Normal 3 4" xfId="12"/>
    <cellStyle name="Comma 3" xfId="13"/>
    <cellStyle name="Percent 4" xfId="14"/>
  </cellStyles>
  <dxfs count="104">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pivotCacheDefinition" Target="/xl/pivotCache/pivotCacheDefinition1.xml" Id="rId52" /><Relationship Type="http://schemas.openxmlformats.org/officeDocument/2006/relationships/pivotCacheDefinition" Target="/xl/pivotCache/pivotCacheDefinition2.xml" Id="rId53" /><Relationship Type="http://schemas.openxmlformats.org/officeDocument/2006/relationships/styles" Target="styles.xml" Id="rId54" /><Relationship Type="http://schemas.openxmlformats.org/officeDocument/2006/relationships/theme" Target="theme/theme1.xml" Id="rId55" /></Relationships>
</file>

<file path=xl/comments/comment1.xml><?xml version="1.0" encoding="utf-8"?>
<comments xmlns="http://schemas.openxmlformats.org/spreadsheetml/2006/main">
  <authors>
    <author>Vance Anderson</author>
  </authors>
  <commentList>
    <comment ref="K21" authorId="0" shapeId="0">
      <text>
        <t>Vance Anderson:
50% Z Retail Backend, 50% Z Supply</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57"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58"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6.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B2:G77"/>
  <sheetViews>
    <sheetView showGridLines="0" workbookViewId="0">
      <selection activeCell="A1" sqref="A1"/>
    </sheetView>
  </sheetViews>
  <sheetFormatPr baseColWidth="8" defaultRowHeight="14.5"/>
  <cols>
    <col width="3" customWidth="1" style="849" min="1" max="1"/>
    <col width="56" customWidth="1" style="849" min="2" max="2"/>
    <col width="15" customWidth="1" style="849" min="3" max="7"/>
  </cols>
  <sheetData>
    <row r="2" ht="24" customHeight="1" s="849">
      <c r="B2" s="447" t="inlineStr">
        <is>
          <t>TDD Operating Model - Executive Summary</t>
        </is>
      </c>
    </row>
    <row r="4">
      <c r="B4" s="548" t="inlineStr">
        <is>
          <t>The story</t>
        </is>
      </c>
      <c r="C4" s="428" t="n"/>
      <c r="D4" s="428" t="n"/>
      <c r="E4" s="428" t="n"/>
      <c r="F4" s="428" t="n"/>
      <c r="G4" s="428" t="n"/>
    </row>
    <row r="5" ht="15.5" customHeight="1" s="849">
      <c r="B5" s="572" t="inlineStr">
        <is>
          <t>1. The contract: squad archetypes were set as the design - they allow this many squad roles</t>
        </is>
      </c>
      <c r="C5" s="885">
        <f>'3.3 FTE View'!$G$4</f>
        <v>315.5</v>
      </c>
      <c r="D5" s="421" t="n"/>
      <c r="E5" s="421" t="n"/>
      <c r="F5" s="421" t="n"/>
      <c r="G5" s="421" t="n"/>
    </row>
    <row r="6" ht="15.5" customHeight="1" s="849">
      <c r="B6" s="572" t="inlineStr">
        <is>
          <t>2. What happened: roles actually raised across squads, leadership and COEs - a third vacant</t>
        </is>
      </c>
      <c r="C6" s="885">
        <f>'3.3 FTE View'!$C$4</f>
        <v>536.0</v>
      </c>
      <c r="D6" s="421" t="n"/>
      <c r="E6" s="421" t="n"/>
      <c r="F6" s="421" t="n"/>
      <c r="G6" s="421" t="n"/>
    </row>
    <row r="7" ht="15.5" customHeight="1" s="849">
      <c r="B7" s="572" t="inlineStr">
        <is>
          <t>3. What the raised organisation costs today ($m)</t>
        </is>
      </c>
      <c r="C7" s="885">
        <f>'3.2 Total Cost'!$D$24</f>
        <v>114.3677823681</v>
      </c>
      <c r="D7" s="421" t="n"/>
      <c r="E7" s="421" t="n"/>
      <c r="F7" s="421" t="n"/>
      <c r="G7" s="421" t="n"/>
    </row>
    <row r="8" ht="15.5" customHeight="1" s="849">
      <c r="B8" s="572" t="inlineStr">
        <is>
          <t>4. Over the archetype design by ($m)</t>
        </is>
      </c>
      <c r="C8" s="885">
        <f>'3.2 Total Cost'!$E$24</f>
        <v>9.373844000000002</v>
      </c>
      <c r="D8" s="421" t="n"/>
      <c r="E8" s="421" t="n"/>
      <c r="F8" s="421" t="n"/>
      <c r="G8" s="421" t="n"/>
    </row>
    <row r="9" ht="15.5" customHeight="1" s="849">
      <c r="B9" s="574" t="inlineStr">
        <is>
          <t>5. The decision: hire, hold or offshore every vacancy on the 2.x working copies - value on the table ($m)</t>
        </is>
      </c>
      <c r="C9" s="886">
        <f>'3.2 Total Cost'!$L$24</f>
        <v>35.10332744</v>
      </c>
    </row>
    <row r="10">
      <c r="B10" s="427" t="inlineStr">
        <is>
          <t>How the model is built - key decisions</t>
        </is>
      </c>
      <c r="C10" s="428" t="n"/>
      <c r="D10" s="428" t="n"/>
      <c r="E10" s="428" t="n"/>
      <c r="F10" s="428" t="n"/>
      <c r="G10" s="428" t="n"/>
    </row>
    <row r="11">
      <c r="B11" s="417" t="inlineStr">
        <is>
          <t>Squads are priced from the archetype library on 0.3 Squad Archetypes (type x size). Offshore is priced at the offshore rate set on 0.3 Squad Archetypes.</t>
        </is>
      </c>
      <c r="C11" s="421" t="n"/>
      <c r="D11" s="421" t="n"/>
      <c r="E11" s="421" t="n"/>
      <c r="F11" s="421" t="n"/>
      <c r="G11" s="421" t="n"/>
    </row>
    <row r="12">
      <c r="B12" s="417" t="inlineStr">
        <is>
          <t>Each portfolio pays one overhead: Head of Tech, Business Partner and Domain Architect shares, and leadership - rates on 0.2 Data Config.</t>
        </is>
      </c>
      <c r="C12" s="421" t="n"/>
      <c r="D12" s="421" t="n"/>
      <c r="E12" s="421" t="n"/>
      <c r="F12" s="421" t="n"/>
      <c r="G12" s="421" t="n"/>
    </row>
    <row r="13">
      <c r="B13" s="417" t="inlineStr">
        <is>
          <t>Strategic programs (AmPOS, CTRM, EGI) are priced at their entered cost. EGI is funded from Significant Items, not overheads.</t>
        </is>
      </c>
      <c r="C13" s="421" t="n"/>
      <c r="D13" s="421" t="n"/>
      <c r="E13" s="421" t="n"/>
      <c r="F13" s="421" t="n"/>
      <c r="G13" s="421" t="n"/>
    </row>
    <row r="14">
      <c r="B14" s="417" t="inlineStr">
        <is>
          <t>TDD Cyber is priced from its actual roles on 1.13 Cyber Roles, not archetypes.</t>
        </is>
      </c>
      <c r="C14" s="421" t="n"/>
      <c r="D14" s="421" t="n"/>
      <c r="E14" s="421" t="n"/>
      <c r="F14" s="421" t="n"/>
      <c r="G14" s="421" t="n"/>
    </row>
    <row r="15">
      <c r="B15" s="417" t="inlineStr">
        <is>
          <t>Business Partner &amp; Domain Architect money sits inside the portfolio overheads, so it is taken out of the COE total - never counted twice.</t>
        </is>
      </c>
      <c r="C15" s="421" t="n"/>
      <c r="D15" s="421" t="n"/>
      <c r="E15" s="421" t="n"/>
      <c r="F15" s="421" t="n"/>
      <c r="G15" s="421" t="n"/>
    </row>
    <row r="17">
      <c r="B17" s="427" t="inlineStr">
        <is>
          <t>The money</t>
        </is>
      </c>
      <c r="C17" s="428" t="n"/>
      <c r="D17" s="428" t="n"/>
      <c r="E17" s="428" t="n"/>
      <c r="F17" s="428" t="n"/>
      <c r="G17" s="428" t="n"/>
    </row>
    <row r="18">
      <c r="B18" s="448" t="inlineStr">
        <is>
          <t>The TDD budget</t>
        </is>
      </c>
      <c r="C18" s="449" t="n"/>
    </row>
    <row r="19">
      <c r="B19" s="417" t="inlineStr">
        <is>
          <t>Total TDD people budget ($m)</t>
        </is>
      </c>
      <c r="C19" s="429">
        <f>'0.2 Data Config'!$E$27</f>
        <v>53.800000000000004</v>
      </c>
    </row>
    <row r="20">
      <c r="B20" s="417" t="inlineStr">
        <is>
          <t>Allocated to portfolios + COEs ($m)</t>
        </is>
      </c>
      <c r="C20" s="429">
        <f>'3.1 Group Summary'!$C$30</f>
        <v>43.5</v>
      </c>
    </row>
    <row r="21">
      <c r="B21" s="417" t="inlineStr">
        <is>
          <t>Not yet allocated ($m)</t>
        </is>
      </c>
      <c r="C21" s="429">
        <f>'0.2 Data Config'!$E$27-'3.1 Group Summary'!$C$30</f>
        <v>10.300000000000004</v>
      </c>
    </row>
    <row r="22">
      <c r="B22" s="448" t="inlineStr">
        <is>
          <t>What the archetype model costs</t>
        </is>
      </c>
      <c r="C22" s="449" t="n"/>
    </row>
    <row r="23">
      <c r="B23" s="417" t="inlineStr">
        <is>
          <t>TDD Cost - funded by TDD ($m)</t>
        </is>
      </c>
      <c r="C23" s="429">
        <f>'3.1 Group Summary'!$D$24</f>
        <v>63.94984847799999</v>
      </c>
    </row>
    <row r="24">
      <c r="B24" s="417" t="inlineStr">
        <is>
          <t>Funded outside TDD ($m)</t>
        </is>
      </c>
      <c r="C24" s="429">
        <f>'3.1 Group Summary'!$G$24</f>
        <v>41.044089</v>
      </c>
    </row>
    <row r="25">
      <c r="B25" s="417" t="inlineStr">
        <is>
          <t>Less: BP &amp; Domain Architect already funded in portfolio overheads ($m)</t>
        </is>
      </c>
      <c r="C25" s="429">
        <f>'3.2 Total Cost'!$C$23</f>
        <v>-3.12</v>
      </c>
    </row>
    <row r="26">
      <c r="B26" s="417" t="inlineStr">
        <is>
          <t>Total archetype model cost ($m)</t>
        </is>
      </c>
      <c r="C26" s="429">
        <f>'3.2 Total Cost'!$C$24</f>
        <v>104.993937478</v>
      </c>
    </row>
    <row r="27">
      <c r="B27" s="417" t="inlineStr">
        <is>
          <t>of which TDD pays - after the double-count ($m)</t>
        </is>
      </c>
      <c r="C27" s="429">
        <f>'3.1 Group Summary'!$D$24+'3.2 Total Cost'!$C$23</f>
        <v>60.829848477999995</v>
      </c>
    </row>
    <row r="28">
      <c r="B28" s="417" t="inlineStr">
        <is>
          <t>Left to fund - portfolios + COEs ($m)</t>
        </is>
      </c>
      <c r="C28" s="429">
        <f>'3.1 Group Summary'!$I$24</f>
        <v>30.929848478</v>
      </c>
    </row>
    <row r="29">
      <c r="B29" s="448" t="inlineStr">
        <is>
          <t>What the org actually costs today</t>
        </is>
      </c>
      <c r="C29" s="449" t="n"/>
    </row>
    <row r="30">
      <c r="B30" s="417" t="inlineStr">
        <is>
          <t>All roles today - filled + vacant ($m)</t>
        </is>
      </c>
      <c r="C30" s="429">
        <f>'3.2 Total Cost'!$D$24</f>
        <v>114.3677823681</v>
      </c>
    </row>
    <row r="31">
      <c r="B31" s="417" t="inlineStr">
        <is>
          <t>of which filled ($m)</t>
        </is>
      </c>
      <c r="C31" s="429">
        <f>'3.2 Total Cost'!$K$24</f>
        <v>79.2644549281</v>
      </c>
    </row>
    <row r="32">
      <c r="B32" s="417" t="inlineStr">
        <is>
          <t>of which vacant ($m)</t>
        </is>
      </c>
      <c r="C32" s="429">
        <f>'3.2 Total Cost'!$L$24</f>
        <v>35.10332744</v>
      </c>
    </row>
    <row r="33">
      <c r="B33" s="417" t="inlineStr">
        <is>
          <t>Difference vs archetype model ($m)</t>
        </is>
      </c>
      <c r="C33" s="429">
        <f>'3.2 Total Cost'!$E$24</f>
        <v>9.373844000000002</v>
      </c>
    </row>
    <row r="35">
      <c r="B35" s="427" t="inlineStr">
        <is>
          <t>The people - archetypes vs the org</t>
        </is>
      </c>
      <c r="C35" s="428" t="n"/>
      <c r="D35" s="428" t="n"/>
      <c r="E35" s="428" t="n"/>
      <c r="F35" s="428" t="n"/>
      <c r="G35" s="428" t="n"/>
    </row>
    <row r="36">
      <c r="B36" s="417" t="inlineStr">
        <is>
          <t>Roles the archetypes allow - squads at their set sizes</t>
        </is>
      </c>
      <c r="C36" s="443">
        <f>'3.3 FTE View'!$G$4</f>
        <v>315.5</v>
      </c>
    </row>
    <row r="37">
      <c r="B37" s="417" t="inlineStr">
        <is>
          <t>Roles actually raised in those squads - filled + vacant</t>
        </is>
      </c>
      <c r="C37" s="443">
        <f>'3.3 FTE View'!$G$95+'3.3 FTE View'!$K$95</f>
        <v>424.0</v>
      </c>
    </row>
    <row r="38">
      <c r="B38" s="417" t="inlineStr">
        <is>
          <t>Roles raised beyond the archetypes</t>
        </is>
      </c>
      <c r="C38" s="443">
        <f>'3.3 FTE View'!$H$4</f>
        <v>108.5</v>
      </c>
    </row>
    <row r="39">
      <c r="B39" s="417" t="inlineStr">
        <is>
          <t>Roles in squads priced outside archetypes (AmPOS, EGI, cyber)</t>
        </is>
      </c>
      <c r="C39" s="443">
        <f>'3.3 FTE View'!$J$95-'3.3 FTE View'!$G$95-'3.3 FTE View'!$K$95</f>
        <v>0.0</v>
      </c>
    </row>
    <row r="40">
      <c r="B40" s="417" t="inlineStr">
        <is>
          <t>All org roles (squads + leadership + COEs + unmapped)</t>
        </is>
      </c>
      <c r="C40" s="443">
        <f>'3.3 FTE View'!$C$4</f>
        <v>536.0</v>
      </c>
    </row>
    <row r="41">
      <c r="B41" s="417" t="inlineStr">
        <is>
          <t>Filled - people in roles today</t>
        </is>
      </c>
      <c r="C41" s="443">
        <f>'3.3 FTE View'!$D$4</f>
        <v>370.0</v>
      </c>
    </row>
    <row r="42">
      <c r="B42" s="417" t="inlineStr">
        <is>
          <t>Vacant - raised, not yet hired</t>
        </is>
      </c>
      <c r="C42" s="443">
        <f>'3.3 FTE View'!$E$4</f>
        <v>166.0</v>
      </c>
    </row>
    <row r="43">
      <c r="B43" s="417" t="inlineStr">
        <is>
          <t>of which squad roles - the GM hire or hold lever</t>
        </is>
      </c>
      <c r="C43" s="443">
        <f>COUNTIFS(Squads!$Q:$Q,"Squad",Squads!$R:$R,"Vacant")+COUNTIFS(Squads!$Q:$Q,"Strategic Program",Squads!$R:$R,"Vacant")</f>
        <v>126.0</v>
      </c>
    </row>
    <row r="44">
      <c r="B44" s="417" t="inlineStr">
        <is>
          <t>of which leadership, COE and unmapped roles</t>
        </is>
      </c>
      <c r="C44" s="443">
        <f>'3.3 FTE View'!$E$4-COUNTIFS(Squads!$Q:$Q,"Squad",Squads!$R:$R,"Vacant")-COUNTIFS(Squads!$Q:$Q,"Strategic Program",Squads!$R:$R,"Vacant")</f>
        <v>40.0</v>
      </c>
    </row>
    <row r="45">
      <c r="B45" s="417" t="inlineStr">
        <is>
          <t>Vacancy rate</t>
        </is>
      </c>
      <c r="C45" s="444">
        <f>'3.3 FTE View'!$F$4</f>
        <v>0.30970149253731344</v>
      </c>
    </row>
    <row r="46">
      <c r="B46" s="417" t="inlineStr">
        <is>
          <t>Vacant = open roles in the raw data. Sheet2 status updates (Paused, ring-fenced) show on 1.11 to 1.13 and 4.0.</t>
        </is>
      </c>
    </row>
    <row r="48">
      <c r="B48" s="427" t="inlineStr">
        <is>
          <t>What it means</t>
        </is>
      </c>
      <c r="C48" s="428" t="n"/>
      <c r="D48" s="428" t="n"/>
      <c r="E48" s="428" t="n"/>
      <c r="F48" s="428" t="n"/>
      <c r="G48" s="428" t="n"/>
    </row>
    <row r="49">
      <c r="B49" s="417" t="inlineStr">
        <is>
          <t>Today's filled roles cost ($m)</t>
        </is>
      </c>
      <c r="C49" s="429">
        <f>'3.2 Total Cost'!$K$24</f>
        <v>79.2644549281</v>
      </c>
    </row>
    <row r="50">
      <c r="B50" s="417" t="inlineStr">
        <is>
          <t>Filled roles over/(under) the archetype cost ($m)</t>
        </is>
      </c>
      <c r="C50" s="429">
        <f>ROUND('3.2 Total Cost'!$K$24-'3.2 Total Cost'!$C$24,6)</f>
        <v>-25.729483</v>
      </c>
    </row>
    <row r="51">
      <c r="B51" s="417" t="inlineStr">
        <is>
          <t>Hiring every vacancy would add ($m)</t>
        </is>
      </c>
      <c r="C51" s="429">
        <f>'3.2 Total Cost'!$L$24</f>
        <v>35.10332744</v>
      </c>
    </row>
    <row r="52">
      <c r="B52" s="417" t="inlineStr">
        <is>
          <t>of which squad roles - the 2.x working tab lever ($m)</t>
        </is>
      </c>
      <c r="C52" s="429">
        <f>'2.1 Ampol Retail'!$C$16+'2.2 Customer'!$C$14+'2.3 Enterprise Data'!$C$11+'2.4 TDD Group Functions'!$C$12+'2.5 P&amp;C'!$C$10+'2.6 Finance'!$C$10+'2.7 Infrastructure'!$C$11+'2.8 Energy Solutions &amp; B2B'!$C$10+'2.9 Commercial Fuels'!$C$11+'2.10 Z Retail'!$C$10+'2.11 TDD Cyber'!$C$8</f>
        <v>24.65139427852946</v>
      </c>
    </row>
    <row r="53">
      <c r="B53" s="417" t="inlineStr">
        <is>
          <t>Vacant roles are priced at standard title rates - indicative until an offer is made.</t>
        </is>
      </c>
      <c r="C53" s="421" t="n"/>
      <c r="D53" s="421" t="n"/>
      <c r="E53" s="421" t="n"/>
      <c r="F53" s="421" t="n"/>
      <c r="G53" s="421" t="n"/>
    </row>
    <row r="54">
      <c r="B54" s="417" t="inlineStr">
        <is>
          <t>Taking the design OVER the archetypes by ($m)</t>
        </is>
      </c>
      <c r="C54" s="429">
        <f>'3.2 Total Cost'!$E$24</f>
        <v>9.373844000000002</v>
      </c>
    </row>
    <row r="55">
      <c r="B55" s="417" t="inlineStr">
        <is>
          <t>The main lever is the vacancies: they are raised but not hired, so holding them impacts nobody. Decide role by role on the 2.x working tab.</t>
        </is>
      </c>
      <c r="C55" s="421" t="n"/>
      <c r="D55" s="421" t="n"/>
      <c r="E55" s="421" t="n"/>
      <c r="F55" s="421" t="n"/>
      <c r="G55" s="421" t="n"/>
    </row>
    <row r="56">
      <c r="B56" s="417" t="inlineStr">
        <is>
          <t>Resizing the archetypes themselves (squad size, support %, onshore or offshore) is done with the dropdowns on the 1.x tabs - cost, variance and left to fund update live.</t>
        </is>
      </c>
      <c r="C56" s="421" t="n"/>
      <c r="D56" s="421" t="n"/>
      <c r="E56" s="421" t="n"/>
      <c r="F56" s="421" t="n"/>
      <c r="G56" s="421" t="n"/>
    </row>
    <row r="57">
      <c r="B57" s="417" t="inlineStr">
        <is>
          <t>Roles not mapped to any squad or COE ($m)</t>
        </is>
      </c>
      <c r="C57" s="429">
        <f>'3.2 Total Cost'!$D$22</f>
        <v>8.757001808</v>
      </c>
    </row>
    <row r="58">
      <c r="B58" s="417" t="inlineStr">
        <is>
          <t>TDD Cyber - needs more than its buckets, see 1.13 Cyber Roles ($m)</t>
        </is>
      </c>
      <c r="C58" s="429">
        <f>'1.13 Cyber Roles'!$C$15</f>
        <v>6.915989044000002</v>
      </c>
    </row>
    <row r="59">
      <c r="B59" s="417" t="inlineStr">
        <is>
          <t>COEs - left to fund after budgets, see 2.4 ($m)</t>
        </is>
      </c>
      <c r="C59" s="429">
        <f>'3.4 COE Summary'!$H$11</f>
        <v>8.749848478</v>
      </c>
    </row>
    <row r="61">
      <c r="B61" s="427" t="inlineStr">
        <is>
          <t>Portfolio drill-down</t>
        </is>
      </c>
      <c r="C61" s="428" t="n"/>
      <c r="D61" s="428" t="n"/>
      <c r="E61" s="428" t="n"/>
      <c r="F61" s="428" t="n"/>
      <c r="G61" s="428" t="n"/>
    </row>
    <row r="62">
      <c r="B62" s="417" t="inlineStr">
        <is>
          <t>Yellow cell = dropdown input - pick a portfolio</t>
        </is>
      </c>
    </row>
    <row r="63">
      <c r="B63" s="417" t="inlineStr">
        <is>
          <t>Portfolio</t>
        </is>
      </c>
      <c r="C63" s="445" t="inlineStr">
        <is>
          <t>Ampol Retail</t>
        </is>
      </c>
    </row>
    <row r="64">
      <c r="B64" s="417" t="inlineStr">
        <is>
          <t>TDD Lights On budget ($m)</t>
        </is>
      </c>
      <c r="C64" s="429">
        <f>INDEX('3.1 Group Summary'!$C$6:$C$16,MATCH($C$63,'3.1 Group Summary'!$B$6:$B$16,0))</f>
        <v>2.5</v>
      </c>
    </row>
    <row r="65">
      <c r="B65" s="417" t="inlineStr">
        <is>
          <t>TDD Cost ($m)</t>
        </is>
      </c>
      <c r="C65" s="429">
        <f>INDEX('3.1 Group Summary'!$D$6:$D$16,MATCH($C$63,'3.1 Group Summary'!$B$6:$B$16,0))</f>
        <v>6.031499999999999</v>
      </c>
    </row>
    <row r="66">
      <c r="B66" s="417" t="inlineStr">
        <is>
          <t>TDD Variance - to fund ($m)</t>
        </is>
      </c>
      <c r="C66" s="887">
        <f>-INDEX('3.1 Group Summary'!$E$6:$E$16,MATCH($C$63,'3.1 Group Summary'!$B$6:$B$16,0))</f>
        <v>3.5314999999999994</v>
      </c>
    </row>
    <row r="67">
      <c r="B67" s="417" t="inlineStr">
        <is>
          <t>Funded outside TDD ($m)</t>
        </is>
      </c>
      <c r="C67" s="429">
        <f>INDEX('3.1 Group Summary'!$G$6:$G$16,MATCH($C$63,'3.1 Group Summary'!$B$6:$B$16,0))</f>
        <v>8.182089</v>
      </c>
    </row>
    <row r="68">
      <c r="B68" s="417" t="inlineStr">
        <is>
          <t>Allocated outside TDD ($m)</t>
        </is>
      </c>
      <c r="C68" s="429">
        <f>INDEX('3.1 Group Summary'!$H$6:$H$16,MATCH($C$63,'3.1 Group Summary'!$B$6:$B$16,0))</f>
        <v>8.184089</v>
      </c>
    </row>
    <row r="69">
      <c r="B69" s="417" t="inlineStr">
        <is>
          <t>Left to fund ($m)</t>
        </is>
      </c>
      <c r="C69" s="429">
        <f>INDEX('3.1 Group Summary'!$I$6:$I$16,MATCH($C$63,'3.1 Group Summary'!$B$6:$B$16,0))</f>
        <v>-0.002000000000000224</v>
      </c>
    </row>
    <row r="70">
      <c r="B70" s="417" t="inlineStr">
        <is>
          <t>Total cost ($m)</t>
        </is>
      </c>
      <c r="C70" s="429">
        <f>INDEX('3.1 Group Summary'!$K$6:$K$16,MATCH($C$63,'3.1 Group Summary'!$B$6:$B$16,0))</f>
        <v>14.213588999999999</v>
      </c>
    </row>
    <row r="71">
      <c r="B71" s="417" t="inlineStr">
        <is>
          <t>Archetype squad roles allowed</t>
        </is>
      </c>
      <c r="C71" s="888">
        <f>INDEX(Lists!$K$2:$K$12,MATCH($C$63,Lists!$J$2:$J$12,0))</f>
        <v>47.5</v>
      </c>
    </row>
    <row r="72">
      <c r="B72" s="417" t="inlineStr">
        <is>
          <t>Org roles (excl leadership)</t>
        </is>
      </c>
      <c r="C72" s="443">
        <f>COUNTIFS(Squads!$N:$N,$C$63)-COUNTIFS(Squads!$N:$N,$C$63,Squads!$Q:$Q,"Leadership")</f>
        <v>75.0</v>
      </c>
    </row>
    <row r="73">
      <c r="B73" s="417" t="inlineStr">
        <is>
          <t>Filled</t>
        </is>
      </c>
      <c r="C73" s="443">
        <f>COUNTIFS(Squads!$N:$N,$C$63,Squads!$R:$R,"Filled")-COUNTIFS(Squads!$N:$N,$C$63,Squads!$Q:$Q,"Leadership",Squads!$R:$R,"Filled")</f>
        <v>47.0</v>
      </c>
    </row>
    <row r="74">
      <c r="B74" s="417" t="inlineStr">
        <is>
          <t>Vacant</t>
        </is>
      </c>
      <c r="C74" s="443">
        <f>COUNTIFS(Squads!$N:$N,$C$63,Squads!$R:$R,"Vacant")-COUNTIFS(Squads!$N:$N,$C$63,Squads!$Q:$Q,"Leadership",Squads!$R:$R,"Vacant")</f>
        <v>28.0</v>
      </c>
    </row>
    <row r="75">
      <c r="B75" s="417" t="inlineStr">
        <is>
          <t>Leadership roles</t>
        </is>
      </c>
      <c r="C75" s="443">
        <f>COUNTIFS(Squads!$N:$N,$C$63,Squads!$Q:$Q,"Leadership")</f>
        <v>5.0</v>
      </c>
    </row>
    <row r="76">
      <c r="B76" s="417" t="inlineStr">
        <is>
          <t>Org roles include roles outside the archetype model; squad-only counts are on 3.3 FTE View.</t>
        </is>
      </c>
    </row>
    <row r="77" ht="43.5" customHeight="1" s="849">
      <c r="B77" s="576" t="inlineStr">
        <is>
          <t>Role counts come from the Squads tab; dollars come from the Added data ledger. Different snapshots, reconciled on the Data QA tab.</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FF80808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77" t="inlineStr">
        <is>
          <t>INPUTS  &gt;&gt;&gt;</t>
        </is>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2:F26"/>
  <sheetViews>
    <sheetView showGridLines="0" workbookViewId="0">
      <selection activeCell="A1" sqref="A1"/>
    </sheetView>
  </sheetViews>
  <sheetFormatPr baseColWidth="8" defaultRowHeight="14.5"/>
  <cols>
    <col width="3" customWidth="1" style="849" min="1" max="1"/>
    <col width="118" customWidth="1" style="849" min="2" max="2"/>
  </cols>
  <sheetData>
    <row r="2" ht="21" customHeight="1" s="849">
      <c r="A2" s="547" t="n"/>
      <c r="B2" s="578" t="inlineStr">
        <is>
          <t>How this workbook flows</t>
        </is>
      </c>
      <c r="C2" s="547" t="n"/>
      <c r="D2" s="547" t="n"/>
      <c r="E2" s="547" t="n"/>
      <c r="F2" s="547" t="n"/>
    </row>
    <row r="3">
      <c r="A3" s="547" t="n"/>
      <c r="B3" s="547" t="n"/>
      <c r="C3" s="547" t="n"/>
      <c r="D3" s="547" t="n"/>
      <c r="E3" s="547" t="n"/>
      <c r="F3" s="547" t="n"/>
    </row>
    <row r="4">
      <c r="A4" s="547" t="n"/>
      <c r="B4" s="548" t="inlineStr">
        <is>
          <t>The flow - two streams that meet in the middle</t>
        </is>
      </c>
      <c r="C4" s="547" t="n"/>
      <c r="D4" s="547" t="n"/>
      <c r="E4" s="547" t="n"/>
      <c r="F4" s="547" t="n"/>
    </row>
    <row r="5" ht="45" customHeight="1" s="849">
      <c r="A5" s="547" t="n"/>
      <c r="B5" s="579"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547" t="n"/>
      <c r="D5" s="547" t="n"/>
      <c r="E5" s="547" t="n"/>
      <c r="F5" s="547" t="n"/>
    </row>
    <row r="6" ht="45" customHeight="1" s="849">
      <c r="A6" s="547" t="n"/>
      <c r="B6" s="579" t="inlineStr">
        <is>
          <t>STREAM 2, THE ORG: the Squads tab holds every role actually raised (536, filled and vacant) and its model mapping. Sheet2 holds the updated FTE lists for BP&amp;T, SA&amp;D, Cyber and EGI. Added data holds what each person actually costs.</t>
        </is>
      </c>
      <c r="C6" s="547" t="n"/>
      <c r="D6" s="547" t="n"/>
      <c r="E6" s="547" t="n"/>
      <c r="F6" s="547" t="n"/>
    </row>
    <row r="7" ht="45" customHeight="1" s="849">
      <c r="A7" s="547" t="n"/>
      <c r="B7" s="579" t="inlineStr">
        <is>
          <t>THE ROLL-UP: the COE FTE lists (1.11 BP&amp;T, 1.12 SA&amp;D, 1.13 Cyber Roles) and their funding roll into 3.4 COE Summary. 3.1 Group Summary answers: can the budgets fund the design (with AU and NZ variance). 3.2 Total Cost is the test: the design vs what the org actually costs. 3.3 FTE View is the same test squad by squad.</t>
        </is>
      </c>
      <c r="C7" s="547" t="n"/>
      <c r="D7" s="547" t="n"/>
      <c r="E7" s="547" t="n"/>
      <c r="F7" s="547" t="n"/>
    </row>
    <row r="8" ht="30" customHeight="1" s="849">
      <c r="A8" s="547" t="n"/>
      <c r="B8" s="579" t="inlineStr">
        <is>
          <t>THE DECISIONS: tabs 4.1 to 4.14 - every role in the organisation appears on exactly one of them. GMs mark Hire or Hold on every vacancy. The Exec Summary tells the result. 4.0 Data QA is the evidence behind every number.</t>
        </is>
      </c>
      <c r="C8" s="547" t="n"/>
      <c r="D8" s="547" t="n"/>
      <c r="E8" s="547" t="n"/>
      <c r="F8" s="547" t="n"/>
    </row>
    <row r="9" ht="15" customHeight="1" s="849">
      <c r="A9" s="547" t="n"/>
      <c r="B9" s="548" t="inlineStr">
        <is>
          <t>What you can edit (yellow cells are inputs)</t>
        </is>
      </c>
      <c r="C9" s="547" t="n"/>
      <c r="D9" s="547" t="n"/>
      <c r="E9" s="547" t="n"/>
      <c r="F9" s="547" t="n"/>
    </row>
    <row r="10" ht="45" customHeight="1" s="849">
      <c r="A10" s="547" t="n"/>
      <c r="B10" s="579" t="inlineStr">
        <is>
          <t>0.2 Data Config: budgets, rates, allocations. | 0.3 Squad Archetypes: prices and the offshore rate. | 1.x: squad type, size, On/Off, support %, Fund (AU or NZ). | 2.x: the Vacancy lever cells. | Squads / Sheet2 / Added data: your source data.</t>
        </is>
      </c>
      <c r="C10" s="547" t="n"/>
      <c r="D10" s="547" t="n"/>
      <c r="E10" s="547" t="n"/>
      <c r="F10" s="547" t="n"/>
    </row>
    <row r="11" ht="15" customHeight="1" s="849">
      <c r="A11" s="547" t="n"/>
      <c r="B11" s="548" t="inlineStr">
        <is>
          <t>If you change X, Y updates</t>
        </is>
      </c>
      <c r="C11" s="547" t="n"/>
      <c r="D11" s="547" t="n"/>
      <c r="E11" s="547" t="n"/>
      <c r="F11" s="547" t="n"/>
    </row>
    <row r="12" ht="15" customHeight="1" s="849">
      <c r="A12" s="547" t="n"/>
      <c r="B12" s="579" t="inlineStr">
        <is>
          <t>A squad's type, size, On/Off, support % or Fund toggle on 1.x updates 2.5, 2.6, 2.7 and the Exec Summary.</t>
        </is>
      </c>
      <c r="C12" s="547" t="n"/>
      <c r="D12" s="547" t="n"/>
      <c r="E12" s="547" t="n"/>
      <c r="F12" s="547" t="n"/>
    </row>
    <row r="13" ht="15" customHeight="1" s="849">
      <c r="A13" s="547" t="n"/>
      <c r="B13" s="579" t="inlineStr">
        <is>
          <t>A status or mapping in the Squads tab updates every role count: 2.6, 2.7 and the 2.x working tabs.</t>
        </is>
      </c>
      <c r="C13" s="547" t="n"/>
      <c r="D13" s="547" t="n"/>
      <c r="E13" s="547" t="n"/>
      <c r="F13" s="547" t="n"/>
    </row>
    <row r="14" ht="30" customHeight="1" s="849">
      <c r="A14" s="547" t="n"/>
      <c r="B14" s="579" t="inlineStr">
        <is>
          <t>A person or cost in Sheet2 updates 2.1, 2.2, 2.3, the EGI FTE list, 2.4, the COE lines of 2.5 and 2.6, and tabs 4.12 to 4.14.</t>
        </is>
      </c>
      <c r="C14" s="547" t="n"/>
      <c r="D14" s="547" t="n"/>
      <c r="E14" s="547" t="n"/>
      <c r="F14" s="547" t="n"/>
    </row>
    <row r="15" ht="30" customHeight="1" s="849">
      <c r="A15" s="547" t="n"/>
      <c r="B15" s="579" t="inlineStr">
        <is>
          <t>A budget on 0.2 updates the budget and variance columns of 2.5, the draw-downs on 2.1 / 2.2 / 2.4, and left to fund everywhere.</t>
        </is>
      </c>
      <c r="C15" s="547" t="n"/>
      <c r="D15" s="547" t="n"/>
      <c r="E15" s="547" t="n"/>
      <c r="F15" s="547" t="n"/>
    </row>
    <row r="16" ht="30" customHeight="1" s="849">
      <c r="A16" s="547" t="n"/>
      <c r="B16" s="579" t="inlineStr">
        <is>
          <t>A Hire or Hold decision on 2.x updates that tab's cost of roles marked Hire. Totals move only when a role is actually hired in the raw data.</t>
        </is>
      </c>
      <c r="C16" s="547" t="n"/>
      <c r="D16" s="547" t="n"/>
      <c r="E16" s="547" t="n"/>
      <c r="F16" s="547" t="n"/>
    </row>
    <row r="17" ht="30" customHeight="1" s="849">
      <c r="A17" s="547" t="n"/>
      <c r="B17" s="548" t="inlineStr">
        <is>
          <t>What is safe to change in the source data - and what is not</t>
        </is>
      </c>
      <c r="C17" s="547" t="n"/>
      <c r="D17" s="547" t="n"/>
      <c r="E17" s="547" t="n"/>
      <c r="F17" s="547" t="n"/>
    </row>
    <row r="18" ht="15" customHeight="1" s="849">
      <c r="A18" s="547" t="n"/>
      <c r="B18" s="579" t="inlineStr">
        <is>
          <t>SAFE: any number (cost, base, rate), any status, any person's details. All model cells are live references.</t>
        </is>
      </c>
      <c r="C18" s="547" t="n"/>
      <c r="D18" s="547" t="n"/>
      <c r="E18" s="547" t="n"/>
      <c r="F18" s="547" t="n"/>
    </row>
    <row r="19" ht="30" customHeight="1" s="849">
      <c r="A19" s="547" t="n"/>
      <c r="B19" s="579" t="inlineStr">
        <is>
          <t>CAUTION: renaming a person in Squads without renaming them in Added data breaks that person's cost lookup (it falls back to the title average); 5.0 shows the drift.</t>
        </is>
      </c>
      <c r="C19" s="547" t="n"/>
      <c r="D19" s="547" t="n"/>
      <c r="E19" s="547" t="n"/>
      <c r="F19" s="547" t="n"/>
    </row>
    <row r="20" ht="45" customHeight="1" s="849">
      <c r="A20" s="547" t="n"/>
      <c r="B20" s="579" t="inlineStr">
        <is>
          <t>NOT SAFE ALONE: renaming a squad or portfolio (counts match the name as text), deleting rows (references break loudly and 4.0 stops footing - change the status instead), or adding rows at the bottom (the FTE lists need a refresh). Ask for a refresh after structural edits.</t>
        </is>
      </c>
      <c r="C20" s="547" t="n"/>
      <c r="D20" s="547" t="n"/>
      <c r="E20" s="547" t="n"/>
      <c r="F20" s="547" t="n"/>
    </row>
    <row r="21">
      <c r="A21" s="547" t="n"/>
      <c r="B21" s="548" t="inlineStr">
        <is>
          <t>How to trust it</t>
        </is>
      </c>
      <c r="C21" s="547" t="n"/>
      <c r="D21" s="547" t="n"/>
      <c r="E21" s="547" t="n"/>
      <c r="F21" s="547" t="n"/>
    </row>
    <row r="22" ht="45" customHeight="1" s="849">
      <c r="A22" s="547" t="n"/>
      <c r="B22" s="579" t="inlineStr">
        <is>
          <t>Every row labelled Check must read 0. All reconciliations, the Sheet2 update log, the mapping change log and the raw data audit live on 4.0 Data QA. Every role has exactly one 2.x home - if one were missed, the checks would not foot.</t>
        </is>
      </c>
      <c r="C22" s="547" t="n"/>
      <c r="D22" s="547" t="n"/>
      <c r="E22" s="547" t="n"/>
      <c r="F22" s="547" t="n"/>
    </row>
    <row r="23">
      <c r="A23" s="547" t="n"/>
      <c r="B23" s="547" t="n"/>
      <c r="C23" s="547" t="n"/>
      <c r="D23" s="547" t="n"/>
      <c r="E23" s="547" t="n"/>
      <c r="F23" s="547" t="n"/>
    </row>
    <row r="24">
      <c r="A24" s="547" t="n"/>
      <c r="B24" s="556" t="n"/>
      <c r="C24" s="547" t="n"/>
      <c r="D24" s="547" t="n"/>
      <c r="E24" s="547" t="n"/>
      <c r="F24" s="547" t="n"/>
    </row>
    <row r="25">
      <c r="A25" s="547" t="n"/>
      <c r="B25" s="547" t="n"/>
      <c r="C25" s="547" t="n"/>
      <c r="D25" s="547" t="n"/>
      <c r="E25" s="547" t="n"/>
      <c r="F25" s="547" t="n"/>
    </row>
    <row r="26">
      <c r="A26" s="547" t="n"/>
      <c r="B26" s="547" t="n"/>
      <c r="C26" s="547" t="n"/>
      <c r="D26" s="547" t="n"/>
      <c r="E26" s="547" t="n"/>
      <c r="F26" s="547" t="n"/>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B3:Y35"/>
  <sheetViews>
    <sheetView showGridLines="0" zoomScale="90" zoomScaleNormal="90" workbookViewId="0">
      <selection activeCell="A1" sqref="A1"/>
    </sheetView>
  </sheetViews>
  <sheetFormatPr baseColWidth="8" defaultColWidth="9.1796875" defaultRowHeight="13"/>
  <cols>
    <col width="9.1796875" customWidth="1" style="101" min="1" max="1"/>
    <col width="17.7265625" customWidth="1" style="101" min="2" max="2"/>
    <col width="15.7265625" customWidth="1" style="101" min="3" max="3"/>
    <col width="12.453125" customWidth="1" style="101" min="4" max="4"/>
    <col width="11.1796875" customWidth="1" style="101" min="5" max="5"/>
    <col width="14.7265625" customWidth="1" style="101" min="6" max="6"/>
    <col width="9.1796875" customWidth="1" style="101" min="7" max="7"/>
    <col width="12.7265625" customWidth="1" style="101" min="8" max="8"/>
    <col width="9.1796875" customWidth="1" style="101" min="9" max="13"/>
    <col width="11" customWidth="1" style="101" min="14" max="14"/>
    <col width="9.1796875" customWidth="1" style="101" min="15" max="18"/>
    <col width="9.1796875" customWidth="1" style="101" min="19" max="16384"/>
  </cols>
  <sheetData>
    <row r="2" ht="13.5" customHeight="1" s="849"/>
    <row r="3" ht="29.25" customHeight="1" s="849">
      <c r="B3" s="102" t="inlineStr">
        <is>
          <t>BUSINESS</t>
        </is>
      </c>
      <c r="C3" s="839" t="inlineStr">
        <is>
          <t>EGM Sponsor</t>
        </is>
      </c>
      <c r="D3" s="839" t="inlineStr">
        <is>
          <t>GM Sponsor</t>
        </is>
      </c>
      <c r="E3" s="839" t="inlineStr">
        <is>
          <t>Domain Architect</t>
        </is>
      </c>
      <c r="F3" s="839" t="inlineStr">
        <is>
          <t>HO Technology</t>
        </is>
      </c>
      <c r="G3" s="836" t="inlineStr">
        <is>
          <t>Lights-on</t>
        </is>
      </c>
      <c r="H3" s="846" t="n"/>
      <c r="I3" s="846" t="n"/>
      <c r="J3" s="846" t="n"/>
      <c r="K3" s="846" t="n"/>
      <c r="L3" s="841" t="n"/>
      <c r="M3" s="836" t="inlineStr">
        <is>
          <t>Depreciation</t>
        </is>
      </c>
      <c r="N3" s="836" t="inlineStr">
        <is>
          <t>Initiatives</t>
        </is>
      </c>
      <c r="O3" s="836" t="inlineStr">
        <is>
          <t>Sig Items</t>
        </is>
      </c>
      <c r="P3" s="836" t="inlineStr">
        <is>
          <t>Capex</t>
        </is>
      </c>
      <c r="Q3" s="103" t="inlineStr">
        <is>
          <t>Total Budget</t>
        </is>
      </c>
      <c r="R3" s="104" t="n"/>
      <c r="S3" s="823" t="inlineStr">
        <is>
          <t>Existing</t>
        </is>
      </c>
      <c r="T3" s="836" t="inlineStr">
        <is>
          <t>Aligned Delivery</t>
        </is>
      </c>
      <c r="U3" s="836" t="inlineStr">
        <is>
          <t>Aligned COE's</t>
        </is>
      </c>
      <c r="V3" s="103" t="inlineStr">
        <is>
          <t>Total Budget</t>
        </is>
      </c>
    </row>
    <row r="4" ht="29.25" customHeight="1" s="849">
      <c r="B4" s="105" t="inlineStr">
        <is>
          <t>SEGMENT</t>
        </is>
      </c>
      <c r="C4" s="822" t="n"/>
      <c r="D4" s="822" t="n"/>
      <c r="E4" s="822" t="n"/>
      <c r="F4" s="822" t="n"/>
      <c r="G4" s="106" t="inlineStr">
        <is>
          <t>People</t>
        </is>
      </c>
      <c r="H4" s="106" t="inlineStr">
        <is>
          <t>HW</t>
        </is>
      </c>
      <c r="I4" s="106" t="inlineStr">
        <is>
          <t>SW</t>
        </is>
      </c>
      <c r="J4" s="106" t="inlineStr">
        <is>
          <t>Network</t>
        </is>
      </c>
      <c r="K4" s="106" t="inlineStr">
        <is>
          <t>Vendor</t>
        </is>
      </c>
      <c r="L4" s="106" t="inlineStr">
        <is>
          <t>Sub-Total</t>
        </is>
      </c>
      <c r="M4" s="822" t="n"/>
      <c r="N4" s="822" t="n"/>
      <c r="O4" s="822" t="n"/>
      <c r="P4" s="822" t="n"/>
      <c r="Q4" s="107" t="inlineStr">
        <is>
          <t>FY2026</t>
        </is>
      </c>
      <c r="R4" s="108" t="n"/>
      <c r="S4" s="824" t="n"/>
      <c r="T4" s="822" t="n"/>
      <c r="U4" s="822" t="n"/>
      <c r="V4" s="107" t="inlineStr">
        <is>
          <t>FY2026</t>
        </is>
      </c>
    </row>
    <row r="5" ht="22.5" customHeight="1" s="849">
      <c r="B5" s="109" t="inlineStr">
        <is>
          <t>TDD Corporate (1)</t>
        </is>
      </c>
      <c r="C5" s="110" t="inlineStr">
        <is>
          <t>Brad Blyth</t>
        </is>
      </c>
      <c r="D5" s="111" t="n"/>
      <c r="E5" s="111" t="n"/>
      <c r="F5" s="111" t="n"/>
      <c r="G5" s="112" t="n">
        <v>35.2</v>
      </c>
      <c r="H5" s="112" t="n">
        <v>2.9</v>
      </c>
      <c r="I5" s="112" t="n">
        <v>25.6</v>
      </c>
      <c r="J5" s="112" t="n">
        <v>2.1</v>
      </c>
      <c r="K5" s="112" t="n">
        <v>13.1</v>
      </c>
      <c r="L5" s="113">
        <f>SUM(G5:K5)</f>
        <v>78.89999999999999</v>
      </c>
      <c r="M5" s="113" t="n">
        <v>5.8</v>
      </c>
      <c r="N5" s="113" t="n">
        <v>3</v>
      </c>
      <c r="O5" s="113" t="n">
        <v>20.2</v>
      </c>
      <c r="P5" s="113" t="n">
        <v>4.9</v>
      </c>
      <c r="Q5" s="114">
        <f>SUM(L5:P5)</f>
        <v>112.8</v>
      </c>
      <c r="R5" s="108" t="n"/>
      <c r="S5" s="115" t="n"/>
      <c r="T5" s="116" t="n"/>
      <c r="U5" s="117">
        <f>SUM(W25:W29)</f>
        <v>91.60000000000001</v>
      </c>
      <c r="V5" s="114">
        <f>SUM(S5:U5)</f>
        <v>91.60000000000001</v>
      </c>
    </row>
    <row r="6" ht="29.25" customHeight="1" s="849">
      <c r="B6" s="109" t="inlineStr">
        <is>
          <t>Z-Energy (2)</t>
        </is>
      </c>
      <c r="C6" s="110" t="inlineStr">
        <is>
          <t>Lindis Jones</t>
        </is>
      </c>
      <c r="D6" s="110" t="inlineStr">
        <is>
          <t>Vance Anderson</t>
        </is>
      </c>
      <c r="E6" s="111" t="n"/>
      <c r="F6" s="111" t="n"/>
      <c r="G6" s="112" t="n">
        <v>17.6</v>
      </c>
      <c r="H6" s="112" t="n">
        <v>19.8</v>
      </c>
      <c r="I6" s="112" t="n">
        <v>11.6</v>
      </c>
      <c r="J6" s="112" t="n">
        <v>0.6</v>
      </c>
      <c r="K6" s="112" t="n">
        <v>2.6</v>
      </c>
      <c r="L6" s="113">
        <f>SUM(G6:K6)</f>
        <v>52.20000000000001</v>
      </c>
      <c r="M6" s="113" t="n">
        <v>11.3</v>
      </c>
      <c r="N6" s="113" t="n">
        <v>1.4</v>
      </c>
      <c r="O6" s="113" t="inlineStr">
        <is>
          <t>-</t>
        </is>
      </c>
      <c r="P6" s="113" t="n">
        <v>11.7</v>
      </c>
      <c r="Q6" s="114">
        <f>SUM(L6:P6)</f>
        <v>76.60000000000002</v>
      </c>
      <c r="R6" s="108" t="n"/>
      <c r="S6" s="118">
        <f>Q6</f>
        <v>76.60000000000002</v>
      </c>
      <c r="T6" s="116" t="n"/>
      <c r="U6" s="116" t="n"/>
      <c r="V6" s="114">
        <f>SUM(S6:U6)</f>
        <v>76.60000000000002</v>
      </c>
    </row>
    <row r="7" ht="29.25" customHeight="1" s="849">
      <c r="B7" s="109" t="inlineStr">
        <is>
          <t>EnergySolutions</t>
        </is>
      </c>
      <c r="C7" s="110" t="inlineStr">
        <is>
          <t>Brent Merrick</t>
        </is>
      </c>
      <c r="D7" s="110" t="inlineStr">
        <is>
          <t>Roanne Steele</t>
        </is>
      </c>
      <c r="E7" s="111" t="n"/>
      <c r="F7" s="111" t="n"/>
      <c r="G7" s="112" t="n">
        <v>1</v>
      </c>
      <c r="H7" s="112" t="n">
        <v>1.5</v>
      </c>
      <c r="I7" s="112" t="n">
        <v>1.4</v>
      </c>
      <c r="J7" s="116" t="n"/>
      <c r="K7" s="116" t="n"/>
      <c r="L7" s="113">
        <f>SUM(G7:K7)</f>
        <v>3.9</v>
      </c>
      <c r="M7" s="119" t="n"/>
      <c r="N7" s="113" t="n">
        <v>1</v>
      </c>
      <c r="O7" s="119" t="n"/>
      <c r="P7" s="113" t="n">
        <v>2.3</v>
      </c>
      <c r="Q7" s="114">
        <f>SUM(L7:P7)</f>
        <v>7.2</v>
      </c>
      <c r="R7" s="108" t="n"/>
      <c r="S7" s="118">
        <f>Q7</f>
        <v>7.2</v>
      </c>
      <c r="T7" s="116" t="n"/>
      <c r="U7" s="116" t="n"/>
      <c r="V7" s="114">
        <f>SUM(S7:U7)</f>
        <v>7.2</v>
      </c>
      <c r="Y7" s="101">
        <f>SUM(L9,N9,O9,P9)</f>
        <v>33.8</v>
      </c>
    </row>
    <row r="8" ht="29.25" customHeight="1" s="849">
      <c r="B8" s="109" t="inlineStr">
        <is>
          <t>Commercial Fuels</t>
        </is>
      </c>
      <c r="C8" s="110" t="inlineStr">
        <is>
          <t>Brent Merrick</t>
        </is>
      </c>
      <c r="D8" s="110" t="inlineStr">
        <is>
          <t>Roanne Steele</t>
        </is>
      </c>
      <c r="E8" s="111" t="n"/>
      <c r="F8" s="111" t="n"/>
      <c r="G8" s="116" t="n"/>
      <c r="H8" s="112" t="n">
        <v>2.5</v>
      </c>
      <c r="I8" s="112" t="n">
        <v>9.4</v>
      </c>
      <c r="J8" s="112" t="n">
        <v>1.5</v>
      </c>
      <c r="K8" s="116" t="n"/>
      <c r="L8" s="113">
        <f>SUM(G8:K8)</f>
        <v>13.4</v>
      </c>
      <c r="M8" s="119" t="n"/>
      <c r="N8" s="113" t="n">
        <v>6.1</v>
      </c>
      <c r="O8" s="113" t="n">
        <v>14.2</v>
      </c>
      <c r="P8" s="113" t="n">
        <v>6.8</v>
      </c>
      <c r="Q8" s="114">
        <f>SUM(L8:P8)</f>
        <v>40.5</v>
      </c>
      <c r="R8" s="108" t="n"/>
      <c r="S8" s="118">
        <f>Q8</f>
        <v>40.5</v>
      </c>
      <c r="T8" s="120">
        <f>S19</f>
        <v>1.2</v>
      </c>
      <c r="U8" s="116" t="n"/>
      <c r="V8" s="114">
        <f>SUM(S8:U8)</f>
        <v>41.7</v>
      </c>
    </row>
    <row r="9" ht="29.25" customHeight="1" s="849">
      <c r="B9" s="109" t="inlineStr">
        <is>
          <t>Retail</t>
        </is>
      </c>
      <c r="C9" s="110" t="inlineStr">
        <is>
          <t>Kate Thomson</t>
        </is>
      </c>
      <c r="D9" s="110" t="inlineStr">
        <is>
          <t>Roanne Steele</t>
        </is>
      </c>
      <c r="E9" s="111" t="n"/>
      <c r="F9" s="111" t="n"/>
      <c r="G9" s="116" t="n"/>
      <c r="H9" s="112" t="n">
        <v>5.3</v>
      </c>
      <c r="I9" s="112" t="n">
        <v>6.4</v>
      </c>
      <c r="J9" s="112" t="n">
        <v>2.2</v>
      </c>
      <c r="K9" s="116" t="n"/>
      <c r="L9" s="113">
        <f>SUM(G9:K9)</f>
        <v>13.899999999999999</v>
      </c>
      <c r="M9" s="119" t="n"/>
      <c r="N9" s="113" t="n">
        <v>1.3</v>
      </c>
      <c r="O9" s="113" t="n">
        <v>6.8</v>
      </c>
      <c r="P9" s="113" t="n">
        <v>11.8</v>
      </c>
      <c r="Q9" s="114">
        <f>SUM(L9:P9)</f>
        <v>33.8</v>
      </c>
      <c r="R9" s="108" t="n"/>
      <c r="S9" s="118">
        <f>Q9</f>
        <v>33.8</v>
      </c>
      <c r="T9" s="120">
        <f>S20</f>
        <v>5.2</v>
      </c>
      <c r="U9" s="116" t="n"/>
      <c r="V9" s="114">
        <f>SUM(S9:U9)</f>
        <v>39.0</v>
      </c>
    </row>
    <row r="10" ht="29.25" customHeight="1" s="849">
      <c r="B10" s="109" t="inlineStr">
        <is>
          <t>Infrastructure</t>
        </is>
      </c>
      <c r="C10" s="110" t="inlineStr">
        <is>
          <t>Michelle Bardy</t>
        </is>
      </c>
      <c r="D10" s="110" t="inlineStr">
        <is>
          <t>Roanne Steele</t>
        </is>
      </c>
      <c r="E10" s="111" t="n"/>
      <c r="F10" s="111" t="n"/>
      <c r="G10" s="116" t="n"/>
      <c r="H10" s="112" t="n">
        <v>1.9</v>
      </c>
      <c r="I10" s="112" t="n">
        <v>2</v>
      </c>
      <c r="J10" s="116" t="n"/>
      <c r="K10" s="116" t="n"/>
      <c r="L10" s="113">
        <f>SUM(G10:K10)</f>
        <v>3.9</v>
      </c>
      <c r="M10" s="119" t="n"/>
      <c r="N10" s="113" t="n">
        <v>0.4</v>
      </c>
      <c r="O10" s="119" t="n"/>
      <c r="P10" s="113" t="n">
        <v>5</v>
      </c>
      <c r="Q10" s="114">
        <f>SUM(L10:P10)</f>
        <v>9.3</v>
      </c>
      <c r="R10" s="108" t="n"/>
      <c r="S10" s="118">
        <f>Q10</f>
        <v>9.3</v>
      </c>
      <c r="T10" s="120">
        <f>S21</f>
        <v>2.2</v>
      </c>
      <c r="U10" s="116" t="n"/>
      <c r="V10" s="114">
        <f>SUM(S10:U10)</f>
        <v>11.5</v>
      </c>
    </row>
    <row r="11" ht="29.25" customHeight="1" s="849">
      <c r="B11" s="109" t="inlineStr">
        <is>
          <t>Corporate Finance</t>
        </is>
      </c>
      <c r="C11" s="110" t="inlineStr">
        <is>
          <t>Greg Barnes</t>
        </is>
      </c>
      <c r="D11" s="110" t="inlineStr">
        <is>
          <t>Emily Mogic</t>
        </is>
      </c>
      <c r="E11" s="111" t="n"/>
      <c r="F11" s="111" t="n"/>
      <c r="G11" s="116" t="n"/>
      <c r="H11" s="112" t="n">
        <v>0.5</v>
      </c>
      <c r="I11" s="112" t="n">
        <v>2.1</v>
      </c>
      <c r="J11" s="116" t="n"/>
      <c r="K11" s="116" t="n"/>
      <c r="L11" s="113">
        <f>SUM(G11:K11)</f>
        <v>2.6</v>
      </c>
      <c r="M11" s="119" t="n"/>
      <c r="N11" s="113" t="n">
        <v>0.9</v>
      </c>
      <c r="O11" s="119" t="n"/>
      <c r="P11" s="119" t="n"/>
      <c r="Q11" s="114">
        <f>SUM(L11:P11)</f>
        <v>3.5</v>
      </c>
      <c r="R11" s="108" t="n"/>
      <c r="S11" s="118">
        <f>Q11</f>
        <v>3.5</v>
      </c>
      <c r="T11" s="120">
        <f>S22</f>
        <v>9.0</v>
      </c>
      <c r="U11" s="116" t="n"/>
      <c r="V11" s="114">
        <f>SUM(S11:U11)</f>
        <v>12.5</v>
      </c>
    </row>
    <row r="12" ht="22.5" customHeight="1" s="849">
      <c r="B12" s="109" t="inlineStr">
        <is>
          <t>P&amp;C</t>
        </is>
      </c>
      <c r="C12" s="110" t="inlineStr">
        <is>
          <t>Meaghan Davis</t>
        </is>
      </c>
      <c r="D12" s="110" t="inlineStr">
        <is>
          <t>Emily Mogic</t>
        </is>
      </c>
      <c r="E12" s="111" t="n"/>
      <c r="F12" s="111" t="n"/>
      <c r="G12" s="116" t="n"/>
      <c r="H12" s="112" t="n">
        <v>0.3</v>
      </c>
      <c r="I12" s="112" t="n">
        <v>1.8</v>
      </c>
      <c r="J12" s="116" t="n"/>
      <c r="K12" s="116" t="n"/>
      <c r="L12" s="113">
        <f>SUM(G12:K12)</f>
        <v>2.1</v>
      </c>
      <c r="M12" s="119" t="n"/>
      <c r="N12" s="113" t="n">
        <v>2</v>
      </c>
      <c r="O12" s="113" t="n">
        <v>1.4</v>
      </c>
      <c r="P12" s="113" t="n">
        <v>0.3</v>
      </c>
      <c r="Q12" s="114">
        <f>SUM(L12:P12)</f>
        <v>5.8</v>
      </c>
      <c r="R12" s="108" t="n"/>
      <c r="S12" s="118">
        <f>Q12</f>
        <v>5.8</v>
      </c>
      <c r="T12" s="120">
        <f>S23</f>
        <v>0.0</v>
      </c>
      <c r="U12" s="116" t="n"/>
      <c r="V12" s="114">
        <f>SUM(S12:U12)</f>
        <v>5.8</v>
      </c>
    </row>
    <row r="13" ht="29.25" customHeight="1" s="849">
      <c r="B13" s="109" t="inlineStr">
        <is>
          <t>Customer</t>
        </is>
      </c>
      <c r="C13" s="121" t="inlineStr">
        <is>
          <t>Kate Thomson</t>
        </is>
      </c>
      <c r="D13" s="121" t="inlineStr">
        <is>
          <t>Vance Anderson</t>
        </is>
      </c>
      <c r="E13" s="122" t="n"/>
      <c r="F13" s="122" t="n"/>
      <c r="G13" s="123" t="n"/>
      <c r="H13" s="124" t="n">
        <v>0.1</v>
      </c>
      <c r="I13" s="124" t="n">
        <v>1.6</v>
      </c>
      <c r="J13" s="123" t="n"/>
      <c r="K13" s="123" t="n"/>
      <c r="L13" s="125">
        <f>SUM(G13:K13)</f>
        <v>1.7000000000000002</v>
      </c>
      <c r="M13" s="126" t="n"/>
      <c r="N13" s="126" t="n"/>
      <c r="O13" s="125" t="n">
        <v>5</v>
      </c>
      <c r="P13" s="125" t="n">
        <v>5</v>
      </c>
      <c r="Q13" s="127">
        <f>SUM(L13:P13)</f>
        <v>11.7</v>
      </c>
      <c r="R13" s="128" t="n"/>
      <c r="S13" s="129">
        <f>Q13</f>
        <v>11.7</v>
      </c>
      <c r="T13" s="130">
        <f>S24</f>
        <v>3.6999999999999997</v>
      </c>
      <c r="U13" s="123" t="n"/>
      <c r="V13" s="127">
        <f>SUM(S13:U13)</f>
        <v>15.399999999999999</v>
      </c>
    </row>
    <row r="14" ht="22.5" customHeight="1" s="849">
      <c r="B14" s="131" t="inlineStr">
        <is>
          <t>Total Technology</t>
        </is>
      </c>
      <c r="C14" s="132" t="n"/>
      <c r="D14" s="132" t="n"/>
      <c r="E14" s="132" t="n"/>
      <c r="F14" s="132" t="n"/>
      <c r="G14" s="133">
        <f>SUM(G5:G13)</f>
        <v>53.800000000000004</v>
      </c>
      <c r="H14" s="133">
        <f>SUM(H5:H13)</f>
        <v>34.8</v>
      </c>
      <c r="I14" s="133">
        <f>SUM(I5:I13)</f>
        <v>61.9</v>
      </c>
      <c r="J14" s="133">
        <f>SUM(J5:J13)</f>
        <v>6.4</v>
      </c>
      <c r="K14" s="133">
        <f>SUM(K5:K13)</f>
        <v>15.7</v>
      </c>
      <c r="L14" s="134">
        <f>SUM(L5:L13)</f>
        <v>172.6</v>
      </c>
      <c r="M14" s="134">
        <f>SUM(M5:M13)</f>
        <v>17.1</v>
      </c>
      <c r="N14" s="134">
        <f>SUM(N5:N13)</f>
        <v>16.1</v>
      </c>
      <c r="O14" s="134">
        <f>SUM(O5:O13)</f>
        <v>47.599999999999994</v>
      </c>
      <c r="P14" s="134">
        <f>SUM(P5:P13)</f>
        <v>47.800000000000004</v>
      </c>
      <c r="Q14" s="135">
        <f>SUM(Q5:Q13)</f>
        <v>301.2</v>
      </c>
      <c r="R14" s="136" t="n"/>
      <c r="S14" s="137">
        <f>SUM(S6:S13)</f>
        <v>188.40000000000003</v>
      </c>
      <c r="T14" s="138">
        <f>SUM(T8:T13)</f>
        <v>21.3</v>
      </c>
      <c r="U14" s="138">
        <f>U5</f>
        <v>91.60000000000001</v>
      </c>
      <c r="V14" s="135">
        <f>SUM(V5:V13)</f>
        <v>301.3</v>
      </c>
    </row>
    <row r="16" ht="13.5" customHeight="1" s="849"/>
    <row r="17" ht="26.25" customHeight="1" s="849">
      <c r="B17" s="842" t="inlineStr">
        <is>
          <t>BUSINESS SEGMENT</t>
        </is>
      </c>
      <c r="C17" s="843" t="n"/>
      <c r="D17" s="826" t="n"/>
      <c r="E17" s="842" t="inlineStr">
        <is>
          <t>EGM Sponsor</t>
        </is>
      </c>
      <c r="F17" s="842" t="inlineStr">
        <is>
          <t>GM Sponsor</t>
        </is>
      </c>
      <c r="G17" s="842" t="inlineStr">
        <is>
          <t>Domain Architect</t>
        </is>
      </c>
      <c r="H17" s="842" t="inlineStr">
        <is>
          <t>HO Technology</t>
        </is>
      </c>
      <c r="I17" s="834" t="inlineStr">
        <is>
          <t>Lights-on</t>
        </is>
      </c>
      <c r="J17" s="832" t="n"/>
      <c r="K17" s="832" t="n"/>
      <c r="L17" s="832" t="n"/>
      <c r="M17" s="832" t="n"/>
      <c r="N17" s="847" t="n"/>
      <c r="O17" s="834" t="inlineStr">
        <is>
          <t>Depreciation</t>
        </is>
      </c>
      <c r="P17" s="834" t="inlineStr">
        <is>
          <t>Initiatives</t>
        </is>
      </c>
      <c r="Q17" s="834" t="inlineStr">
        <is>
          <t>Sig Items</t>
        </is>
      </c>
      <c r="R17" s="834" t="inlineStr">
        <is>
          <t>Capex</t>
        </is>
      </c>
      <c r="S17" s="139" t="inlineStr">
        <is>
          <t>Total Budget</t>
        </is>
      </c>
      <c r="T17" s="140" t="n"/>
      <c r="U17" s="845" t="inlineStr">
        <is>
          <t>Existing</t>
        </is>
      </c>
      <c r="V17" s="821" t="inlineStr">
        <is>
          <t>Aligned  Delivery</t>
        </is>
      </c>
      <c r="W17" s="141" t="inlineStr">
        <is>
          <t>Aligned</t>
        </is>
      </c>
      <c r="X17" s="142" t="inlineStr">
        <is>
          <t>Total Budget</t>
        </is>
      </c>
    </row>
    <row r="18" ht="13.5" customHeight="1" s="849">
      <c r="B18" s="829" t="n"/>
      <c r="C18" s="844" t="n"/>
      <c r="D18" s="830" t="n"/>
      <c r="E18" s="835" t="n"/>
      <c r="F18" s="835" t="n"/>
      <c r="G18" s="835" t="n"/>
      <c r="H18" s="835" t="n"/>
      <c r="I18" s="143" t="inlineStr">
        <is>
          <t>People</t>
        </is>
      </c>
      <c r="J18" s="143" t="inlineStr">
        <is>
          <t>HW</t>
        </is>
      </c>
      <c r="K18" s="143" t="inlineStr">
        <is>
          <t>SW</t>
        </is>
      </c>
      <c r="L18" s="143" t="inlineStr">
        <is>
          <t>Network</t>
        </is>
      </c>
      <c r="M18" s="143" t="inlineStr">
        <is>
          <t>Vendor</t>
        </is>
      </c>
      <c r="N18" s="143" t="inlineStr">
        <is>
          <t>Sub-Total</t>
        </is>
      </c>
      <c r="O18" s="835" t="n"/>
      <c r="P18" s="835" t="n"/>
      <c r="Q18" s="835" t="n"/>
      <c r="R18" s="835" t="n"/>
      <c r="S18" s="144" t="inlineStr">
        <is>
          <t>FY2026</t>
        </is>
      </c>
      <c r="T18" s="145" t="n"/>
      <c r="U18" s="824" t="n"/>
      <c r="V18" s="822" t="n"/>
      <c r="W18" s="146" t="inlineStr">
        <is>
          <t>COE's</t>
        </is>
      </c>
      <c r="X18" s="147" t="inlineStr">
        <is>
          <t>FY2026</t>
        </is>
      </c>
    </row>
    <row r="19" ht="26.25" customHeight="1" s="849">
      <c r="B19" s="825" t="n"/>
      <c r="C19" s="826" t="n"/>
      <c r="D19" s="148" t="inlineStr">
        <is>
          <t>Commercial Fuels</t>
        </is>
      </c>
      <c r="E19" s="149" t="n"/>
      <c r="F19" s="149" t="n"/>
      <c r="G19" s="149" t="n"/>
      <c r="H19" s="149" t="n"/>
      <c r="I19" s="150" t="n">
        <v>1.2</v>
      </c>
      <c r="J19" s="150" t="n">
        <v>0</v>
      </c>
      <c r="K19" s="150" t="n">
        <v>0</v>
      </c>
      <c r="L19" s="150" t="inlineStr">
        <is>
          <t>-</t>
        </is>
      </c>
      <c r="M19" s="150" t="inlineStr">
        <is>
          <t>-</t>
        </is>
      </c>
      <c r="N19" s="150">
        <f>SUM(I19:M19)</f>
        <v>1.2</v>
      </c>
      <c r="O19" s="150" t="inlineStr">
        <is>
          <t>-</t>
        </is>
      </c>
      <c r="P19" s="151" t="n"/>
      <c r="Q19" s="151" t="n"/>
      <c r="R19" s="152" t="n"/>
      <c r="S19" s="153">
        <f>SUM(N19:R19)</f>
        <v>1.2</v>
      </c>
      <c r="T19" s="145" t="n"/>
      <c r="U19" s="154" t="n"/>
      <c r="V19" s="155" t="n"/>
      <c r="W19" s="155" t="n"/>
      <c r="X19" s="156" t="inlineStr">
        <is>
          <t>-</t>
        </is>
      </c>
    </row>
    <row r="20" ht="13.5" customHeight="1" s="849">
      <c r="B20" s="827" t="n"/>
      <c r="C20" s="828" t="n"/>
      <c r="D20" s="157" t="inlineStr">
        <is>
          <t>Retail</t>
        </is>
      </c>
      <c r="E20" s="158" t="n"/>
      <c r="F20" s="158" t="n"/>
      <c r="G20" s="158" t="n"/>
      <c r="H20" s="158" t="n"/>
      <c r="I20" s="159" t="n">
        <v>3.4</v>
      </c>
      <c r="J20" s="159" t="n">
        <v>0.2</v>
      </c>
      <c r="K20" s="159" t="n">
        <v>0.9</v>
      </c>
      <c r="L20" s="159" t="inlineStr">
        <is>
          <t>-</t>
        </is>
      </c>
      <c r="M20" s="159" t="n">
        <v>0.7</v>
      </c>
      <c r="N20" s="159">
        <f>SUM(I20:M20)</f>
        <v>5.2</v>
      </c>
      <c r="O20" s="159" t="inlineStr">
        <is>
          <t>-</t>
        </is>
      </c>
      <c r="P20" s="155" t="n"/>
      <c r="Q20" s="155" t="n"/>
      <c r="R20" s="160" t="n"/>
      <c r="S20" s="161">
        <f>SUM(N20:R20)</f>
        <v>5.2</v>
      </c>
      <c r="T20" s="145" t="n"/>
      <c r="U20" s="154" t="n"/>
      <c r="V20" s="155" t="n"/>
      <c r="W20" s="155" t="n"/>
      <c r="X20" s="156" t="inlineStr">
        <is>
          <t>-</t>
        </is>
      </c>
    </row>
    <row r="21" ht="30" customHeight="1" s="849">
      <c r="B21" s="827" t="n"/>
      <c r="C21" s="828" t="n"/>
      <c r="D21" s="157" t="inlineStr">
        <is>
          <t>Infrastructure</t>
        </is>
      </c>
      <c r="E21" s="158" t="n"/>
      <c r="F21" s="158" t="n"/>
      <c r="G21" s="158" t="n"/>
      <c r="H21" s="158" t="n"/>
      <c r="I21" s="159" t="n">
        <v>2</v>
      </c>
      <c r="J21" s="159" t="inlineStr">
        <is>
          <t>-</t>
        </is>
      </c>
      <c r="K21" s="159" t="n">
        <v>0.2</v>
      </c>
      <c r="L21" s="159" t="inlineStr">
        <is>
          <t>-</t>
        </is>
      </c>
      <c r="M21" s="159" t="inlineStr">
        <is>
          <t>-</t>
        </is>
      </c>
      <c r="N21" s="159">
        <f>SUM(I21:M21)</f>
        <v>2.2</v>
      </c>
      <c r="O21" s="159" t="inlineStr">
        <is>
          <t>-</t>
        </is>
      </c>
      <c r="P21" s="155" t="n"/>
      <c r="Q21" s="155" t="n"/>
      <c r="R21" s="160" t="n"/>
      <c r="S21" s="161">
        <f>SUM(N21:R21)</f>
        <v>2.2</v>
      </c>
      <c r="T21" s="145" t="n"/>
      <c r="U21" s="154" t="n"/>
      <c r="V21" s="155" t="n"/>
      <c r="W21" s="155" t="n"/>
      <c r="X21" s="156" t="inlineStr">
        <is>
          <t>-</t>
        </is>
      </c>
    </row>
    <row r="22" ht="26.25" customHeight="1" s="849">
      <c r="B22" s="827" t="n"/>
      <c r="C22" s="828" t="n"/>
      <c r="D22" s="157" t="inlineStr">
        <is>
          <t>Corporate Finance</t>
        </is>
      </c>
      <c r="E22" s="158" t="n"/>
      <c r="F22" s="158" t="n"/>
      <c r="G22" s="158" t="n"/>
      <c r="H22" s="158" t="n"/>
      <c r="I22" s="159" t="n">
        <v>1.3</v>
      </c>
      <c r="J22" s="159" t="inlineStr">
        <is>
          <t>-</t>
        </is>
      </c>
      <c r="K22" s="159" t="n">
        <v>4.2</v>
      </c>
      <c r="L22" s="159" t="inlineStr">
        <is>
          <t>-</t>
        </is>
      </c>
      <c r="M22" s="159" t="n">
        <v>3.5</v>
      </c>
      <c r="N22" s="159">
        <f>SUM(I22:M22)</f>
        <v>9.0</v>
      </c>
      <c r="O22" s="159" t="inlineStr">
        <is>
          <t>-</t>
        </is>
      </c>
      <c r="P22" s="155" t="n"/>
      <c r="Q22" s="155" t="n"/>
      <c r="R22" s="160" t="n"/>
      <c r="S22" s="161">
        <f>SUM(N22:R22)</f>
        <v>9.0</v>
      </c>
      <c r="T22" s="145" t="n"/>
      <c r="U22" s="154" t="n"/>
      <c r="V22" s="155" t="n"/>
      <c r="W22" s="155" t="n"/>
      <c r="X22" s="156" t="inlineStr">
        <is>
          <t>-</t>
        </is>
      </c>
    </row>
    <row r="23" ht="13.5" customHeight="1" s="849">
      <c r="B23" s="827" t="n"/>
      <c r="C23" s="828" t="n"/>
      <c r="D23" s="157" t="inlineStr">
        <is>
          <t>P&amp;C</t>
        </is>
      </c>
      <c r="E23" s="158" t="n"/>
      <c r="F23" s="158" t="n"/>
      <c r="G23" s="158" t="n"/>
      <c r="H23" s="158" t="n"/>
      <c r="I23" s="159" t="n">
        <v>0</v>
      </c>
      <c r="J23" s="159" t="inlineStr">
        <is>
          <t>-</t>
        </is>
      </c>
      <c r="K23" s="159" t="inlineStr">
        <is>
          <t>-</t>
        </is>
      </c>
      <c r="L23" s="159" t="inlineStr">
        <is>
          <t>-</t>
        </is>
      </c>
      <c r="M23" s="159" t="inlineStr">
        <is>
          <t>-</t>
        </is>
      </c>
      <c r="N23" s="159">
        <f>SUM(I23:M23)</f>
        <v>0.0</v>
      </c>
      <c r="O23" s="159" t="inlineStr">
        <is>
          <t>-</t>
        </is>
      </c>
      <c r="P23" s="155" t="n"/>
      <c r="Q23" s="155" t="n"/>
      <c r="R23" s="160" t="n"/>
      <c r="S23" s="161">
        <f>SUM(N23:R23)</f>
        <v>0.0</v>
      </c>
      <c r="T23" s="145" t="n"/>
      <c r="U23" s="154" t="n"/>
      <c r="V23" s="155" t="n"/>
      <c r="W23" s="155" t="n"/>
      <c r="X23" s="156" t="inlineStr">
        <is>
          <t>-</t>
        </is>
      </c>
    </row>
    <row r="24" ht="13.5" customHeight="1" s="849">
      <c r="B24" s="827" t="n"/>
      <c r="C24" s="828" t="n"/>
      <c r="D24" s="157" t="inlineStr">
        <is>
          <t>Customer</t>
        </is>
      </c>
      <c r="E24" s="158" t="n"/>
      <c r="F24" s="158" t="n"/>
      <c r="G24" s="158" t="n"/>
      <c r="H24" s="158" t="n"/>
      <c r="I24" s="159" t="n">
        <v>1.2</v>
      </c>
      <c r="J24" s="159" t="inlineStr">
        <is>
          <t>-</t>
        </is>
      </c>
      <c r="K24" s="159" t="n">
        <v>0.6</v>
      </c>
      <c r="L24" s="159" t="n">
        <v>0</v>
      </c>
      <c r="M24" s="159" t="n">
        <v>1</v>
      </c>
      <c r="N24" s="159">
        <f>SUM(I24:M24)</f>
        <v>2.8</v>
      </c>
      <c r="O24" s="159" t="n">
        <v>0.9</v>
      </c>
      <c r="P24" s="155" t="n"/>
      <c r="Q24" s="155" t="n"/>
      <c r="R24" s="160" t="n"/>
      <c r="S24" s="161">
        <f>SUM(N24:R24)</f>
        <v>3.6999999999999997</v>
      </c>
      <c r="T24" s="145" t="n"/>
      <c r="U24" s="154" t="n"/>
      <c r="V24" s="155" t="n"/>
      <c r="W24" s="155" t="n"/>
      <c r="X24" s="156" t="inlineStr">
        <is>
          <t>-</t>
        </is>
      </c>
    </row>
    <row r="25" ht="13.5" customHeight="1" s="849">
      <c r="B25" s="827" t="n"/>
      <c r="C25" s="828" t="n"/>
      <c r="D25" s="162" t="inlineStr">
        <is>
          <t>TDD</t>
        </is>
      </c>
      <c r="E25" s="163" t="n"/>
      <c r="F25" s="164" t="inlineStr">
        <is>
          <t>Emily Mogic</t>
        </is>
      </c>
      <c r="G25" s="163" t="n"/>
      <c r="H25" s="163" t="n"/>
      <c r="I25" s="159" t="n">
        <v>4.5</v>
      </c>
      <c r="J25" s="159" t="n">
        <v>2.5</v>
      </c>
      <c r="K25" s="159" t="n">
        <v>14.5</v>
      </c>
      <c r="L25" s="159" t="n">
        <v>0</v>
      </c>
      <c r="M25" s="159" t="n">
        <v>0.8</v>
      </c>
      <c r="N25" s="159">
        <f>SUM(I25:M25)</f>
        <v>22.3</v>
      </c>
      <c r="O25" s="159" t="n">
        <v>4.9</v>
      </c>
      <c r="P25" s="155" t="n"/>
      <c r="Q25" s="155" t="n"/>
      <c r="R25" s="160" t="n"/>
      <c r="S25" s="165">
        <f>SUM(N25:R25)</f>
        <v>27.200000000000003</v>
      </c>
      <c r="T25" s="145" t="n"/>
      <c r="U25" s="154" t="n"/>
      <c r="V25" s="155" t="n"/>
      <c r="W25" s="166">
        <f>S25</f>
        <v>27.200000000000003</v>
      </c>
      <c r="X25" s="156">
        <f>W25</f>
        <v>27.200000000000003</v>
      </c>
    </row>
    <row r="26" ht="13.5" customHeight="1" s="849">
      <c r="B26" s="827" t="n"/>
      <c r="C26" s="828" t="n"/>
      <c r="D26" s="162" t="inlineStr">
        <is>
          <t>TDDEGM</t>
        </is>
      </c>
      <c r="E26" s="163" t="n"/>
      <c r="F26" s="164" t="inlineStr">
        <is>
          <t>Brad Blyth</t>
        </is>
      </c>
      <c r="G26" s="163" t="n"/>
      <c r="H26" s="163" t="n"/>
      <c r="I26" s="159" t="n">
        <v>6.5</v>
      </c>
      <c r="J26" s="159" t="inlineStr">
        <is>
          <t>-</t>
        </is>
      </c>
      <c r="K26" s="159" t="inlineStr">
        <is>
          <t>-</t>
        </is>
      </c>
      <c r="L26" s="159" t="inlineStr">
        <is>
          <t>-</t>
        </is>
      </c>
      <c r="M26" s="159" t="n">
        <v>3.6</v>
      </c>
      <c r="N26" s="159">
        <f>SUM(I26:M26)</f>
        <v>10.1</v>
      </c>
      <c r="O26" s="159" t="inlineStr">
        <is>
          <t>-</t>
        </is>
      </c>
      <c r="P26" s="159" t="n">
        <v>3</v>
      </c>
      <c r="Q26" s="159" t="n">
        <v>20.2</v>
      </c>
      <c r="R26" s="167" t="n">
        <v>4.9</v>
      </c>
      <c r="S26" s="165">
        <f>SUM(N26:R26)</f>
        <v>38.199999999999996</v>
      </c>
      <c r="T26" s="145" t="n"/>
      <c r="U26" s="154" t="n"/>
      <c r="V26" s="155" t="n"/>
      <c r="W26" s="166">
        <f>S26</f>
        <v>38.199999999999996</v>
      </c>
      <c r="X26" s="156">
        <f>W26</f>
        <v>38.199999999999996</v>
      </c>
    </row>
    <row r="27" ht="39" customHeight="1" s="849">
      <c r="B27" s="827" t="n"/>
      <c r="C27" s="828" t="n"/>
      <c r="D27" s="162" t="inlineStr">
        <is>
          <t>Strategy, Architecture and Data</t>
        </is>
      </c>
      <c r="E27" s="163" t="n"/>
      <c r="F27" s="164" t="inlineStr">
        <is>
          <t>Matt Ashley</t>
        </is>
      </c>
      <c r="G27" s="163" t="n"/>
      <c r="H27" s="163" t="n"/>
      <c r="I27" s="159" t="n">
        <v>5.3</v>
      </c>
      <c r="J27" s="159" t="inlineStr">
        <is>
          <t>-</t>
        </is>
      </c>
      <c r="K27" s="159" t="n">
        <v>1</v>
      </c>
      <c r="L27" s="159" t="inlineStr">
        <is>
          <t>-</t>
        </is>
      </c>
      <c r="M27" s="159" t="n">
        <v>0.6</v>
      </c>
      <c r="N27" s="159">
        <f>SUM(I27:M27)</f>
        <v>6.8999999999999995</v>
      </c>
      <c r="O27" s="159" t="inlineStr">
        <is>
          <t>-</t>
        </is>
      </c>
      <c r="P27" s="155" t="n"/>
      <c r="Q27" s="155" t="n"/>
      <c r="R27" s="160" t="n"/>
      <c r="S27" s="165">
        <f>SUM(N27:R27)</f>
        <v>6.8999999999999995</v>
      </c>
      <c r="T27" s="145" t="n"/>
      <c r="U27" s="154" t="n"/>
      <c r="V27" s="155" t="n"/>
      <c r="W27" s="166">
        <f>S27</f>
        <v>6.8999999999999995</v>
      </c>
      <c r="X27" s="156">
        <f>W27</f>
        <v>6.8999999999999995</v>
      </c>
    </row>
    <row r="28" ht="39" customHeight="1" s="849">
      <c r="B28" s="827" t="n"/>
      <c r="C28" s="828" t="n"/>
      <c r="D28" s="162" t="inlineStr">
        <is>
          <t>Cyber Risk and Operations</t>
        </is>
      </c>
      <c r="E28" s="163" t="n"/>
      <c r="F28" s="164" t="inlineStr">
        <is>
          <t>Frances Bouzo</t>
        </is>
      </c>
      <c r="G28" s="163" t="n"/>
      <c r="H28" s="163" t="n"/>
      <c r="I28" s="159" t="n">
        <v>7.6</v>
      </c>
      <c r="J28" s="159" t="n">
        <v>0.2</v>
      </c>
      <c r="K28" s="159" t="n">
        <v>4.3</v>
      </c>
      <c r="L28" s="159" t="n">
        <v>2</v>
      </c>
      <c r="M28" s="159" t="n">
        <v>2.9</v>
      </c>
      <c r="N28" s="159">
        <f>SUM(I28:M28)</f>
        <v>17.0</v>
      </c>
      <c r="O28" s="159" t="inlineStr">
        <is>
          <t>-</t>
        </is>
      </c>
      <c r="P28" s="155" t="n"/>
      <c r="Q28" s="155" t="n"/>
      <c r="R28" s="160" t="n"/>
      <c r="S28" s="165">
        <f>SUM(N28:R28)</f>
        <v>17.0</v>
      </c>
      <c r="T28" s="145" t="n"/>
      <c r="U28" s="154" t="n"/>
      <c r="V28" s="155" t="n"/>
      <c r="W28" s="166">
        <f>S28</f>
        <v>17.0</v>
      </c>
      <c r="X28" s="156">
        <f>W28</f>
        <v>17.0</v>
      </c>
    </row>
    <row r="29" ht="52.5" customHeight="1" s="849">
      <c r="B29" s="829" t="n"/>
      <c r="C29" s="830" t="n"/>
      <c r="D29" s="168" t="inlineStr">
        <is>
          <t>Business Partnering and Governance</t>
        </is>
      </c>
      <c r="E29" s="169" t="n"/>
      <c r="F29" s="170" t="inlineStr">
        <is>
          <t>Michael Schofield</t>
        </is>
      </c>
      <c r="G29" s="169" t="n"/>
      <c r="H29" s="169" t="n"/>
      <c r="I29" s="171" t="n">
        <v>2.3</v>
      </c>
      <c r="J29" s="171" t="inlineStr">
        <is>
          <t>-</t>
        </is>
      </c>
      <c r="K29" s="171" t="inlineStr">
        <is>
          <t>-</t>
        </is>
      </c>
      <c r="L29" s="171" t="inlineStr">
        <is>
          <t>-</t>
        </is>
      </c>
      <c r="M29" s="171" t="inlineStr">
        <is>
          <t>-</t>
        </is>
      </c>
      <c r="N29" s="171">
        <f>SUM(I29:M29)</f>
        <v>2.3</v>
      </c>
      <c r="O29" s="171" t="inlineStr">
        <is>
          <t>-</t>
        </is>
      </c>
      <c r="P29" s="172" t="n"/>
      <c r="Q29" s="172" t="n"/>
      <c r="R29" s="173" t="n"/>
      <c r="S29" s="174">
        <f>SUM(N29:R29)</f>
        <v>2.3</v>
      </c>
      <c r="T29" s="175" t="n"/>
      <c r="U29" s="176" t="n"/>
      <c r="V29" s="172" t="n"/>
      <c r="W29" s="177">
        <f>S29</f>
        <v>2.3</v>
      </c>
      <c r="X29" s="178">
        <f>W29</f>
        <v>2.3</v>
      </c>
    </row>
    <row r="30" ht="13.5" customHeight="1" s="849">
      <c r="B30" s="831" t="inlineStr">
        <is>
          <t>TDD Corporate (1)</t>
        </is>
      </c>
      <c r="C30" s="832" t="n"/>
      <c r="D30" s="833" t="n"/>
      <c r="E30" s="179" t="inlineStr">
        <is>
          <t>Brad Blyth</t>
        </is>
      </c>
      <c r="F30" s="180" t="n"/>
      <c r="G30" s="180" t="n"/>
      <c r="H30" s="180" t="n"/>
      <c r="I30" s="181">
        <f>G5</f>
        <v>35.2</v>
      </c>
      <c r="J30" s="181">
        <f>H5</f>
        <v>2.9</v>
      </c>
      <c r="K30" s="181">
        <f>I5</f>
        <v>25.6</v>
      </c>
      <c r="L30" s="181">
        <f>J5</f>
        <v>2.1</v>
      </c>
      <c r="M30" s="181">
        <f>K5</f>
        <v>13.1</v>
      </c>
      <c r="N30" s="181">
        <f>L5</f>
        <v>78.89999999999999</v>
      </c>
      <c r="O30" s="181">
        <f>M5</f>
        <v>5.8</v>
      </c>
      <c r="P30" s="181">
        <f>N5</f>
        <v>3.0</v>
      </c>
      <c r="Q30" s="181">
        <f>O5</f>
        <v>20.2</v>
      </c>
      <c r="R30" s="182">
        <f>P5</f>
        <v>4.9</v>
      </c>
      <c r="S30" s="143">
        <f>Q5</f>
        <v>112.8</v>
      </c>
      <c r="T30" s="183" t="n"/>
      <c r="U30" s="184" t="n"/>
      <c r="V30" s="185" t="n"/>
      <c r="W30" s="181">
        <f>U5</f>
        <v>91.60000000000001</v>
      </c>
      <c r="X30" s="182">
        <f>W30</f>
        <v>91.60000000000001</v>
      </c>
    </row>
    <row r="31" ht="13.5" customHeight="1" s="849">
      <c r="B31" s="186" t="n"/>
      <c r="C31" s="840" t="inlineStr">
        <is>
          <t>Z-Energy (Direct TDD)</t>
        </is>
      </c>
      <c r="D31" s="841" t="n"/>
      <c r="E31" s="187" t="n"/>
      <c r="F31" s="187" t="n"/>
      <c r="G31" s="187" t="n"/>
      <c r="H31" s="187" t="n"/>
      <c r="I31" s="150" t="n">
        <v>17.6</v>
      </c>
      <c r="J31" s="150" t="n">
        <v>12.1</v>
      </c>
      <c r="K31" s="150" t="n">
        <v>6.3</v>
      </c>
      <c r="L31" s="150" t="n">
        <v>0.6</v>
      </c>
      <c r="M31" s="150" t="n">
        <v>2.6</v>
      </c>
      <c r="N31" s="150" t="n">
        <v>39.3</v>
      </c>
      <c r="O31" s="150" t="n">
        <v>11.3</v>
      </c>
      <c r="P31" s="150" t="n">
        <v>1.4</v>
      </c>
      <c r="Q31" s="151" t="n"/>
      <c r="R31" s="188" t="n">
        <v>11.7</v>
      </c>
      <c r="S31" s="189" t="n">
        <v>63.7</v>
      </c>
      <c r="T31" s="190" t="n"/>
      <c r="U31" s="191" t="n"/>
      <c r="V31" s="151" t="n"/>
      <c r="W31" s="151" t="n"/>
      <c r="X31" s="192" t="inlineStr">
        <is>
          <t>-</t>
        </is>
      </c>
    </row>
    <row r="32" ht="13.5" customHeight="1" s="849">
      <c r="B32" s="193" t="n"/>
      <c r="C32" s="837" t="inlineStr">
        <is>
          <t>Z-Energy (Other IT Spend for Supplies, Customer)</t>
        </is>
      </c>
      <c r="D32" s="838" t="n"/>
      <c r="E32" s="194" t="n"/>
      <c r="F32" s="194" t="n"/>
      <c r="G32" s="194" t="n"/>
      <c r="H32" s="194" t="n"/>
      <c r="I32" s="172" t="n"/>
      <c r="J32" s="171" t="n">
        <v>7.6</v>
      </c>
      <c r="K32" s="171" t="n">
        <v>5.3</v>
      </c>
      <c r="L32" s="172" t="n"/>
      <c r="M32" s="172" t="n"/>
      <c r="N32" s="171" t="n">
        <v>13</v>
      </c>
      <c r="O32" s="172" t="n"/>
      <c r="P32" s="172" t="n"/>
      <c r="Q32" s="172" t="n"/>
      <c r="R32" s="173" t="n"/>
      <c r="S32" s="195" t="n">
        <v>13</v>
      </c>
      <c r="T32" s="175" t="n"/>
      <c r="U32" s="176" t="n"/>
      <c r="V32" s="172" t="n"/>
      <c r="W32" s="172" t="n"/>
      <c r="X32" s="178" t="inlineStr">
        <is>
          <t>-</t>
        </is>
      </c>
    </row>
    <row r="33" ht="13.5" customHeight="1" s="849">
      <c r="B33" s="831" t="inlineStr">
        <is>
          <t>Z-Energy (2)</t>
        </is>
      </c>
      <c r="C33" s="832" t="n"/>
      <c r="D33" s="833" t="n"/>
      <c r="E33" s="179" t="inlineStr">
        <is>
          <t>Lindis Jones</t>
        </is>
      </c>
      <c r="F33" s="179" t="inlineStr">
        <is>
          <t>Vance Anderson</t>
        </is>
      </c>
      <c r="G33" s="180" t="n"/>
      <c r="H33" s="180" t="n"/>
      <c r="I33" s="181">
        <f>G6</f>
        <v>17.6</v>
      </c>
      <c r="J33" s="181">
        <f>H6</f>
        <v>19.8</v>
      </c>
      <c r="K33" s="181">
        <f>I6</f>
        <v>11.6</v>
      </c>
      <c r="L33" s="181">
        <f>J6</f>
        <v>0.6</v>
      </c>
      <c r="M33" s="181">
        <f>K6</f>
        <v>2.6</v>
      </c>
      <c r="N33" s="181">
        <f>L6</f>
        <v>52.20000000000001</v>
      </c>
      <c r="O33" s="181">
        <f>M6</f>
        <v>11.3</v>
      </c>
      <c r="P33" s="181">
        <f>N6</f>
        <v>1.4</v>
      </c>
      <c r="Q33" s="181" t="str">
        <f>O6</f>
        <v>-</v>
      </c>
      <c r="R33" s="182">
        <f>P6</f>
        <v>11.7</v>
      </c>
      <c r="S33" s="143">
        <f>Q6</f>
        <v>76.60000000000002</v>
      </c>
      <c r="T33" s="183" t="n"/>
      <c r="U33" s="196">
        <f>S6</f>
        <v>76.60000000000002</v>
      </c>
      <c r="V33" s="185" t="n"/>
      <c r="W33" s="185" t="n"/>
      <c r="X33" s="182">
        <f>U33</f>
        <v>76.60000000000002</v>
      </c>
    </row>
    <row r="35">
      <c r="B35" s="197"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FF808080"/>
    <outlinePr summaryBelow="1" summaryRight="1"/>
    <pageSetUpPr/>
  </sheetPr>
  <dimension ref="B2:L28"/>
  <sheetViews>
    <sheetView showGridLines="0" zoomScale="110" zoomScaleNormal="110" workbookViewId="0">
      <selection activeCell="A1" sqref="A1"/>
    </sheetView>
  </sheetViews>
  <sheetFormatPr baseColWidth="8" defaultColWidth="8.54296875" defaultRowHeight="14.5"/>
  <cols>
    <col width="24.7265625" customWidth="1" style="849" min="2" max="2"/>
    <col width="8" customWidth="1" style="849" min="3" max="7"/>
    <col width="32" customWidth="1" style="849" min="9" max="9"/>
    <col width="11" customWidth="1" style="849" min="10" max="10"/>
    <col width="10.453125" customWidth="1" style="849" min="11" max="11"/>
    <col width="16" customWidth="1" style="849" min="12" max="12"/>
  </cols>
  <sheetData>
    <row r="2" ht="18" customHeight="1" s="849">
      <c r="B2" s="2" t="inlineStr">
        <is>
          <t>Data Config</t>
        </is>
      </c>
    </row>
    <row r="4">
      <c r="B4" s="848" t="inlineStr">
        <is>
          <t>TDD Budget Allocation ($m)</t>
        </is>
      </c>
      <c r="I4" s="850" t="inlineStr">
        <is>
          <t>Portfolio Overhead (roles, $m)</t>
        </is>
      </c>
      <c r="J4" s="851" t="n"/>
      <c r="K4" s="851" t="n"/>
      <c r="L4" s="852"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580" t="n">
        <v>1.5</v>
      </c>
      <c r="D6" s="580" t="n">
        <v>0.5</v>
      </c>
      <c r="E6" s="7">
        <f>C6+D6</f>
        <v>2.0</v>
      </c>
      <c r="F6" s="7">
        <f>'3.4 COE Summary'!$F$8</f>
        <v>2.920560995999999</v>
      </c>
      <c r="G6" s="7">
        <f>SUM(E6-F6)</f>
        <v>-0.920560995999999</v>
      </c>
      <c r="I6" s="8" t="inlineStr">
        <is>
          <t>Head of Tech</t>
        </is>
      </c>
      <c r="J6" s="580" t="n">
        <v>0.275</v>
      </c>
      <c r="K6" s="581" t="n">
        <v>0.5</v>
      </c>
      <c r="L6" s="9">
        <f>J6*K6</f>
        <v>0.1375</v>
      </c>
    </row>
    <row r="7">
      <c r="B7" s="10" t="inlineStr">
        <is>
          <t>COE - Cyber, Risk &amp; Service Ops (see 1.13 Cyber Roles)</t>
        </is>
      </c>
      <c r="C7" s="580" t="n">
        <v>0</v>
      </c>
      <c r="D7" s="580" t="n">
        <v>0</v>
      </c>
      <c r="E7" s="11">
        <f>C7+D7</f>
        <v>0.0</v>
      </c>
      <c r="F7" s="7">
        <f>'3.4 COE Summary'!$F$10</f>
        <v>10.915989044000002</v>
      </c>
      <c r="G7" s="7">
        <f>SUM(E7-F7)</f>
        <v>-10.915989044000002</v>
      </c>
      <c r="I7" s="8" t="inlineStr">
        <is>
          <t>Business Partner</t>
        </is>
      </c>
      <c r="J7" s="580" t="n">
        <v>0.43</v>
      </c>
      <c r="K7" s="581" t="n">
        <v>0.4</v>
      </c>
      <c r="L7" s="9">
        <f>J7*K7</f>
        <v>0.17200000000000001</v>
      </c>
    </row>
    <row r="8">
      <c r="B8" s="6" t="inlineStr">
        <is>
          <t>COE - Transformation</t>
        </is>
      </c>
      <c r="C8" s="580" t="n">
        <v>1.5</v>
      </c>
      <c r="D8" s="580" t="n">
        <v>0.5</v>
      </c>
      <c r="E8" s="7">
        <f>C8+D8</f>
        <v>2.0</v>
      </c>
      <c r="F8" s="7">
        <f>'3.4 COE Summary'!$F$7</f>
        <v>3.10799923</v>
      </c>
      <c r="G8" s="7">
        <f>SUM(E8-F8)</f>
        <v>-1.10799923</v>
      </c>
      <c r="I8" s="8" t="inlineStr">
        <is>
          <t>Domain Architect</t>
        </is>
      </c>
      <c r="J8" s="580" t="n">
        <v>0.28</v>
      </c>
      <c r="K8" s="581" t="n">
        <v>0.5</v>
      </c>
      <c r="L8" s="9">
        <f>J8*K8</f>
        <v>0.14</v>
      </c>
    </row>
    <row r="9">
      <c r="B9" s="10" t="inlineStr">
        <is>
          <t>COE - Business Partnering</t>
        </is>
      </c>
      <c r="C9" s="580" t="n">
        <v>1.5</v>
      </c>
      <c r="D9" s="580" t="n">
        <v>0.5</v>
      </c>
      <c r="E9" s="11">
        <f>C9+D9</f>
        <v>2.0</v>
      </c>
      <c r="F9" s="7">
        <f>'3.4 COE Summary'!$F$6</f>
        <v>1.5725625920000001</v>
      </c>
      <c r="G9" s="7">
        <f>SUM(E9-F9)</f>
        <v>0.42743740799999985</v>
      </c>
      <c r="I9" s="8" t="inlineStr">
        <is>
          <t>Leadership Overhead</t>
        </is>
      </c>
      <c r="J9" s="580" t="n">
        <v>1</v>
      </c>
      <c r="K9" s="581" t="n">
        <v>0.3</v>
      </c>
      <c r="L9" s="9">
        <f>J9*K9</f>
        <v>0.3</v>
      </c>
    </row>
    <row r="10">
      <c r="B10" s="6" t="inlineStr">
        <is>
          <t>COE - Data</t>
        </is>
      </c>
      <c r="C10" s="580" t="n">
        <v>1.5</v>
      </c>
      <c r="D10" s="580" t="n">
        <v>0.5</v>
      </c>
      <c r="E10" s="7">
        <f>C10+D10</f>
        <v>2.0</v>
      </c>
      <c r="F10" s="7">
        <f>'3.4 COE Summary'!$F$9</f>
        <v>2.232736616</v>
      </c>
      <c r="G10" s="7">
        <f>SUM(E10-F10)</f>
        <v>-0.23273661599999995</v>
      </c>
      <c r="I10" s="12" t="inlineStr">
        <is>
          <t>Portfolio overhead subtotal</t>
        </is>
      </c>
      <c r="L10" s="13">
        <f>SUM(L6:L9)</f>
        <v>0.7495</v>
      </c>
    </row>
    <row r="11">
      <c r="B11" s="10" t="inlineStr">
        <is>
          <t>Ampol Retail</t>
        </is>
      </c>
      <c r="C11" s="580" t="n">
        <v>2.5</v>
      </c>
      <c r="D11" s="580" t="n">
        <v>0</v>
      </c>
      <c r="E11" s="11">
        <f>C11+D11</f>
        <v>2.5</v>
      </c>
      <c r="F11" s="7">
        <f>('1.1 Ampol Retail'!$C$9+'1.1 Ampol Retail'!$D$9)</f>
        <v>6.031499999999999</v>
      </c>
      <c r="G11" s="7">
        <f>SUM(E11-F11)</f>
        <v>-3.5314999999999994</v>
      </c>
    </row>
    <row r="12">
      <c r="B12" s="6" t="inlineStr">
        <is>
          <t>Z Retail</t>
        </is>
      </c>
      <c r="C12" s="580" t="n">
        <v>0</v>
      </c>
      <c r="D12" s="580" t="n">
        <v>2.5</v>
      </c>
      <c r="E12" s="7">
        <f>C12+D12</f>
        <v>2.5</v>
      </c>
      <c r="F12" s="7">
        <f>('1.10 Z Retail'!$C$9+'1.10 Z Retail'!$D$9)</f>
        <v>6.571500000000001</v>
      </c>
      <c r="G12" s="7">
        <f>SUM(E12-F12)</f>
        <v>-4.071500000000001</v>
      </c>
      <c r="I12" s="850" t="inlineStr">
        <is>
          <t>Platform Overhead (roles, $m)</t>
        </is>
      </c>
      <c r="J12" s="851" t="n"/>
      <c r="K12" s="851" t="n"/>
      <c r="L12" s="852" t="n"/>
    </row>
    <row r="13">
      <c r="B13" s="10" t="inlineStr">
        <is>
          <t>Ampol Customer</t>
        </is>
      </c>
      <c r="C13" s="580" t="n">
        <v>2.5</v>
      </c>
      <c r="D13" s="580" t="n">
        <v>0</v>
      </c>
      <c r="E13" s="11">
        <f>C13+D13</f>
        <v>2.5</v>
      </c>
      <c r="F13" s="7">
        <f>('1.2 Customer'!$C$9+'1.2 Customer'!$D$9)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580" t="n">
        <v>0</v>
      </c>
      <c r="D14" s="580" t="n">
        <v>4</v>
      </c>
      <c r="E14" s="7">
        <f>C14+D14</f>
        <v>4.0</v>
      </c>
      <c r="F14" s="7" t="n"/>
      <c r="G14" s="7" t="n"/>
      <c r="I14" s="8" t="inlineStr">
        <is>
          <t>Delivery Manager</t>
        </is>
      </c>
      <c r="J14" s="580" t="n">
        <v>0.28</v>
      </c>
      <c r="K14" s="581" t="n">
        <v>0.3</v>
      </c>
      <c r="L14" s="9">
        <f>J14*K14</f>
        <v>0.084</v>
      </c>
    </row>
    <row r="15">
      <c r="B15" s="10" t="inlineStr">
        <is>
          <t>Commercial Fuels</t>
        </is>
      </c>
      <c r="C15" s="580" t="n">
        <v>2.5</v>
      </c>
      <c r="D15" s="580" t="n">
        <v>0</v>
      </c>
      <c r="E15" s="11">
        <f>C15+D15</f>
        <v>2.5</v>
      </c>
      <c r="F15" s="7">
        <f>'1.9 Commercial Fuels'!C9</f>
        <v>2.5045</v>
      </c>
      <c r="G15" s="7">
        <f>SUM(E15-F15)</f>
        <v>-0.0045000000000001705</v>
      </c>
      <c r="I15" s="8" t="inlineStr">
        <is>
          <t>Tech Manager</t>
        </is>
      </c>
      <c r="J15" s="580" t="n">
        <v>0.27</v>
      </c>
      <c r="K15" s="581" t="n">
        <v>0.3</v>
      </c>
      <c r="L15" s="9">
        <f>J15*K15</f>
        <v>0.081</v>
      </c>
    </row>
    <row r="16">
      <c r="B16" s="6" t="inlineStr">
        <is>
          <t>Energy Solutions &amp; B2B</t>
        </is>
      </c>
      <c r="C16" s="580" t="n">
        <v>2.5</v>
      </c>
      <c r="D16" s="580" t="n">
        <v>0</v>
      </c>
      <c r="E16" s="7">
        <f>C16+D16</f>
        <v>2.5</v>
      </c>
      <c r="F16" s="7">
        <f>('1.8 Energy Solutions &amp; B2B'!$C$9+'1.8 Energy Solutions &amp; B2B'!$D$9)</f>
        <v>2.8395</v>
      </c>
      <c r="G16" s="7">
        <f>SUM(E16-F16)</f>
        <v>-0.33950000000000014</v>
      </c>
      <c r="I16" s="12" t="inlineStr">
        <is>
          <t>Platform overhead subtotal (per platform)</t>
        </is>
      </c>
      <c r="L16" s="13">
        <f>SUM(L14:L15)</f>
        <v>0.165</v>
      </c>
    </row>
    <row r="17">
      <c r="B17" s="10" t="inlineStr">
        <is>
          <t>Infrastructure</t>
        </is>
      </c>
      <c r="C17" s="580" t="n">
        <v>2.5</v>
      </c>
      <c r="D17" s="580" t="n">
        <v>0</v>
      </c>
      <c r="E17" s="11">
        <f>C17+D17</f>
        <v>2.5</v>
      </c>
      <c r="F17" s="7">
        <f>('1.7 Infrastructure'!$C$10+'1.7 Infrastructure'!$D$10)</f>
        <v>3.0045</v>
      </c>
      <c r="G17" s="7">
        <f>SUM(E17-F17)</f>
        <v>-0.5045000000000002</v>
      </c>
    </row>
    <row r="18">
      <c r="B18" s="6" t="inlineStr">
        <is>
          <t>P&amp;C</t>
        </is>
      </c>
      <c r="C18" s="580" t="n">
        <v>1</v>
      </c>
      <c r="D18" s="580" t="n">
        <v>1</v>
      </c>
      <c r="E18" s="7">
        <f>C18+D18</f>
        <v>2.0</v>
      </c>
      <c r="F18" s="7">
        <f>('1.5 P&amp;C'!$C$9+'1.5 P&amp;C'!$D$9)</f>
        <v>1.6145</v>
      </c>
      <c r="G18" s="7">
        <f>SUM(E18-F18)</f>
        <v>0.38549999999999995</v>
      </c>
    </row>
    <row r="19">
      <c r="B19" s="10" t="inlineStr">
        <is>
          <t>Finance</t>
        </is>
      </c>
      <c r="C19" s="580" t="n">
        <v>1</v>
      </c>
      <c r="D19" s="580" t="n">
        <v>1</v>
      </c>
      <c r="E19" s="11">
        <f>C19+D19</f>
        <v>2.0</v>
      </c>
      <c r="F19" s="7">
        <f>('1.6 Finance'!$C$9+'1.6 Finance'!$D$9)</f>
        <v>1.8345000000000002</v>
      </c>
      <c r="G19" s="7">
        <f>SUM(E19-F19)</f>
        <v>0.16549999999999976</v>
      </c>
    </row>
    <row r="20">
      <c r="B20" s="6" t="inlineStr">
        <is>
          <t>Legal</t>
        </is>
      </c>
      <c r="C20" s="580" t="n">
        <v>0</v>
      </c>
      <c r="D20" s="580" t="n">
        <v>0</v>
      </c>
      <c r="E20" s="7">
        <f>C20+D20</f>
        <v>0.0</v>
      </c>
      <c r="F20" s="7" t="n"/>
      <c r="G20" s="7" t="n"/>
    </row>
    <row r="21">
      <c r="B21" s="10" t="inlineStr">
        <is>
          <t>TDD</t>
        </is>
      </c>
      <c r="C21" s="580" t="n">
        <v>4.5</v>
      </c>
      <c r="D21" s="580" t="n">
        <v>1</v>
      </c>
      <c r="E21" s="11">
        <f>C21+D21</f>
        <v>5.5</v>
      </c>
      <c r="F21" s="7">
        <f>('1.4 TDD Group Functions'!$C$9+'1.4 TDD Group Functions'!$D$9)</f>
        <v>5.6645</v>
      </c>
      <c r="G21" s="7">
        <f>SUM(E21-F21)</f>
        <v>-0.1645000000000003</v>
      </c>
    </row>
    <row r="22">
      <c r="B22" s="6" t="inlineStr">
        <is>
          <t>TDD Data</t>
        </is>
      </c>
      <c r="C22" s="580" t="n">
        <v>2.5</v>
      </c>
      <c r="D22" s="580" t="n">
        <v>1</v>
      </c>
      <c r="E22" s="7">
        <f>C22+D22</f>
        <v>3.5</v>
      </c>
      <c r="F22" s="7">
        <f>('1.3 Enterprise Data'!$C$9+'1.3 Enterprise Data'!$D$9)</f>
        <v>4.1105</v>
      </c>
      <c r="G22" s="7">
        <f>SUM(E22-F22)</f>
        <v>-0.6105</v>
      </c>
    </row>
    <row r="23">
      <c r="B23" s="14" t="inlineStr">
        <is>
          <t>TDD Cyber</t>
        </is>
      </c>
      <c r="C23" s="580" t="n">
        <v>2.5</v>
      </c>
      <c r="D23" s="580" t="n">
        <v>1</v>
      </c>
      <c r="E23" s="11">
        <f>C23+D23</f>
        <v>3.5</v>
      </c>
      <c r="F23" s="7">
        <f>'1.13 Cyber Roles'!$F$8</f>
        <v>10.915989044000002</v>
      </c>
      <c r="G23" s="7">
        <f>SUM(E23-F23)</f>
        <v>-7.415989044000002</v>
      </c>
    </row>
    <row r="24">
      <c r="B24" s="6" t="inlineStr">
        <is>
          <t>EG</t>
        </is>
      </c>
      <c r="C24" s="580" t="n">
        <v>0</v>
      </c>
      <c r="D24" s="580" t="n">
        <v>0</v>
      </c>
      <c r="E24" s="7">
        <f>C24+D24</f>
        <v>0.0</v>
      </c>
      <c r="F24" s="7" t="n"/>
      <c r="G24" s="7" t="n"/>
    </row>
    <row r="25">
      <c r="B25" s="10" t="inlineStr">
        <is>
          <t>EGI</t>
        </is>
      </c>
      <c r="C25" s="580" t="n">
        <v>0</v>
      </c>
      <c r="D25" s="580" t="n">
        <v>0</v>
      </c>
      <c r="E25" s="11">
        <f>C25+D25</f>
        <v>0.0</v>
      </c>
      <c r="F25" s="7" t="n"/>
      <c r="G25" s="7" t="n"/>
    </row>
    <row r="26">
      <c r="B26" s="15" t="inlineStr">
        <is>
          <t>Total</t>
        </is>
      </c>
      <c r="C26" s="16">
        <f>SUM(C6:C25)</f>
        <v>30.0</v>
      </c>
      <c r="D26" s="16">
        <f>SUM(D6:D25)</f>
        <v>13.5</v>
      </c>
      <c r="E26" s="16">
        <f>SUM(E6:E25)</f>
        <v>43.5</v>
      </c>
      <c r="F26" s="7">
        <f>SUM(F6:F25)</f>
        <v>74.865837522</v>
      </c>
      <c r="G26" s="7">
        <f>SUM(G6:G25)</f>
        <v>-31.365837522000003</v>
      </c>
    </row>
    <row r="27">
      <c r="B27" t="inlineStr">
        <is>
          <t>Budget</t>
        </is>
      </c>
      <c r="C27" s="451">
        <f>'0.1 Budget Table (Fin)'!G5+'0.1 Budget Table (Fin)'!G7</f>
        <v>36.2</v>
      </c>
      <c r="D27" s="451">
        <f>'0.1 Budget Table (Fin)'!G6</f>
        <v>17.6</v>
      </c>
      <c r="E27" s="451">
        <f>'0.1 Budget Table (Fin)'!G14</f>
        <v>53.800000000000004</v>
      </c>
    </row>
    <row r="28">
      <c r="B28" t="inlineStr">
        <is>
          <t>Variance</t>
        </is>
      </c>
      <c r="C28" s="451">
        <f>C27-C26</f>
        <v>6.200000000000003</v>
      </c>
      <c r="D28" s="451">
        <f>D27-D26</f>
        <v>4.100000000000001</v>
      </c>
      <c r="E28" s="451">
        <f>E27-E26</f>
        <v>10.300000000000004</v>
      </c>
      <c r="F28" s="17" t="n"/>
      <c r="G28" s="17"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808080"/>
    <outlinePr summaryBelow="1" summaryRight="1"/>
    <pageSetUpPr/>
  </sheetPr>
  <dimension ref="A2:K27"/>
  <sheetViews>
    <sheetView showGridLines="0" topLeftCell="B3" zoomScale="120" zoomScaleNormal="120" workbookViewId="0">
      <selection activeCell="A1" sqref="A1"/>
    </sheetView>
  </sheetViews>
  <sheetFormatPr baseColWidth="8" defaultColWidth="8.54296875" defaultRowHeight="14.5"/>
  <cols>
    <col hidden="1" width="13" customWidth="1" style="849" min="1" max="1"/>
    <col width="13" customWidth="1" style="849" min="2" max="2"/>
    <col width="28.26953125" customWidth="1" style="849" min="3" max="3"/>
    <col width="6" customWidth="1" style="849" min="4" max="4"/>
    <col width="30" customWidth="1" style="849" min="5" max="5"/>
    <col width="10" customWidth="1" style="849" min="6" max="6"/>
    <col width="16.26953125" customWidth="1" style="849" min="7" max="7"/>
    <col width="16.453125" customWidth="1" style="849" min="8" max="8"/>
    <col width="45" customWidth="1" style="849" min="9" max="9"/>
  </cols>
  <sheetData>
    <row r="2" ht="18" customHeight="1" s="849">
      <c r="C2" s="452" t="inlineStr">
        <is>
          <t>Squad Cost Lookup</t>
        </is>
      </c>
    </row>
    <row r="4">
      <c r="A4" s="453" t="inlineStr">
        <is>
          <t>Key</t>
        </is>
      </c>
      <c r="C4" s="453" t="inlineStr">
        <is>
          <t>Squad Type</t>
        </is>
      </c>
      <c r="D4" s="453" t="inlineStr">
        <is>
          <t>Size</t>
        </is>
      </c>
      <c r="E4" s="453" t="inlineStr">
        <is>
          <t>Archetype</t>
        </is>
      </c>
      <c r="F4" s="453" t="inlineStr">
        <is>
          <t># of roles</t>
        </is>
      </c>
      <c r="G4" s="453" t="inlineStr">
        <is>
          <t>Onshore Cost ($m)</t>
        </is>
      </c>
      <c r="H4" s="453" t="inlineStr">
        <is>
          <t>Offshore Cost ($m)</t>
        </is>
      </c>
      <c r="I4" s="453" t="inlineStr">
        <is>
          <t>Use When</t>
        </is>
      </c>
      <c r="K4" s="424" t="inlineStr">
        <is>
          <t>Offshore rate</t>
        </is>
      </c>
    </row>
    <row r="5">
      <c r="A5" s="454" t="inlineStr">
        <is>
          <t>Engineering|S</t>
        </is>
      </c>
      <c r="C5" s="454" t="inlineStr">
        <is>
          <t>Engineering</t>
        </is>
      </c>
      <c r="D5" s="454" t="inlineStr">
        <is>
          <t>S</t>
        </is>
      </c>
      <c r="E5" s="454" t="inlineStr">
        <is>
          <t>Lean build squad</t>
        </is>
      </c>
      <c r="F5" s="889" t="n">
        <v>4.5</v>
      </c>
      <c r="G5" s="422" t="n">
        <v>0.8</v>
      </c>
      <c r="H5" s="422">
        <f>G5*$K$5</f>
        <v>0.32000000000000006</v>
      </c>
      <c r="I5" s="454" t="inlineStr">
        <is>
          <t>Simple platforms, incremental changes</t>
        </is>
      </c>
      <c r="K5" s="456" t="n">
        <v>0.4</v>
      </c>
    </row>
    <row r="6">
      <c r="A6" s="454" t="inlineStr">
        <is>
          <t>Engineering|M</t>
        </is>
      </c>
      <c r="C6" s="457" t="inlineStr">
        <is>
          <t>Engineering</t>
        </is>
      </c>
      <c r="D6" s="457" t="inlineStr">
        <is>
          <t>M</t>
        </is>
      </c>
      <c r="E6" s="457" t="inlineStr">
        <is>
          <t>Standard Engineering Squad</t>
        </is>
      </c>
      <c r="F6" s="890" t="n">
        <v>9</v>
      </c>
      <c r="G6" s="459" t="n">
        <v>2</v>
      </c>
      <c r="H6" s="459">
        <f>G6*$K$5</f>
        <v>0.8</v>
      </c>
      <c r="I6" s="457" t="inlineStr">
        <is>
          <t>Medium complexity platforms</t>
        </is>
      </c>
    </row>
    <row r="7">
      <c r="A7" s="454" t="inlineStr">
        <is>
          <t>Engineering|L</t>
        </is>
      </c>
      <c r="C7" s="454" t="inlineStr">
        <is>
          <t>Engineering</t>
        </is>
      </c>
      <c r="D7" s="454" t="inlineStr">
        <is>
          <t>L</t>
        </is>
      </c>
      <c r="E7" s="454" t="inlineStr">
        <is>
          <t>High-scale squad</t>
        </is>
      </c>
      <c r="F7" s="889" t="n">
        <v>12</v>
      </c>
      <c r="G7" s="422" t="n">
        <v>2.7</v>
      </c>
      <c r="H7" s="422">
        <f>G7*$K$5</f>
        <v>1.08</v>
      </c>
      <c r="I7" s="454" t="inlineStr">
        <is>
          <t>Scalable platforms, high volume output</t>
        </is>
      </c>
    </row>
    <row r="8">
      <c r="A8" s="454" t="inlineStr">
        <is>
          <t>Configuration / Integration|XS</t>
        </is>
      </c>
      <c r="C8" s="460" t="inlineStr">
        <is>
          <t>Configuration / Integration</t>
        </is>
      </c>
      <c r="D8" s="460" t="inlineStr">
        <is>
          <t>XS</t>
        </is>
      </c>
      <c r="E8" s="460" t="inlineStr">
        <is>
          <t>MS Squad</t>
        </is>
      </c>
      <c r="F8" s="891" t="n">
        <v>1</v>
      </c>
      <c r="G8" s="422" t="n">
        <v>0.4</v>
      </c>
      <c r="H8" s="459">
        <f>G8*$K$5</f>
        <v>0.16000000000000003</v>
      </c>
      <c r="I8" s="457" t="inlineStr">
        <is>
          <t>Work managed by a vendor</t>
        </is>
      </c>
    </row>
    <row r="9">
      <c r="A9" s="454" t="inlineStr">
        <is>
          <t>Configuration / Integration|S</t>
        </is>
      </c>
      <c r="C9" s="454" t="inlineStr">
        <is>
          <t>Configuration / Integration</t>
        </is>
      </c>
      <c r="D9" s="454" t="inlineStr">
        <is>
          <t>S</t>
        </is>
      </c>
      <c r="E9" s="454" t="inlineStr">
        <is>
          <t>Simple Configuration Squad</t>
        </is>
      </c>
      <c r="F9" s="889" t="n">
        <v>6</v>
      </c>
      <c r="G9" s="459" t="n">
        <v>1.4</v>
      </c>
      <c r="H9" s="422">
        <f>G9*$K$5</f>
        <v>0.5599999999999999</v>
      </c>
      <c r="I9" s="454" t="inlineStr">
        <is>
          <t>Simple configuration, limited integration</t>
        </is>
      </c>
    </row>
    <row r="10">
      <c r="A10" s="454" t="inlineStr">
        <is>
          <t>Configuration / Integration|M</t>
        </is>
      </c>
      <c r="C10" s="457" t="inlineStr">
        <is>
          <t>Configuration / Integration</t>
        </is>
      </c>
      <c r="D10" s="457" t="inlineStr">
        <is>
          <t>M</t>
        </is>
      </c>
      <c r="E10" s="457" t="inlineStr">
        <is>
          <t>Standard Configuration Squad</t>
        </is>
      </c>
      <c r="F10" s="890" t="n">
        <v>9</v>
      </c>
      <c r="G10" s="422" t="n">
        <v>2.1</v>
      </c>
      <c r="H10" s="459">
        <f>G10*$K$5</f>
        <v>0.8400000000000001</v>
      </c>
      <c r="I10" s="457" t="inlineStr">
        <is>
          <t>Standard configuration, medium complexity</t>
        </is>
      </c>
    </row>
    <row r="11">
      <c r="A11" s="454" t="inlineStr">
        <is>
          <t>Configuration / Integration|L</t>
        </is>
      </c>
      <c r="C11" s="454" t="inlineStr">
        <is>
          <t>Configuration / Integration</t>
        </is>
      </c>
      <c r="D11" s="454" t="inlineStr">
        <is>
          <t>L</t>
        </is>
      </c>
      <c r="E11" s="454" t="inlineStr">
        <is>
          <t>Complex Integration Squad</t>
        </is>
      </c>
      <c r="F11" s="889" t="n">
        <v>14</v>
      </c>
      <c r="G11" s="422" t="n">
        <v>3.2</v>
      </c>
      <c r="H11" s="422">
        <f>G11*$K$5</f>
        <v>1.2800000000000002</v>
      </c>
      <c r="I11" s="454" t="inlineStr">
        <is>
          <t>Complex config or custom build, high integration</t>
        </is>
      </c>
    </row>
    <row r="12">
      <c r="A12" s="454" t="inlineStr">
        <is>
          <t>Product|S</t>
        </is>
      </c>
      <c r="C12" s="457" t="inlineStr">
        <is>
          <t>Product</t>
        </is>
      </c>
      <c r="D12" s="457" t="inlineStr">
        <is>
          <t>S</t>
        </is>
      </c>
      <c r="E12" s="457" t="inlineStr">
        <is>
          <t>Lean Product Squad</t>
        </is>
      </c>
      <c r="F12" s="890" t="n">
        <v>5.5</v>
      </c>
      <c r="G12" s="459" t="n">
        <v>1.3</v>
      </c>
      <c r="H12" s="459">
        <f>G12*$K$5</f>
        <v>0.52</v>
      </c>
      <c r="I12" s="457" t="inlineStr">
        <is>
          <t>Early stage product testing or low complexity</t>
        </is>
      </c>
    </row>
    <row r="13">
      <c r="A13" s="454" t="inlineStr">
        <is>
          <t>Product|M</t>
        </is>
      </c>
      <c r="C13" s="454" t="inlineStr">
        <is>
          <t>Product</t>
        </is>
      </c>
      <c r="D13" s="454" t="inlineStr">
        <is>
          <t>M</t>
        </is>
      </c>
      <c r="E13" s="454" t="inlineStr">
        <is>
          <t>Balanced Product Squad</t>
        </is>
      </c>
      <c r="F13" s="889" t="n">
        <v>8.5</v>
      </c>
      <c r="G13" s="422" t="n">
        <v>1.9</v>
      </c>
      <c r="H13" s="422">
        <f>G13*$K$5</f>
        <v>0.76</v>
      </c>
      <c r="I13" s="454" t="inlineStr">
        <is>
          <t>Ongoing product development, moderate complexity</t>
        </is>
      </c>
    </row>
    <row r="14">
      <c r="A14" s="454" t="inlineStr">
        <is>
          <t>Product|L</t>
        </is>
      </c>
      <c r="C14" s="457" t="inlineStr">
        <is>
          <t>Product</t>
        </is>
      </c>
      <c r="D14" s="457" t="inlineStr">
        <is>
          <t>L</t>
        </is>
      </c>
      <c r="E14" s="457" t="inlineStr">
        <is>
          <t>Scaled Product Squad</t>
        </is>
      </c>
      <c r="F14" s="890" t="n">
        <v>12</v>
      </c>
      <c r="G14" s="459" t="n">
        <v>2.8</v>
      </c>
      <c r="H14" s="459">
        <f>G14*$K$5</f>
        <v>1.1199999999999999</v>
      </c>
      <c r="I14" s="457" t="inlineStr">
        <is>
          <t>Mature product</t>
        </is>
      </c>
    </row>
    <row r="15">
      <c r="A15" s="454" t="inlineStr">
        <is>
          <t>Operations|S</t>
        </is>
      </c>
      <c r="C15" s="454" t="inlineStr">
        <is>
          <t>Operations</t>
        </is>
      </c>
      <c r="D15" s="454" t="inlineStr">
        <is>
          <t>S</t>
        </is>
      </c>
      <c r="E15" s="454" t="inlineStr">
        <is>
          <t>Lean operations squad</t>
        </is>
      </c>
      <c r="F15" s="889" t="n">
        <v>4</v>
      </c>
      <c r="G15" s="422" t="n">
        <v>0.8</v>
      </c>
      <c r="H15" s="422">
        <f>G15*$K$5</f>
        <v>0.32000000000000006</v>
      </c>
      <c r="I15" s="454" t="inlineStr">
        <is>
          <t>Low change, stable platforms</t>
        </is>
      </c>
    </row>
    <row r="16">
      <c r="A16" s="454" t="inlineStr">
        <is>
          <t>Operations|M</t>
        </is>
      </c>
      <c r="C16" s="457" t="inlineStr">
        <is>
          <t>Operations</t>
        </is>
      </c>
      <c r="D16" s="457" t="inlineStr">
        <is>
          <t>M</t>
        </is>
      </c>
      <c r="E16" s="457" t="inlineStr">
        <is>
          <t>Balanced operations squad</t>
        </is>
      </c>
      <c r="F16" s="890" t="n">
        <v>6</v>
      </c>
      <c r="G16" s="459" t="n">
        <v>1.4</v>
      </c>
      <c r="H16" s="459">
        <f>G16*$K$5</f>
        <v>0.5599999999999999</v>
      </c>
      <c r="I16" s="457" t="inlineStr">
        <is>
          <t>Moderate support plus improvements</t>
        </is>
      </c>
    </row>
    <row r="17">
      <c r="A17" s="454" t="inlineStr">
        <is>
          <t>Operations|L</t>
        </is>
      </c>
      <c r="C17" s="454" t="inlineStr">
        <is>
          <t>Operations</t>
        </is>
      </c>
      <c r="D17" s="454" t="inlineStr">
        <is>
          <t>L</t>
        </is>
      </c>
      <c r="E17" s="454" t="inlineStr">
        <is>
          <t>High demand operations squad</t>
        </is>
      </c>
      <c r="F17" s="889" t="n">
        <v>10</v>
      </c>
      <c r="G17" s="422" t="n">
        <v>2.3</v>
      </c>
      <c r="H17" s="422">
        <f>G17*$K$5</f>
        <v>0.9199999999999999</v>
      </c>
      <c r="I17" s="454" t="inlineStr">
        <is>
          <t>High ticket volume, critical systems</t>
        </is>
      </c>
    </row>
    <row r="18">
      <c r="A18" s="454" t="inlineStr">
        <is>
          <t>Enterprise Data and Insights|S</t>
        </is>
      </c>
      <c r="C18" s="457" t="inlineStr">
        <is>
          <t>Enterprise Data and Insights</t>
        </is>
      </c>
      <c r="D18" s="457" t="inlineStr">
        <is>
          <t>S</t>
        </is>
      </c>
      <c r="E18" s="457" t="inlineStr">
        <is>
          <t>Lean Data squad</t>
        </is>
      </c>
      <c r="F18" s="890" t="n">
        <v>4</v>
      </c>
      <c r="G18" s="459" t="n">
        <v>0.9</v>
      </c>
      <c r="H18" s="459">
        <f>G18*$K$5</f>
        <v>0.36000000000000004</v>
      </c>
      <c r="I18" s="457" t="inlineStr">
        <is>
          <t>Basic reporting, low complexity</t>
        </is>
      </c>
    </row>
    <row r="19">
      <c r="A19" s="454" t="inlineStr">
        <is>
          <t>Enterprise Data and Insights|M</t>
        </is>
      </c>
      <c r="C19" s="454" t="inlineStr">
        <is>
          <t>Enterprise Data and Insights</t>
        </is>
      </c>
      <c r="D19" s="454" t="inlineStr">
        <is>
          <t>M</t>
        </is>
      </c>
      <c r="E19" s="454" t="inlineStr">
        <is>
          <t>Standard Data squad</t>
        </is>
      </c>
      <c r="F19" s="889" t="n">
        <v>7.5</v>
      </c>
      <c r="G19" s="422" t="n">
        <v>1.7</v>
      </c>
      <c r="H19" s="422">
        <f>G19*$K$5</f>
        <v>0.68</v>
      </c>
      <c r="I19" s="454" t="inlineStr">
        <is>
          <t>Ongoing analytics, dashboarding</t>
        </is>
      </c>
    </row>
    <row r="20">
      <c r="A20" s="454" t="inlineStr">
        <is>
          <t>Enterprise Data and Insights|L</t>
        </is>
      </c>
      <c r="C20" s="457" t="inlineStr">
        <is>
          <t>Enterprise Data and Insights</t>
        </is>
      </c>
      <c r="D20" s="457" t="inlineStr">
        <is>
          <t>L</t>
        </is>
      </c>
      <c r="E20" s="457" t="inlineStr">
        <is>
          <t>Advanced Data / AI squad</t>
        </is>
      </c>
      <c r="F20" s="890" t="n">
        <v>9</v>
      </c>
      <c r="G20" s="459" t="n">
        <v>2</v>
      </c>
      <c r="H20" s="459">
        <f>G20*$K$5</f>
        <v>0.8</v>
      </c>
      <c r="I20" s="457" t="inlineStr">
        <is>
          <t>Advanced analytics, predictive modelling, AI</t>
        </is>
      </c>
    </row>
    <row r="21">
      <c r="A21" s="454" t="inlineStr">
        <is>
          <t>Build and Run|S</t>
        </is>
      </c>
      <c r="C21" s="454" t="inlineStr">
        <is>
          <t>Build and Run</t>
        </is>
      </c>
      <c r="D21" s="454" t="inlineStr">
        <is>
          <t>S</t>
        </is>
      </c>
      <c r="E21" s="454" t="inlineStr">
        <is>
          <t>Lean build and run squad</t>
        </is>
      </c>
      <c r="F21" s="889" t="n">
        <v>4</v>
      </c>
      <c r="G21" s="422" t="n">
        <v>0.9</v>
      </c>
      <c r="H21" s="422">
        <f>G21*$K$5</f>
        <v>0.36000000000000004</v>
      </c>
      <c r="I21" s="454" t="inlineStr">
        <is>
          <t>Simple platforms, low traffic, stable</t>
        </is>
      </c>
    </row>
    <row r="22">
      <c r="A22" s="454" t="inlineStr">
        <is>
          <t>Build and Run|M</t>
        </is>
      </c>
      <c r="C22" s="457" t="inlineStr">
        <is>
          <t>Build and Run</t>
        </is>
      </c>
      <c r="D22" s="457" t="inlineStr">
        <is>
          <t>M</t>
        </is>
      </c>
      <c r="E22" s="457" t="inlineStr">
        <is>
          <t>Standard build and run squad</t>
        </is>
      </c>
      <c r="F22" s="890" t="n">
        <v>9</v>
      </c>
      <c r="G22" s="459" t="n">
        <v>2</v>
      </c>
      <c r="H22" s="459">
        <f>G22*$K$5</f>
        <v>0.8</v>
      </c>
      <c r="I22" s="457" t="inlineStr">
        <is>
          <t>Core platforms, moderate complexity</t>
        </is>
      </c>
    </row>
    <row r="23">
      <c r="A23" s="454" t="inlineStr">
        <is>
          <t>Build and Run|L</t>
        </is>
      </c>
      <c r="C23" s="454" t="inlineStr">
        <is>
          <t>Build and Run</t>
        </is>
      </c>
      <c r="D23" s="454" t="inlineStr">
        <is>
          <t>L</t>
        </is>
      </c>
      <c r="E23" s="454" t="inlineStr">
        <is>
          <t>Scaled build and run squad</t>
        </is>
      </c>
      <c r="F23" s="889" t="n">
        <v>13</v>
      </c>
      <c r="G23" s="422" t="n">
        <v>2.8</v>
      </c>
      <c r="H23" s="422">
        <f>G23*$K$5</f>
        <v>1.1199999999999999</v>
      </c>
      <c r="I23" s="454" t="inlineStr">
        <is>
          <t>High traffic or business critical, 24/7</t>
        </is>
      </c>
    </row>
    <row r="24">
      <c r="C24" s="462" t="inlineStr">
        <is>
          <t>Exceptions (will need to incl. rules)</t>
        </is>
      </c>
      <c r="E24" s="430" t="inlineStr">
        <is>
          <t>TBC</t>
        </is>
      </c>
      <c r="I24" s="430" t="inlineStr">
        <is>
          <t>TBC</t>
        </is>
      </c>
    </row>
    <row r="27">
      <c r="C27" s="101"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808080"/>
    <outlinePr summaryBelow="1" summaryRight="1"/>
    <pageSetUpPr/>
  </sheetPr>
  <dimension ref="A3:AS52"/>
  <sheetViews>
    <sheetView showGridLines="0" topLeftCell="B1" zoomScale="90" zoomScaleNormal="90" workbookViewId="0">
      <selection activeCell="A1" sqref="A1"/>
    </sheetView>
  </sheetViews>
  <sheetFormatPr baseColWidth="8" defaultColWidth="9.1796875" defaultRowHeight="15.5"/>
  <cols>
    <col hidden="1" width="30.1796875" customWidth="1" style="22" min="1" max="1"/>
    <col width="28.26953125" customWidth="1" style="23" min="2" max="2"/>
    <col width="21" customWidth="1" style="23" min="3" max="3"/>
    <col width="7.81640625" customWidth="1" style="22" min="4" max="6"/>
    <col hidden="1" outlineLevel="1" width="8.26953125" customWidth="1" style="22" min="7" max="7"/>
    <col collapsed="1" width="6.26953125" customWidth="1" style="22" min="8" max="8"/>
    <col hidden="1" width="7.81640625" customWidth="1" style="22" min="9" max="11"/>
    <col hidden="1" outlineLevel="1" width="8.26953125" customWidth="1" style="22" min="12" max="12"/>
    <col hidden="1" width="6.26953125" customWidth="1" style="22" min="13" max="13"/>
    <col outlineLevel="1" width="7.81640625" customWidth="1" style="22" min="14" max="16"/>
    <col hidden="1" outlineLevel="2" width="8.26953125" customWidth="1" style="22" min="17" max="17"/>
    <col outlineLevel="1" collapsed="1" width="6.26953125" customWidth="1" style="22" min="18" max="18"/>
    <col outlineLevel="1" width="7.81640625" customWidth="1" style="22" min="19" max="21"/>
    <col hidden="1" outlineLevel="2" width="8.26953125" customWidth="1" style="22" min="22" max="22"/>
    <col outlineLevel="1" collapsed="1" width="6.26953125" customWidth="1" style="22" min="23" max="23"/>
    <col width="7.81640625" customWidth="1" style="22" min="24" max="26"/>
    <col hidden="1" outlineLevel="1" width="8.26953125" customWidth="1" style="22" min="27" max="27"/>
    <col collapsed="1" width="6.26953125" customWidth="1" style="22" min="28" max="28"/>
    <col width="7.81640625" customWidth="1" style="22" min="29" max="31"/>
    <col hidden="1" outlineLevel="1" width="8.26953125" customWidth="1" style="22" min="32" max="32"/>
    <col collapsed="1" width="6.26953125" customWidth="1" style="22" min="33" max="33"/>
    <col width="7.81640625" customWidth="1" style="22" min="34" max="36"/>
    <col hidden="1" outlineLevel="1" width="8.26953125" customWidth="1" style="22" min="37" max="37"/>
    <col collapsed="1" width="6.26953125" customWidth="1" style="22" min="38" max="38"/>
    <col width="0.7265625" customWidth="1" style="22" min="39" max="39"/>
    <col width="7.81640625" customWidth="1" style="22" min="40" max="42"/>
    <col outlineLevel="1" width="9.1796875" customWidth="1" style="22" min="43" max="43"/>
    <col width="6.26953125" customWidth="1" style="22" min="44" max="44"/>
    <col width="9.1796875" customWidth="1" style="22" min="45" max="48"/>
    <col width="9.1796875" customWidth="1" style="22" min="49" max="16384"/>
  </cols>
  <sheetData>
    <row r="3" ht="39" customHeight="1" s="849">
      <c r="B3" s="856" t="inlineStr">
        <is>
          <t>BUSINESS SEGMENTS</t>
        </is>
      </c>
      <c r="C3" s="856" t="inlineStr">
        <is>
          <t>TDD GM</t>
        </is>
      </c>
      <c r="D3" s="860" t="inlineStr">
        <is>
          <t>TOTAL 
YTD (Jun-2026)</t>
        </is>
      </c>
      <c r="E3" s="854" t="n"/>
      <c r="F3" s="854" t="n"/>
      <c r="G3" s="854" t="n"/>
      <c r="H3" s="859" t="n"/>
      <c r="I3" s="858" t="inlineStr">
        <is>
          <t>OPEX: LIGHTS ON + INITIATIVES
(YTD)</t>
        </is>
      </c>
      <c r="J3" s="854" t="n"/>
      <c r="K3" s="854" t="n"/>
      <c r="L3" s="854" t="n"/>
      <c r="M3" s="859" t="n"/>
      <c r="N3" s="858" t="inlineStr">
        <is>
          <t>OPEX: LIGHTS ON
(YTD)</t>
        </is>
      </c>
      <c r="O3" s="854" t="n"/>
      <c r="P3" s="854" t="n"/>
      <c r="Q3" s="854" t="n"/>
      <c r="R3" s="859" t="n"/>
      <c r="S3" s="858" t="inlineStr">
        <is>
          <t>OPEX: INITIATIVES
(YTD)</t>
        </is>
      </c>
      <c r="T3" s="854" t="n"/>
      <c r="U3" s="854" t="n"/>
      <c r="V3" s="854" t="n"/>
      <c r="W3" s="859" t="n"/>
      <c r="X3" s="865" t="inlineStr">
        <is>
          <t>OPEX: DEPRECIATION
(YTD)</t>
        </is>
      </c>
      <c r="Y3" s="854" t="n"/>
      <c r="Z3" s="854" t="n"/>
      <c r="AA3" s="854" t="n"/>
      <c r="AB3" s="855" t="n"/>
      <c r="AC3" s="867" t="inlineStr">
        <is>
          <t>SIGNIFICANT ITEMS
(YTD)</t>
        </is>
      </c>
      <c r="AD3" s="854" t="n"/>
      <c r="AE3" s="854" t="n"/>
      <c r="AF3" s="854" t="n"/>
      <c r="AG3" s="854" t="n"/>
      <c r="AH3" s="865" t="inlineStr">
        <is>
          <t>CAPEX
(YTD)</t>
        </is>
      </c>
      <c r="AI3" s="854" t="n"/>
      <c r="AJ3" s="854" t="n"/>
      <c r="AK3" s="854" t="n"/>
      <c r="AL3" s="855" t="n"/>
      <c r="AN3" s="862" t="inlineStr">
        <is>
          <t>FY2026</t>
        </is>
      </c>
      <c r="AO3" s="854" t="n"/>
      <c r="AP3" s="854" t="n"/>
      <c r="AQ3" s="854" t="n"/>
      <c r="AR3" s="855" t="n"/>
    </row>
    <row r="4" ht="13.5" customHeight="1" s="849">
      <c r="B4" s="857" t="n"/>
      <c r="C4" s="857" t="n"/>
      <c r="D4" s="24" t="inlineStr">
        <is>
          <t>A</t>
        </is>
      </c>
      <c r="E4" s="25" t="inlineStr">
        <is>
          <t>B</t>
        </is>
      </c>
      <c r="F4" s="25" t="inlineStr">
        <is>
          <t>V</t>
        </is>
      </c>
      <c r="G4" s="25" t="inlineStr">
        <is>
          <t>V %</t>
        </is>
      </c>
      <c r="H4" s="25" t="inlineStr">
        <is>
          <t>Trend</t>
        </is>
      </c>
      <c r="I4" s="26" t="inlineStr">
        <is>
          <t>A</t>
        </is>
      </c>
      <c r="J4" s="26" t="inlineStr">
        <is>
          <t>B</t>
        </is>
      </c>
      <c r="K4" s="26" t="inlineStr">
        <is>
          <t>V</t>
        </is>
      </c>
      <c r="L4" s="26" t="inlineStr">
        <is>
          <t>V %</t>
        </is>
      </c>
      <c r="M4" s="26" t="inlineStr">
        <is>
          <t>Trend</t>
        </is>
      </c>
      <c r="N4" s="26" t="inlineStr">
        <is>
          <t>A</t>
        </is>
      </c>
      <c r="O4" s="26" t="inlineStr">
        <is>
          <t>B</t>
        </is>
      </c>
      <c r="P4" s="26" t="inlineStr">
        <is>
          <t>V</t>
        </is>
      </c>
      <c r="Q4" s="26" t="n"/>
      <c r="R4" s="26" t="inlineStr">
        <is>
          <t>Trend</t>
        </is>
      </c>
      <c r="S4" s="26" t="inlineStr">
        <is>
          <t>A</t>
        </is>
      </c>
      <c r="T4" s="26" t="inlineStr">
        <is>
          <t>B</t>
        </is>
      </c>
      <c r="U4" s="26" t="inlineStr">
        <is>
          <t>V</t>
        </is>
      </c>
      <c r="V4" s="26" t="inlineStr">
        <is>
          <t>V %</t>
        </is>
      </c>
      <c r="W4" s="26" t="inlineStr">
        <is>
          <t>Trend</t>
        </is>
      </c>
      <c r="X4" s="26" t="inlineStr">
        <is>
          <t>A</t>
        </is>
      </c>
      <c r="Y4" s="26" t="inlineStr">
        <is>
          <t>B</t>
        </is>
      </c>
      <c r="Z4" s="26" t="inlineStr">
        <is>
          <t>V</t>
        </is>
      </c>
      <c r="AA4" s="26" t="inlineStr">
        <is>
          <t>V %</t>
        </is>
      </c>
      <c r="AB4" s="27" t="inlineStr">
        <is>
          <t>Trend</t>
        </is>
      </c>
      <c r="AC4" s="26" t="inlineStr">
        <is>
          <t>A</t>
        </is>
      </c>
      <c r="AD4" s="26" t="inlineStr">
        <is>
          <t>B</t>
        </is>
      </c>
      <c r="AE4" s="26" t="inlineStr">
        <is>
          <t>V</t>
        </is>
      </c>
      <c r="AF4" s="26" t="inlineStr">
        <is>
          <t>V %</t>
        </is>
      </c>
      <c r="AG4" s="28" t="inlineStr">
        <is>
          <t>Trend</t>
        </is>
      </c>
      <c r="AH4" s="26" t="inlineStr">
        <is>
          <t>A</t>
        </is>
      </c>
      <c r="AI4" s="26" t="inlineStr">
        <is>
          <t>B</t>
        </is>
      </c>
      <c r="AJ4" s="26" t="inlineStr">
        <is>
          <t>V</t>
        </is>
      </c>
      <c r="AK4" s="26" t="inlineStr">
        <is>
          <t>V %</t>
        </is>
      </c>
      <c r="AL4" s="27" t="inlineStr">
        <is>
          <t>Trend</t>
        </is>
      </c>
      <c r="AN4" s="24" t="inlineStr">
        <is>
          <t>F</t>
        </is>
      </c>
      <c r="AO4" s="25" t="inlineStr">
        <is>
          <t>B</t>
        </is>
      </c>
      <c r="AP4" s="25" t="inlineStr">
        <is>
          <t>V</t>
        </is>
      </c>
      <c r="AQ4" s="25" t="n"/>
      <c r="AR4" s="29" t="inlineStr">
        <is>
          <t>Trend</t>
        </is>
      </c>
    </row>
    <row r="5" ht="21" customFormat="1" customHeight="1" s="30">
      <c r="A5" s="30" t="inlineStr">
        <is>
          <t>TDD (Corporate)1</t>
        </is>
      </c>
      <c r="B5" s="31" t="inlineStr">
        <is>
          <t>TDD (Corporate)1</t>
        </is>
      </c>
      <c r="C5" s="32" t="inlineStr">
        <is>
          <t>Brad Blyth
Greg Cassis</t>
        </is>
      </c>
      <c r="D5" s="33">
        <f>I5+AC5+AH5+X5</f>
        <v>53.57500618</v>
      </c>
      <c r="E5" s="34">
        <f>J5+AD5+AI5+Y5</f>
        <v>56.158125129999995</v>
      </c>
      <c r="F5" s="34">
        <f>E5-D5</f>
        <v>2.5831189499999923</v>
      </c>
      <c r="G5" s="35">
        <f>IFERROR(F5/E5,"-")</f>
        <v>0.04599724339123414</v>
      </c>
      <c r="H5" s="36" t="inlineStr">
        <is>
          <t>G</t>
        </is>
      </c>
      <c r="I5" s="34" t="n">
        <v>41.77379708</v>
      </c>
      <c r="J5" s="34" t="n">
        <v>41.9336938</v>
      </c>
      <c r="K5" s="34">
        <f>J5-I5</f>
        <v>0.159896719999999</v>
      </c>
      <c r="L5" s="35">
        <f>IFERROR(K5/J5,"-")</f>
        <v>0.0038130845511157663</v>
      </c>
      <c r="M5" s="37" t="inlineStr">
        <is>
          <t>G</t>
        </is>
      </c>
      <c r="N5" s="34">
        <f>I5-S5</f>
        <v>40.97295585</v>
      </c>
      <c r="O5" s="34">
        <f>J5-T5</f>
        <v>40.4336938</v>
      </c>
      <c r="P5" s="34">
        <f>O5-N5</f>
        <v>-0.5392620499999978</v>
      </c>
      <c r="Q5" s="35">
        <f>IFERROR(P5/O5,"-")</f>
        <v>-0.013336947464344646</v>
      </c>
      <c r="R5" s="38" t="inlineStr">
        <is>
          <t>A</t>
        </is>
      </c>
      <c r="S5" s="34" t="n">
        <v>0.80084123</v>
      </c>
      <c r="T5" s="34" t="n">
        <v>1.5</v>
      </c>
      <c r="U5" s="34">
        <f>T5-S5</f>
        <v>0.69915877</v>
      </c>
      <c r="V5" s="35">
        <f>IFERROR(U5/T5,"-")</f>
        <v>0.4661058466666667</v>
      </c>
      <c r="W5" s="36" t="inlineStr">
        <is>
          <t>G</t>
        </is>
      </c>
      <c r="X5" s="34" t="n">
        <v>2.78522111</v>
      </c>
      <c r="Y5" s="34" t="n">
        <v>2.9338979</v>
      </c>
      <c r="Z5" s="34">
        <f>Y5-X5</f>
        <v>0.14867678999999967</v>
      </c>
      <c r="AA5" s="35">
        <f>IFERROR(Z5/Y5,"-")</f>
        <v>0.0506755160089244</v>
      </c>
      <c r="AB5" s="36" t="inlineStr">
        <is>
          <t>G</t>
        </is>
      </c>
      <c r="AC5" s="34" t="n">
        <v>8.8400082</v>
      </c>
      <c r="AD5" s="34" t="n">
        <v>9.2622</v>
      </c>
      <c r="AE5" s="34">
        <f>AD5-AC5</f>
        <v>0.42219180000000023</v>
      </c>
      <c r="AF5" s="35">
        <f>IFERROR(AE5/AD5,"-")</f>
        <v>0.04558223748137594</v>
      </c>
      <c r="AG5" s="36" t="inlineStr">
        <is>
          <t>G</t>
        </is>
      </c>
      <c r="AH5" s="34" t="n">
        <v>0.17597979</v>
      </c>
      <c r="AI5" s="34" t="n">
        <v>2.02833343</v>
      </c>
      <c r="AJ5" s="34">
        <f>AI5-AH5</f>
        <v>1.85235364</v>
      </c>
      <c r="AK5" s="35">
        <f>IFERROR(AJ5/AI5,"-")</f>
        <v>0.9132392202400372</v>
      </c>
      <c r="AL5" s="39" t="inlineStr">
        <is>
          <t>G</t>
        </is>
      </c>
      <c r="AN5" s="40">
        <f>I21+AC21+AH21+X21</f>
        <v>117.95714038000001</v>
      </c>
      <c r="AO5" s="41">
        <f>J21+AD21+AI21+Y21</f>
        <v>112.75951309</v>
      </c>
      <c r="AP5" s="41">
        <f>AO5-AN5</f>
        <v>-5.197627290000014</v>
      </c>
      <c r="AQ5" s="35">
        <f>IFERROR(AP5/AO5,"-")</f>
        <v>-0.04609480076285433</v>
      </c>
      <c r="AR5" s="42" t="inlineStr">
        <is>
          <t>A</t>
        </is>
      </c>
    </row>
    <row r="6" ht="21" customFormat="1" customHeight="1" s="30">
      <c r="A6" s="30" t="inlineStr">
        <is>
          <t>Z-Energy</t>
        </is>
      </c>
      <c r="B6" s="43" t="inlineStr">
        <is>
          <t>Z- Energy</t>
        </is>
      </c>
      <c r="C6" s="44" t="inlineStr">
        <is>
          <t>Vance Anderson
Harley Giles</t>
        </is>
      </c>
      <c r="D6" s="40">
        <f>I6+AC6+AH6+X6</f>
        <v>35.2578582524</v>
      </c>
      <c r="E6" s="41">
        <f>J6+AD6+AI6+Y6</f>
        <v>38.25415984714868</v>
      </c>
      <c r="F6" s="41">
        <f>E6-D6</f>
        <v>2.9963015947486795</v>
      </c>
      <c r="G6" s="45">
        <f>IFERROR(F6/E6,"-")</f>
        <v>0.07832616391840619</v>
      </c>
      <c r="H6" s="37" t="inlineStr">
        <is>
          <t>G</t>
        </is>
      </c>
      <c r="I6" s="41" t="n">
        <v>26.4555130724</v>
      </c>
      <c r="J6" s="41" t="n">
        <v>26.8009903019695</v>
      </c>
      <c r="K6" s="41">
        <f>J6-I6</f>
        <v>0.3454772295695001</v>
      </c>
      <c r="L6" s="45">
        <f>IFERROR(K6/J6,"-")</f>
        <v>0.012890465078975547</v>
      </c>
      <c r="M6" s="37" t="inlineStr">
        <is>
          <t>G</t>
        </is>
      </c>
      <c r="N6" s="34">
        <f>I6-S6</f>
        <v>26.4555130724</v>
      </c>
      <c r="O6" s="34">
        <f>J6-T6</f>
        <v>26.077870301969497</v>
      </c>
      <c r="P6" s="41">
        <f>O6-N6</f>
        <v>-0.37764277043050143</v>
      </c>
      <c r="Q6" s="45">
        <f>IFERROR(P6/O6,"-")</f>
        <v>-0.01448135012781241</v>
      </c>
      <c r="R6" s="38" t="inlineStr">
        <is>
          <t>A</t>
        </is>
      </c>
      <c r="S6" s="34" t="n">
        <v>0</v>
      </c>
      <c r="T6" s="34" t="n">
        <v>0.72312</v>
      </c>
      <c r="U6" s="41">
        <f>T6-S6</f>
        <v>0.72312</v>
      </c>
      <c r="V6" s="45">
        <f>IFERROR(U6/T6,"-")</f>
        <v>1.0</v>
      </c>
      <c r="W6" s="37" t="inlineStr">
        <is>
          <t>G</t>
        </is>
      </c>
      <c r="X6" s="41" t="n">
        <v>4.835755244</v>
      </c>
      <c r="Y6" s="41" t="n">
        <v>5.14368626517918</v>
      </c>
      <c r="Z6" s="41">
        <f>Y6-X6</f>
        <v>0.30793102117918014</v>
      </c>
      <c r="AA6" s="45">
        <f>IFERROR(Z6/Y6,"-")</f>
        <v>0.05986582487811461</v>
      </c>
      <c r="AB6" s="37" t="inlineStr">
        <is>
          <t>G</t>
        </is>
      </c>
      <c r="AC6" s="41" t="n">
        <v>0</v>
      </c>
      <c r="AD6" s="41" t="n">
        <v>0</v>
      </c>
      <c r="AE6" s="41">
        <f>AD6-AC6</f>
        <v>0.0</v>
      </c>
      <c r="AF6" s="45" t="str">
        <f>IFERROR(AE6/AD6,"-")</f>
        <v>-</v>
      </c>
      <c r="AG6" s="46" t="n"/>
      <c r="AH6" s="34" t="n">
        <v>3.966589936</v>
      </c>
      <c r="AI6" s="34" t="n">
        <v>6.30948328</v>
      </c>
      <c r="AJ6" s="41">
        <f>AI6-AH6</f>
        <v>2.342893344</v>
      </c>
      <c r="AK6" s="45">
        <f>IFERROR(AJ6/AI6,"-")</f>
        <v>0.37132887750516397</v>
      </c>
      <c r="AL6" s="47" t="inlineStr">
        <is>
          <t>G</t>
        </is>
      </c>
      <c r="AN6" s="40">
        <f>I22+AC22+AH22+X22</f>
        <v>73.1083914772</v>
      </c>
      <c r="AO6" s="41">
        <f>J22+AD22+AI22+Y22</f>
        <v>76.70351404837331</v>
      </c>
      <c r="AP6" s="41">
        <f>AO6-AN6</f>
        <v>3.595122571173306</v>
      </c>
      <c r="AQ6" s="45">
        <f>IFERROR(AP6/AO6,"-")</f>
        <v>0.04687037635467432</v>
      </c>
      <c r="AR6" s="47" t="inlineStr">
        <is>
          <t>G</t>
        </is>
      </c>
    </row>
    <row r="7" ht="24" customFormat="1" customHeight="1" s="30">
      <c r="A7" s="30" t="inlineStr">
        <is>
          <t>Commercial Fuels</t>
        </is>
      </c>
      <c r="B7" s="43" t="inlineStr">
        <is>
          <t>Commercial Fuels</t>
        </is>
      </c>
      <c r="C7" s="44" t="inlineStr">
        <is>
          <t>Roanne Steele</t>
        </is>
      </c>
      <c r="D7" s="40">
        <f>I7+AC7+AH7+X7</f>
        <v>12.40156227969697</v>
      </c>
      <c r="E7" s="41">
        <f>J7+AD7+AI7+Y7</f>
        <v>18.77737756909091</v>
      </c>
      <c r="F7" s="41">
        <f>E7-D7</f>
        <v>6.375815289393939</v>
      </c>
      <c r="G7" s="45">
        <f>IFERROR(F7/E7,"-")</f>
        <v>0.3395476959407287</v>
      </c>
      <c r="H7" s="37" t="inlineStr">
        <is>
          <t>G</t>
        </is>
      </c>
      <c r="I7" s="41" t="n">
        <v>7.1072414</v>
      </c>
      <c r="J7" s="41" t="n">
        <v>8.284722285454549</v>
      </c>
      <c r="K7" s="41">
        <f>J7-I7</f>
        <v>1.1774808854545489</v>
      </c>
      <c r="L7" s="45">
        <f>IFERROR(K7/J7,"-")</f>
        <v>0.14212677804805202</v>
      </c>
      <c r="M7" s="37" t="inlineStr">
        <is>
          <t>G</t>
        </is>
      </c>
      <c r="N7" s="34">
        <f>I7-S7</f>
        <v>5.01868455307692</v>
      </c>
      <c r="O7" s="34">
        <f>J7-T7</f>
        <v>5.353861823916089</v>
      </c>
      <c r="P7" s="41">
        <f>O7-N7</f>
        <v>0.3351772708391696</v>
      </c>
      <c r="Q7" s="45">
        <f>IFERROR(P7/O7,"-")</f>
        <v>0.06260476677636849</v>
      </c>
      <c r="R7" s="37" t="inlineStr">
        <is>
          <t>G</t>
        </is>
      </c>
      <c r="S7" s="34" t="n">
        <v>2.08855684692308</v>
      </c>
      <c r="T7" s="34" t="n">
        <v>2.93086046153846</v>
      </c>
      <c r="U7" s="41">
        <f>T7-S7</f>
        <v>0.8423036146153797</v>
      </c>
      <c r="V7" s="45">
        <f>IFERROR(U7/T7,"-")</f>
        <v>0.287391237375129</v>
      </c>
      <c r="W7" s="37" t="inlineStr">
        <is>
          <t>G</t>
        </is>
      </c>
      <c r="X7" s="41" t="n"/>
      <c r="Y7" s="41" t="n"/>
      <c r="Z7" s="41">
        <f>Y7-X7</f>
        <v>0.0</v>
      </c>
      <c r="AA7" s="45" t="str">
        <f>IFERROR(Z7/Y7,"-")</f>
        <v>-</v>
      </c>
      <c r="AB7" s="46" t="n"/>
      <c r="AC7" s="41" t="n">
        <v>4.72854146969697</v>
      </c>
      <c r="AD7" s="41" t="n">
        <v>7.109604</v>
      </c>
      <c r="AE7" s="41">
        <f>AD7-AC7</f>
        <v>2.38106253030303</v>
      </c>
      <c r="AF7" s="45">
        <f>IFERROR(AE7/AD7,"-")</f>
        <v>0.3349078978664677</v>
      </c>
      <c r="AG7" s="37" t="inlineStr">
        <is>
          <t>G</t>
        </is>
      </c>
      <c r="AH7" s="34" t="n">
        <v>0.56577941</v>
      </c>
      <c r="AI7" s="34" t="n">
        <v>3.38305128363636</v>
      </c>
      <c r="AJ7" s="41">
        <f>AI7-AH7</f>
        <v>2.8172718736363604</v>
      </c>
      <c r="AK7" s="45">
        <f>IFERROR(AJ7/AI7,"-")</f>
        <v>0.8327606168027529</v>
      </c>
      <c r="AL7" s="47" t="inlineStr">
        <is>
          <t>G</t>
        </is>
      </c>
      <c r="AN7" s="40">
        <f>I23+AC23+AH23+X23</f>
        <v>32.76899756317017</v>
      </c>
      <c r="AO7" s="41">
        <f>J23+AD23+AI23+Y23</f>
        <v>40.534223043939406</v>
      </c>
      <c r="AP7" s="41">
        <f>AO7-AN7</f>
        <v>7.765225480769239</v>
      </c>
      <c r="AQ7" s="45">
        <f>IFERROR(AP7/AO7,"-")</f>
        <v>0.191572081506328</v>
      </c>
      <c r="AR7" s="47" t="inlineStr">
        <is>
          <t>G</t>
        </is>
      </c>
    </row>
    <row r="8" ht="24" customFormat="1" customHeight="1" s="30">
      <c r="A8" s="30" t="inlineStr">
        <is>
          <t>Retail</t>
        </is>
      </c>
      <c r="B8" s="43" t="inlineStr">
        <is>
          <t>Retail</t>
        </is>
      </c>
      <c r="C8" s="44" t="inlineStr">
        <is>
          <t>Vance Anderson</t>
        </is>
      </c>
      <c r="D8" s="40">
        <f>I8+AC8+AH8+X8</f>
        <v>14.290548620000003</v>
      </c>
      <c r="E8" s="41">
        <f>J8+AD8+AI8+Y8</f>
        <v>18.065295140000003</v>
      </c>
      <c r="F8" s="41">
        <f>E8-D8</f>
        <v>3.7747465200000008</v>
      </c>
      <c r="G8" s="45">
        <f>IFERROR(F8/E8,"-")</f>
        <v>0.20895017162725413</v>
      </c>
      <c r="H8" s="37" t="inlineStr">
        <is>
          <t>G</t>
        </is>
      </c>
      <c r="I8" s="41" t="n">
        <v>6.854453</v>
      </c>
      <c r="J8" s="41" t="n">
        <v>7.08529514</v>
      </c>
      <c r="K8" s="41">
        <f>J8-I8</f>
        <v>0.23084214000000003</v>
      </c>
      <c r="L8" s="45">
        <f>IFERROR(K8/J8,"-")</f>
        <v>0.03258045507473384</v>
      </c>
      <c r="M8" s="37" t="inlineStr">
        <is>
          <t>G</t>
        </is>
      </c>
      <c r="N8" s="34">
        <f>I8-S8</f>
        <v>6.45960741</v>
      </c>
      <c r="O8" s="34">
        <f>J8-T8</f>
        <v>6.43029514</v>
      </c>
      <c r="P8" s="41">
        <f>O8-N8</f>
        <v>-0.02931227000000014</v>
      </c>
      <c r="Q8" s="45">
        <f>IFERROR(P8/O8,"-")</f>
        <v>-0.004558464170277593</v>
      </c>
      <c r="R8" s="37" t="inlineStr">
        <is>
          <t>G</t>
        </is>
      </c>
      <c r="S8" s="34" t="n">
        <v>0.39484559</v>
      </c>
      <c r="T8" s="34" t="n">
        <v>0.655</v>
      </c>
      <c r="U8" s="41">
        <f>T8-S8</f>
        <v>0.26015441</v>
      </c>
      <c r="V8" s="45">
        <f>IFERROR(U8/T8,"-")</f>
        <v>0.39718230534351145</v>
      </c>
      <c r="W8" s="37" t="inlineStr">
        <is>
          <t>G</t>
        </is>
      </c>
      <c r="X8" s="41" t="n"/>
      <c r="Y8" s="41" t="n"/>
      <c r="Z8" s="41">
        <f>Y8-X8</f>
        <v>0.0</v>
      </c>
      <c r="AA8" s="45" t="str">
        <f>IFERROR(Z8/Y8,"-")</f>
        <v>-</v>
      </c>
      <c r="AB8" s="46" t="n"/>
      <c r="AC8" s="41" t="n">
        <v>3.35460589</v>
      </c>
      <c r="AD8" s="41" t="n">
        <v>5.08</v>
      </c>
      <c r="AE8" s="41">
        <f>AD8-AC8</f>
        <v>1.7253941099999999</v>
      </c>
      <c r="AF8" s="45">
        <f>IFERROR(AE8/AD8,"-")</f>
        <v>0.33964450984251965</v>
      </c>
      <c r="AG8" s="37" t="inlineStr">
        <is>
          <t>G</t>
        </is>
      </c>
      <c r="AH8" s="34" t="n">
        <v>4.08148973</v>
      </c>
      <c r="AI8" s="34" t="n">
        <v>5.9</v>
      </c>
      <c r="AJ8" s="41">
        <f>AI8-AH8</f>
        <v>1.81851027</v>
      </c>
      <c r="AK8" s="45">
        <f>IFERROR(AJ8/AI8,"-")</f>
        <v>0.30822207966101695</v>
      </c>
      <c r="AL8" s="47" t="inlineStr">
        <is>
          <t>G</t>
        </is>
      </c>
      <c r="AN8" s="40">
        <f>I24+AC24+AH24+X24</f>
        <v>35.260355770000004</v>
      </c>
      <c r="AO8" s="41">
        <f>J24+AD24+AI24+Y24</f>
        <v>33.88085459</v>
      </c>
      <c r="AP8" s="41">
        <f>AO8-AN8</f>
        <v>-1.3795011800000054</v>
      </c>
      <c r="AQ8" s="45">
        <f>IFERROR(AP8/AO8,"-")</f>
        <v>-0.04071624510932992</v>
      </c>
      <c r="AR8" s="48" t="inlineStr">
        <is>
          <t>R</t>
        </is>
      </c>
    </row>
    <row r="9" ht="24" customFormat="1" customHeight="1" s="30">
      <c r="A9" s="30" t="inlineStr">
        <is>
          <t>Energy Solutions</t>
        </is>
      </c>
      <c r="B9" s="43" t="inlineStr">
        <is>
          <t>Energy Solutions</t>
        </is>
      </c>
      <c r="C9" s="44" t="inlineStr">
        <is>
          <t>Roanne Steele</t>
        </is>
      </c>
      <c r="D9" s="40">
        <f>I9+AC9+AH9+X9</f>
        <v>4.138503998274</v>
      </c>
      <c r="E9" s="41">
        <f>J9+AD9+AI9+Y9</f>
        <v>3.80667954</v>
      </c>
      <c r="F9" s="41">
        <f>E9-D9</f>
        <v>-0.3318244582740002</v>
      </c>
      <c r="G9" s="45">
        <f>IFERROR(F9/E9,"-")</f>
        <v>-0.0871690024829356</v>
      </c>
      <c r="H9" s="49" t="inlineStr">
        <is>
          <t>R</t>
        </is>
      </c>
      <c r="I9" s="41" t="n">
        <v>2.87890034</v>
      </c>
      <c r="J9" s="41" t="n">
        <v>2.51601915</v>
      </c>
      <c r="K9" s="41">
        <f>J9-I9</f>
        <v>-0.36288118999999996</v>
      </c>
      <c r="L9" s="45">
        <f>IFERROR(K9/J9,"-")</f>
        <v>-0.14422831002697256</v>
      </c>
      <c r="M9" s="50" t="inlineStr">
        <is>
          <t>R</t>
        </is>
      </c>
      <c r="N9" s="34">
        <f>I9-S9</f>
        <v>2.54529162</v>
      </c>
      <c r="O9" s="34">
        <f>J9-T9</f>
        <v>2.03101915</v>
      </c>
      <c r="P9" s="41">
        <f>O9-N9</f>
        <v>-0.5142724699999999</v>
      </c>
      <c r="Q9" s="45">
        <f>IFERROR(P9/O9,"-")</f>
        <v>-0.2532090699390992</v>
      </c>
      <c r="R9" s="49" t="inlineStr">
        <is>
          <t>R</t>
        </is>
      </c>
      <c r="S9" s="34" t="n">
        <v>0.33360872</v>
      </c>
      <c r="T9" s="34" t="n">
        <v>0.485</v>
      </c>
      <c r="U9" s="41">
        <f>T9-S9</f>
        <v>0.15139127999999996</v>
      </c>
      <c r="V9" s="45">
        <f>IFERROR(U9/T9,"-")</f>
        <v>0.3121469690721649</v>
      </c>
      <c r="W9" s="37" t="inlineStr">
        <is>
          <t>G</t>
        </is>
      </c>
      <c r="X9" s="41" t="n"/>
      <c r="Y9" s="41" t="n"/>
      <c r="Z9" s="41">
        <f>Y9-X9</f>
        <v>0.0</v>
      </c>
      <c r="AA9" s="45" t="str">
        <f>IFERROR(Z9/Y9,"-")</f>
        <v>-</v>
      </c>
      <c r="AB9" s="46" t="n"/>
      <c r="AC9" s="41" t="n"/>
      <c r="AD9" s="41" t="n"/>
      <c r="AE9" s="41">
        <f>AD9-AC9</f>
        <v>0.0</v>
      </c>
      <c r="AF9" s="45" t="str">
        <f>IFERROR(AE9/AD9,"-")</f>
        <v>-</v>
      </c>
      <c r="AG9" s="46" t="n"/>
      <c r="AH9" s="34" t="n">
        <v>1.259603658274</v>
      </c>
      <c r="AI9" s="34" t="n">
        <v>1.29066039</v>
      </c>
      <c r="AJ9" s="41">
        <f>AI9-AH9</f>
        <v>0.031056731725999986</v>
      </c>
      <c r="AK9" s="45">
        <f>IFERROR(AJ9/AI9,"-")</f>
        <v>0.024062667427176554</v>
      </c>
      <c r="AL9" s="47" t="inlineStr">
        <is>
          <t>G</t>
        </is>
      </c>
      <c r="AN9" s="40">
        <f>I25+AC25+AH25+X25</f>
        <v>7.830666008273999</v>
      </c>
      <c r="AO9" s="41">
        <f>J25+AD25+AI25+Y25</f>
        <v>8.00952437</v>
      </c>
      <c r="AP9" s="41">
        <f>AO9-AN9</f>
        <v>0.17885836172600023</v>
      </c>
      <c r="AQ9" s="45">
        <f>IFERROR(AP9/AO9,"-")</f>
        <v>0.022330709473326722</v>
      </c>
      <c r="AR9" s="48" t="inlineStr">
        <is>
          <t>R</t>
        </is>
      </c>
    </row>
    <row r="10" ht="24" customFormat="1" customHeight="1" s="30">
      <c r="A10" s="30" t="inlineStr">
        <is>
          <t>Infrastructure</t>
        </is>
      </c>
      <c r="B10" s="43" t="inlineStr">
        <is>
          <t>Infrastructure</t>
        </is>
      </c>
      <c r="C10" s="44" t="inlineStr">
        <is>
          <t>Roanne Steele</t>
        </is>
      </c>
      <c r="D10" s="40">
        <f>I10+AC10+AH10+X10</f>
        <v>2.69057661</v>
      </c>
      <c r="E10" s="41">
        <f>J10+AD10+AI10+Y10</f>
        <v>4.27708298</v>
      </c>
      <c r="F10" s="41">
        <f>E10-D10</f>
        <v>1.5865063700000004</v>
      </c>
      <c r="G10" s="45">
        <f>IFERROR(F10/E10,"-")</f>
        <v>0.37093186581103</v>
      </c>
      <c r="H10" s="37" t="inlineStr">
        <is>
          <t>G</t>
        </is>
      </c>
      <c r="I10" s="41" t="n">
        <v>1.75620822</v>
      </c>
      <c r="J10" s="41" t="n">
        <v>1.831374</v>
      </c>
      <c r="K10" s="41">
        <f>J10-I10</f>
        <v>0.07516578000000007</v>
      </c>
      <c r="L10" s="45">
        <f>IFERROR(K10/J10,"-")</f>
        <v>0.04104338054378847</v>
      </c>
      <c r="M10" s="37" t="inlineStr">
        <is>
          <t>G</t>
        </is>
      </c>
      <c r="N10" s="34">
        <f>I10-S10</f>
        <v>1.44044992</v>
      </c>
      <c r="O10" s="34">
        <f>J10-T10</f>
        <v>1.4496930000000001</v>
      </c>
      <c r="P10" s="41">
        <f>O10-N10</f>
        <v>0.00924308000000007</v>
      </c>
      <c r="Q10" s="45">
        <f>IFERROR(P10/O10,"-")</f>
        <v>0.006375887860395318</v>
      </c>
      <c r="R10" s="37" t="inlineStr">
        <is>
          <t>G</t>
        </is>
      </c>
      <c r="S10" s="34" t="n">
        <v>0.3157583</v>
      </c>
      <c r="T10" s="34" t="n">
        <v>0.381681</v>
      </c>
      <c r="U10" s="41">
        <f>T10-S10</f>
        <v>0.0659227</v>
      </c>
      <c r="V10" s="45">
        <f>IFERROR(U10/T10,"-")</f>
        <v>0.17271674513533553</v>
      </c>
      <c r="W10" s="37" t="inlineStr">
        <is>
          <t>G</t>
        </is>
      </c>
      <c r="X10" s="41" t="n"/>
      <c r="Y10" s="41" t="n"/>
      <c r="Z10" s="41">
        <f>Y10-X10</f>
        <v>0.0</v>
      </c>
      <c r="AA10" s="45" t="str">
        <f>IFERROR(Z10/Y10,"-")</f>
        <v>-</v>
      </c>
      <c r="AB10" s="46" t="n"/>
      <c r="AC10" s="41" t="n"/>
      <c r="AD10" s="41" t="n"/>
      <c r="AE10" s="41">
        <f>AD10-AC10</f>
        <v>0.0</v>
      </c>
      <c r="AF10" s="45" t="str">
        <f>IFERROR(AE10/AD10,"-")</f>
        <v>-</v>
      </c>
      <c r="AG10" s="46" t="n"/>
      <c r="AH10" s="34" t="n">
        <v>0.93436839</v>
      </c>
      <c r="AI10" s="34" t="n">
        <v>2.44570898</v>
      </c>
      <c r="AJ10" s="41">
        <f>AI10-AH10</f>
        <v>1.51134059</v>
      </c>
      <c r="AK10" s="45">
        <f>IFERROR(AJ10/AI10,"-")</f>
        <v>0.6179560210798262</v>
      </c>
      <c r="AL10" s="47" t="inlineStr">
        <is>
          <t>G</t>
        </is>
      </c>
      <c r="AN10" s="40">
        <f>I26+AC26+AH26+X26</f>
        <v>8.41854714</v>
      </c>
      <c r="AO10" s="41">
        <f>J26+AD26+AI26+Y26</f>
        <v>9.24937596</v>
      </c>
      <c r="AP10" s="41">
        <f>AO10-AN10</f>
        <v>0.8308288200000007</v>
      </c>
      <c r="AQ10" s="45">
        <f>IFERROR(AP10/AO10,"-")</f>
        <v>0.08982539185270622</v>
      </c>
      <c r="AR10" s="47" t="inlineStr">
        <is>
          <t>G</t>
        </is>
      </c>
    </row>
    <row r="11" ht="24" customFormat="1" customHeight="1" s="30">
      <c r="A11" s="30" t="inlineStr">
        <is>
          <t>Finance &amp; Other Corp</t>
        </is>
      </c>
      <c r="B11" s="43" t="inlineStr">
        <is>
          <t>Finance &amp; Other Corp</t>
        </is>
      </c>
      <c r="C11" s="44" t="inlineStr">
        <is>
          <t>Emily Mogic</t>
        </is>
      </c>
      <c r="D11" s="40">
        <f>I11+AC11+AH11+X11</f>
        <v>2.84685292</v>
      </c>
      <c r="E11" s="41">
        <f>J11+AD11+AI11+Y11</f>
        <v>2.12235381</v>
      </c>
      <c r="F11" s="41">
        <f>E11-D11</f>
        <v>-0.72449911</v>
      </c>
      <c r="G11" s="45">
        <f>IFERROR(F11/E11,"-")</f>
        <v>-0.3413658488920846</v>
      </c>
      <c r="H11" s="49" t="inlineStr">
        <is>
          <t>R</t>
        </is>
      </c>
      <c r="I11" s="41" t="n">
        <v>2.84685292</v>
      </c>
      <c r="J11" s="41" t="n">
        <v>2.12235381</v>
      </c>
      <c r="K11" s="41">
        <f>J11-I11</f>
        <v>-0.72449911</v>
      </c>
      <c r="L11" s="45">
        <f>IFERROR(K11/J11,"-")</f>
        <v>-0.3413658488920846</v>
      </c>
      <c r="M11" s="49" t="inlineStr">
        <is>
          <t>R</t>
        </is>
      </c>
      <c r="N11" s="34">
        <f>I11-S11</f>
        <v>2.07860065</v>
      </c>
      <c r="O11" s="34">
        <f>J11-T11</f>
        <v>1.654610505</v>
      </c>
      <c r="P11" s="41">
        <f>O11-N11</f>
        <v>-0.4239901449999999</v>
      </c>
      <c r="Q11" s="45">
        <f>IFERROR(P11/O11,"-")</f>
        <v>-0.2562477052567727</v>
      </c>
      <c r="R11" s="49" t="inlineStr">
        <is>
          <t>R</t>
        </is>
      </c>
      <c r="S11" s="34" t="n">
        <v>0.76825227</v>
      </c>
      <c r="T11" s="34" t="n">
        <v>0.467743305</v>
      </c>
      <c r="U11" s="41">
        <f>T11-S11</f>
        <v>-0.30050896499999996</v>
      </c>
      <c r="V11" s="45">
        <f>IFERROR(U11/T11,"-")</f>
        <v>-0.6424655613189375</v>
      </c>
      <c r="W11" s="49" t="inlineStr">
        <is>
          <t>R</t>
        </is>
      </c>
      <c r="X11" s="41" t="n"/>
      <c r="Y11" s="41" t="n"/>
      <c r="Z11" s="41">
        <f>Y11-X11</f>
        <v>0.0</v>
      </c>
      <c r="AA11" s="45" t="str">
        <f>IFERROR(Z11/Y11,"-")</f>
        <v>-</v>
      </c>
      <c r="AB11" s="46" t="n"/>
      <c r="AC11" s="41" t="n"/>
      <c r="AD11" s="41" t="n"/>
      <c r="AE11" s="41">
        <f>AD11-AC11</f>
        <v>0.0</v>
      </c>
      <c r="AF11" s="45" t="str">
        <f>IFERROR(AE11/AD11,"-")</f>
        <v>-</v>
      </c>
      <c r="AG11" s="46" t="n"/>
      <c r="AH11" s="34" t="n">
        <v>0</v>
      </c>
      <c r="AI11" s="34" t="n">
        <v>0</v>
      </c>
      <c r="AJ11" s="41">
        <f>AI11-AH11</f>
        <v>0.0</v>
      </c>
      <c r="AK11" s="45" t="str">
        <f>IFERROR(AJ11/AI11,"-")</f>
        <v>-</v>
      </c>
      <c r="AL11" s="51" t="n"/>
      <c r="AN11" s="40">
        <f>I27+AC27+AH27+X27</f>
        <v>5.27211191</v>
      </c>
      <c r="AO11" s="41">
        <f>J27+AD27+AI27+Y27</f>
        <v>3.88077368</v>
      </c>
      <c r="AP11" s="41">
        <f>AO11-AN11</f>
        <v>-1.3913382299999997</v>
      </c>
      <c r="AQ11" s="45">
        <f>IFERROR(AP11/AO11,"-")</f>
        <v>-0.3585208375253668</v>
      </c>
      <c r="AR11" s="47" t="inlineStr">
        <is>
          <t>G</t>
        </is>
      </c>
    </row>
    <row r="12" ht="24" customFormat="1" customHeight="1" s="30">
      <c r="A12" s="30" t="inlineStr">
        <is>
          <t>People &amp; Culture</t>
        </is>
      </c>
      <c r="B12" s="43" t="inlineStr">
        <is>
          <t>P&amp;C</t>
        </is>
      </c>
      <c r="C12" s="44" t="inlineStr">
        <is>
          <t>Emily Mogic</t>
        </is>
      </c>
      <c r="D12" s="40">
        <f>I12+AC12+AH12+X12</f>
        <v>1.9651397</v>
      </c>
      <c r="E12" s="41">
        <f>J12+AD12+AI12+Y12</f>
        <v>2.46050804</v>
      </c>
      <c r="F12" s="41">
        <f>E12-D12</f>
        <v>0.4953683400000002</v>
      </c>
      <c r="G12" s="45">
        <f>IFERROR(F12/E12,"-")</f>
        <v>0.20132766564745716</v>
      </c>
      <c r="H12" s="37" t="inlineStr">
        <is>
          <t>G</t>
        </is>
      </c>
      <c r="I12" s="41" t="n">
        <v>1.61781844</v>
      </c>
      <c r="J12" s="41" t="n">
        <v>1.86060804</v>
      </c>
      <c r="K12" s="41">
        <f>J12-I12</f>
        <v>0.24278960000000005</v>
      </c>
      <c r="L12" s="45">
        <f>IFERROR(K12/J12,"-")</f>
        <v>0.13048938560966342</v>
      </c>
      <c r="M12" s="37" t="inlineStr">
        <is>
          <t>G</t>
        </is>
      </c>
      <c r="N12" s="34">
        <f>I12-S12</f>
        <v>0.70035539</v>
      </c>
      <c r="O12" s="34">
        <f>J12-T12</f>
        <v>0.87310804</v>
      </c>
      <c r="P12" s="41">
        <f>O12-N12</f>
        <v>0.17275264999999995</v>
      </c>
      <c r="Q12" s="45">
        <f>IFERROR(P12/O12,"-")</f>
        <v>0.19785941955133063</v>
      </c>
      <c r="R12" s="37" t="inlineStr">
        <is>
          <t>G</t>
        </is>
      </c>
      <c r="S12" s="34" t="n">
        <v>0.9174630499999999</v>
      </c>
      <c r="T12" s="34" t="n">
        <v>0.9875</v>
      </c>
      <c r="U12" s="41">
        <f>T12-S12</f>
        <v>0.0700369500000001</v>
      </c>
      <c r="V12" s="45">
        <f>IFERROR(U12/T12,"-")</f>
        <v>0.07092349367088617</v>
      </c>
      <c r="W12" s="37" t="inlineStr">
        <is>
          <t>G</t>
        </is>
      </c>
      <c r="X12" s="41" t="n"/>
      <c r="Y12" s="41" t="n"/>
      <c r="Z12" s="41">
        <f>Y12-X12</f>
        <v>0.0</v>
      </c>
      <c r="AA12" s="45" t="str">
        <f>IFERROR(Z12/Y12,"-")</f>
        <v>-</v>
      </c>
      <c r="AB12" s="46" t="n"/>
      <c r="AC12" s="41" t="n">
        <v>0.34732126</v>
      </c>
      <c r="AD12" s="41" t="n">
        <v>0.4624</v>
      </c>
      <c r="AE12" s="41">
        <f>AD12-AC12</f>
        <v>0.11507873999999996</v>
      </c>
      <c r="AF12" s="45">
        <f>IFERROR(AE12/AD12,"-")</f>
        <v>0.24887270761245667</v>
      </c>
      <c r="AG12" s="37" t="inlineStr">
        <is>
          <t>G</t>
        </is>
      </c>
      <c r="AH12" s="34" t="n">
        <v>0</v>
      </c>
      <c r="AI12" s="34" t="n">
        <v>0.1375</v>
      </c>
      <c r="AJ12" s="41">
        <f>AI12-AH12</f>
        <v>0.1375</v>
      </c>
      <c r="AK12" s="45">
        <f>IFERROR(AJ12/AI12,"-")</f>
        <v>1.0</v>
      </c>
      <c r="AL12" s="47" t="inlineStr">
        <is>
          <t>G</t>
        </is>
      </c>
      <c r="AN12" s="40">
        <f>I28+AC28+AH28+X28</f>
        <v>5.4932256</v>
      </c>
      <c r="AO12" s="41">
        <f>J28+AD28+AI28+Y28</f>
        <v>5.81303803</v>
      </c>
      <c r="AP12" s="41">
        <f>AO12-AN12</f>
        <v>0.3198124300000007</v>
      </c>
      <c r="AQ12" s="45">
        <f>IFERROR(AP12/AO12,"-")</f>
        <v>0.055016400778647695</v>
      </c>
      <c r="AR12" s="47" t="inlineStr">
        <is>
          <t>G</t>
        </is>
      </c>
    </row>
    <row r="13" ht="24" customFormat="1" customHeight="1" s="30">
      <c r="A13" s="30" t="inlineStr">
        <is>
          <t>Customer</t>
        </is>
      </c>
      <c r="B13" s="52" t="inlineStr">
        <is>
          <t>Customer</t>
        </is>
      </c>
      <c r="C13" s="53" t="inlineStr">
        <is>
          <t>Harley Giles</t>
        </is>
      </c>
      <c r="D13" s="54">
        <f>I13+AC13+AH13+X13</f>
        <v>2.41052833</v>
      </c>
      <c r="E13" s="55">
        <f>J13+AD13+AI13+Y13</f>
        <v>5.40474571</v>
      </c>
      <c r="F13" s="55">
        <f>E13-D13</f>
        <v>2.9942173800000003</v>
      </c>
      <c r="G13" s="56">
        <f>IFERROR(F13/E13,"-")</f>
        <v>0.5539978272169257</v>
      </c>
      <c r="H13" s="57" t="inlineStr">
        <is>
          <t>G</t>
        </is>
      </c>
      <c r="I13" s="55" t="n">
        <v>0.98861064</v>
      </c>
      <c r="J13" s="55" t="n">
        <v>0.82141236</v>
      </c>
      <c r="K13" s="55">
        <f>J13-I13</f>
        <v>-0.16719828000000003</v>
      </c>
      <c r="L13" s="56">
        <f>IFERROR(K13/J13,"-")</f>
        <v>-0.20354974936096656</v>
      </c>
      <c r="M13" s="50" t="inlineStr">
        <is>
          <t>R</t>
        </is>
      </c>
      <c r="N13" s="58">
        <f>I13-S13</f>
        <v>0.98861064</v>
      </c>
      <c r="O13" s="58">
        <f>J13-T13</f>
        <v>0.82141236</v>
      </c>
      <c r="P13" s="55">
        <f>O13-N13</f>
        <v>-0.16719828000000003</v>
      </c>
      <c r="Q13" s="56">
        <f>IFERROR(P13/O13,"-")</f>
        <v>-0.20354974936096656</v>
      </c>
      <c r="R13" s="50" t="inlineStr">
        <is>
          <t>R</t>
        </is>
      </c>
      <c r="S13" s="58" t="n">
        <v>0</v>
      </c>
      <c r="T13" s="58" t="n">
        <v>0</v>
      </c>
      <c r="U13" s="55">
        <f>T13-S13</f>
        <v>0.0</v>
      </c>
      <c r="V13" s="56" t="str">
        <f>IFERROR(U13/T13,"-")</f>
        <v>-</v>
      </c>
      <c r="W13" s="59" t="n"/>
      <c r="X13" s="55" t="n"/>
      <c r="Y13" s="55" t="n"/>
      <c r="Z13" s="55">
        <f>Y13-X13</f>
        <v>0.0</v>
      </c>
      <c r="AA13" s="56" t="str">
        <f>IFERROR(Z13/Y13,"-")</f>
        <v>-</v>
      </c>
      <c r="AB13" s="59" t="n"/>
      <c r="AC13" s="55" t="n">
        <v>0</v>
      </c>
      <c r="AD13" s="55" t="n">
        <v>2.50000002</v>
      </c>
      <c r="AE13" s="55">
        <f>AD13-AC13</f>
        <v>2.50000002</v>
      </c>
      <c r="AF13" s="56">
        <f>IFERROR(AE13/AD13,"-")</f>
        <v>1.0</v>
      </c>
      <c r="AG13" s="57" t="inlineStr">
        <is>
          <t>G</t>
        </is>
      </c>
      <c r="AH13" s="58" t="n">
        <v>1.42191769</v>
      </c>
      <c r="AI13" s="58" t="n">
        <v>2.08333333</v>
      </c>
      <c r="AJ13" s="55">
        <f>AI13-AH13</f>
        <v>0.66141564</v>
      </c>
      <c r="AK13" s="56">
        <f>IFERROR(AJ13/AI13,"-")</f>
        <v>0.31747950770796723</v>
      </c>
      <c r="AL13" s="60" t="inlineStr">
        <is>
          <t>G</t>
        </is>
      </c>
      <c r="AN13" s="54">
        <f>I29+AC29+AH29+X29</f>
        <v>10.98378269</v>
      </c>
      <c r="AO13" s="55">
        <f>J29+AD29+AI29+Y29</f>
        <v>11.69153287</v>
      </c>
      <c r="AP13" s="55">
        <f>AO13-AN13</f>
        <v>0.7077501799999997</v>
      </c>
      <c r="AQ13" s="56">
        <f>IFERROR(AP13/AO13,"-")</f>
        <v>0.060535276928148404</v>
      </c>
      <c r="AR13" s="60" t="inlineStr">
        <is>
          <t>G</t>
        </is>
      </c>
    </row>
    <row r="14" ht="26.25" customFormat="1" customHeight="1" s="61">
      <c r="B14" s="62" t="inlineStr">
        <is>
          <t>Total Technology</t>
        </is>
      </c>
      <c r="C14" s="62" t="n"/>
      <c r="D14" s="63">
        <f>SUM(D5:D13)</f>
        <v>129.57657689037097</v>
      </c>
      <c r="E14" s="64">
        <f>SUM(E5:E13)</f>
        <v>149.32632776623956</v>
      </c>
      <c r="F14" s="64">
        <f>SUM(F5:F13)</f>
        <v>19.749750875868614</v>
      </c>
      <c r="G14" s="65">
        <f>F14/E14</f>
        <v>0.13225900061498558</v>
      </c>
      <c r="H14" s="66" t="inlineStr">
        <is>
          <t>G</t>
        </is>
      </c>
      <c r="I14" s="67">
        <f>SUM(I5:I13)</f>
        <v>92.27939511240001</v>
      </c>
      <c r="J14" s="64">
        <f>SUM(J5:J13)</f>
        <v>93.25646888742403</v>
      </c>
      <c r="K14" s="64">
        <f>SUM(K5:K13)</f>
        <v>0.9770737750240481</v>
      </c>
      <c r="L14" s="65">
        <f>K14/J14</f>
        <v>0.010477276125515085</v>
      </c>
      <c r="M14" s="66" t="inlineStr">
        <is>
          <t>G</t>
        </is>
      </c>
      <c r="N14" s="67">
        <f>SUM(N5:N13)</f>
        <v>86.66006910547694</v>
      </c>
      <c r="O14" s="64">
        <f>SUM(O5:O13)</f>
        <v>85.12556412088558</v>
      </c>
      <c r="P14" s="64">
        <f>SUM(P5:P13)</f>
        <v>-1.5345049845913294</v>
      </c>
      <c r="Q14" s="65">
        <f>P14/O14</f>
        <v>-0.018026370813968424</v>
      </c>
      <c r="R14" s="68" t="inlineStr">
        <is>
          <t>A</t>
        </is>
      </c>
      <c r="S14" s="67">
        <f>SUM(S5:S13)</f>
        <v>5.61932600692308</v>
      </c>
      <c r="T14" s="64">
        <f>SUM(T5:T13)</f>
        <v>8.13090476653846</v>
      </c>
      <c r="U14" s="64">
        <f>SUM(U5:U13)</f>
        <v>2.5115787596153796</v>
      </c>
      <c r="V14" s="65">
        <f>U14/T14</f>
        <v>0.30889290081854254</v>
      </c>
      <c r="W14" s="66" t="inlineStr">
        <is>
          <t>G</t>
        </is>
      </c>
      <c r="X14" s="67">
        <f>SUM(X5:X13)</f>
        <v>7.620976354</v>
      </c>
      <c r="Y14" s="64">
        <f>SUM(Y5:Y13)</f>
        <v>8.077584165179179</v>
      </c>
      <c r="Z14" s="64">
        <f>SUM(Z5:Z13)</f>
        <v>0.4566078111791798</v>
      </c>
      <c r="AA14" s="65">
        <f>Z14/Y14</f>
        <v>0.05652776892719028</v>
      </c>
      <c r="AB14" s="66" t="inlineStr">
        <is>
          <t>G</t>
        </is>
      </c>
      <c r="AC14" s="67">
        <f>SUM(AC5:AC13)</f>
        <v>17.270476819696974</v>
      </c>
      <c r="AD14" s="64">
        <f>SUM(AD5:AD13)</f>
        <v>24.41420402</v>
      </c>
      <c r="AE14" s="64">
        <f>SUM(AE5:AE13)</f>
        <v>7.143727200303029</v>
      </c>
      <c r="AF14" s="65">
        <f>AE14/AD14</f>
        <v>0.29260536999080217</v>
      </c>
      <c r="AG14" s="66" t="inlineStr">
        <is>
          <t>G</t>
        </is>
      </c>
      <c r="AH14" s="67">
        <f>SUM(AH5:AH13)</f>
        <v>12.405728604274</v>
      </c>
      <c r="AI14" s="64">
        <f>SUM(AI5:AI13)</f>
        <v>23.57807069363636</v>
      </c>
      <c r="AJ14" s="64">
        <f>SUM(AJ5:AJ13)</f>
        <v>11.172342089362362</v>
      </c>
      <c r="AK14" s="65">
        <f>AJ14/AI14</f>
        <v>0.47384462598874716</v>
      </c>
      <c r="AL14" s="69" t="inlineStr">
        <is>
          <t>G</t>
        </is>
      </c>
      <c r="AN14" s="63">
        <f>SUM(AN5:AN13)</f>
        <v>297.0932185386442</v>
      </c>
      <c r="AO14" s="64">
        <f>SUM(AO5:AO13)</f>
        <v>302.5223496823127</v>
      </c>
      <c r="AP14" s="64">
        <f>SUM(AP5:AP13)</f>
        <v>5.429131143668527</v>
      </c>
      <c r="AQ14" s="70">
        <f>AP14/AO14</f>
        <v>0.017946215046160428</v>
      </c>
      <c r="AR14" s="69" t="inlineStr">
        <is>
          <t>G</t>
        </is>
      </c>
    </row>
    <row r="15" ht="24" customHeight="1" s="849">
      <c r="F15" s="71">
        <f>F14/E14</f>
        <v>0.13225900061498558</v>
      </c>
      <c r="I15" s="71">
        <f>I14/$D14</f>
        <v>0.7121610813231587</v>
      </c>
      <c r="J15" s="72" t="inlineStr">
        <is>
          <t>`</t>
        </is>
      </c>
      <c r="K15" s="71">
        <f>K14/J14</f>
        <v>0.010477276125515085</v>
      </c>
      <c r="L15" s="72" t="n"/>
      <c r="M15" s="72" t="n"/>
      <c r="N15" s="71">
        <f>N14/$D14</f>
        <v>0.6687942465002467</v>
      </c>
      <c r="O15" s="72" t="n"/>
      <c r="P15" s="71">
        <f>P14/O14</f>
        <v>-0.018026370813968424</v>
      </c>
      <c r="Q15" s="72" t="n"/>
      <c r="R15" s="72" t="n"/>
      <c r="S15" s="71">
        <f>S14/$D14</f>
        <v>0.043366834822912044</v>
      </c>
      <c r="T15" s="72" t="n"/>
      <c r="U15" s="71">
        <f>U14/T14</f>
        <v>0.30889290081854254</v>
      </c>
      <c r="V15" s="72" t="n"/>
      <c r="W15" s="72" t="n"/>
      <c r="X15" s="71">
        <f>X14/$D14</f>
        <v>0.058814459656916014</v>
      </c>
      <c r="Z15" s="71">
        <f>Z14/Y14</f>
        <v>0.05652776892719028</v>
      </c>
      <c r="AC15" s="71">
        <f>AC14/$D14</f>
        <v>0.13328394092636636</v>
      </c>
      <c r="AD15" s="72" t="n"/>
      <c r="AE15" s="71">
        <f>AE14/AD14</f>
        <v>0.29260536999080217</v>
      </c>
      <c r="AF15" s="72" t="n"/>
      <c r="AG15" s="72" t="n"/>
      <c r="AH15" s="71">
        <f>AH14/$D14</f>
        <v>0.09574051809355899</v>
      </c>
      <c r="AI15" s="72" t="n"/>
      <c r="AJ15" s="71">
        <f>AJ14/AI14</f>
        <v>0.47384462598874716</v>
      </c>
      <c r="AK15" s="72" t="n"/>
      <c r="AL15" s="72" t="n"/>
    </row>
    <row r="16" ht="30.75" customHeight="1" s="849">
      <c r="B16" s="22" t="n"/>
      <c r="C16" s="22" t="n"/>
    </row>
    <row r="19" ht="35.25" customHeight="1" s="849">
      <c r="B19" s="856" t="inlineStr">
        <is>
          <t>BUSINESS SEGMENTS</t>
        </is>
      </c>
      <c r="C19" s="856" t="inlineStr">
        <is>
          <t>TDD GM</t>
        </is>
      </c>
      <c r="D19" s="866" t="inlineStr">
        <is>
          <t>FY2026 - TOTAL</t>
        </is>
      </c>
      <c r="E19" s="854" t="n"/>
      <c r="F19" s="854" t="n"/>
      <c r="G19" s="854" t="n"/>
      <c r="H19" s="859" t="n"/>
      <c r="I19" s="858" t="inlineStr">
        <is>
          <t>OPEX: LIGHTS ON + INITIATIVES</t>
        </is>
      </c>
      <c r="J19" s="854" t="n"/>
      <c r="K19" s="854" t="n"/>
      <c r="L19" s="854" t="n"/>
      <c r="M19" s="859" t="n"/>
      <c r="N19" s="858" t="inlineStr">
        <is>
          <t>OPEX:LIGHTS ON</t>
        </is>
      </c>
      <c r="O19" s="854" t="n"/>
      <c r="P19" s="854" t="n"/>
      <c r="Q19" s="854" t="n"/>
      <c r="R19" s="859" t="n"/>
      <c r="S19" s="858" t="inlineStr">
        <is>
          <t>OPEX: INITIATIVES</t>
        </is>
      </c>
      <c r="T19" s="854" t="n"/>
      <c r="U19" s="854" t="n"/>
      <c r="V19" s="854" t="n"/>
      <c r="W19" s="859" t="n"/>
      <c r="X19" s="858" t="inlineStr">
        <is>
          <t>OPEX: DEPRECIATION</t>
        </is>
      </c>
      <c r="Y19" s="854" t="n"/>
      <c r="Z19" s="854" t="n"/>
      <c r="AA19" s="854" t="n"/>
      <c r="AB19" s="859" t="n"/>
      <c r="AC19" s="858" t="inlineStr">
        <is>
          <t>OPEX: SIGNIFICANT ITEMS</t>
        </is>
      </c>
      <c r="AD19" s="854" t="n"/>
      <c r="AE19" s="854" t="n"/>
      <c r="AF19" s="854" t="n"/>
      <c r="AG19" s="859" t="n"/>
      <c r="AH19" s="865" t="inlineStr">
        <is>
          <t>CAPEX</t>
        </is>
      </c>
      <c r="AI19" s="854" t="n"/>
      <c r="AJ19" s="854" t="n"/>
      <c r="AK19" s="854" t="n"/>
      <c r="AL19" s="855" t="n"/>
    </row>
    <row r="20" ht="12.75" customHeight="1" s="849">
      <c r="B20" s="857" t="n"/>
      <c r="C20" s="857" t="n"/>
      <c r="D20" s="73" t="inlineStr">
        <is>
          <t>F</t>
        </is>
      </c>
      <c r="E20" s="73" t="inlineStr">
        <is>
          <t>B</t>
        </is>
      </c>
      <c r="F20" s="73" t="inlineStr">
        <is>
          <t>V</t>
        </is>
      </c>
      <c r="G20" s="25" t="inlineStr">
        <is>
          <t>V %</t>
        </is>
      </c>
      <c r="H20" s="73" t="inlineStr">
        <is>
          <t>Trend</t>
        </is>
      </c>
      <c r="I20" s="74" t="inlineStr">
        <is>
          <t>F</t>
        </is>
      </c>
      <c r="J20" s="26" t="inlineStr">
        <is>
          <t>B</t>
        </is>
      </c>
      <c r="K20" s="26" t="inlineStr">
        <is>
          <t>V</t>
        </is>
      </c>
      <c r="L20" s="26" t="inlineStr">
        <is>
          <t>V %</t>
        </is>
      </c>
      <c r="M20" s="26" t="inlineStr">
        <is>
          <t>Trend</t>
        </is>
      </c>
      <c r="N20" s="74" t="inlineStr">
        <is>
          <t>F</t>
        </is>
      </c>
      <c r="O20" s="26" t="inlineStr">
        <is>
          <t>B</t>
        </is>
      </c>
      <c r="P20" s="26" t="inlineStr">
        <is>
          <t>V</t>
        </is>
      </c>
      <c r="Q20" s="26" t="inlineStr">
        <is>
          <t>V %</t>
        </is>
      </c>
      <c r="R20" s="26" t="inlineStr">
        <is>
          <t>Trend</t>
        </is>
      </c>
      <c r="S20" s="74" t="inlineStr">
        <is>
          <t>F</t>
        </is>
      </c>
      <c r="T20" s="26" t="inlineStr">
        <is>
          <t>B</t>
        </is>
      </c>
      <c r="U20" s="26" t="inlineStr">
        <is>
          <t>V</t>
        </is>
      </c>
      <c r="V20" s="26" t="inlineStr">
        <is>
          <t>V %</t>
        </is>
      </c>
      <c r="W20" s="26" t="inlineStr">
        <is>
          <t>Trend</t>
        </is>
      </c>
      <c r="X20" s="74" t="inlineStr">
        <is>
          <t>F</t>
        </is>
      </c>
      <c r="Y20" s="26" t="inlineStr">
        <is>
          <t>B</t>
        </is>
      </c>
      <c r="Z20" s="26" t="inlineStr">
        <is>
          <t>V</t>
        </is>
      </c>
      <c r="AA20" s="26" t="inlineStr">
        <is>
          <t>V %</t>
        </is>
      </c>
      <c r="AB20" s="26" t="inlineStr">
        <is>
          <t>Trend</t>
        </is>
      </c>
      <c r="AC20" s="74" t="inlineStr">
        <is>
          <t>F</t>
        </is>
      </c>
      <c r="AD20" s="26" t="inlineStr">
        <is>
          <t>B</t>
        </is>
      </c>
      <c r="AE20" s="26" t="inlineStr">
        <is>
          <t>V</t>
        </is>
      </c>
      <c r="AF20" s="26" t="inlineStr">
        <is>
          <t>V %</t>
        </is>
      </c>
      <c r="AG20" s="26" t="inlineStr">
        <is>
          <t>Trend</t>
        </is>
      </c>
      <c r="AH20" s="74" t="inlineStr">
        <is>
          <t>F</t>
        </is>
      </c>
      <c r="AI20" s="26" t="inlineStr">
        <is>
          <t>B</t>
        </is>
      </c>
      <c r="AJ20" s="26" t="inlineStr">
        <is>
          <t>V</t>
        </is>
      </c>
      <c r="AK20" s="26" t="inlineStr">
        <is>
          <t>V %</t>
        </is>
      </c>
      <c r="AL20" s="27" t="inlineStr">
        <is>
          <t>Trend</t>
        </is>
      </c>
    </row>
    <row r="21" ht="21" customFormat="1" customHeight="1" s="30">
      <c r="A21" s="30" t="inlineStr">
        <is>
          <t>TDD (Corporate)1</t>
        </is>
      </c>
      <c r="B21" s="75" t="inlineStr">
        <is>
          <t>TDD (Corporate)1</t>
        </is>
      </c>
      <c r="C21" s="32" t="inlineStr">
        <is>
          <t>Brad Blyth
Greg Cassis</t>
        </is>
      </c>
      <c r="D21" s="34">
        <f>I21+AC21+AH21+X21</f>
        <v>117.95714038000001</v>
      </c>
      <c r="E21" s="34">
        <f>J21+AD21+AI21+Y21</f>
        <v>112.75951309</v>
      </c>
      <c r="F21" s="34">
        <f>E21-D21</f>
        <v>-5.197627290000014</v>
      </c>
      <c r="G21" s="35">
        <f>IFERROR(F21/E21,"-")</f>
        <v>-0.04609480076285433</v>
      </c>
      <c r="H21" s="49" t="inlineStr">
        <is>
          <t>R</t>
        </is>
      </c>
      <c r="I21" s="34" t="n">
        <v>82.08787687</v>
      </c>
      <c r="J21" s="34" t="n">
        <v>81.89486321</v>
      </c>
      <c r="K21" s="34">
        <f>J21-I21</f>
        <v>-0.19301366000000542</v>
      </c>
      <c r="L21" s="35">
        <f>IFERROR(K21/J21,"-")</f>
        <v>-0.002356846967374102</v>
      </c>
      <c r="M21" s="36" t="inlineStr">
        <is>
          <t>G</t>
        </is>
      </c>
      <c r="N21" s="34">
        <f>I21-S21</f>
        <v>79.31043564000001</v>
      </c>
      <c r="O21" s="34">
        <f>J21-T21</f>
        <v>78.89486321</v>
      </c>
      <c r="P21" s="34">
        <f>O21-N21</f>
        <v>-0.41557243000001165</v>
      </c>
      <c r="Q21" s="35">
        <f>IFERROR(P21/O21,"-")</f>
        <v>-0.005267420629070024</v>
      </c>
      <c r="R21" s="38" t="inlineStr">
        <is>
          <t>A</t>
        </is>
      </c>
      <c r="S21" s="34" t="n">
        <v>2.77744123</v>
      </c>
      <c r="T21" s="34" t="n">
        <v>3</v>
      </c>
      <c r="U21" s="34">
        <f>T21-S21</f>
        <v>0.22255877000000002</v>
      </c>
      <c r="V21" s="35">
        <f>IFERROR(U21/T21,"-")</f>
        <v>0.07418625666666667</v>
      </c>
      <c r="W21" s="36" t="inlineStr">
        <is>
          <t>G</t>
        </is>
      </c>
      <c r="X21" s="34" t="n">
        <v>5.68651106</v>
      </c>
      <c r="Y21" s="34" t="n">
        <v>5.80004988</v>
      </c>
      <c r="Z21" s="34">
        <f>Y21-X21</f>
        <v>0.11353882000000048</v>
      </c>
      <c r="AA21" s="35">
        <f>IFERROR(Z21/Y21,"-")</f>
        <v>0.019575490271473404</v>
      </c>
      <c r="AB21" s="36" t="inlineStr">
        <is>
          <t>G</t>
        </is>
      </c>
      <c r="AC21" s="34" t="n">
        <v>25.39577262</v>
      </c>
      <c r="AD21" s="34" t="n">
        <v>20.1966</v>
      </c>
      <c r="AE21" s="34">
        <f>AD21-AC21</f>
        <v>-5.199172619999999</v>
      </c>
      <c r="AF21" s="35">
        <f>IFERROR(AE21/AD21,"-")</f>
        <v>-0.25742811265262466</v>
      </c>
      <c r="AG21" s="49" t="inlineStr">
        <is>
          <t>R</t>
        </is>
      </c>
      <c r="AH21" s="34" t="n">
        <v>4.78697983</v>
      </c>
      <c r="AI21" s="34" t="n">
        <v>4.868</v>
      </c>
      <c r="AJ21" s="34">
        <f>AI21-AH21</f>
        <v>0.08102017000000039</v>
      </c>
      <c r="AK21" s="35">
        <f>IFERROR(AJ21/AI21,"-")</f>
        <v>0.016643420295809445</v>
      </c>
      <c r="AL21" s="39" t="inlineStr">
        <is>
          <t>G</t>
        </is>
      </c>
      <c r="AM21" s="76">
        <f>I21+X21</f>
        <v>87.77438793</v>
      </c>
      <c r="AN21" s="30" t="inlineStr">
        <is>
          <t>input retail SI number manually</t>
        </is>
      </c>
      <c r="AO21" s="76" t="n"/>
      <c r="AP21" s="76" t="n"/>
      <c r="AQ21" s="76" t="n"/>
      <c r="AR21" s="76" t="n"/>
      <c r="AS21" s="76" t="n"/>
    </row>
    <row r="22" ht="21" customFormat="1" customHeight="1" s="30">
      <c r="A22" s="30" t="inlineStr">
        <is>
          <t>Z-Energy</t>
        </is>
      </c>
      <c r="B22" s="77" t="inlineStr">
        <is>
          <t>Z- Energy</t>
        </is>
      </c>
      <c r="C22" s="44" t="inlineStr">
        <is>
          <t>Vance Anderson
Harley Giles</t>
        </is>
      </c>
      <c r="D22" s="41">
        <f>I22+AC22+AH22+X22</f>
        <v>73.1083914772</v>
      </c>
      <c r="E22" s="41">
        <f>J22+AD22+AI22+Y22</f>
        <v>76.70351404837331</v>
      </c>
      <c r="F22" s="41">
        <f>E22-D22</f>
        <v>3.595122571173306</v>
      </c>
      <c r="G22" s="45">
        <f>IFERROR(F22/E22,"-")</f>
        <v>0.04687037635467432</v>
      </c>
      <c r="H22" s="37" t="inlineStr">
        <is>
          <t>G</t>
        </is>
      </c>
      <c r="I22" s="41" t="n">
        <v>53.465433886</v>
      </c>
      <c r="J22" s="41" t="n">
        <v>53.6714996190862</v>
      </c>
      <c r="K22" s="41">
        <f>J22-I22</f>
        <v>0.20606573308619858</v>
      </c>
      <c r="L22" s="45">
        <f>IFERROR(K22/J22,"-")</f>
        <v>0.003839388400709401</v>
      </c>
      <c r="M22" s="37" t="inlineStr">
        <is>
          <t>G</t>
        </is>
      </c>
      <c r="N22" s="34">
        <f>I22-S22</f>
        <v>53.465433886</v>
      </c>
      <c r="O22" s="34">
        <f>J22-T22</f>
        <v>52.225259619086195</v>
      </c>
      <c r="P22" s="41">
        <f>O22-N22</f>
        <v>-1.2401742669138045</v>
      </c>
      <c r="Q22" s="45">
        <f>IFERROR(P22/O22,"-")</f>
        <v>-0.023746636703373545</v>
      </c>
      <c r="R22" s="38" t="inlineStr">
        <is>
          <t>A</t>
        </is>
      </c>
      <c r="S22" s="41" t="n">
        <v>0</v>
      </c>
      <c r="T22" s="41" t="n">
        <v>1.44624</v>
      </c>
      <c r="U22" s="41">
        <f>T22-S22</f>
        <v>1.44624</v>
      </c>
      <c r="V22" s="45">
        <f>IFERROR(U22/T22,"-")</f>
        <v>1.0</v>
      </c>
      <c r="W22" s="37" t="inlineStr">
        <is>
          <t>G</t>
        </is>
      </c>
      <c r="X22" s="41" t="n">
        <v>10.1614981916</v>
      </c>
      <c r="Y22" s="41" t="n">
        <v>11.3065205892871</v>
      </c>
      <c r="Z22" s="34">
        <f>Y22-X22</f>
        <v>1.1450223976871001</v>
      </c>
      <c r="AA22" s="45">
        <f>IFERROR(Z22/Y22,"-")</f>
        <v>0.10127097798521731</v>
      </c>
      <c r="AB22" s="37" t="inlineStr">
        <is>
          <t>G</t>
        </is>
      </c>
      <c r="AC22" s="41" t="n">
        <v>0</v>
      </c>
      <c r="AD22" s="41" t="n">
        <v>0</v>
      </c>
      <c r="AE22" s="41">
        <f>AD22-AC22</f>
        <v>0.0</v>
      </c>
      <c r="AF22" s="45" t="str">
        <f>IFERROR(AE22/AD22,"-")</f>
        <v>-</v>
      </c>
      <c r="AG22" s="46" t="n"/>
      <c r="AH22" s="41" t="n">
        <v>9.4814593996</v>
      </c>
      <c r="AI22" s="41" t="n">
        <v>11.72549384</v>
      </c>
      <c r="AJ22" s="41">
        <f>AI22-AH22</f>
        <v>2.2440344404</v>
      </c>
      <c r="AK22" s="45">
        <f>IFERROR(AJ22/AI22,"-")</f>
        <v>0.19138080417088854</v>
      </c>
      <c r="AL22" s="47" t="inlineStr">
        <is>
          <t>G</t>
        </is>
      </c>
      <c r="AM22" s="76">
        <f>I22+X22</f>
        <v>63.6269320776</v>
      </c>
      <c r="AN22" s="76" t="n"/>
      <c r="AO22" s="76" t="n"/>
      <c r="AP22" s="76" t="n"/>
      <c r="AQ22" s="76" t="n"/>
      <c r="AR22" s="76" t="n"/>
      <c r="AS22" s="76" t="n"/>
    </row>
    <row r="23" ht="24" customFormat="1" customHeight="1" s="30">
      <c r="A23" s="30" t="inlineStr">
        <is>
          <t>Commercial Fuels</t>
        </is>
      </c>
      <c r="B23" s="77" t="inlineStr">
        <is>
          <t>Commercial Fuels</t>
        </is>
      </c>
      <c r="C23" s="44" t="inlineStr">
        <is>
          <t>Roanne Steele</t>
        </is>
      </c>
      <c r="D23" s="41">
        <f>I23+AC23+AH23+X23</f>
        <v>32.76899756317017</v>
      </c>
      <c r="E23" s="41">
        <f>J23+AD23+AI23+Y23</f>
        <v>40.534223043939406</v>
      </c>
      <c r="F23" s="41">
        <f>E23-D23</f>
        <v>7.765225480769239</v>
      </c>
      <c r="G23" s="45">
        <f>IFERROR(F23/E23,"-")</f>
        <v>0.191572081506328</v>
      </c>
      <c r="H23" s="37" t="inlineStr">
        <is>
          <t>G</t>
        </is>
      </c>
      <c r="I23" s="41" t="n">
        <v>18.0758203839394</v>
      </c>
      <c r="J23" s="41" t="n">
        <v>19.5173022039394</v>
      </c>
      <c r="K23" s="41">
        <f>J23-I23</f>
        <v>1.44148182</v>
      </c>
      <c r="L23" s="45">
        <f>IFERROR(K23/J23,"-")</f>
        <v>0.0738566121965898</v>
      </c>
      <c r="M23" s="37" t="inlineStr">
        <is>
          <t>G</t>
        </is>
      </c>
      <c r="N23" s="34">
        <f>I23-S23</f>
        <v>12.122014240313021</v>
      </c>
      <c r="O23" s="34">
        <f>J23-T23</f>
        <v>13.655581280862481</v>
      </c>
      <c r="P23" s="41">
        <f>O23-N23</f>
        <v>1.5335670405494604</v>
      </c>
      <c r="Q23" s="45">
        <f>IFERROR(P23/O23,"-")</f>
        <v>0.11230331459406032</v>
      </c>
      <c r="R23" s="37" t="inlineStr">
        <is>
          <t>G</t>
        </is>
      </c>
      <c r="S23" s="41" t="n">
        <v>5.95380614362638</v>
      </c>
      <c r="T23" s="41" t="n">
        <v>5.86172092307692</v>
      </c>
      <c r="U23" s="41">
        <f>T23-S23</f>
        <v>-0.09208522054946044</v>
      </c>
      <c r="V23" s="45">
        <f>IFERROR(U23/T23,"-")</f>
        <v>-0.015709587979006564</v>
      </c>
      <c r="W23" s="38" t="inlineStr">
        <is>
          <t>A</t>
        </is>
      </c>
      <c r="X23" s="41" t="n"/>
      <c r="Y23" s="41" t="n"/>
      <c r="Z23" s="41">
        <f>Y23-X23</f>
        <v>0.0</v>
      </c>
      <c r="AA23" s="45" t="str">
        <f>IFERROR(Z23/Y23,"-")</f>
        <v>-</v>
      </c>
      <c r="AB23" s="46" t="n"/>
      <c r="AC23" s="41" t="n">
        <v>8.927315999999999</v>
      </c>
      <c r="AD23" s="41" t="n">
        <v>14.219208</v>
      </c>
      <c r="AE23" s="41">
        <f>AD23-AC23</f>
        <v>5.291892000000001</v>
      </c>
      <c r="AF23" s="45">
        <f>IFERROR(AE23/AD23,"-")</f>
        <v>0.37216503197646456</v>
      </c>
      <c r="AG23" s="37" t="inlineStr">
        <is>
          <t>G</t>
        </is>
      </c>
      <c r="AH23" s="41" t="n">
        <v>5.76586117923077</v>
      </c>
      <c r="AI23" s="41" t="n">
        <v>6.79771284</v>
      </c>
      <c r="AJ23" s="41">
        <f>AI23-AH23</f>
        <v>1.03185166076923</v>
      </c>
      <c r="AK23" s="45">
        <f>IFERROR(AJ23/AI23,"-")</f>
        <v>0.1517939467371249</v>
      </c>
      <c r="AL23" s="47" t="inlineStr">
        <is>
          <t>G</t>
        </is>
      </c>
    </row>
    <row r="24" ht="24" customFormat="1" customHeight="1" s="30">
      <c r="A24" s="30" t="inlineStr">
        <is>
          <t>Retail</t>
        </is>
      </c>
      <c r="B24" s="77" t="inlineStr">
        <is>
          <t>Retail</t>
        </is>
      </c>
      <c r="C24" s="44" t="inlineStr">
        <is>
          <t>Vance Anderson</t>
        </is>
      </c>
      <c r="D24" s="41">
        <f>I24+AC24+AH24+X24</f>
        <v>35.260355770000004</v>
      </c>
      <c r="E24" s="41">
        <f>J24+AD24+AI24+Y24</f>
        <v>33.88085459</v>
      </c>
      <c r="F24" s="41">
        <f>E24-D24</f>
        <v>-1.3795011800000054</v>
      </c>
      <c r="G24" s="45">
        <f>IFERROR(F24/E24,"-")</f>
        <v>-0.04071624510932992</v>
      </c>
      <c r="H24" s="38" t="inlineStr">
        <is>
          <t>A</t>
        </is>
      </c>
      <c r="I24" s="41" t="n">
        <v>15.23072269</v>
      </c>
      <c r="J24" s="41" t="n">
        <v>15.23585459</v>
      </c>
      <c r="K24" s="41">
        <f>J24-I24</f>
        <v>0.0051319000000003</v>
      </c>
      <c r="L24" s="45">
        <f>IFERROR(K24/J24,"-")</f>
        <v>0.0003368304659043284</v>
      </c>
      <c r="M24" s="37" t="inlineStr">
        <is>
          <t>G</t>
        </is>
      </c>
      <c r="N24" s="34">
        <f>I24-S24</f>
        <v>14.4810851</v>
      </c>
      <c r="O24" s="34">
        <f>J24-T24</f>
        <v>13.92585459</v>
      </c>
      <c r="P24" s="41">
        <f>O24-N24</f>
        <v>-0.5552305099999995</v>
      </c>
      <c r="Q24" s="45">
        <f>IFERROR(P24/O24,"-")</f>
        <v>-0.03987048022163783</v>
      </c>
      <c r="R24" s="38" t="inlineStr">
        <is>
          <t>A</t>
        </is>
      </c>
      <c r="S24" s="41" t="n">
        <v>0.74963759</v>
      </c>
      <c r="T24" s="41" t="n">
        <v>1.31</v>
      </c>
      <c r="U24" s="41">
        <f>T24-S24</f>
        <v>0.5603624100000001</v>
      </c>
      <c r="V24" s="45">
        <f>IFERROR(U24/T24,"-")</f>
        <v>0.4277575648854962</v>
      </c>
      <c r="W24" s="37" t="inlineStr">
        <is>
          <t>G</t>
        </is>
      </c>
      <c r="X24" s="41" t="n"/>
      <c r="Y24" s="41" t="n"/>
      <c r="Z24" s="41">
        <f>Y24-X24</f>
        <v>0.0</v>
      </c>
      <c r="AA24" s="45" t="str">
        <f>IFERROR(Z24/Y24,"-")</f>
        <v>-</v>
      </c>
      <c r="AB24" s="46" t="n"/>
      <c r="AC24" s="41" t="n">
        <v>8.640000000000001</v>
      </c>
      <c r="AD24" s="41" t="n">
        <v>6.845</v>
      </c>
      <c r="AE24" s="41">
        <f>AD24-AC24</f>
        <v>-1.7950000000000008</v>
      </c>
      <c r="AF24" s="45">
        <f>IFERROR(AE24/AD24,"-")</f>
        <v>-0.26223520818115426</v>
      </c>
      <c r="AG24" s="49" t="inlineStr">
        <is>
          <t>R</t>
        </is>
      </c>
      <c r="AH24" s="41" t="n">
        <v>11.38963308</v>
      </c>
      <c r="AI24" s="41" t="n">
        <v>11.8</v>
      </c>
      <c r="AJ24" s="41">
        <f>AI24-AH24</f>
        <v>0.4103669200000013</v>
      </c>
      <c r="AK24" s="45">
        <f>IFERROR(AJ24/AI24,"-")</f>
        <v>0.034776857627118754</v>
      </c>
      <c r="AL24" s="47" t="inlineStr">
        <is>
          <t>G</t>
        </is>
      </c>
    </row>
    <row r="25" ht="24" customFormat="1" customHeight="1" s="30">
      <c r="A25" s="30" t="inlineStr">
        <is>
          <t>Energy Solutions</t>
        </is>
      </c>
      <c r="B25" s="77" t="inlineStr">
        <is>
          <t>Energy Solutions</t>
        </is>
      </c>
      <c r="C25" s="44" t="inlineStr">
        <is>
          <t>Roanne Steele</t>
        </is>
      </c>
      <c r="D25" s="41">
        <f>I25+AC25+AH25+X25</f>
        <v>7.830666008273999</v>
      </c>
      <c r="E25" s="41">
        <f>J25+AD25+AI25+Y25</f>
        <v>8.00952437</v>
      </c>
      <c r="F25" s="41">
        <f>E25-D25</f>
        <v>0.17885836172600023</v>
      </c>
      <c r="G25" s="45">
        <f>IFERROR(F25/E25,"-")</f>
        <v>0.022330709473326722</v>
      </c>
      <c r="H25" s="37" t="inlineStr">
        <is>
          <t>G</t>
        </is>
      </c>
      <c r="I25" s="41" t="n">
        <v>5.04409835</v>
      </c>
      <c r="J25" s="41" t="n">
        <v>5.01193945</v>
      </c>
      <c r="K25" s="41">
        <f>J25-I25</f>
        <v>-0.03215889999999977</v>
      </c>
      <c r="L25" s="45">
        <f>IFERROR(K25/J25,"-")</f>
        <v>-0.006416458203620111</v>
      </c>
      <c r="M25" s="38" t="inlineStr">
        <is>
          <t>A</t>
        </is>
      </c>
      <c r="N25" s="34">
        <f>I25-S25</f>
        <v>4.536215629999999</v>
      </c>
      <c r="O25" s="34">
        <f>J25-T25</f>
        <v>4.04193945</v>
      </c>
      <c r="P25" s="41">
        <f>O25-N25</f>
        <v>-0.49427617999999907</v>
      </c>
      <c r="Q25" s="45">
        <f>IFERROR(P25/O25,"-")</f>
        <v>-0.12228688383741104</v>
      </c>
      <c r="R25" s="49" t="inlineStr">
        <is>
          <t>R</t>
        </is>
      </c>
      <c r="S25" s="41" t="n">
        <v>0.50788272</v>
      </c>
      <c r="T25" s="41" t="n">
        <v>0.97</v>
      </c>
      <c r="U25" s="41">
        <f>T25-S25</f>
        <v>0.46211727999999996</v>
      </c>
      <c r="V25" s="45">
        <f>IFERROR(U25/T25,"-")</f>
        <v>0.47640956701030923</v>
      </c>
      <c r="W25" s="37" t="inlineStr">
        <is>
          <t>G</t>
        </is>
      </c>
      <c r="X25" s="41" t="n"/>
      <c r="Y25" s="41" t="n"/>
      <c r="Z25" s="41">
        <f>Y25-X25</f>
        <v>0.0</v>
      </c>
      <c r="AA25" s="45" t="str">
        <f>IFERROR(Z25/Y25,"-")</f>
        <v>-</v>
      </c>
      <c r="AB25" s="46" t="n"/>
      <c r="AC25" s="41" t="n"/>
      <c r="AD25" s="41" t="n"/>
      <c r="AE25" s="41">
        <f>AD25-AC25</f>
        <v>0.0</v>
      </c>
      <c r="AF25" s="45" t="str">
        <f>IFERROR(AE25/AD25,"-")</f>
        <v>-</v>
      </c>
      <c r="AG25" s="46" t="n"/>
      <c r="AH25" s="41" t="n">
        <v>2.786567658274</v>
      </c>
      <c r="AI25" s="41" t="n">
        <v>2.99758492</v>
      </c>
      <c r="AJ25" s="41">
        <f>AI25-AH25</f>
        <v>0.211017261726</v>
      </c>
      <c r="AK25" s="45">
        <f>IFERROR(AJ25/AI25,"-")</f>
        <v>0.07039575770417206</v>
      </c>
      <c r="AL25" s="47" t="inlineStr">
        <is>
          <t>G</t>
        </is>
      </c>
    </row>
    <row r="26" ht="24" customFormat="1" customHeight="1" s="30">
      <c r="A26" s="30" t="inlineStr">
        <is>
          <t>Infrastructure</t>
        </is>
      </c>
      <c r="B26" s="77" t="inlineStr">
        <is>
          <t>Infrastructure</t>
        </is>
      </c>
      <c r="C26" s="44" t="inlineStr">
        <is>
          <t>Roanne Steele</t>
        </is>
      </c>
      <c r="D26" s="41">
        <f>I26+AC26+AH26+X26</f>
        <v>8.41854714</v>
      </c>
      <c r="E26" s="41">
        <f>J26+AD26+AI26+Y26</f>
        <v>9.24937596</v>
      </c>
      <c r="F26" s="41">
        <f>E26-D26</f>
        <v>0.8308288200000007</v>
      </c>
      <c r="G26" s="45">
        <f>IFERROR(F26/E26,"-")</f>
        <v>0.08982539185270622</v>
      </c>
      <c r="H26" s="37" t="inlineStr">
        <is>
          <t>G</t>
        </is>
      </c>
      <c r="I26" s="41" t="n">
        <v>4.27497864</v>
      </c>
      <c r="J26" s="41" t="n">
        <v>4.357958</v>
      </c>
      <c r="K26" s="41">
        <f>J26-I26</f>
        <v>0.08297936000000039</v>
      </c>
      <c r="L26" s="45">
        <f>IFERROR(K26/J26,"-")</f>
        <v>0.01904088107319997</v>
      </c>
      <c r="M26" s="37" t="inlineStr">
        <is>
          <t>G</t>
        </is>
      </c>
      <c r="N26" s="34">
        <f>I26-S26</f>
        <v>3.30102534</v>
      </c>
      <c r="O26" s="34">
        <f>J26-T26</f>
        <v>3.594596</v>
      </c>
      <c r="P26" s="41">
        <f>O26-N26</f>
        <v>0.2935706600000003</v>
      </c>
      <c r="Q26" s="45">
        <f>IFERROR(P26/O26,"-")</f>
        <v>0.08167000130195447</v>
      </c>
      <c r="R26" s="37" t="inlineStr">
        <is>
          <t>G</t>
        </is>
      </c>
      <c r="S26" s="41" t="n">
        <v>0.9739533</v>
      </c>
      <c r="T26" s="41" t="n">
        <v>0.763362</v>
      </c>
      <c r="U26" s="41">
        <f>T26-S26</f>
        <v>-0.21059130000000004</v>
      </c>
      <c r="V26" s="45">
        <f>IFERROR(U26/T26,"-")</f>
        <v>-0.27587343881408827</v>
      </c>
      <c r="W26" s="49" t="inlineStr">
        <is>
          <t>R</t>
        </is>
      </c>
      <c r="X26" s="41" t="n"/>
      <c r="Y26" s="41" t="n"/>
      <c r="Z26" s="41">
        <f>Y26-X26</f>
        <v>0.0</v>
      </c>
      <c r="AA26" s="45" t="str">
        <f>IFERROR(Z26/Y26,"-")</f>
        <v>-</v>
      </c>
      <c r="AB26" s="46" t="n"/>
      <c r="AC26" s="41" t="n"/>
      <c r="AD26" s="41" t="n"/>
      <c r="AE26" s="41">
        <f>AD26-AC26</f>
        <v>0.0</v>
      </c>
      <c r="AF26" s="45" t="str">
        <f>IFERROR(AE26/AD26,"-")</f>
        <v>-</v>
      </c>
      <c r="AG26" s="46" t="n"/>
      <c r="AH26" s="41" t="n">
        <v>4.1435685</v>
      </c>
      <c r="AI26" s="41" t="n">
        <v>4.89141796</v>
      </c>
      <c r="AJ26" s="41">
        <f>AI26-AH26</f>
        <v>0.7478494600000003</v>
      </c>
      <c r="AK26" s="45">
        <f>IFERROR(AJ26/AI26,"-")</f>
        <v>0.15289011614129175</v>
      </c>
      <c r="AL26" s="47" t="inlineStr">
        <is>
          <t>G</t>
        </is>
      </c>
    </row>
    <row r="27" ht="24" customFormat="1" customHeight="1" s="30">
      <c r="A27" s="30" t="inlineStr">
        <is>
          <t>Finance &amp; Other Corp</t>
        </is>
      </c>
      <c r="B27" s="77" t="inlineStr">
        <is>
          <t>Finance &amp; Other Corp</t>
        </is>
      </c>
      <c r="C27" s="44" t="inlineStr">
        <is>
          <t>Emily Mogic</t>
        </is>
      </c>
      <c r="D27" s="41">
        <f>I27+AC27+AH27+X27</f>
        <v>5.27211191</v>
      </c>
      <c r="E27" s="41">
        <f>J27+AD27+AI27+Y27</f>
        <v>3.88077368</v>
      </c>
      <c r="F27" s="41">
        <f>E27-D27</f>
        <v>-1.3913382299999997</v>
      </c>
      <c r="G27" s="45">
        <f>IFERROR(F27/E27,"-")</f>
        <v>-0.3585208375253668</v>
      </c>
      <c r="H27" s="49" t="inlineStr">
        <is>
          <t>R</t>
        </is>
      </c>
      <c r="I27" s="41" t="n">
        <v>5.27211191</v>
      </c>
      <c r="J27" s="41" t="n">
        <v>3.88077368</v>
      </c>
      <c r="K27" s="41">
        <f>J27-I27</f>
        <v>-1.3913382299999997</v>
      </c>
      <c r="L27" s="45">
        <f>IFERROR(K27/J27,"-")</f>
        <v>-0.3585208375253668</v>
      </c>
      <c r="M27" s="49" t="inlineStr">
        <is>
          <t>R</t>
        </is>
      </c>
      <c r="N27" s="34">
        <f>I27-S27</f>
        <v>4.358895639999999</v>
      </c>
      <c r="O27" s="34">
        <f>J27-T27</f>
        <v>2.94528707</v>
      </c>
      <c r="P27" s="41">
        <f>O27-N27</f>
        <v>-1.4136085699999992</v>
      </c>
      <c r="Q27" s="45">
        <f>IFERROR(P27/O27,"-")</f>
        <v>-0.4799561252954535</v>
      </c>
      <c r="R27" s="49" t="inlineStr">
        <is>
          <t>R</t>
        </is>
      </c>
      <c r="S27" s="41" t="n">
        <v>0.9132162700000001</v>
      </c>
      <c r="T27" s="41" t="n">
        <v>0.93548661</v>
      </c>
      <c r="U27" s="41">
        <f>T27-S27</f>
        <v>0.022270339999999944</v>
      </c>
      <c r="V27" s="45">
        <f>IFERROR(U27/T27,"-")</f>
        <v>0.0238061558144589</v>
      </c>
      <c r="W27" s="37" t="inlineStr">
        <is>
          <t>G</t>
        </is>
      </c>
      <c r="X27" s="41" t="n"/>
      <c r="Y27" s="41" t="n"/>
      <c r="Z27" s="41">
        <f>Y27-X27</f>
        <v>0.0</v>
      </c>
      <c r="AA27" s="45" t="str">
        <f>IFERROR(Z27/Y27,"-")</f>
        <v>-</v>
      </c>
      <c r="AB27" s="46" t="n"/>
      <c r="AC27" s="41" t="n"/>
      <c r="AD27" s="41" t="n"/>
      <c r="AE27" s="41">
        <f>AD27-AC27</f>
        <v>0.0</v>
      </c>
      <c r="AF27" s="45" t="str">
        <f>IFERROR(AE27/AD27,"-")</f>
        <v>-</v>
      </c>
      <c r="AG27" s="46" t="n"/>
      <c r="AH27" s="41" t="n">
        <v>0</v>
      </c>
      <c r="AI27" s="41" t="n">
        <v>0</v>
      </c>
      <c r="AJ27" s="41">
        <f>AI27-AH27</f>
        <v>0.0</v>
      </c>
      <c r="AK27" s="45" t="str">
        <f>IFERROR(AJ27/AI27,"-")</f>
        <v>-</v>
      </c>
      <c r="AL27" s="47" t="inlineStr">
        <is>
          <t>G</t>
        </is>
      </c>
    </row>
    <row r="28" ht="24" customFormat="1" customHeight="1" s="30">
      <c r="A28" s="30" t="inlineStr">
        <is>
          <t>People &amp; Culture</t>
        </is>
      </c>
      <c r="B28" s="77" t="inlineStr">
        <is>
          <t>P&amp;C</t>
        </is>
      </c>
      <c r="C28" s="44" t="inlineStr">
        <is>
          <t>Emily Mogic</t>
        </is>
      </c>
      <c r="D28" s="41">
        <f>I28+AC28+AH28+X28</f>
        <v>5.4932256</v>
      </c>
      <c r="E28" s="41">
        <f>J28+AD28+AI28+Y28</f>
        <v>5.81303803</v>
      </c>
      <c r="F28" s="41">
        <f>E28-D28</f>
        <v>0.3198124300000007</v>
      </c>
      <c r="G28" s="45">
        <f>IFERROR(F28/E28,"-")</f>
        <v>0.055016400778647695</v>
      </c>
      <c r="H28" s="37" t="inlineStr">
        <is>
          <t>G</t>
        </is>
      </c>
      <c r="I28" s="41" t="n">
        <v>3.85168615</v>
      </c>
      <c r="J28" s="41" t="n">
        <v>4.12303803</v>
      </c>
      <c r="K28" s="41">
        <f>J28-I28</f>
        <v>0.2713518800000001</v>
      </c>
      <c r="L28" s="45">
        <f>IFERROR(K28/J28,"-")</f>
        <v>0.06581357679109259</v>
      </c>
      <c r="M28" s="37" t="inlineStr">
        <is>
          <t>G</t>
        </is>
      </c>
      <c r="N28" s="34">
        <f>I28-S28</f>
        <v>1.91213530398386</v>
      </c>
      <c r="O28" s="34">
        <f>J28-T28</f>
        <v>2.14803803</v>
      </c>
      <c r="P28" s="41">
        <f>O28-N28</f>
        <v>0.23590272601613993</v>
      </c>
      <c r="Q28" s="45">
        <f>IFERROR(P28/O28,"-")</f>
        <v>0.10982241595421843</v>
      </c>
      <c r="R28" s="37" t="inlineStr">
        <is>
          <t>G</t>
        </is>
      </c>
      <c r="S28" s="41" t="n">
        <v>1.93955084601614</v>
      </c>
      <c r="T28" s="41" t="n">
        <v>1.975</v>
      </c>
      <c r="U28" s="41">
        <f>T28-S28</f>
        <v>0.03544915398386017</v>
      </c>
      <c r="V28" s="45">
        <f>IFERROR(U28/T28,"-")</f>
        <v>0.01794893872600515</v>
      </c>
      <c r="W28" s="37" t="inlineStr">
        <is>
          <t>G</t>
        </is>
      </c>
      <c r="X28" s="41" t="n"/>
      <c r="Y28" s="41" t="n"/>
      <c r="Z28" s="41">
        <f>Y28-X28</f>
        <v>0.0</v>
      </c>
      <c r="AA28" s="45" t="str">
        <f>IFERROR(Z28/Y28,"-")</f>
        <v>-</v>
      </c>
      <c r="AB28" s="46" t="n"/>
      <c r="AC28" s="41" t="n">
        <v>1.31153945</v>
      </c>
      <c r="AD28" s="41" t="n">
        <v>1.36</v>
      </c>
      <c r="AE28" s="41">
        <f>AD28-AC28</f>
        <v>0.04846055000000016</v>
      </c>
      <c r="AF28" s="45">
        <f>IFERROR(AE28/AD28,"-")</f>
        <v>0.03563275735294129</v>
      </c>
      <c r="AG28" s="37" t="inlineStr">
        <is>
          <t>G</t>
        </is>
      </c>
      <c r="AH28" s="41" t="n">
        <v>0.33</v>
      </c>
      <c r="AI28" s="41" t="n">
        <v>0.33</v>
      </c>
      <c r="AJ28" s="41">
        <f>AI28-AH28</f>
        <v>0.0</v>
      </c>
      <c r="AK28" s="45">
        <f>IFERROR(AJ28/AI28,"-")</f>
        <v>0.0</v>
      </c>
      <c r="AL28" s="47" t="inlineStr">
        <is>
          <t>G</t>
        </is>
      </c>
    </row>
    <row r="29" ht="24" customFormat="1" customHeight="1" s="30">
      <c r="A29" s="30" t="inlineStr">
        <is>
          <t>Customer</t>
        </is>
      </c>
      <c r="B29" s="78" t="inlineStr">
        <is>
          <t>Customer</t>
        </is>
      </c>
      <c r="C29" s="53" t="inlineStr">
        <is>
          <t>Harley Giles</t>
        </is>
      </c>
      <c r="D29" s="55">
        <f>I29+AC29+AH29+X29</f>
        <v>10.98378269</v>
      </c>
      <c r="E29" s="55">
        <f>J29+AD29+AI29+Y29</f>
        <v>11.69153287</v>
      </c>
      <c r="F29" s="55">
        <f>E29-D29</f>
        <v>0.7077501799999997</v>
      </c>
      <c r="G29" s="56">
        <f>IFERROR(F29/E29,"-")</f>
        <v>0.060535276928148404</v>
      </c>
      <c r="H29" s="57" t="inlineStr">
        <is>
          <t>G</t>
        </is>
      </c>
      <c r="I29" s="55" t="n">
        <v>2.74505002</v>
      </c>
      <c r="J29" s="55" t="n">
        <v>1.69153283</v>
      </c>
      <c r="K29" s="55">
        <f>J29-I29</f>
        <v>-1.0535171899999998</v>
      </c>
      <c r="L29" s="56">
        <f>IFERROR(K29/J29,"-")</f>
        <v>-0.6228180566853081</v>
      </c>
      <c r="M29" s="79" t="inlineStr">
        <is>
          <t>R</t>
        </is>
      </c>
      <c r="N29" s="58">
        <f>I29-S29</f>
        <v>2.74505002</v>
      </c>
      <c r="O29" s="58">
        <f>J29-T29</f>
        <v>1.69153283</v>
      </c>
      <c r="P29" s="55">
        <f>O29-N29</f>
        <v>-1.0535171899999998</v>
      </c>
      <c r="Q29" s="56">
        <f>IFERROR(P29/O29,"-")</f>
        <v>-0.6228180566853081</v>
      </c>
      <c r="R29" s="79" t="inlineStr">
        <is>
          <t>R</t>
        </is>
      </c>
      <c r="S29" s="55" t="n">
        <v>0</v>
      </c>
      <c r="T29" s="55" t="n">
        <v>0</v>
      </c>
      <c r="U29" s="55">
        <f>T29-S29</f>
        <v>0.0</v>
      </c>
      <c r="V29" s="56" t="str">
        <f>IFERROR(U29/T29,"-")</f>
        <v>-</v>
      </c>
      <c r="W29" s="59" t="n"/>
      <c r="X29" s="55" t="n"/>
      <c r="Y29" s="55" t="n"/>
      <c r="Z29" s="55">
        <f>Y29-X29</f>
        <v>0.0</v>
      </c>
      <c r="AA29" s="56" t="str">
        <f>IFERROR(Z29/Y29,"-")</f>
        <v>-</v>
      </c>
      <c r="AB29" s="59" t="n"/>
      <c r="AC29" s="55" t="n">
        <v>3.83238698</v>
      </c>
      <c r="AD29" s="55" t="n">
        <v>5.00000004</v>
      </c>
      <c r="AE29" s="55">
        <f>AD29-AC29</f>
        <v>1.1676130599999999</v>
      </c>
      <c r="AF29" s="56">
        <f>IFERROR(AE29/AD29,"-")</f>
        <v>0.2335226101318191</v>
      </c>
      <c r="AG29" s="80" t="inlineStr">
        <is>
          <t>G</t>
        </is>
      </c>
      <c r="AH29" s="55" t="n">
        <v>4.40634569</v>
      </c>
      <c r="AI29" s="55" t="n">
        <v>5</v>
      </c>
      <c r="AJ29" s="55">
        <f>AI29-AH29</f>
        <v>0.5936543099999998</v>
      </c>
      <c r="AK29" s="56">
        <f>IFERROR(AJ29/AI29,"-")</f>
        <v>0.11873086199999996</v>
      </c>
      <c r="AL29" s="60" t="inlineStr">
        <is>
          <t>G</t>
        </is>
      </c>
    </row>
    <row r="30" ht="26.25" customFormat="1" customHeight="1" s="61">
      <c r="B30" s="62" t="inlineStr">
        <is>
          <t>Total Technology</t>
        </is>
      </c>
      <c r="C30" s="62" t="n"/>
      <c r="D30" s="67">
        <f>SUM(D21:D29)</f>
        <v>297.0932185386442</v>
      </c>
      <c r="E30" s="64">
        <f>SUM(E21:E29)</f>
        <v>302.5223496823127</v>
      </c>
      <c r="F30" s="64">
        <f>SUM(F21:F29)</f>
        <v>5.429131143668527</v>
      </c>
      <c r="G30" s="70">
        <f>F30/E30</f>
        <v>0.017946215046160428</v>
      </c>
      <c r="H30" s="66" t="inlineStr">
        <is>
          <t>G</t>
        </is>
      </c>
      <c r="I30" s="67">
        <f>SUM(I21:I29)</f>
        <v>190.0477788999394</v>
      </c>
      <c r="J30" s="64">
        <f>SUM(J21:J29)</f>
        <v>189.3847616130256</v>
      </c>
      <c r="K30" s="64">
        <f>SUM(K21:K29)</f>
        <v>-0.6630172869138053</v>
      </c>
      <c r="L30" s="65">
        <f>K30/J30</f>
        <v>-0.0035009009239537676</v>
      </c>
      <c r="M30" s="68" t="inlineStr">
        <is>
          <t>A</t>
        </is>
      </c>
      <c r="N30" s="67">
        <f>SUM(N21:N29)</f>
        <v>176.23229080029688</v>
      </c>
      <c r="O30" s="64">
        <f>SUM(O21:O29)</f>
        <v>173.1229520799487</v>
      </c>
      <c r="P30" s="64">
        <f>SUM(P21:P29)</f>
        <v>-3.1093387203482132</v>
      </c>
      <c r="Q30" s="65">
        <f>P30/O30</f>
        <v>-0.01796029170593343</v>
      </c>
      <c r="R30" s="68" t="inlineStr">
        <is>
          <t>A</t>
        </is>
      </c>
      <c r="S30" s="67">
        <f>SUM(S21:S29)</f>
        <v>13.81548809964252</v>
      </c>
      <c r="T30" s="64">
        <f>SUM(T21:T29)</f>
        <v>16.26180953307692</v>
      </c>
      <c r="U30" s="64">
        <f>SUM(U21:U29)</f>
        <v>2.4463214334343997</v>
      </c>
      <c r="V30" s="65">
        <f>U30/T30</f>
        <v>0.15043353130280623</v>
      </c>
      <c r="W30" s="66" t="inlineStr">
        <is>
          <t>G</t>
        </is>
      </c>
      <c r="X30" s="67">
        <f>SUM(X21:X29)</f>
        <v>15.8480092516</v>
      </c>
      <c r="Y30" s="64">
        <f>SUM(Y21:Y29)</f>
        <v>17.1065704692871</v>
      </c>
      <c r="Z30" s="64">
        <f>SUM(Z21:Z29)</f>
        <v>1.2585612176871006</v>
      </c>
      <c r="AA30" s="65">
        <f>Z30/Y30</f>
        <v>0.07357180212987191</v>
      </c>
      <c r="AB30" s="66" t="inlineStr">
        <is>
          <t>G</t>
        </is>
      </c>
      <c r="AC30" s="67">
        <f>SUM(AC21:AC29)</f>
        <v>48.10701505</v>
      </c>
      <c r="AD30" s="64">
        <f>SUM(AD21:AD29)</f>
        <v>47.62080804</v>
      </c>
      <c r="AE30" s="64">
        <f>SUM(AE21:AE29)</f>
        <v>-0.4862070099999989</v>
      </c>
      <c r="AF30" s="65">
        <f>AE30/AD30</f>
        <v>-0.010209969759261542</v>
      </c>
      <c r="AG30" s="68" t="inlineStr">
        <is>
          <t>A</t>
        </is>
      </c>
      <c r="AH30" s="67">
        <f>SUM(AH21:AH29)</f>
        <v>43.09041533710477</v>
      </c>
      <c r="AI30" s="64">
        <f>SUM(AI21:AI29)</f>
        <v>48.41020956</v>
      </c>
      <c r="AJ30" s="64">
        <f>SUM(AJ21:AJ29)</f>
        <v>5.319794222895232</v>
      </c>
      <c r="AK30" s="65">
        <f>AJ30/AI30</f>
        <v>0.10988992345306493</v>
      </c>
      <c r="AL30" s="69" t="inlineStr">
        <is>
          <t>G</t>
        </is>
      </c>
    </row>
    <row r="31" ht="15.75" customHeight="1" s="849">
      <c r="I31" s="71">
        <f>I30/$D30</f>
        <v>0.6396907335507528</v>
      </c>
      <c r="J31" s="72" t="n"/>
      <c r="K31" s="72" t="n"/>
      <c r="L31" s="72" t="n"/>
      <c r="M31" s="72" t="n"/>
      <c r="N31" s="71">
        <f>N30/$D30</f>
        <v>0.5931885341144991</v>
      </c>
      <c r="O31" s="72" t="n"/>
      <c r="P31" s="72" t="n"/>
      <c r="Q31" s="72" t="n"/>
      <c r="R31" s="72" t="n"/>
      <c r="S31" s="71">
        <f>S30/$D30</f>
        <v>0.046502199436253645</v>
      </c>
      <c r="T31" s="72" t="n"/>
      <c r="U31" s="72" t="n"/>
      <c r="V31" s="72" t="n"/>
      <c r="W31" s="72" t="n"/>
      <c r="X31" s="71">
        <f>X30/$D30</f>
        <v>0.05334355772088612</v>
      </c>
      <c r="AC31" s="71">
        <f>AC30/$D30</f>
        <v>0.1619256585075587</v>
      </c>
      <c r="AD31" s="72" t="n"/>
      <c r="AE31" s="72" t="n"/>
      <c r="AF31" s="72" t="n"/>
      <c r="AG31" s="72" t="n"/>
      <c r="AH31" s="71">
        <f>AH30/$D30</f>
        <v>0.14504005022080238</v>
      </c>
      <c r="AI31" s="72" t="n"/>
      <c r="AJ31" s="72" t="n"/>
      <c r="AK31" s="72" t="n"/>
      <c r="AL31" s="72" t="n"/>
    </row>
    <row r="32">
      <c r="AO32" s="81">
        <f>E30-297</f>
        <v>5.522349682312722</v>
      </c>
    </row>
    <row r="35" ht="38.25" customHeight="1" s="849">
      <c r="B35" s="82" t="n"/>
      <c r="C35" s="82" t="n"/>
      <c r="D35" s="861" t="str">
        <f>D3</f>
        <v>TOTAL 
YTD (Jun-2026)</v>
      </c>
      <c r="E35" s="854" t="n"/>
      <c r="F35" s="854" t="n"/>
      <c r="G35" s="854" t="n"/>
      <c r="H35" s="855" t="n"/>
      <c r="I35" s="853" t="inlineStr">
        <is>
          <t>TOTAL TECHNOLOGY
Full Year 2026</t>
        </is>
      </c>
      <c r="J35" s="854" t="n"/>
      <c r="K35" s="854" t="n"/>
      <c r="L35" s="854" t="n"/>
      <c r="M35" s="855" t="n"/>
    </row>
    <row r="36" ht="13.5" customHeight="1" s="849">
      <c r="B36" s="83" t="inlineStr">
        <is>
          <t>Spend Type</t>
        </is>
      </c>
      <c r="C36" s="84" t="n"/>
      <c r="D36" s="85" t="inlineStr">
        <is>
          <t>A</t>
        </is>
      </c>
      <c r="E36" s="86" t="inlineStr">
        <is>
          <t>B</t>
        </is>
      </c>
      <c r="F36" s="86" t="inlineStr">
        <is>
          <t>V</t>
        </is>
      </c>
      <c r="G36" s="25" t="inlineStr">
        <is>
          <t>V %</t>
        </is>
      </c>
      <c r="H36" s="29" t="inlineStr">
        <is>
          <t>Trend</t>
        </is>
      </c>
      <c r="I36" s="85" t="inlineStr">
        <is>
          <t>F</t>
        </is>
      </c>
      <c r="J36" s="86" t="inlineStr">
        <is>
          <t>B</t>
        </is>
      </c>
      <c r="K36" s="86" t="inlineStr">
        <is>
          <t>V</t>
        </is>
      </c>
      <c r="L36" s="25" t="inlineStr">
        <is>
          <t>V %</t>
        </is>
      </c>
      <c r="M36" s="29" t="inlineStr">
        <is>
          <t>Trend</t>
        </is>
      </c>
    </row>
    <row r="37" ht="19.5" customHeight="1" s="849">
      <c r="B37" s="87" t="inlineStr">
        <is>
          <t>Lights on</t>
        </is>
      </c>
      <c r="C37" s="87" t="n"/>
      <c r="D37" s="40">
        <f>N14</f>
        <v>86.66006910547694</v>
      </c>
      <c r="E37" s="40">
        <f>O14</f>
        <v>85.12556412088558</v>
      </c>
      <c r="F37" s="41">
        <f>E37-D37</f>
        <v>-1.5345049845913508</v>
      </c>
      <c r="G37" s="45">
        <f>IFERROR(F37/E37,"-")</f>
        <v>-0.018026370813968674</v>
      </c>
      <c r="H37" s="88" t="inlineStr">
        <is>
          <t>A</t>
        </is>
      </c>
      <c r="I37" s="40">
        <f>N30</f>
        <v>176.23229080029688</v>
      </c>
      <c r="J37" s="40">
        <f>O30</f>
        <v>173.1229520799487</v>
      </c>
      <c r="K37" s="41">
        <f>J37-I37</f>
        <v>-3.109338720348177</v>
      </c>
      <c r="L37" s="45">
        <f>IFERROR(K37/J37,"-")</f>
        <v>-0.017960291705933218</v>
      </c>
      <c r="M37" s="88" t="inlineStr">
        <is>
          <t>A</t>
        </is>
      </c>
    </row>
    <row r="38" ht="19.5" customHeight="1" s="849">
      <c r="B38" s="89" t="inlineStr">
        <is>
          <t>Depreciation</t>
        </is>
      </c>
      <c r="C38" s="89" t="n"/>
      <c r="D38" s="54">
        <f>X14</f>
        <v>7.620976354</v>
      </c>
      <c r="E38" s="55">
        <f>Y14</f>
        <v>8.077584165179179</v>
      </c>
      <c r="F38" s="55">
        <f>E38-D38</f>
        <v>0.4566078111791789</v>
      </c>
      <c r="G38" s="56">
        <f>IFERROR(F38/E38,"-")</f>
        <v>0.05652776892719017</v>
      </c>
      <c r="H38" s="60" t="inlineStr">
        <is>
          <t>G</t>
        </is>
      </c>
      <c r="I38" s="54">
        <f>X30</f>
        <v>15.8480092516</v>
      </c>
      <c r="J38" s="55">
        <f>Y30</f>
        <v>17.1065704692871</v>
      </c>
      <c r="K38" s="55">
        <f>J38-I38</f>
        <v>1.2585612176870988</v>
      </c>
      <c r="L38" s="56">
        <f>IFERROR(K38/J38,"-")</f>
        <v>0.07357180212987181</v>
      </c>
      <c r="M38" s="60" t="inlineStr">
        <is>
          <t>G</t>
        </is>
      </c>
    </row>
    <row r="39" ht="19.5" customHeight="1" s="849">
      <c r="B39" s="90" t="inlineStr">
        <is>
          <t>Lights on + Depreciation</t>
        </is>
      </c>
      <c r="C39" s="90" t="n"/>
      <c r="D39" s="91">
        <f>SUM(D37:D38)</f>
        <v>94.28104545947693</v>
      </c>
      <c r="E39" s="92">
        <f>SUM(E37:E38)</f>
        <v>93.20314828606476</v>
      </c>
      <c r="F39" s="92">
        <f>SUM(F37:F38)</f>
        <v>-1.0778971734121718</v>
      </c>
      <c r="G39" s="93">
        <f>IFERROR(F39/E39,"-")</f>
        <v>-0.01156502965011251</v>
      </c>
      <c r="H39" s="94" t="inlineStr">
        <is>
          <t>A</t>
        </is>
      </c>
      <c r="I39" s="91">
        <f>SUM(I37:I38)</f>
        <v>192.08030005189687</v>
      </c>
      <c r="J39" s="92">
        <f>SUM(J37:J38)</f>
        <v>190.2295225492358</v>
      </c>
      <c r="K39" s="92">
        <f>SUM(K37:K38)</f>
        <v>-1.850777502661078</v>
      </c>
      <c r="L39" s="93">
        <f>IFERROR(K39/J39,"-")</f>
        <v>-0.009729181243053659</v>
      </c>
      <c r="M39" s="94" t="inlineStr">
        <is>
          <t>A</t>
        </is>
      </c>
    </row>
    <row r="40" ht="19.5" customHeight="1" s="849">
      <c r="B40" s="87" t="inlineStr">
        <is>
          <t>Opex Initiatives</t>
        </is>
      </c>
      <c r="C40" s="87" t="n"/>
      <c r="D40" s="33">
        <f>S14</f>
        <v>5.61932600692308</v>
      </c>
      <c r="E40" s="34">
        <f>T14</f>
        <v>8.13090476653846</v>
      </c>
      <c r="F40" s="34">
        <f>E40-D40</f>
        <v>2.5115787596153805</v>
      </c>
      <c r="G40" s="35">
        <f>IFERROR(F40/E40,"-")</f>
        <v>0.30889290081854265</v>
      </c>
      <c r="H40" s="39" t="inlineStr">
        <is>
          <t>G</t>
        </is>
      </c>
      <c r="I40" s="33">
        <f>S30</f>
        <v>13.81548809964252</v>
      </c>
      <c r="J40" s="34">
        <f>T30</f>
        <v>16.26180953307692</v>
      </c>
      <c r="K40" s="34">
        <f>J40-I40</f>
        <v>2.4463214334344006</v>
      </c>
      <c r="L40" s="35">
        <f>IFERROR(K40/J40,"-")</f>
        <v>0.1504335313028063</v>
      </c>
      <c r="M40" s="39" t="inlineStr">
        <is>
          <t>G</t>
        </is>
      </c>
    </row>
    <row r="41" ht="19.5" customHeight="1" s="849">
      <c r="B41" s="95" t="inlineStr">
        <is>
          <t>Capex</t>
        </is>
      </c>
      <c r="C41" s="87" t="n"/>
      <c r="D41" s="40">
        <f>AH14</f>
        <v>12.405728604274</v>
      </c>
      <c r="E41" s="41">
        <f>AI14</f>
        <v>23.57807069363636</v>
      </c>
      <c r="F41" s="41">
        <f>E41-D41</f>
        <v>11.17234208936236</v>
      </c>
      <c r="G41" s="45">
        <f>IFERROR(F41/E41,"-")</f>
        <v>0.4738446259887471</v>
      </c>
      <c r="H41" s="47" t="inlineStr">
        <is>
          <t>G</t>
        </is>
      </c>
      <c r="I41" s="40">
        <f>AH30</f>
        <v>43.09041533710477</v>
      </c>
      <c r="J41" s="41">
        <f>AI30</f>
        <v>48.41020956</v>
      </c>
      <c r="K41" s="41">
        <f>J41-I41</f>
        <v>5.319794222895226</v>
      </c>
      <c r="L41" s="45">
        <f>IFERROR(K41/J41,"-")</f>
        <v>0.10988992345306481</v>
      </c>
      <c r="M41" s="47" t="inlineStr">
        <is>
          <t>G</t>
        </is>
      </c>
    </row>
    <row r="42" ht="19.5" customHeight="1" s="849">
      <c r="B42" s="96" t="inlineStr">
        <is>
          <t>Significant Items</t>
        </is>
      </c>
      <c r="C42" s="89" t="n"/>
      <c r="D42" s="54">
        <f>AC14</f>
        <v>17.270476819696974</v>
      </c>
      <c r="E42" s="55">
        <f>AD14</f>
        <v>24.41420402</v>
      </c>
      <c r="F42" s="55">
        <f>E42-D42</f>
        <v>7.143727200303026</v>
      </c>
      <c r="G42" s="56">
        <f>IFERROR(F42/E42,"-")</f>
        <v>0.292605369990802</v>
      </c>
      <c r="H42" s="60" t="inlineStr">
        <is>
          <t>G</t>
        </is>
      </c>
      <c r="I42" s="54">
        <f>AC30</f>
        <v>48.10701505</v>
      </c>
      <c r="J42" s="55">
        <f>AD30</f>
        <v>47.62080804</v>
      </c>
      <c r="K42" s="55">
        <f>J42-I42</f>
        <v>-0.4862070100000011</v>
      </c>
      <c r="L42" s="56">
        <f>IFERROR(K42/J42,"-")</f>
        <v>-0.010209969759261589</v>
      </c>
      <c r="M42" s="42" t="inlineStr">
        <is>
          <t>A</t>
        </is>
      </c>
    </row>
    <row r="43" ht="19.5" customHeight="1" s="849">
      <c r="B43" s="90" t="inlineStr">
        <is>
          <t>Projects</t>
        </is>
      </c>
      <c r="C43" s="90" t="n"/>
      <c r="D43" s="91">
        <f>SUM(D40:D42)</f>
        <v>35.29553143089405</v>
      </c>
      <c r="E43" s="92">
        <f>SUM(E40:E42)</f>
        <v>56.12317948017482</v>
      </c>
      <c r="F43" s="92">
        <f>SUM(F40:F42)</f>
        <v>20.827648049280768</v>
      </c>
      <c r="G43" s="93">
        <f>IFERROR(F43/E43,"-")</f>
        <v>0.3711059894002978</v>
      </c>
      <c r="H43" s="97" t="inlineStr">
        <is>
          <t>G</t>
        </is>
      </c>
      <c r="I43" s="91">
        <f>SUM(I40:I42)</f>
        <v>105.0129184867473</v>
      </c>
      <c r="J43" s="92">
        <f>SUM(J40:J42)</f>
        <v>112.29282713307693</v>
      </c>
      <c r="K43" s="92">
        <f>SUM(K40:K42)</f>
        <v>7.279908646329625</v>
      </c>
      <c r="L43" s="93">
        <f>IFERROR(K43/J43,"-")</f>
        <v>0.06482968531642978</v>
      </c>
      <c r="M43" s="97" t="inlineStr">
        <is>
          <t>G</t>
        </is>
      </c>
    </row>
    <row r="44" ht="19.5" customHeight="1" s="849">
      <c r="B44" s="98" t="inlineStr">
        <is>
          <t>Total Technology</t>
        </is>
      </c>
      <c r="C44" s="98" t="n"/>
      <c r="D44" s="91">
        <f>SUM(D43,D39)</f>
        <v>129.57657689037097</v>
      </c>
      <c r="E44" s="92">
        <f>SUM(E43,E39)</f>
        <v>149.3263277662396</v>
      </c>
      <c r="F44" s="92">
        <f>SUM(F43,F39)</f>
        <v>19.749750875868596</v>
      </c>
      <c r="G44" s="93">
        <f>IFERROR(F44/E44,"-")</f>
        <v>0.1322590006149854</v>
      </c>
      <c r="H44" s="97" t="inlineStr">
        <is>
          <t>G</t>
        </is>
      </c>
      <c r="I44" s="91">
        <f>SUM(I43,I39)</f>
        <v>297.0932185386442</v>
      </c>
      <c r="J44" s="92">
        <f>SUM(J43,J39)</f>
        <v>302.5223496823127</v>
      </c>
      <c r="K44" s="92">
        <f>SUM(K43,K39)</f>
        <v>5.429131143668547</v>
      </c>
      <c r="L44" s="93">
        <f>IFERROR(K44/J44,"-")</f>
        <v>0.017946215046160494</v>
      </c>
      <c r="M44" s="97" t="inlineStr">
        <is>
          <t>G</t>
        </is>
      </c>
    </row>
    <row r="47" ht="38.25" customHeight="1" s="849">
      <c r="B47" s="863" t="inlineStr">
        <is>
          <t>SPEND CATEGORY</t>
        </is>
      </c>
      <c r="C47" s="99" t="n"/>
      <c r="D47" s="861" t="str">
        <f>D3</f>
        <v>TOTAL 
YTD (Jun-2026)</v>
      </c>
      <c r="E47" s="854" t="n"/>
      <c r="F47" s="854" t="n"/>
      <c r="G47" s="854" t="n"/>
      <c r="H47" s="855" t="n"/>
      <c r="I47" s="853" t="inlineStr">
        <is>
          <t>TOTAL TECHNOLOGY
YTD (May-2026)</t>
        </is>
      </c>
      <c r="J47" s="854" t="n"/>
      <c r="K47" s="854" t="n"/>
      <c r="L47" s="854" t="n"/>
      <c r="M47" s="855" t="n"/>
    </row>
    <row r="48" ht="22.5" customHeight="1" s="849">
      <c r="B48" s="864" t="n"/>
      <c r="C48" s="100" t="n"/>
      <c r="D48" s="85" t="inlineStr">
        <is>
          <t>A</t>
        </is>
      </c>
      <c r="E48" s="86" t="inlineStr">
        <is>
          <t>B</t>
        </is>
      </c>
      <c r="F48" s="86" t="inlineStr">
        <is>
          <t>V</t>
        </is>
      </c>
      <c r="G48" s="25" t="inlineStr">
        <is>
          <t>V %</t>
        </is>
      </c>
      <c r="H48" s="29" t="inlineStr">
        <is>
          <t>Trend</t>
        </is>
      </c>
      <c r="I48" s="85" t="inlineStr">
        <is>
          <t>A</t>
        </is>
      </c>
      <c r="J48" s="86" t="inlineStr">
        <is>
          <t>B</t>
        </is>
      </c>
      <c r="K48" s="86" t="inlineStr">
        <is>
          <t>V</t>
        </is>
      </c>
      <c r="L48" s="25" t="inlineStr">
        <is>
          <t>V %</t>
        </is>
      </c>
      <c r="M48" s="29" t="inlineStr">
        <is>
          <t>Trend</t>
        </is>
      </c>
    </row>
    <row r="49" ht="19.5" customHeight="1" s="849">
      <c r="B49" s="87" t="inlineStr">
        <is>
          <t>Opex</t>
        </is>
      </c>
      <c r="C49" s="87" t="n"/>
      <c r="D49" s="40">
        <f>I14+X14</f>
        <v>99.9003714664</v>
      </c>
      <c r="E49" s="40">
        <f>J14+Y14</f>
        <v>101.33405305260321</v>
      </c>
      <c r="F49" s="41">
        <f>E49-D49</f>
        <v>1.4336815862032068</v>
      </c>
      <c r="G49" s="45">
        <f>IFERROR(F49/E49,"-")</f>
        <v>0.014148073061470982</v>
      </c>
      <c r="H49" s="47" t="inlineStr">
        <is>
          <t>G</t>
        </is>
      </c>
      <c r="I49" s="40">
        <f>I30+X30</f>
        <v>205.8957881515394</v>
      </c>
      <c r="J49" s="40">
        <f>J30+Y30</f>
        <v>206.4913320823127</v>
      </c>
      <c r="K49" s="41">
        <f>J49-I49</f>
        <v>0.5955439307733172</v>
      </c>
      <c r="L49" s="45">
        <f>IFERROR(K49/J49,"-")</f>
        <v>0.0028841110412127047</v>
      </c>
      <c r="M49" s="47" t="inlineStr">
        <is>
          <t>G</t>
        </is>
      </c>
    </row>
    <row r="50" ht="19.5" customHeight="1" s="849">
      <c r="B50" s="89" t="inlineStr">
        <is>
          <t>Significant Items</t>
        </is>
      </c>
      <c r="C50" s="89" t="n"/>
      <c r="D50" s="40">
        <f>AC14</f>
        <v>17.270476819696974</v>
      </c>
      <c r="E50" s="40">
        <f>AD14</f>
        <v>24.41420402</v>
      </c>
      <c r="F50" s="41">
        <f>E50-D50</f>
        <v>7.143727200303026</v>
      </c>
      <c r="G50" s="45">
        <f>IFERROR(F50/E50,"-")</f>
        <v>0.292605369990802</v>
      </c>
      <c r="H50" s="47" t="inlineStr">
        <is>
          <t>G</t>
        </is>
      </c>
      <c r="I50" s="40">
        <f>AC30</f>
        <v>48.10701505</v>
      </c>
      <c r="J50" s="40">
        <f>AD30</f>
        <v>47.62080804</v>
      </c>
      <c r="K50" s="41">
        <f>J50-I50</f>
        <v>-0.4862070100000011</v>
      </c>
      <c r="L50" s="45">
        <f>IFERROR(K50/J50,"-")</f>
        <v>-0.010209969759261589</v>
      </c>
      <c r="M50" s="88" t="inlineStr">
        <is>
          <t>A</t>
        </is>
      </c>
    </row>
    <row r="51" ht="19.5" customHeight="1" s="849">
      <c r="B51" s="89" t="inlineStr">
        <is>
          <t>Capex</t>
        </is>
      </c>
      <c r="C51" s="89" t="n"/>
      <c r="D51" s="40">
        <f>AH14</f>
        <v>12.405728604274</v>
      </c>
      <c r="E51" s="40">
        <f>AI14</f>
        <v>23.57807069363636</v>
      </c>
      <c r="F51" s="41">
        <f>E51-D51</f>
        <v>11.17234208936236</v>
      </c>
      <c r="G51" s="45">
        <f>IFERROR(F51/E51,"-")</f>
        <v>0.4738446259887471</v>
      </c>
      <c r="H51" s="47" t="inlineStr">
        <is>
          <t>G</t>
        </is>
      </c>
      <c r="I51" s="40">
        <f>AH30</f>
        <v>43.09041533710477</v>
      </c>
      <c r="J51" s="40">
        <f>AI30</f>
        <v>48.41020956</v>
      </c>
      <c r="K51" s="41">
        <f>J51-I51</f>
        <v>5.319794222895226</v>
      </c>
      <c r="L51" s="45">
        <f>IFERROR(K51/J51,"-")</f>
        <v>0.10988992345306481</v>
      </c>
      <c r="M51" s="47" t="inlineStr">
        <is>
          <t>G</t>
        </is>
      </c>
    </row>
    <row r="52" ht="19.5" customHeight="1" s="849">
      <c r="B52" s="98" t="inlineStr">
        <is>
          <t>Total Technology</t>
        </is>
      </c>
      <c r="C52" s="98" t="n"/>
      <c r="D52" s="91">
        <f>SUM(D49:D51)</f>
        <v>129.57657689037097</v>
      </c>
      <c r="E52" s="91">
        <f>SUM(E49:E51)</f>
        <v>149.32632776623956</v>
      </c>
      <c r="F52" s="91">
        <f>SUM(F49:F51)</f>
        <v>19.749750875868592</v>
      </c>
      <c r="G52" s="93">
        <f>IFERROR(F52/E52,"-")</f>
        <v>0.1322590006149854</v>
      </c>
      <c r="H52" s="97" t="inlineStr">
        <is>
          <t>G</t>
        </is>
      </c>
      <c r="I52" s="91">
        <f>SUM(I49:I51)</f>
        <v>297.0932185386442</v>
      </c>
      <c r="J52" s="91">
        <f>SUM(J49:J51)</f>
        <v>302.5223496823127</v>
      </c>
      <c r="K52" s="91">
        <f>SUM(K49:K51)</f>
        <v>5.429131143668542</v>
      </c>
      <c r="L52" s="93">
        <f>IFERROR(K52/J52,"-")</f>
        <v>0.017946215046160476</v>
      </c>
      <c r="M52" s="97"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FF1F4E79"/>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582" t="inlineStr">
        <is>
          <t>DESIGNS  &gt;&gt;&gt;</t>
        </is>
      </c>
    </row>
  </sheetData>
  <pageMargins left="0.75" right="0.75" top="1" bottom="1" header="0.5" footer="0.5"/>
</worksheet>
</file>

<file path=xl/worksheets/sheet9.xml><?xml version="1.0" encoding="utf-8"?>
<worksheet xmlns="http://schemas.openxmlformats.org/spreadsheetml/2006/main">
  <sheetPr>
    <tabColor rgb="FF1F4E79"/>
    <outlinePr summaryBelow="1" summaryRight="1"/>
    <pageSetUpPr/>
  </sheetPr>
  <dimension ref="A1:O70"/>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31.81640625" bestFit="1"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Ampol Retail</t>
        </is>
      </c>
      <c r="F2" s="547" t="n"/>
      <c r="G2" s="583" t="n"/>
      <c r="H2" s="583" t="n"/>
      <c r="I2" s="583" t="n"/>
      <c r="J2" s="583" t="n"/>
      <c r="K2" s="583" t="n"/>
      <c r="L2" s="583" t="n"/>
      <c r="M2" s="583" t="n"/>
      <c r="N2" s="583" t="n"/>
      <c r="O2" s="583" t="n"/>
    </row>
    <row r="3">
      <c r="B3" s="101" t="n"/>
      <c r="C3" s="101" t="n"/>
      <c r="D3" s="101" t="n"/>
      <c r="E3" s="101" t="n"/>
      <c r="F3" s="547" t="n"/>
      <c r="G3" s="101" t="n"/>
      <c r="H3" s="101" t="n"/>
      <c r="I3" s="101" t="n"/>
      <c r="J3" s="101" t="n"/>
      <c r="K3" s="101" t="n"/>
      <c r="L3" s="583" t="n"/>
      <c r="M3" s="583" t="n"/>
      <c r="N3" s="583" t="n"/>
      <c r="O3" s="583" t="n"/>
    </row>
    <row r="4">
      <c r="B4" s="850" t="inlineStr">
        <is>
          <t>Portfolio Summary</t>
        </is>
      </c>
      <c r="C4" s="851" t="n"/>
      <c r="D4" s="851" t="n"/>
      <c r="E4" s="852" t="n"/>
      <c r="F4" s="547" t="n"/>
      <c r="G4" s="101" t="n"/>
      <c r="H4" s="199" t="inlineStr">
        <is>
          <t>Budget vs TDD Cost</t>
        </is>
      </c>
      <c r="I4" s="199" t="n"/>
      <c r="J4" s="101" t="n"/>
      <c r="K4" s="101"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Config'!$E$11</f>
        <v>2.5</v>
      </c>
      <c r="J5" s="101" t="n"/>
      <c r="K5" s="101" t="n"/>
      <c r="L5" s="583" t="n"/>
      <c r="M5" s="583" t="n"/>
      <c r="N5" s="583" t="n"/>
      <c r="O5" s="583" t="n"/>
    </row>
    <row r="6">
      <c r="B6" s="8" t="inlineStr">
        <is>
          <t>Portfolio Overhead (see 0.2 Data Config)</t>
        </is>
      </c>
      <c r="C6" s="551">
        <f>IF(('0.2 Data Config'!$D$11)&gt;('0.2 Data Config'!$C$11),0,'0.2 Data Config'!$L$10)</f>
        <v>0.7495</v>
      </c>
      <c r="D6" s="551">
        <f>IF(('0.2 Data Config'!$D$11)&gt;('0.2 Data Config'!$C$11),'0.2 Data Config'!$L$10,0)</f>
        <v>0.0</v>
      </c>
      <c r="E6" s="551">
        <f>0</f>
        <v>0.0</v>
      </c>
      <c r="F6" s="551">
        <f>C6+D6+E6</f>
        <v>0.7495</v>
      </c>
      <c r="H6" s="563" t="inlineStr">
        <is>
          <t>AU Budget ($m)</t>
        </is>
      </c>
      <c r="I6" s="551">
        <f>'0.2 Data Config'!$C$11</f>
        <v>2.5</v>
      </c>
      <c r="J6" s="101" t="n"/>
      <c r="K6" s="101" t="n"/>
      <c r="L6" s="583" t="n"/>
      <c r="M6" s="583" t="n"/>
      <c r="N6" s="583" t="n"/>
      <c r="O6" s="583" t="n"/>
    </row>
    <row r="7">
      <c r="B7" s="8" t="inlineStr">
        <is>
          <t>Platform Overheads</t>
        </is>
      </c>
      <c r="C7" s="551">
        <f>IF(('0.2 Data Config'!$D$11)&gt;('0.2 Data Config'!$C$11),0,SUM(I28,I35,I48,I54,I60))</f>
        <v>0.66</v>
      </c>
      <c r="D7" s="551">
        <f>IF(('0.2 Data Config'!$D$11)&gt;('0.2 Data Config'!$C$11),SUM(I28,I35,I48,I54,I60),0)</f>
        <v>0.0</v>
      </c>
      <c r="E7" s="551">
        <f>0</f>
        <v>0.0</v>
      </c>
      <c r="F7" s="551">
        <f>C7+D7+E7</f>
        <v>0.66</v>
      </c>
      <c r="H7" s="584" t="inlineStr">
        <is>
          <t>NZ Budget ($m)</t>
        </is>
      </c>
      <c r="I7" s="585">
        <f>'0.2 Data Config'!$D$11</f>
        <v>0.0</v>
      </c>
      <c r="J7" s="101" t="n"/>
      <c r="K7" s="101" t="n"/>
      <c r="L7" s="583" t="n"/>
      <c r="M7" s="583" t="n"/>
      <c r="N7" s="583" t="n"/>
      <c r="O7" s="583" t="n"/>
    </row>
    <row r="8">
      <c r="B8" s="8" t="inlineStr">
        <is>
          <t>Squad Support Costs</t>
        </is>
      </c>
      <c r="C8" s="551">
        <f>SUMIF(F24:F27,"AU",I24:I27)+SUMIF(F33:F33,"AU",I33:I33)+SUMIF(F47:F47,"AU",I47:I47)+SUMIF(F53:F53,"AU",I53:I53)+SUMIF(F59:F59,"AU",I59:I59)+SUMIF(F65:F65,"AU",I65:I65)</f>
        <v>4.622</v>
      </c>
      <c r="D8" s="551">
        <f>SUMIF(F24:F27,"NZ",I24:I27)+SUMIF(F33:F33,"NZ",I33:I33)+SUMIF(F47:F47,"NZ",I47:I47)+SUMIF(F53:F53,"NZ",I53:I53)+SUMIF(F59:F59,"NZ",I59:I59)+SUMIF(F65:F65,"NZ",I65:I65)</f>
        <v>0.0</v>
      </c>
      <c r="E8" s="551">
        <f>SUM(J24,J25,J26,J27,J33,J34,J47,J53,J59,J65)</f>
        <v>8.182089</v>
      </c>
      <c r="F8" s="551">
        <f>C8+D8+E8</f>
        <v>12.804089</v>
      </c>
      <c r="H8" s="626" t="inlineStr">
        <is>
          <t>AU Variance ($m)</t>
        </is>
      </c>
      <c r="I8" s="892">
        <f>I6-C9</f>
        <v>-3.5314999999999994</v>
      </c>
      <c r="J8" s="101" t="n"/>
      <c r="K8" s="101" t="n"/>
      <c r="L8" s="583" t="n"/>
      <c r="M8" s="583" t="n"/>
      <c r="N8" s="583" t="n"/>
      <c r="O8" s="583" t="n"/>
    </row>
    <row r="9">
      <c r="B9" s="202" t="inlineStr">
        <is>
          <t>Total Cost</t>
        </is>
      </c>
      <c r="C9" s="553">
        <f>SUM(C6:C8)</f>
        <v>6.031499999999999</v>
      </c>
      <c r="D9" s="553">
        <f>SUM(D6:D8)</f>
        <v>0.0</v>
      </c>
      <c r="E9" s="553">
        <f>SUM(E6:E8)</f>
        <v>8.182089</v>
      </c>
      <c r="F9" s="553">
        <f>SUM(F6:F8)</f>
        <v>14.213588999999999</v>
      </c>
      <c r="H9" s="550" t="inlineStr">
        <is>
          <t>NZ Variance ($m)</t>
        </is>
      </c>
      <c r="I9" s="893">
        <f>I7-D9</f>
        <v>0.0</v>
      </c>
      <c r="J9" s="101" t="n"/>
      <c r="K9" s="101" t="n"/>
      <c r="L9" s="583" t="n"/>
      <c r="M9" s="583" t="n"/>
      <c r="N9" s="583" t="n"/>
      <c r="O9" s="583" t="n"/>
    </row>
    <row r="10">
      <c r="H10" s="623" t="n"/>
      <c r="I10" s="623" t="n"/>
      <c r="J10" s="101" t="n"/>
      <c r="K10" s="101" t="n"/>
      <c r="L10" s="583" t="n"/>
      <c r="M10" s="583" t="n"/>
      <c r="N10" s="583" t="n"/>
      <c r="O10" s="583" t="n"/>
    </row>
    <row r="11">
      <c r="B11" s="101" t="n"/>
      <c r="C11" s="101" t="n"/>
      <c r="D11" s="101" t="n"/>
      <c r="E11" s="101" t="n"/>
      <c r="F11" s="547" t="n"/>
      <c r="G11" s="101" t="n"/>
      <c r="H11" s="868" t="inlineStr">
        <is>
          <t xml:space="preserve">Other funding </t>
        </is>
      </c>
      <c r="I11" s="851" t="n"/>
      <c r="J11" s="851" t="n"/>
      <c r="K11" s="852" t="n"/>
      <c r="L11" s="583" t="n"/>
      <c r="M11" s="583" t="n"/>
      <c r="N11" s="583" t="n"/>
      <c r="O11" s="583" t="n"/>
    </row>
    <row r="12">
      <c r="B12" s="869" t="inlineStr">
        <is>
          <t xml:space="preserve">Total Retail budget </t>
        </is>
      </c>
      <c r="C12" s="870" t="n"/>
      <c r="D12" s="871" t="n"/>
      <c r="E12" s="205">
        <f>SUM(I13:I17)</f>
        <v>33.8</v>
      </c>
      <c r="F12" s="547" t="n"/>
      <c r="G12" s="101"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69" t="inlineStr">
        <is>
          <t xml:space="preserve">Reconciled to Finance </t>
        </is>
      </c>
      <c r="C13" s="870" t="n"/>
      <c r="D13" s="871" t="n"/>
      <c r="E13" s="205">
        <f>'0.1 Budget Table (Fin)'!Q9</f>
        <v>33.8</v>
      </c>
      <c r="F13" s="547" t="n"/>
      <c r="G13" s="101" t="n"/>
      <c r="H13" s="8" t="inlineStr">
        <is>
          <t>Retail Lights On</t>
        </is>
      </c>
      <c r="I13" s="586">
        <f>'0.1 Budget Table (Fin)'!L9</f>
        <v>13.899999999999999</v>
      </c>
      <c r="J13" s="587">
        <f>'0.1 Budget Table (Fin)'!G9</f>
        <v>0.0</v>
      </c>
      <c r="K13" s="9">
        <f>IFERROR(I13-J13,0)</f>
        <v>13.899999999999999</v>
      </c>
      <c r="L13" s="583" t="n"/>
      <c r="M13" s="583" t="n"/>
      <c r="N13" s="583" t="n"/>
      <c r="O13" s="583" t="n"/>
    </row>
    <row r="14">
      <c r="B14" s="101" t="n"/>
      <c r="C14" s="101" t="n"/>
      <c r="D14" s="101" t="n"/>
      <c r="E14" s="101" t="n"/>
      <c r="F14" s="547" t="n"/>
      <c r="G14" s="101" t="n"/>
      <c r="H14" s="8" t="inlineStr">
        <is>
          <t>OpEx Initiatives</t>
        </is>
      </c>
      <c r="I14" s="201">
        <f>'0.1 Budget Table (Fin)'!N9</f>
        <v>1.3</v>
      </c>
      <c r="J14" s="207" t="n">
        <v>0</v>
      </c>
      <c r="K14" s="9">
        <f>IFERROR(I14-J14,0)</f>
        <v>1.3</v>
      </c>
      <c r="L14" s="583" t="n"/>
      <c r="M14" s="583" t="n"/>
      <c r="N14" s="583" t="n"/>
      <c r="O14" s="583" t="n"/>
    </row>
    <row r="15">
      <c r="B15" s="415" t="inlineStr">
        <is>
          <t>Total to fund</t>
        </is>
      </c>
      <c r="C15" s="416" t="n"/>
      <c r="D15" s="101" t="n"/>
      <c r="E15" s="101" t="n"/>
      <c r="F15" s="547" t="n"/>
      <c r="G15" s="101" t="n"/>
      <c r="H15" s="8" t="inlineStr">
        <is>
          <t>Retail CapEx</t>
        </is>
      </c>
      <c r="I15" s="201">
        <f>'0.1 Budget Table (Fin)'!P9</f>
        <v>11.8</v>
      </c>
      <c r="J15" s="207" t="n">
        <v>5.26</v>
      </c>
      <c r="K15" s="9">
        <f>IFERROR(I15-J15,0)</f>
        <v>6.540000000000001</v>
      </c>
      <c r="L15" s="583" t="n"/>
      <c r="M15" s="583" t="n"/>
      <c r="N15" s="583" t="n"/>
      <c r="O15" s="583" t="n"/>
    </row>
    <row r="16">
      <c r="B16" s="417" t="inlineStr">
        <is>
          <t>TDD Variance</t>
        </is>
      </c>
      <c r="C16" s="894">
        <f>-(I8+I9)</f>
        <v>3.5314999999999994</v>
      </c>
      <c r="D16" s="101" t="n"/>
      <c r="E16" s="101" t="n"/>
      <c r="F16" s="547" t="n"/>
      <c r="G16" s="101" t="n"/>
      <c r="H16" s="8" t="inlineStr">
        <is>
          <t>Significant Items</t>
        </is>
      </c>
      <c r="I16" s="201">
        <f>'0.1 Budget Table (Fin)'!O9</f>
        <v>6.8</v>
      </c>
      <c r="J16" s="588">
        <f>J47</f>
        <v>1.404089</v>
      </c>
      <c r="K16" s="9">
        <f>IFERROR(I16-J16,0)</f>
        <v>5.395911</v>
      </c>
      <c r="L16" s="583" t="n"/>
      <c r="M16" s="583" t="n"/>
      <c r="N16" s="583" t="n"/>
      <c r="O16" s="583" t="n"/>
    </row>
    <row r="17">
      <c r="B17" s="417" t="inlineStr">
        <is>
          <t>Other Variance</t>
        </is>
      </c>
      <c r="C17" s="894">
        <f>J20</f>
        <v>-0.002000000000000224</v>
      </c>
      <c r="D17" s="101" t="n"/>
      <c r="E17" s="101" t="n"/>
      <c r="F17" s="547" t="n"/>
      <c r="G17" s="101" t="n"/>
      <c r="H17" s="8" t="inlineStr">
        <is>
          <t>Significant Items EGI</t>
        </is>
      </c>
      <c r="I17" s="201" t="n"/>
      <c r="J17" s="588">
        <f>J65</f>
        <v>1.52</v>
      </c>
      <c r="K17" s="9" t="n"/>
      <c r="L17" s="583" t="n"/>
      <c r="M17" s="583" t="n"/>
      <c r="N17" s="583" t="n"/>
      <c r="O17" s="583" t="n"/>
    </row>
    <row r="18">
      <c r="B18" s="419" t="inlineStr">
        <is>
          <t>Total</t>
        </is>
      </c>
      <c r="C18" s="895">
        <f>C16+C17</f>
        <v>3.529499999999999</v>
      </c>
      <c r="D18" s="101" t="n"/>
      <c r="E18" s="101" t="n"/>
      <c r="F18" s="547" t="n"/>
      <c r="G18" s="101" t="n"/>
      <c r="H18" s="8" t="inlineStr">
        <is>
          <t>Total applied</t>
        </is>
      </c>
      <c r="I18" s="201" t="n"/>
      <c r="J18" s="588">
        <f>SUM(J13:J17)</f>
        <v>8.184089</v>
      </c>
      <c r="K18" s="9" t="n"/>
      <c r="L18" s="583" t="n"/>
      <c r="M18" s="583" t="n"/>
      <c r="N18" s="583" t="n"/>
      <c r="O18" s="583" t="n"/>
    </row>
    <row r="19">
      <c r="B19" s="101" t="n"/>
      <c r="C19" s="101" t="n"/>
      <c r="D19" s="101" t="n"/>
      <c r="E19" s="101" t="n"/>
      <c r="F19" s="547" t="n"/>
      <c r="G19" s="101" t="n"/>
      <c r="H19" s="8" t="inlineStr">
        <is>
          <t>Other cost (this model)</t>
        </is>
      </c>
      <c r="I19" s="201" t="n"/>
      <c r="J19" s="588">
        <f>E9</f>
        <v>8.182089</v>
      </c>
      <c r="K19" s="9" t="n"/>
      <c r="L19" s="583" t="n"/>
      <c r="M19" s="583" t="n"/>
      <c r="N19" s="583" t="n"/>
      <c r="O19" s="583" t="n"/>
    </row>
    <row r="20">
      <c r="A20" s="101" t="n"/>
      <c r="B20" s="101" t="n"/>
      <c r="C20" s="101" t="n"/>
      <c r="D20" s="101" t="n"/>
      <c r="E20" s="101" t="n"/>
      <c r="F20" s="547" t="n"/>
      <c r="G20" s="101" t="n"/>
      <c r="H20" s="8" t="inlineStr">
        <is>
          <t>Left to fund</t>
        </is>
      </c>
      <c r="I20" s="201" t="n"/>
      <c r="J20" s="420">
        <f>SUM(E9-J14-J15-J16-J17)</f>
        <v>-0.002000000000000224</v>
      </c>
      <c r="K20" s="9" t="n"/>
      <c r="L20" s="583" t="n"/>
      <c r="M20" s="583" t="n"/>
      <c r="N20" s="583" t="n"/>
      <c r="O20" s="583" t="n"/>
    </row>
    <row r="21">
      <c r="B21" s="101" t="n"/>
      <c r="C21" s="101" t="n"/>
      <c r="D21" s="101" t="n"/>
      <c r="E21" s="101" t="n"/>
      <c r="F21" s="547" t="n"/>
      <c r="G21" s="101" t="n"/>
      <c r="H21" s="101" t="n"/>
      <c r="I21" s="101" t="n"/>
      <c r="J21" s="101" t="n"/>
      <c r="K21" s="101" t="n"/>
      <c r="L21" s="583" t="n"/>
      <c r="M21" s="583" t="n"/>
      <c r="N21" s="583" t="n"/>
      <c r="O21" s="583" t="n"/>
    </row>
    <row r="22">
      <c r="B22" s="868" t="inlineStr">
        <is>
          <t>Platform: Store Operations</t>
        </is>
      </c>
      <c r="C22" s="851" t="n"/>
      <c r="D22" s="851" t="n"/>
      <c r="E22" s="851" t="n"/>
      <c r="F22" s="851" t="n"/>
      <c r="G22" s="851" t="n"/>
      <c r="H22" s="851" t="n"/>
      <c r="I22" s="851" t="n"/>
      <c r="J22" s="852" t="n"/>
      <c r="K22" s="101"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101" t="n"/>
      <c r="L23" s="589" t="n"/>
      <c r="M23" s="583" t="n"/>
      <c r="N23" s="583" t="n"/>
      <c r="O23" s="583" t="n"/>
    </row>
    <row r="24">
      <c r="B24" s="8" t="inlineStr">
        <is>
          <t>POS</t>
        </is>
      </c>
      <c r="C24" s="210" t="inlineStr">
        <is>
          <t>Configuration / Integration</t>
        </is>
      </c>
      <c r="D24" s="210" t="inlineStr">
        <is>
          <t>M</t>
        </is>
      </c>
      <c r="E24" s="210" t="inlineStr">
        <is>
          <t>Onshore</t>
        </is>
      </c>
      <c r="F24" s="590" t="inlineStr">
        <is>
          <t>AU</t>
        </is>
      </c>
      <c r="G24" s="211" t="n">
        <v>0.7</v>
      </c>
      <c r="H24" s="201">
        <f>IFERROR(IF($E24="Onshore",INDEX('0.3 Squad Archetypes'!$G$5:$G$23,MATCH($C24&amp;"|"&amp;$D24,'0.3 Squad Archetypes'!$A$5:$A$23,0)),INDEX('0.3 Squad Archetypes'!$H$5:$H$23,MATCH($C24&amp;"|"&amp;$D24,'0.3 Squad Archetypes'!$A$5:$A$23,0))),"check size")</f>
        <v>2.1</v>
      </c>
      <c r="I24" s="9">
        <f>IFERROR($H24*$G24,"")</f>
        <v>1.47</v>
      </c>
      <c r="J24" s="9">
        <f>IFERROR($H24*(1-$G24),"")</f>
        <v>0.6300000000000001</v>
      </c>
      <c r="K24" s="101" t="n"/>
      <c r="L24" s="559" t="n"/>
      <c r="M24" s="583" t="n"/>
      <c r="N24" s="583" t="n"/>
      <c r="O24" s="583" t="n"/>
    </row>
    <row r="25">
      <c r="B25" s="8" t="inlineStr">
        <is>
          <t>Payments</t>
        </is>
      </c>
      <c r="C25" s="210" t="inlineStr">
        <is>
          <t>Configuration / Integration</t>
        </is>
      </c>
      <c r="D25" s="210" t="inlineStr">
        <is>
          <t>S</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1.4</v>
      </c>
      <c r="I25" s="9">
        <f>IFERROR($H25*$G25,"")</f>
        <v>0.27999999999999997</v>
      </c>
      <c r="J25" s="9">
        <f>IFERROR($H25*(1-$G25),"")</f>
        <v>1.1199999999999999</v>
      </c>
      <c r="K25" s="101" t="n"/>
      <c r="L25" s="559" t="n"/>
      <c r="M25" s="583" t="n"/>
      <c r="N25" s="583" t="n"/>
      <c r="O25" s="583" t="n"/>
    </row>
    <row r="26">
      <c r="B26" s="8" t="inlineStr">
        <is>
          <t>Store Operations</t>
        </is>
      </c>
      <c r="C26" s="210" t="inlineStr">
        <is>
          <t>Operations</t>
        </is>
      </c>
      <c r="D26" s="210" t="inlineStr">
        <is>
          <t>M</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1.4</v>
      </c>
      <c r="I26" s="9">
        <f>IFERROR($H26*$G26,"")</f>
        <v>1.4</v>
      </c>
      <c r="J26" s="9">
        <f>IFERROR($H26*(1-$G26),"")</f>
        <v>0.0</v>
      </c>
      <c r="K26" s="101" t="n"/>
      <c r="L26" s="559" t="n"/>
      <c r="M26" s="583" t="n"/>
      <c r="N26" s="583" t="n"/>
      <c r="O26" s="583" t="n"/>
    </row>
    <row r="27">
      <c r="B27" s="8" t="inlineStr">
        <is>
          <t>Deployment</t>
        </is>
      </c>
      <c r="C27" s="210" t="inlineStr">
        <is>
          <t>Operations</t>
        </is>
      </c>
      <c r="D27" s="210" t="inlineStr">
        <is>
          <t>S</t>
        </is>
      </c>
      <c r="E27" s="210" t="inlineStr">
        <is>
          <t>Onshore</t>
        </is>
      </c>
      <c r="F27" s="590" t="inlineStr">
        <is>
          <t>AU</t>
        </is>
      </c>
      <c r="G27" s="211" t="n">
        <v>0.2</v>
      </c>
      <c r="H27" s="201">
        <f>IFERROR(IF($E27="Onshore",INDEX('0.3 Squad Archetypes'!$G$5:$G$23,MATCH($C27&amp;"|"&amp;$D27,'0.3 Squad Archetypes'!$A$5:$A$23,0)),INDEX('0.3 Squad Archetypes'!$H$5:$H$23,MATCH($C27&amp;"|"&amp;$D27,'0.3 Squad Archetypes'!$A$5:$A$23,0))),"check size")</f>
        <v>0.8</v>
      </c>
      <c r="I27" s="9">
        <f>IFERROR($H27*$G27,"")</f>
        <v>0.16000000000000003</v>
      </c>
      <c r="J27" s="9">
        <f>IFERROR($H27*(1-$G27),"")</f>
        <v>0.6400000000000001</v>
      </c>
      <c r="K27" s="101" t="n"/>
      <c r="L27" s="559" t="n"/>
      <c r="M27" s="583" t="n"/>
      <c r="N27" s="583" t="n"/>
      <c r="O27" s="583" t="n"/>
    </row>
    <row r="28">
      <c r="B28" s="454" t="inlineStr">
        <is>
          <t>Platform Overhead</t>
        </is>
      </c>
      <c r="C28" s="209" t="n"/>
      <c r="D28" s="200" t="n"/>
      <c r="E28" s="200" t="n"/>
      <c r="F28" s="547" t="n"/>
      <c r="G28" s="200" t="n"/>
      <c r="H28" s="200" t="n"/>
      <c r="I28" s="201">
        <f>'0.2 Data Config'!$L$16</f>
        <v>0.165</v>
      </c>
      <c r="J28" s="200" t="n"/>
      <c r="K28" s="101" t="n"/>
      <c r="L28" s="583" t="n"/>
      <c r="M28" s="583" t="n"/>
      <c r="N28" s="583" t="n"/>
      <c r="O28" s="583" t="n"/>
    </row>
    <row r="29">
      <c r="B29" s="202" t="inlineStr">
        <is>
          <t>Store Operations Total</t>
        </is>
      </c>
      <c r="D29" s="209" t="n"/>
      <c r="E29" s="209" t="n"/>
      <c r="F29" s="547" t="n"/>
      <c r="G29" s="209" t="n"/>
      <c r="H29" s="203">
        <f>SUM(H24:H27)</f>
        <v>5.7</v>
      </c>
      <c r="I29" s="203">
        <f>SUM(I24:I28)</f>
        <v>3.475</v>
      </c>
      <c r="J29" s="203">
        <f>SUM(J24:J27)</f>
        <v>2.39</v>
      </c>
      <c r="K29" s="101" t="n"/>
      <c r="L29" s="583" t="n"/>
      <c r="M29" s="583" t="n"/>
      <c r="N29" s="583" t="n"/>
      <c r="O29" s="583" t="n"/>
    </row>
    <row r="30">
      <c r="B30" s="101" t="n"/>
      <c r="C30" s="101" t="n"/>
      <c r="D30" s="101" t="n"/>
      <c r="E30" s="101" t="n"/>
      <c r="F30" s="547" t="n"/>
      <c r="G30" s="101" t="n"/>
      <c r="H30" s="101" t="n"/>
      <c r="I30" s="101" t="n"/>
      <c r="J30" s="101" t="n"/>
      <c r="K30" s="101" t="n"/>
      <c r="L30" s="583" t="n"/>
      <c r="M30" s="583" t="n"/>
      <c r="N30" s="583" t="n"/>
      <c r="O30" s="583" t="n"/>
    </row>
    <row r="31">
      <c r="B31" s="868" t="inlineStr">
        <is>
          <t>Platform: Above Store</t>
        </is>
      </c>
      <c r="C31" s="851" t="n"/>
      <c r="D31" s="851" t="n"/>
      <c r="E31" s="851" t="n"/>
      <c r="F31" s="851" t="n"/>
      <c r="G31" s="851" t="n"/>
      <c r="H31" s="851" t="n"/>
      <c r="I31" s="851" t="n"/>
      <c r="J31" s="852" t="n"/>
      <c r="K31" s="101"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101" t="n"/>
      <c r="L32" s="589" t="n"/>
      <c r="M32" s="583" t="n"/>
      <c r="N32" s="583" t="n"/>
      <c r="O32" s="583" t="n"/>
    </row>
    <row r="33">
      <c r="B33" s="8" t="inlineStr">
        <is>
          <t>Above Store</t>
        </is>
      </c>
      <c r="C33" s="210" t="inlineStr">
        <is>
          <t>Configuration / Integration</t>
        </is>
      </c>
      <c r="D33" s="210" t="inlineStr">
        <is>
          <t>M</t>
        </is>
      </c>
      <c r="E33" s="210" t="inlineStr">
        <is>
          <t>Onshore</t>
        </is>
      </c>
      <c r="F33" s="590" t="inlineStr">
        <is>
          <t>AU</t>
        </is>
      </c>
      <c r="G33" s="211" t="n">
        <v>0.2</v>
      </c>
      <c r="H33" s="201">
        <f>IFERROR(IF($E33="Onshore",INDEX('0.3 Squad Archetypes'!$G$5:$G$23,MATCH($C33&amp;"|"&amp;$D33,'0.3 Squad Archetypes'!$A$5:$A$23,0)),INDEX('0.3 Squad Archetypes'!$H$5:$H$23,MATCH($C33&amp;"|"&amp;$D33,'0.3 Squad Archetypes'!$A$5:$A$23,0))),"check size")</f>
        <v>2.1</v>
      </c>
      <c r="I33" s="9">
        <f>IFERROR($H33*$G33,"")</f>
        <v>0.42000000000000004</v>
      </c>
      <c r="J33" s="9">
        <f>IFERROR($H33*(1-$G33),"")</f>
        <v>1.6800000000000002</v>
      </c>
      <c r="K33" s="101" t="n"/>
      <c r="L33" s="559" t="n"/>
      <c r="M33" s="583" t="n"/>
      <c r="N33" s="583" t="n"/>
      <c r="O33" s="583" t="n"/>
    </row>
    <row r="34">
      <c r="B34" s="8" t="n"/>
      <c r="C34" s="8" t="n"/>
      <c r="D34" s="8" t="n"/>
      <c r="E34" s="8" t="n"/>
      <c r="F34" s="547" t="n"/>
      <c r="G34" s="464" t="n"/>
      <c r="H34" s="201" t="n"/>
      <c r="I34" s="9" t="n"/>
      <c r="J34" s="9" t="n"/>
      <c r="K34" s="101" t="n"/>
      <c r="L34" s="583" t="n"/>
      <c r="M34" s="583" t="n"/>
      <c r="N34" s="583" t="n"/>
      <c r="O34" s="583" t="n"/>
    </row>
    <row r="35">
      <c r="B35" s="454" t="inlineStr">
        <is>
          <t>Platform Overhead</t>
        </is>
      </c>
      <c r="C35" s="200" t="n"/>
      <c r="D35" s="200" t="n"/>
      <c r="E35" s="200" t="n"/>
      <c r="F35" s="547" t="n"/>
      <c r="G35" s="200" t="n"/>
      <c r="H35" s="200" t="n"/>
      <c r="I35" s="201">
        <f>'0.2 Data Config'!$L$16</f>
        <v>0.165</v>
      </c>
      <c r="J35" s="200" t="n"/>
      <c r="K35" s="101" t="n"/>
      <c r="L35" s="583" t="n"/>
      <c r="M35" s="583" t="n"/>
      <c r="N35" s="583" t="n"/>
      <c r="O35" s="583" t="n"/>
    </row>
    <row r="36">
      <c r="B36" s="202" t="inlineStr">
        <is>
          <t>Above Store Total</t>
        </is>
      </c>
      <c r="C36" s="209" t="n"/>
      <c r="D36" s="209" t="n"/>
      <c r="E36" s="209" t="n"/>
      <c r="F36" s="547" t="n"/>
      <c r="G36" s="209" t="n"/>
      <c r="H36" s="203">
        <f>SUM(H33:H34)</f>
        <v>2.1</v>
      </c>
      <c r="I36" s="203">
        <f>SUM(I33:I35)</f>
        <v>0.5850000000000001</v>
      </c>
      <c r="J36" s="203">
        <f>SUM(J33:J34)</f>
        <v>1.6800000000000002</v>
      </c>
      <c r="K36" s="101" t="n"/>
      <c r="L36" s="583" t="n"/>
      <c r="M36" s="583" t="n"/>
      <c r="N36" s="583" t="n"/>
      <c r="O36" s="583" t="n"/>
    </row>
    <row r="37">
      <c r="B37" s="101" t="n"/>
      <c r="C37" s="101" t="n"/>
      <c r="D37" s="101" t="n"/>
      <c r="E37" s="101" t="n"/>
      <c r="F37" s="547" t="n"/>
      <c r="G37" s="101" t="n"/>
      <c r="H37" s="101" t="n"/>
      <c r="I37" s="101" t="n"/>
      <c r="J37" s="101" t="n"/>
      <c r="K37" s="101" t="n"/>
      <c r="L37" s="583" t="n"/>
      <c r="M37" s="583" t="n"/>
      <c r="N37" s="583" t="n"/>
      <c r="O37" s="583" t="n"/>
    </row>
    <row r="38">
      <c r="B38" s="868" t="inlineStr">
        <is>
          <t>Platform: Pricing &amp; WFM - combined into Above Store</t>
        </is>
      </c>
      <c r="C38" s="851" t="n"/>
      <c r="D38" s="851" t="n"/>
      <c r="E38" s="851" t="n"/>
      <c r="F38" s="851" t="n"/>
      <c r="G38" s="851" t="n"/>
      <c r="H38" s="851" t="n"/>
      <c r="I38" s="851" t="n"/>
      <c r="J38" s="852" t="n"/>
      <c r="K38" s="101" t="n"/>
      <c r="L38" s="583" t="n"/>
      <c r="M38" s="583" t="n"/>
      <c r="N38" s="583" t="n"/>
      <c r="O38" s="583" t="n"/>
    </row>
    <row r="39">
      <c r="B39" s="5" t="inlineStr">
        <is>
          <t>Squad</t>
        </is>
      </c>
      <c r="C39" s="463" t="inlineStr">
        <is>
          <t>Squad Type</t>
        </is>
      </c>
      <c r="D39" s="463" t="inlineStr">
        <is>
          <t>Size</t>
        </is>
      </c>
      <c r="E39" s="463" t="inlineStr">
        <is>
          <t>On/Off</t>
        </is>
      </c>
      <c r="F39" s="571" t="inlineStr">
        <is>
          <t>AU / NZ</t>
        </is>
      </c>
      <c r="G39" s="463" t="inlineStr">
        <is>
          <t>Support %</t>
        </is>
      </c>
      <c r="H39" s="463" t="inlineStr">
        <is>
          <t>Total Squad Cost ($m)</t>
        </is>
      </c>
      <c r="I39" s="463" t="inlineStr">
        <is>
          <t>TDD Cost ($m)</t>
        </is>
      </c>
      <c r="J39" s="463" t="inlineStr">
        <is>
          <t>Funded outside TDD ($m)</t>
        </is>
      </c>
      <c r="K39" s="101" t="n"/>
      <c r="L39" s="583" t="n"/>
      <c r="M39" s="583" t="n"/>
      <c r="N39" s="583" t="n"/>
      <c r="O39" s="583" t="n"/>
    </row>
    <row r="40">
      <c r="B40" s="8" t="n"/>
      <c r="C40" s="8" t="n"/>
      <c r="D40" s="8" t="n"/>
      <c r="E40" s="8" t="n"/>
      <c r="F40" s="547" t="n"/>
      <c r="G40" s="464" t="n"/>
      <c r="H40" s="201" t="n"/>
      <c r="I40" s="9" t="n"/>
      <c r="J40" s="9" t="n"/>
      <c r="K40" s="101" t="n"/>
      <c r="L40" s="583" t="n"/>
      <c r="M40" s="583" t="n"/>
      <c r="N40" s="583" t="n"/>
      <c r="O40" s="583" t="n"/>
    </row>
    <row r="41">
      <c r="B41" s="8" t="n"/>
      <c r="C41" s="8" t="n"/>
      <c r="D41" s="8" t="n"/>
      <c r="E41" s="8" t="n"/>
      <c r="F41" s="547" t="n"/>
      <c r="G41" s="464" t="n"/>
      <c r="H41" s="201" t="n"/>
      <c r="I41" s="9" t="n"/>
      <c r="J41" s="9" t="n"/>
      <c r="K41" s="101" t="n"/>
      <c r="L41" s="583" t="n"/>
      <c r="M41" s="583" t="n"/>
      <c r="N41" s="583" t="n"/>
      <c r="O41" s="583" t="n"/>
    </row>
    <row r="42">
      <c r="B42" s="454" t="inlineStr">
        <is>
          <t>Platform Overhead</t>
        </is>
      </c>
      <c r="C42" s="200" t="n"/>
      <c r="D42" s="200" t="n"/>
      <c r="E42" s="200" t="n"/>
      <c r="F42" s="547" t="n"/>
      <c r="G42" s="200" t="n"/>
      <c r="H42" s="200" t="n"/>
      <c r="I42" s="201" t="n"/>
      <c r="J42" s="200" t="n"/>
      <c r="K42" s="101" t="n"/>
      <c r="L42" s="583" t="n"/>
      <c r="M42" s="583" t="n"/>
      <c r="N42" s="583" t="n"/>
      <c r="O42" s="583" t="n"/>
    </row>
    <row r="43">
      <c r="B43" s="202" t="inlineStr">
        <is>
          <t>(combined into Above Store)</t>
        </is>
      </c>
      <c r="C43" s="209" t="n"/>
      <c r="D43" s="209" t="n"/>
      <c r="E43" s="209" t="n"/>
      <c r="F43" s="547" t="n"/>
      <c r="G43" s="209" t="n"/>
      <c r="H43" s="203" t="n"/>
      <c r="I43" s="203" t="n"/>
      <c r="J43" s="203" t="n"/>
      <c r="K43" s="101" t="n"/>
      <c r="L43" s="583" t="n"/>
      <c r="M43" s="583" t="n"/>
      <c r="N43" s="583" t="n"/>
      <c r="O43" s="583" t="n"/>
    </row>
    <row r="44">
      <c r="B44" s="101" t="n"/>
      <c r="C44" s="101" t="n"/>
      <c r="D44" s="101" t="n"/>
      <c r="E44" s="101" t="n"/>
      <c r="F44" s="547" t="n"/>
      <c r="G44" s="101" t="n"/>
      <c r="H44" s="101" t="n"/>
      <c r="I44" s="101" t="n"/>
      <c r="J44" s="101" t="n"/>
      <c r="K44" s="101" t="n"/>
      <c r="L44" s="583" t="n"/>
      <c r="M44" s="583" t="n"/>
      <c r="N44" s="583" t="n"/>
      <c r="O44" s="583" t="n"/>
    </row>
    <row r="45">
      <c r="B45" s="868" t="inlineStr">
        <is>
          <t>Platform: AmPOS</t>
        </is>
      </c>
      <c r="C45" s="851" t="n"/>
      <c r="D45" s="851" t="n"/>
      <c r="E45" s="851" t="n"/>
      <c r="F45" s="851" t="n"/>
      <c r="G45" s="851" t="n"/>
      <c r="H45" s="851" t="n"/>
      <c r="I45" s="851" t="n"/>
      <c r="J45" s="852" t="n"/>
      <c r="K45" s="101" t="n"/>
      <c r="L45" s="583" t="n"/>
      <c r="M45" s="583" t="n"/>
      <c r="N45" s="583" t="n"/>
      <c r="O45" s="583" t="n"/>
    </row>
    <row r="46">
      <c r="B46" s="5" t="inlineStr">
        <is>
          <t>Squad</t>
        </is>
      </c>
      <c r="C46" s="463" t="inlineStr">
        <is>
          <t>Squad Type</t>
        </is>
      </c>
      <c r="D46" s="463" t="inlineStr">
        <is>
          <t>Size</t>
        </is>
      </c>
      <c r="E46" s="463" t="inlineStr">
        <is>
          <t>On/Off</t>
        </is>
      </c>
      <c r="F46" s="571" t="inlineStr">
        <is>
          <t>AU / NZ</t>
        </is>
      </c>
      <c r="G46" s="463" t="inlineStr">
        <is>
          <t>Support %</t>
        </is>
      </c>
      <c r="H46" s="463" t="inlineStr">
        <is>
          <t>Total Squad Cost ($m)</t>
        </is>
      </c>
      <c r="I46" s="463" t="inlineStr">
        <is>
          <t>TDD Cost ($m)</t>
        </is>
      </c>
      <c r="J46" s="463" t="inlineStr">
        <is>
          <t>Funded outside TDD ($m)</t>
        </is>
      </c>
      <c r="K46" s="101" t="n"/>
      <c r="L46" s="589" t="n"/>
      <c r="M46" s="583" t="n"/>
      <c r="N46" s="583" t="n"/>
      <c r="O46" s="583" t="n"/>
    </row>
    <row r="47">
      <c r="B47" s="8" t="inlineStr">
        <is>
          <t>AmPOS</t>
        </is>
      </c>
      <c r="C47" s="210" t="inlineStr">
        <is>
          <t>Strategic Programs</t>
        </is>
      </c>
      <c r="D47" s="210" t="n"/>
      <c r="E47" s="210" t="inlineStr">
        <is>
          <t>Onshore</t>
        </is>
      </c>
      <c r="F47" s="590" t="inlineStr">
        <is>
          <t>AU</t>
        </is>
      </c>
      <c r="G47" s="211" t="n">
        <v>0</v>
      </c>
      <c r="H47" s="591" t="n">
        <v>1.404089</v>
      </c>
      <c r="I47" s="9">
        <f>IFERROR($H47*$G47,"")</f>
        <v>0.0</v>
      </c>
      <c r="J47" s="9">
        <f>IFERROR($H47*(1-$G47),"")</f>
        <v>1.404089</v>
      </c>
      <c r="K47" s="101" t="n"/>
      <c r="L47" s="559" t="n"/>
      <c r="M47" s="583" t="inlineStr">
        <is>
          <t>7 FTE in AmPOS</t>
        </is>
      </c>
      <c r="N47" s="570" t="str">
        <f>"People in this program today cost "&amp;TEXT(SUMIFS('Added data'!$AA:$AA,'Added data'!$AE:$AE,$B47)/1000000,"0.00")&amp;"m. Set the agreed cost in the yellow cell."</f>
        <v>People in this program today cost 2.66m. Set the agreed cost in the yellow cell.</v>
      </c>
      <c r="O47" s="583" t="n"/>
    </row>
    <row r="48">
      <c r="B48" s="454" t="inlineStr">
        <is>
          <t>Platform Overhead</t>
        </is>
      </c>
      <c r="C48" s="200" t="n"/>
      <c r="D48" s="200" t="n"/>
      <c r="E48" s="200" t="n"/>
      <c r="F48" s="547" t="n"/>
      <c r="G48" s="200" t="n"/>
      <c r="H48" s="200" t="n"/>
      <c r="I48" s="201" t="n"/>
      <c r="J48" s="200" t="n"/>
      <c r="K48" s="101" t="n"/>
      <c r="L48" s="583" t="n"/>
      <c r="M48" s="583" t="n"/>
      <c r="N48" s="583" t="n"/>
      <c r="O48" s="583" t="n"/>
    </row>
    <row r="49">
      <c r="B49" s="202" t="inlineStr">
        <is>
          <t>AmPOS Total</t>
        </is>
      </c>
      <c r="C49" s="209" t="n"/>
      <c r="D49" s="209" t="n"/>
      <c r="E49" s="209" t="n"/>
      <c r="F49" s="547" t="n"/>
      <c r="G49" s="209" t="n"/>
      <c r="H49" s="203">
        <f>SUM(H47:H47)</f>
        <v>1.404089</v>
      </c>
      <c r="I49" s="203">
        <f>SUM(I47:I48)</f>
        <v>0.0</v>
      </c>
      <c r="J49" s="203">
        <f>SUM(J47:J47)</f>
        <v>1.404089</v>
      </c>
      <c r="K49" s="101" t="n"/>
      <c r="L49" s="583" t="n"/>
      <c r="M49" s="583" t="n"/>
      <c r="N49" s="583" t="n"/>
      <c r="O49" s="583" t="n"/>
    </row>
    <row r="50">
      <c r="B50" s="101" t="n"/>
      <c r="C50" s="101" t="n"/>
      <c r="D50" s="101" t="n"/>
      <c r="E50" s="101" t="n"/>
      <c r="F50" s="547" t="n"/>
      <c r="G50" s="101" t="n"/>
      <c r="H50" s="101" t="n"/>
      <c r="I50" s="101" t="n"/>
      <c r="J50" s="101" t="n"/>
      <c r="K50" s="101" t="n"/>
      <c r="L50" s="583" t="n"/>
      <c r="M50" s="583" t="n"/>
      <c r="N50" s="583" t="n"/>
      <c r="O50" s="583" t="n"/>
    </row>
    <row r="51">
      <c r="B51" s="868" t="inlineStr">
        <is>
          <t>Platform: Network / QSR</t>
        </is>
      </c>
      <c r="C51" s="851" t="n"/>
      <c r="D51" s="851" t="n"/>
      <c r="E51" s="851" t="n"/>
      <c r="F51" s="851" t="n"/>
      <c r="G51" s="851" t="n"/>
      <c r="H51" s="851" t="n"/>
      <c r="I51" s="851" t="n"/>
      <c r="J51" s="852" t="n"/>
      <c r="K51" s="101" t="inlineStr">
        <is>
          <t>z</t>
        </is>
      </c>
      <c r="L51" s="583" t="n"/>
      <c r="M51" s="583" t="n"/>
      <c r="N51" s="583" t="n"/>
      <c r="O51" s="583" t="n"/>
    </row>
    <row r="52">
      <c r="B52" s="5" t="inlineStr">
        <is>
          <t>Squad</t>
        </is>
      </c>
      <c r="C52" s="463" t="inlineStr">
        <is>
          <t>Squad Type</t>
        </is>
      </c>
      <c r="D52" s="463" t="inlineStr">
        <is>
          <t>Size</t>
        </is>
      </c>
      <c r="E52" s="463" t="inlineStr">
        <is>
          <t>On/Off</t>
        </is>
      </c>
      <c r="F52" s="571" t="inlineStr">
        <is>
          <t>AU / NZ</t>
        </is>
      </c>
      <c r="G52" s="463" t="inlineStr">
        <is>
          <t>Support %</t>
        </is>
      </c>
      <c r="H52" s="463" t="inlineStr">
        <is>
          <t>Total Squad Cost ($m)</t>
        </is>
      </c>
      <c r="I52" s="463" t="inlineStr">
        <is>
          <t>TDD Cost ($m)</t>
        </is>
      </c>
      <c r="J52" s="463" t="inlineStr">
        <is>
          <t>Funded outside TDD ($m)</t>
        </is>
      </c>
      <c r="K52" s="101" t="n"/>
      <c r="L52" s="589" t="n"/>
      <c r="M52" s="583" t="n"/>
      <c r="N52" s="583" t="n"/>
      <c r="O52" s="583" t="n"/>
    </row>
    <row r="53">
      <c r="B53" s="8" t="inlineStr">
        <is>
          <t>Network / QSR</t>
        </is>
      </c>
      <c r="C53" s="210" t="inlineStr">
        <is>
          <t>Configuration / Integration</t>
        </is>
      </c>
      <c r="D53" s="210" t="inlineStr">
        <is>
          <t>S</t>
        </is>
      </c>
      <c r="E53" s="210" t="inlineStr">
        <is>
          <t>Onshore</t>
        </is>
      </c>
      <c r="F53" s="590" t="inlineStr">
        <is>
          <t>AU</t>
        </is>
      </c>
      <c r="G53" s="211" t="n">
        <v>0.2</v>
      </c>
      <c r="H53" s="201">
        <f>IFERROR(IF($E53="Onshore",INDEX('0.3 Squad Archetypes'!$G$5:$G$23,MATCH($C53&amp;"|"&amp;$D53,'0.3 Squad Archetypes'!$A$5:$A$23,0)),INDEX('0.3 Squad Archetypes'!$H$5:$H$23,MATCH($C53&amp;"|"&amp;$D53,'0.3 Squad Archetypes'!$A$5:$A$23,0))),"check size")</f>
        <v>1.4</v>
      </c>
      <c r="I53" s="9">
        <f>IFERROR($H53*$G53,"")</f>
        <v>0.27999999999999997</v>
      </c>
      <c r="J53" s="9">
        <f>IFERROR($H53*(1-$G53),"")</f>
        <v>1.1199999999999999</v>
      </c>
      <c r="K53" s="101" t="n"/>
      <c r="L53" s="559" t="n"/>
      <c r="M53" s="583" t="n"/>
      <c r="N53" s="583" t="n"/>
      <c r="O53" s="583" t="n"/>
    </row>
    <row r="54">
      <c r="B54" s="454" t="inlineStr">
        <is>
          <t>Platform Overhead</t>
        </is>
      </c>
      <c r="C54" s="200" t="n"/>
      <c r="D54" s="200" t="n"/>
      <c r="E54" s="200" t="n"/>
      <c r="F54" s="547" t="n"/>
      <c r="G54" s="200" t="n"/>
      <c r="H54" s="200" t="n"/>
      <c r="I54" s="201">
        <f>'0.2 Data Config'!$L$16</f>
        <v>0.165</v>
      </c>
      <c r="J54" s="200" t="n"/>
      <c r="K54" s="101" t="n"/>
      <c r="L54" s="583" t="n"/>
      <c r="M54" s="583" t="n"/>
      <c r="N54" s="583" t="n"/>
      <c r="O54" s="583" t="n"/>
    </row>
    <row r="55">
      <c r="B55" s="202" t="inlineStr">
        <is>
          <t>Network / QSR Total</t>
        </is>
      </c>
      <c r="C55" s="209" t="n"/>
      <c r="D55" s="209" t="n"/>
      <c r="E55" s="209" t="n"/>
      <c r="F55" s="547" t="n"/>
      <c r="G55" s="209" t="n"/>
      <c r="H55" s="203">
        <f>SUM(H53:H53)</f>
        <v>1.4</v>
      </c>
      <c r="I55" s="203">
        <f>SUM(I53:I54)</f>
        <v>0.44499999999999995</v>
      </c>
      <c r="J55" s="203">
        <f>SUM(J53:J53)</f>
        <v>1.1199999999999999</v>
      </c>
      <c r="K55" s="101" t="n"/>
      <c r="L55" s="583" t="n"/>
      <c r="M55" s="583" t="n"/>
      <c r="N55" s="583" t="n"/>
      <c r="O55" s="583" t="n"/>
    </row>
    <row r="56">
      <c r="B56" s="101" t="n"/>
      <c r="C56" s="101" t="n"/>
      <c r="D56" s="101" t="n"/>
      <c r="E56" s="101" t="n"/>
      <c r="F56" s="547" t="n"/>
      <c r="G56" s="101" t="n"/>
      <c r="H56" s="101" t="n"/>
      <c r="I56" s="101" t="n"/>
      <c r="J56" s="101" t="n"/>
      <c r="K56" s="101" t="n"/>
      <c r="L56" s="583" t="n"/>
      <c r="M56" s="583" t="n"/>
      <c r="N56" s="583" t="n"/>
      <c r="O56" s="583" t="n"/>
    </row>
    <row r="57">
      <c r="B57" s="868" t="inlineStr">
        <is>
          <t>Platform: Data AU</t>
        </is>
      </c>
      <c r="C57" s="851" t="n"/>
      <c r="D57" s="851" t="n"/>
      <c r="E57" s="851" t="n"/>
      <c r="F57" s="851" t="n"/>
      <c r="G57" s="851" t="n"/>
      <c r="H57" s="851" t="n"/>
      <c r="I57" s="851" t="n"/>
      <c r="J57" s="852" t="n"/>
      <c r="K57" s="583" t="n"/>
      <c r="L57" s="583" t="n"/>
      <c r="M57" s="583" t="n"/>
      <c r="N57" s="583" t="n"/>
      <c r="O57" s="583" t="n"/>
    </row>
    <row r="58">
      <c r="B58" s="5" t="inlineStr">
        <is>
          <t>Squad</t>
        </is>
      </c>
      <c r="C58" s="463" t="inlineStr">
        <is>
          <t>Squad Type</t>
        </is>
      </c>
      <c r="D58" s="463" t="inlineStr">
        <is>
          <t>Size</t>
        </is>
      </c>
      <c r="E58" s="463" t="inlineStr">
        <is>
          <t>On/Off</t>
        </is>
      </c>
      <c r="F58" s="571" t="inlineStr">
        <is>
          <t>AU / NZ</t>
        </is>
      </c>
      <c r="G58" s="463" t="inlineStr">
        <is>
          <t>Support %</t>
        </is>
      </c>
      <c r="H58" s="463" t="inlineStr">
        <is>
          <t>Total Squad Cost ($m)</t>
        </is>
      </c>
      <c r="I58" s="463" t="inlineStr">
        <is>
          <t>TDD Cost ($m)</t>
        </is>
      </c>
      <c r="J58" s="463" t="inlineStr">
        <is>
          <t>Funded outside TDD ($m)</t>
        </is>
      </c>
      <c r="K58" s="583" t="n"/>
      <c r="L58" s="589" t="n"/>
      <c r="M58" s="583" t="n"/>
      <c r="N58" s="583" t="n"/>
      <c r="O58" s="583" t="n"/>
    </row>
    <row r="59">
      <c r="B59" s="8" t="inlineStr">
        <is>
          <t>Data AU</t>
        </is>
      </c>
      <c r="C59" s="210" t="inlineStr">
        <is>
          <t>Enterprise Data and Insights</t>
        </is>
      </c>
      <c r="D59" s="210" t="inlineStr">
        <is>
          <t>M</t>
        </is>
      </c>
      <c r="E59" s="210" t="inlineStr">
        <is>
          <t>Offshore</t>
        </is>
      </c>
      <c r="F59" s="590" t="inlineStr">
        <is>
          <t>AU</t>
        </is>
      </c>
      <c r="G59" s="211" t="n">
        <v>0.9</v>
      </c>
      <c r="H59" s="201">
        <f>IFERROR(IF($E59="Onshore",INDEX('0.3 Squad Archetypes'!$G$5:$G$23,MATCH($C59&amp;"|"&amp;$D59,'0.3 Squad Archetypes'!$A$5:$A$23,0)),INDEX('0.3 Squad Archetypes'!$H$5:$H$23,MATCH($C59&amp;"|"&amp;$D59,'0.3 Squad Archetypes'!$A$5:$A$23,0))),"check size")</f>
        <v>0.68</v>
      </c>
      <c r="I59" s="9">
        <f>IFERROR($H59*$G59,"")</f>
        <v>0.6120000000000001</v>
      </c>
      <c r="J59" s="9">
        <f>IFERROR($H59*(1-$G59),"")</f>
        <v>0.06799999999999999</v>
      </c>
      <c r="K59" s="583" t="n"/>
      <c r="L59" s="559" t="n"/>
      <c r="M59" s="583" t="n"/>
      <c r="N59" s="583" t="n"/>
      <c r="O59" s="583" t="n"/>
    </row>
    <row r="60">
      <c r="B60" s="454" t="inlineStr">
        <is>
          <t>Platform Overhead</t>
        </is>
      </c>
      <c r="C60" s="200" t="n"/>
      <c r="D60" s="200" t="n"/>
      <c r="E60" s="200" t="n"/>
      <c r="F60" s="547" t="n"/>
      <c r="G60" s="200" t="n"/>
      <c r="H60" s="200" t="n"/>
      <c r="I60" s="201">
        <f>'0.2 Data Config'!$L$16</f>
        <v>0.165</v>
      </c>
      <c r="J60" s="200" t="n"/>
      <c r="K60" s="583" t="n"/>
      <c r="L60" s="583" t="n"/>
      <c r="M60" s="583" t="n"/>
      <c r="N60" s="583" t="n"/>
      <c r="O60" s="583" t="n"/>
    </row>
    <row r="61">
      <c r="B61" s="202" t="inlineStr">
        <is>
          <t>Data AU Total</t>
        </is>
      </c>
      <c r="C61" s="209" t="n"/>
      <c r="D61" s="209" t="n"/>
      <c r="E61" s="209" t="n"/>
      <c r="F61" s="547" t="n"/>
      <c r="G61" s="209" t="n"/>
      <c r="H61" s="203">
        <f>SUM(H59:H59)</f>
        <v>0.68</v>
      </c>
      <c r="I61" s="203">
        <f>SUM(I59:I60)</f>
        <v>0.7770000000000001</v>
      </c>
      <c r="J61" s="203">
        <f>SUM(J59:J59)</f>
        <v>0.06799999999999999</v>
      </c>
      <c r="K61" s="583" t="n"/>
      <c r="L61" s="583" t="n"/>
      <c r="M61" s="583" t="n"/>
      <c r="N61" s="583" t="n"/>
      <c r="O61" s="583" t="n"/>
    </row>
    <row r="62">
      <c r="F62" s="547" t="n"/>
      <c r="G62" s="583" t="n"/>
      <c r="H62" s="583" t="n"/>
      <c r="I62" s="583" t="n"/>
      <c r="J62" s="583" t="n"/>
      <c r="K62" s="583" t="n"/>
      <c r="L62" s="583" t="n"/>
      <c r="M62" s="583" t="n"/>
      <c r="N62" s="583" t="n"/>
      <c r="O62" s="583" t="n"/>
    </row>
    <row r="63">
      <c r="B63" s="868" t="inlineStr">
        <is>
          <t>Platform: EGI Retail</t>
        </is>
      </c>
      <c r="C63" s="851" t="n"/>
      <c r="D63" s="851" t="n"/>
      <c r="E63" s="851" t="n"/>
      <c r="F63" s="851" t="n"/>
      <c r="G63" s="851" t="n"/>
      <c r="H63" s="851" t="n"/>
      <c r="I63" s="851" t="n"/>
      <c r="J63" s="852" t="n"/>
      <c r="K63" s="583" t="n"/>
      <c r="L63" s="583" t="n"/>
      <c r="M63" s="583" t="n"/>
      <c r="N63" s="583" t="n"/>
      <c r="O63" s="583" t="n"/>
    </row>
    <row r="64">
      <c r="B64" s="5" t="inlineStr">
        <is>
          <t>Squad</t>
        </is>
      </c>
      <c r="C64" s="463" t="inlineStr">
        <is>
          <t>Squad Type</t>
        </is>
      </c>
      <c r="D64" s="463" t="inlineStr">
        <is>
          <t>Size</t>
        </is>
      </c>
      <c r="E64" s="463" t="inlineStr">
        <is>
          <t>On/Off</t>
        </is>
      </c>
      <c r="F64" s="571" t="inlineStr">
        <is>
          <t>AU / NZ</t>
        </is>
      </c>
      <c r="G64" s="463" t="inlineStr">
        <is>
          <t>Support %</t>
        </is>
      </c>
      <c r="H64" s="463" t="inlineStr">
        <is>
          <t>Total Squad Cost ($m)</t>
        </is>
      </c>
      <c r="I64" s="463" t="inlineStr">
        <is>
          <t>TDD Cost ($m)</t>
        </is>
      </c>
      <c r="J64" s="463" t="inlineStr">
        <is>
          <t>Funded outside TDD ($m)</t>
        </is>
      </c>
      <c r="K64" s="583" t="n"/>
      <c r="L64" s="589" t="n"/>
      <c r="M64" s="583" t="n"/>
      <c r="N64" s="583" t="n"/>
      <c r="O64" s="583" t="n"/>
    </row>
    <row r="65">
      <c r="B65" s="8" t="inlineStr">
        <is>
          <t>EGI Retail</t>
        </is>
      </c>
      <c r="C65" s="210" t="inlineStr">
        <is>
          <t>Strategic Programs</t>
        </is>
      </c>
      <c r="D65" s="210" t="n"/>
      <c r="E65" s="210" t="inlineStr">
        <is>
          <t>Onshore</t>
        </is>
      </c>
      <c r="F65" s="590" t="inlineStr">
        <is>
          <t>AU</t>
        </is>
      </c>
      <c r="G65" s="211" t="n">
        <v>0</v>
      </c>
      <c r="H65" s="591" t="n">
        <v>1.52</v>
      </c>
      <c r="I65" s="9">
        <f>IFERROR($H65*$G65,"")</f>
        <v>0.0</v>
      </c>
      <c r="J65" s="9">
        <f>IFERROR($H65*(1-$G65),"")</f>
        <v>1.52</v>
      </c>
      <c r="K65" s="583" t="n"/>
      <c r="L65" s="559" t="n"/>
      <c r="M65" s="583" t="n"/>
      <c r="N65" s="570" t="str">
        <f>"People in this program today cost "&amp;TEXT(SUMIFS('Added data'!$AA:$AA,'Added data'!$AE:$AE,$B65)/1000000,"0.00")&amp;"m. Set the agreed cost in the yellow cell."</f>
        <v>People in this program today cost 0.97m. Set the agreed cost in the yellow cell.</v>
      </c>
      <c r="O65" s="583" t="n"/>
    </row>
    <row r="66">
      <c r="B66" s="212" t="n"/>
      <c r="C66" s="200" t="n"/>
      <c r="D66" s="200" t="n"/>
      <c r="E66" s="200" t="n"/>
      <c r="F66" s="547" t="n"/>
      <c r="G66" s="200" t="n"/>
      <c r="H66" s="200" t="n"/>
      <c r="I66" s="201" t="n"/>
      <c r="J66" s="200" t="n"/>
      <c r="K66" s="583" t="n"/>
      <c r="L66" s="583" t="n"/>
      <c r="M66" s="583" t="n"/>
      <c r="N66" s="583" t="n"/>
      <c r="O66" s="583" t="n"/>
    </row>
    <row r="67">
      <c r="B67" s="202" t="inlineStr">
        <is>
          <t>EGI Retail Total</t>
        </is>
      </c>
      <c r="C67" s="209" t="n"/>
      <c r="D67" s="209" t="n"/>
      <c r="E67" s="209" t="n"/>
      <c r="F67" s="547" t="n"/>
      <c r="G67" s="209" t="n"/>
      <c r="H67" s="203">
        <f>SUM(H65:H65)</f>
        <v>1.52</v>
      </c>
      <c r="I67" s="203">
        <f>SUM(I65:I65)</f>
        <v>0.0</v>
      </c>
      <c r="J67" s="203">
        <f>SUM(J65:J65)</f>
        <v>1.52</v>
      </c>
      <c r="K67" s="583" t="n"/>
      <c r="L67" s="583" t="n"/>
      <c r="M67" s="583" t="n"/>
      <c r="N67" s="583" t="n"/>
      <c r="O67" s="583" t="n"/>
    </row>
    <row r="68">
      <c r="F68" s="547" t="n"/>
      <c r="G68" s="583" t="n"/>
      <c r="H68" s="583" t="n"/>
      <c r="I68" s="583" t="n"/>
      <c r="J68" s="583" t="n"/>
      <c r="K68" s="583" t="n"/>
      <c r="L68" s="583" t="n"/>
      <c r="M68" s="583" t="n"/>
      <c r="N68" s="583" t="n"/>
      <c r="O68" s="583" t="n"/>
    </row>
    <row r="69">
      <c r="B69" s="556" t="n"/>
      <c r="C69" s="592" t="n"/>
      <c r="D69" s="547" t="n"/>
      <c r="F69" s="547" t="n"/>
      <c r="G69" s="583" t="n"/>
      <c r="H69" s="583" t="n"/>
      <c r="I69" s="583" t="n"/>
      <c r="J69" s="583" t="n"/>
      <c r="K69" s="583" t="n"/>
      <c r="L69" s="583" t="n"/>
      <c r="M69" s="583" t="n"/>
      <c r="N69" s="583" t="n"/>
      <c r="O69" s="583" t="n"/>
    </row>
    <row r="70">
      <c r="B70" s="556" t="n"/>
      <c r="C70" s="592" t="n"/>
      <c r="D70" s="547" t="n"/>
      <c r="F70" s="547" t="n"/>
      <c r="G70" s="583" t="n"/>
      <c r="H70" s="583" t="n"/>
      <c r="I70" s="583" t="n"/>
      <c r="J70" s="583" t="n"/>
      <c r="K70" s="583" t="n"/>
      <c r="L70" s="583" t="n"/>
      <c r="M70" s="583" t="n"/>
      <c r="N70" s="583" t="n"/>
      <c r="O70" s="583" t="n"/>
    </row>
  </sheetData>
  <mergeCells count="11">
    <mergeCell ref="B51:J51"/>
    <mergeCell ref="B4:E4"/>
    <mergeCell ref="B45:J45"/>
    <mergeCell ref="B22:J22"/>
    <mergeCell ref="H11:K11"/>
    <mergeCell ref="B63:J63"/>
    <mergeCell ref="B31:J31"/>
    <mergeCell ref="B13:D13"/>
    <mergeCell ref="B57:J57"/>
    <mergeCell ref="B12:D12"/>
    <mergeCell ref="B38:J38"/>
  </mergeCells>
  <conditionalFormatting sqref="C18">
    <cfRule type="cellIs" priority="11" operator="greaterThan" dxfId="1">
      <formula>0</formula>
    </cfRule>
    <cfRule type="cellIs" priority="11" operator="lessThanOrEqual" dxfId="0">
      <formula>0</formula>
    </cfRule>
  </conditionalFormatting>
  <conditionalFormatting sqref="H7">
    <cfRule type="cellIs" priority="7" operator="greaterThanOrEqual" dxfId="0">
      <formula>0</formula>
    </cfRule>
    <cfRule type="cellIs" priority="8" operator="lessThan" dxfId="1">
      <formula>0</formula>
    </cfRule>
  </conditionalFormatting>
  <conditionalFormatting sqref="I20">
    <cfRule type="cellIs" priority="10" operator="lessThanOrEqual" dxfId="0">
      <formula>0</formula>
    </cfRule>
  </conditionalFormatting>
  <conditionalFormatting sqref="I20:J20">
    <cfRule type="cellIs" priority="1" operator="greaterThan" dxfId="1">
      <formula>0</formula>
    </cfRule>
  </conditionalFormatting>
  <dataValidations count="5">
    <dataValidation sqref="C24:C27 C33:C34 C40:C41 C47 C53 C59 C65" showDropDown="0" showInputMessage="0" showErrorMessage="1" allowBlank="1" errorTitle="Invalid entry" error="Pick a value from the list" type="list">
      <formula1>SquadTypes</formula1>
      <formula2>0</formula2>
    </dataValidation>
    <dataValidation sqref="D24:D27 D33:D34 D40:D41 D47 D53 D59 D65" showDropDown="0" showInputMessage="0" showErrorMessage="1" allowBlank="1" errorTitle="Invalid entry" error="Pick a value from the list" type="list">
      <formula1>SquadSizes</formula1>
      <formula2>0</formula2>
    </dataValidation>
    <dataValidation sqref="E24:E27 E33:E34 E40:E41 E47 E53 E59 E65" showDropDown="0" showInputMessage="0" showErrorMessage="1" allowBlank="1" errorTitle="Invalid entry" error="Pick a value from the list" type="list">
      <formula1>OnOff</formula1>
      <formula2>0</formula2>
    </dataValidation>
    <dataValidation sqref="G24:G27 G33:G34 G40:G41 G47 G53 G59 G65" showDropDown="0" showInputMessage="0" showErrorMessage="1" allowBlank="1" errorTitle="Invalid entry" error="Pick a value from the list" type="list">
      <formula1>SupportPct</formula1>
      <formula2>0</formula2>
    </dataValidation>
    <dataValidation sqref="F24:F27 F33 F47 F53 F59 F65"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1F4E79"/>
    <outlinePr summaryBelow="1" summaryRight="1"/>
    <pageSetUpPr/>
  </sheetPr>
  <dimension ref="A1:O58"/>
  <sheetViews>
    <sheetView showGridLines="0" zoomScaleNormal="100" workbookViewId="0">
      <selection activeCell="A1" sqref="A1"/>
    </sheetView>
  </sheetViews>
  <sheetFormatPr baseColWidth="8" defaultColWidth="8.54296875" defaultRowHeight="14.5"/>
  <cols>
    <col width="28" customWidth="1" style="849" min="2" max="2"/>
    <col width="24.1796875" customWidth="1" style="849" min="3" max="3"/>
    <col width="9.54296875" customWidth="1" style="849" min="4" max="4"/>
    <col width="20.54296875" customWidth="1" style="849" min="5" max="5"/>
    <col width="10" bestFit="1" customWidth="1" style="849" min="6" max="6"/>
    <col width="11" customWidth="1" style="849" min="7" max="7"/>
    <col width="17" customWidth="1" style="849" min="8" max="8"/>
    <col width="14" customWidth="1" style="849" min="9" max="9"/>
    <col width="50.1796875" customWidth="1" style="849" min="10" max="10"/>
    <col width="27.08984375" customWidth="1" style="849" min="11" max="11"/>
    <col width="16.26953125" customWidth="1" style="849" min="12" max="12"/>
  </cols>
  <sheetData>
    <row r="1">
      <c r="F1" s="547" t="n"/>
      <c r="G1" s="583" t="n"/>
      <c r="H1" s="583" t="n"/>
      <c r="I1" s="583" t="n"/>
      <c r="J1" s="583" t="n"/>
      <c r="K1" s="583" t="n"/>
      <c r="L1" s="583" t="n"/>
      <c r="M1" s="583" t="n"/>
      <c r="N1" s="583" t="n"/>
      <c r="O1" s="583" t="n"/>
    </row>
    <row r="2" ht="21" customHeight="1" s="849">
      <c r="B2" s="198" t="inlineStr">
        <is>
          <t>Customer</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199" t="inlineStr">
        <is>
          <t>Budget vs TDD Cost</t>
        </is>
      </c>
      <c r="I4" s="199"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Config'!$E$13+'0.2 Data Config'!$E$14</f>
        <v>6.5</v>
      </c>
      <c r="J5" s="583" t="n"/>
      <c r="K5" s="583" t="n"/>
      <c r="L5" s="583" t="n"/>
      <c r="M5" s="583" t="n"/>
      <c r="N5" s="583" t="n"/>
      <c r="O5" s="583" t="n"/>
    </row>
    <row r="6">
      <c r="B6" s="8" t="inlineStr">
        <is>
          <t>Portfolio Overhead (see 0.2 Data Config)</t>
        </is>
      </c>
      <c r="C6" s="551">
        <f>IF(('0.2 Data Config'!$D$13+'0.2 Data Config'!$D$14)&gt;('0.2 Data Config'!$C$13+'0.2 Data Config'!$C$14),0,'0.2 Data Config'!$L$10)</f>
        <v>0.0</v>
      </c>
      <c r="D6" s="551">
        <f>IF(('0.2 Data Config'!$D$13+'0.2 Data Config'!$D$14)&gt;('0.2 Data Config'!$C$13+'0.2 Data Config'!$C$14),'0.2 Data Config'!$L$10,0)</f>
        <v>0.7495</v>
      </c>
      <c r="E6" s="551">
        <f>0</f>
        <v>0.0</v>
      </c>
      <c r="F6" s="551">
        <f>C6+D6+E6</f>
        <v>0.7495</v>
      </c>
      <c r="H6" s="563" t="inlineStr">
        <is>
          <t>AU Budget ($m)</t>
        </is>
      </c>
      <c r="I6" s="551">
        <f>'0.2 Data Config'!$C$13+'0.2 Data Config'!$C$14</f>
        <v>2.5</v>
      </c>
      <c r="J6" s="583" t="n"/>
      <c r="K6" s="583" t="n"/>
      <c r="L6" s="583" t="n"/>
      <c r="M6" s="583" t="n"/>
      <c r="N6" s="583" t="n"/>
      <c r="O6" s="583" t="n"/>
    </row>
    <row r="7">
      <c r="B7" s="8" t="inlineStr">
        <is>
          <t>Platform Overheads</t>
        </is>
      </c>
      <c r="C7" s="551">
        <f>IF(('0.2 Data Config'!$D$13+'0.2 Data Config'!$D$14)&gt;('0.2 Data Config'!$C$13+'0.2 Data Config'!$C$14),0,SUM(I33,I41,I48))</f>
        <v>0.0</v>
      </c>
      <c r="D7" s="551">
        <f>IF(('0.2 Data Config'!$D$13+'0.2 Data Config'!$D$14)&gt;('0.2 Data Config'!$C$13+'0.2 Data Config'!$C$14),SUM(I33,I41,I48),0)</f>
        <v>0.495</v>
      </c>
      <c r="E7" s="551">
        <f>0</f>
        <v>0.0</v>
      </c>
      <c r="F7" s="551">
        <f>C7+D7+E7</f>
        <v>0.495</v>
      </c>
      <c r="H7" s="584" t="inlineStr">
        <is>
          <t>NZ Budget ($m)</t>
        </is>
      </c>
      <c r="I7" s="585">
        <f>'0.2 Data Config'!$D$13+'0.2 Data Config'!$D$14</f>
        <v>4.0</v>
      </c>
      <c r="J7" s="583" t="n"/>
      <c r="K7" s="583" t="n"/>
      <c r="L7" s="583" t="n"/>
      <c r="M7" s="583" t="n"/>
      <c r="N7" s="583" t="n"/>
      <c r="O7" s="583" t="n"/>
    </row>
    <row r="8">
      <c r="B8" s="8" t="inlineStr">
        <is>
          <t>Squad Support Costs</t>
        </is>
      </c>
      <c r="C8" s="551">
        <f>SUMIF(F30:F32,"AU",I30:I32)+SUMIF(F38:F40,"AU",I38:I40)+SUMIF(F46:F47,"AU",I46:I47)+SUMIF(F53:F53,"AU",I53:I53)</f>
        <v>2.88</v>
      </c>
      <c r="D8" s="551">
        <f>SUMIF(F30:F32,"NZ",I30:I32)+SUMIF(F38:F40,"NZ",I38:I40)+SUMIF(F46:F47,"NZ",I46:I47)+SUMIF(F53:F53,"NZ",I53:I53)</f>
        <v>4.8999999999999995</v>
      </c>
      <c r="E8" s="551">
        <f>SUM(J30,J31,J32,J38,J39,J40,J46,J47,J53)</f>
        <v>5.92</v>
      </c>
      <c r="F8" s="551">
        <f>C8+D8+E8</f>
        <v>13.7</v>
      </c>
      <c r="H8" s="550" t="inlineStr">
        <is>
          <t>AU Variance ($m)</t>
        </is>
      </c>
      <c r="I8" s="893">
        <f>I6-C9</f>
        <v>-0.3799999999999999</v>
      </c>
      <c r="J8" s="583" t="n"/>
      <c r="K8" s="583" t="n"/>
      <c r="L8" s="583" t="n"/>
      <c r="M8" s="583" t="n"/>
      <c r="N8" s="583" t="n"/>
      <c r="O8" s="583" t="n"/>
    </row>
    <row r="9">
      <c r="B9" s="202" t="inlineStr">
        <is>
          <t>Total Cost</t>
        </is>
      </c>
      <c r="C9" s="553">
        <f>SUM(C6:C8)</f>
        <v>2.88</v>
      </c>
      <c r="D9" s="553">
        <f>SUM(D6:D8)</f>
        <v>6.144499999999999</v>
      </c>
      <c r="E9" s="553">
        <f>SUM(E6:E8)</f>
        <v>5.92</v>
      </c>
      <c r="F9" s="553">
        <f>SUM(F6:F8)</f>
        <v>14.9445</v>
      </c>
      <c r="H9" s="550" t="inlineStr">
        <is>
          <t>NZ Variance ($m)</t>
        </is>
      </c>
      <c r="I9" s="893">
        <f>I7-D9</f>
        <v>-2.144499999999999</v>
      </c>
      <c r="J9" s="583" t="n"/>
      <c r="K9" s="583" t="n"/>
      <c r="L9" s="583" t="n"/>
      <c r="M9" s="583" t="n"/>
      <c r="N9" s="583" t="n"/>
      <c r="O9" s="583" t="n"/>
    </row>
    <row r="10">
      <c r="H10" s="624" t="n"/>
      <c r="I10" s="625" t="n"/>
      <c r="J10" s="583" t="n"/>
      <c r="K10" s="583" t="n"/>
      <c r="L10" s="583" t="n"/>
      <c r="M10" s="583" t="n"/>
      <c r="N10" s="583" t="n"/>
      <c r="O10" s="583" t="n"/>
    </row>
    <row r="11">
      <c r="F11" s="547" t="n"/>
      <c r="G11" s="583" t="n"/>
      <c r="H11" s="873" t="inlineStr">
        <is>
          <t xml:space="preserve">Other funding </t>
        </is>
      </c>
      <c r="I11" s="874" t="n"/>
      <c r="J11" s="874" t="n"/>
      <c r="K11" s="874" t="n"/>
      <c r="L11" s="583" t="n"/>
      <c r="M11" s="583" t="n"/>
      <c r="N11" s="583" t="n"/>
      <c r="O11" s="583" t="n"/>
    </row>
    <row r="12">
      <c r="B12" s="875" t="inlineStr">
        <is>
          <t xml:space="preserve">Total Customer budget </t>
        </is>
      </c>
      <c r="D12" s="876" t="n"/>
      <c r="E12" s="205">
        <f>SUM(I13:I22)</f>
        <v>11.7</v>
      </c>
      <c r="F12" s="547" t="n"/>
      <c r="G12" s="583" t="n"/>
      <c r="H12" s="463" t="inlineStr">
        <is>
          <t>Budget line</t>
        </is>
      </c>
      <c r="I12" s="463" t="inlineStr">
        <is>
          <t>Budget ($m)</t>
        </is>
      </c>
      <c r="J12" s="463" t="inlineStr">
        <is>
          <t>Amount that can be allocated to people</t>
        </is>
      </c>
      <c r="K12" s="463" t="inlineStr">
        <is>
          <t>Remaining for non-people ($m)</t>
        </is>
      </c>
      <c r="L12" s="583" t="n"/>
      <c r="M12" s="583" t="n"/>
      <c r="N12" s="583" t="n"/>
      <c r="O12" s="583" t="n"/>
    </row>
    <row r="13">
      <c r="B13" s="875" t="inlineStr">
        <is>
          <t xml:space="preserve">Reconciled to Finance </t>
        </is>
      </c>
      <c r="D13" s="876" t="n"/>
      <c r="E13" s="205">
        <f>'0.1 Budget Table (Fin)'!Q13</f>
        <v>11.7</v>
      </c>
      <c r="F13" s="547" t="n"/>
      <c r="G13" s="583" t="n"/>
      <c r="H13" s="8" t="inlineStr">
        <is>
          <t>Customer Lights On</t>
        </is>
      </c>
      <c r="I13" s="201">
        <f>'0.1 Budget Table (Fin)'!L13</f>
        <v>1.7000000000000002</v>
      </c>
      <c r="J13" s="587">
        <f>'0.1 Budget Table (Fin)'!G13</f>
        <v>0.0</v>
      </c>
      <c r="K13" s="9">
        <f>IFERROR(I13-J13,0)</f>
        <v>1.7000000000000002</v>
      </c>
      <c r="L13" s="593" t="inlineStr">
        <is>
          <t>Agreed by / date</t>
        </is>
      </c>
      <c r="M13" s="583" t="n"/>
      <c r="N13" s="583" t="n"/>
      <c r="O13" s="583" t="n"/>
    </row>
    <row r="14">
      <c r="F14" s="547" t="n"/>
      <c r="G14" s="583" t="n"/>
      <c r="H14" s="8" t="inlineStr">
        <is>
          <t>OpEx Initiatives</t>
        </is>
      </c>
      <c r="I14" s="201">
        <f>'0.1 Budget Table (Fin)'!N13</f>
        <v>0.0</v>
      </c>
      <c r="J14" s="207" t="n">
        <v>0</v>
      </c>
      <c r="K14" s="9">
        <f>IFERROR(I14-J14,0)</f>
        <v>0.0</v>
      </c>
      <c r="L14" s="594" t="n"/>
      <c r="M14" s="583" t="n"/>
      <c r="N14" s="583" t="n"/>
      <c r="O14" s="583" t="n"/>
    </row>
    <row r="15">
      <c r="B15" s="415" t="inlineStr">
        <is>
          <t>Total to fund</t>
        </is>
      </c>
      <c r="C15" s="416" t="n"/>
      <c r="F15" s="547" t="n"/>
      <c r="G15" s="583" t="n"/>
      <c r="H15" s="8" t="inlineStr">
        <is>
          <t>CapEx</t>
        </is>
      </c>
      <c r="I15" s="201">
        <f>'0.1 Budget Table (Fin)'!P13</f>
        <v>5.0</v>
      </c>
      <c r="J15" s="207" t="n">
        <v>2</v>
      </c>
      <c r="K15" s="9">
        <f>IFERROR(I15-J15,0)</f>
        <v>3.0</v>
      </c>
      <c r="L15" s="594" t="n"/>
      <c r="M15" s="583" t="n"/>
      <c r="N15" s="583" t="n"/>
      <c r="O15" s="583" t="n"/>
    </row>
    <row r="16">
      <c r="B16" s="417" t="inlineStr">
        <is>
          <t>TDD Variance</t>
        </is>
      </c>
      <c r="C16" s="894">
        <f>-(I8+I9)</f>
        <v>2.524499999999999</v>
      </c>
      <c r="F16" s="547" t="n"/>
      <c r="G16" s="583" t="n"/>
      <c r="H16" s="8" t="inlineStr">
        <is>
          <t>Significant Items EGI</t>
        </is>
      </c>
      <c r="I16" s="201" t="n"/>
      <c r="J16" s="588">
        <f>J53</f>
        <v>0.0</v>
      </c>
      <c r="K16" s="9" t="n"/>
      <c r="L16" s="594" t="n"/>
      <c r="M16" s="583" t="n"/>
      <c r="N16" s="583" t="n"/>
      <c r="O16" s="583" t="n"/>
    </row>
    <row r="17">
      <c r="B17" s="417" t="inlineStr">
        <is>
          <t>Other Variance</t>
        </is>
      </c>
      <c r="C17" s="894">
        <f>J25</f>
        <v>1.92</v>
      </c>
      <c r="F17" s="547" t="n"/>
      <c r="G17" s="583" t="n"/>
      <c r="H17" s="8" t="inlineStr">
        <is>
          <t xml:space="preserve">Significant Items </t>
        </is>
      </c>
      <c r="I17" s="201">
        <f>'0.1 Budget Table (Fin)'!O13</f>
        <v>5.0</v>
      </c>
      <c r="J17" s="207" t="n">
        <v>2</v>
      </c>
      <c r="K17" s="9">
        <f>IFERROR(I17-J17,0)</f>
        <v>3.0</v>
      </c>
      <c r="L17" s="594" t="n"/>
      <c r="M17" s="583" t="n"/>
      <c r="N17" s="583" t="n"/>
      <c r="O17" s="583" t="n"/>
    </row>
    <row r="18">
      <c r="B18" s="419" t="inlineStr">
        <is>
          <t>Total</t>
        </is>
      </c>
      <c r="C18" s="895">
        <f>C16+C17</f>
        <v>4.444499999999999</v>
      </c>
      <c r="F18" s="547" t="n"/>
      <c r="G18" s="583" t="n"/>
      <c r="H18" s="8" t="inlineStr">
        <is>
          <t>Sig Items EG</t>
        </is>
      </c>
      <c r="I18" s="201" t="n"/>
      <c r="J18" s="207" t="n"/>
      <c r="K18" s="9" t="n"/>
      <c r="L18" s="594" t="n"/>
      <c r="M18" s="583" t="n"/>
      <c r="N18" s="583" t="n"/>
      <c r="O18" s="583" t="n"/>
    </row>
    <row r="19">
      <c r="B19" s="220" t="n"/>
      <c r="C19" s="220" t="n"/>
      <c r="F19" s="547" t="n"/>
      <c r="G19" s="583" t="n"/>
      <c r="H19" s="8" t="inlineStr">
        <is>
          <t>Z OpEx Initiatives</t>
        </is>
      </c>
      <c r="I19" s="201" t="n"/>
      <c r="J19" s="207" t="n"/>
      <c r="K19" s="9" t="n"/>
      <c r="L19" s="594" t="n"/>
      <c r="M19" s="583" t="n"/>
      <c r="N19" s="583" t="n"/>
      <c r="O19" s="583" t="n"/>
    </row>
    <row r="20">
      <c r="F20" s="547" t="n"/>
      <c r="G20" s="583" t="n"/>
      <c r="H20" s="8" t="inlineStr">
        <is>
          <t>Z CapEx</t>
        </is>
      </c>
      <c r="I20" s="201" t="n"/>
      <c r="J20" s="207" t="n"/>
      <c r="K20" s="9" t="n"/>
      <c r="L20" s="594" t="n"/>
      <c r="M20" s="583" t="n"/>
      <c r="N20" s="583" t="n"/>
      <c r="O20" s="583" t="n"/>
    </row>
    <row r="21">
      <c r="F21" s="547" t="n"/>
      <c r="G21" s="583" t="n"/>
      <c r="H21" s="8" t="inlineStr">
        <is>
          <t>Z Sig items</t>
        </is>
      </c>
      <c r="I21" s="201" t="n"/>
      <c r="J21" s="207" t="n"/>
      <c r="K21" s="9" t="n"/>
      <c r="L21" s="594" t="n"/>
      <c r="M21" s="583" t="n"/>
      <c r="N21" s="583" t="n"/>
      <c r="O21" s="583" t="n"/>
    </row>
    <row r="22">
      <c r="F22" s="547" t="n"/>
      <c r="G22" s="583" t="n"/>
      <c r="H22" s="8" t="inlineStr">
        <is>
          <t>Depreciation</t>
        </is>
      </c>
      <c r="I22" s="201">
        <f>'0.1 Budget Table (Fin)'!M13</f>
        <v>0.0</v>
      </c>
      <c r="J22" s="207" t="n">
        <v>0</v>
      </c>
      <c r="K22" s="9">
        <f>IFERROR(I22-J22,0)</f>
        <v>0.0</v>
      </c>
      <c r="L22" s="594" t="n"/>
      <c r="M22" s="583" t="n"/>
      <c r="N22" s="583" t="n"/>
      <c r="O22" s="583" t="n"/>
    </row>
    <row r="23">
      <c r="F23" s="547" t="n"/>
      <c r="G23" s="583" t="n"/>
      <c r="H23" s="208" t="inlineStr">
        <is>
          <t>Total applied</t>
        </is>
      </c>
      <c r="I23" s="583" t="n"/>
      <c r="J23" s="21">
        <f>SUM(J13:J22)</f>
        <v>4.0</v>
      </c>
      <c r="K23" s="583" t="n"/>
      <c r="L23" s="583" t="n"/>
      <c r="M23" s="583" t="n"/>
      <c r="N23" s="583" t="n"/>
      <c r="O23" s="583" t="n"/>
    </row>
    <row r="24">
      <c r="F24" s="547" t="n"/>
      <c r="G24" s="583" t="n"/>
      <c r="H24" s="8" t="inlineStr">
        <is>
          <t>Other cost (this model)</t>
        </is>
      </c>
      <c r="I24" s="583" t="n"/>
      <c r="J24" s="9">
        <f>E9</f>
        <v>5.92</v>
      </c>
      <c r="K24" s="583" t="n"/>
      <c r="L24" s="583" t="n"/>
      <c r="M24" s="583" t="n"/>
      <c r="N24" s="583" t="n"/>
      <c r="O24" s="583" t="n"/>
    </row>
    <row r="25">
      <c r="F25" s="547" t="n"/>
      <c r="G25" s="583" t="n"/>
      <c r="H25" s="202" t="inlineStr">
        <is>
          <t>Left to fund</t>
        </is>
      </c>
      <c r="I25" s="202" t="n"/>
      <c r="J25" s="203">
        <f>E9-(J23-J13)</f>
        <v>1.92</v>
      </c>
      <c r="K25" s="583" t="n"/>
      <c r="L25" s="583" t="n"/>
      <c r="M25" s="583" t="n"/>
      <c r="N25" s="583" t="n"/>
      <c r="O25" s="583" t="n"/>
    </row>
    <row r="26">
      <c r="F26" s="547" t="n"/>
      <c r="G26" s="583" t="n"/>
      <c r="H26" s="583" t="n"/>
      <c r="I26" s="583" t="n"/>
      <c r="J26" s="583" t="n"/>
      <c r="K26" s="583" t="n"/>
      <c r="L26" s="583" t="n"/>
      <c r="M26" s="583" t="n"/>
      <c r="N26" s="583" t="n"/>
      <c r="O26" s="583" t="n"/>
    </row>
    <row r="27">
      <c r="F27" s="547" t="n"/>
      <c r="G27" s="583" t="n"/>
      <c r="H27" s="583" t="n"/>
      <c r="I27" s="583" t="n"/>
      <c r="J27" s="583" t="n"/>
      <c r="K27" s="583" t="n"/>
      <c r="L27" s="583" t="n"/>
      <c r="M27" s="583" t="n"/>
      <c r="N27" s="583" t="n"/>
      <c r="O27" s="583" t="n"/>
    </row>
    <row r="28">
      <c r="B28" s="873" t="inlineStr">
        <is>
          <t>Platform: Ampol Digital</t>
        </is>
      </c>
      <c r="C28" s="874" t="n"/>
      <c r="D28" s="874" t="n"/>
      <c r="E28" s="874" t="n"/>
      <c r="F28" s="874" t="n"/>
      <c r="G28" s="874" t="n"/>
      <c r="H28" s="874" t="n"/>
      <c r="I28" s="874" t="n"/>
      <c r="J28" s="874" t="n"/>
      <c r="K28" s="583" t="n"/>
      <c r="L28" s="583" t="n"/>
      <c r="M28" s="583" t="n"/>
      <c r="N28" s="583" t="n"/>
      <c r="O28" s="583" t="n"/>
    </row>
    <row r="29">
      <c r="B29" s="5" t="inlineStr">
        <is>
          <t>Squad</t>
        </is>
      </c>
      <c r="C29" s="463" t="inlineStr">
        <is>
          <t>Squad Type</t>
        </is>
      </c>
      <c r="D29" s="463" t="inlineStr">
        <is>
          <t>Size</t>
        </is>
      </c>
      <c r="E29" s="463" t="inlineStr">
        <is>
          <t>On/Off</t>
        </is>
      </c>
      <c r="F29" s="571" t="inlineStr">
        <is>
          <t>AU / NZ</t>
        </is>
      </c>
      <c r="G29" s="463" t="inlineStr">
        <is>
          <t>Support %</t>
        </is>
      </c>
      <c r="H29" s="463" t="inlineStr">
        <is>
          <t>Total Squad Cost ($m)</t>
        </is>
      </c>
      <c r="I29" s="463" t="inlineStr">
        <is>
          <t>TDD Cost ($m)</t>
        </is>
      </c>
      <c r="J29" s="463" t="inlineStr">
        <is>
          <t>Funded outside TDD ($m)</t>
        </is>
      </c>
      <c r="K29" s="465" t="inlineStr">
        <is>
          <t>FTE</t>
        </is>
      </c>
      <c r="L29" s="583" t="n"/>
      <c r="M29" s="589" t="n"/>
      <c r="N29" s="583" t="n"/>
      <c r="O29" s="583" t="n"/>
    </row>
    <row r="30">
      <c r="B30" s="8" t="inlineStr">
        <is>
          <t>Ampol App</t>
        </is>
      </c>
      <c r="C30" s="210" t="inlineStr">
        <is>
          <t>Product</t>
        </is>
      </c>
      <c r="D30" s="210" t="inlineStr">
        <is>
          <t>L</t>
        </is>
      </c>
      <c r="E30" s="210" t="inlineStr">
        <is>
          <t>Onshore</t>
        </is>
      </c>
      <c r="F30" s="590" t="inlineStr">
        <is>
          <t>AU</t>
        </is>
      </c>
      <c r="G30" s="211" t="n">
        <v>0.2</v>
      </c>
      <c r="H30" s="201">
        <f>IFERROR(IF($E30="Onshore",INDEX('0.3 Squad Archetypes'!$G$5:$G$23,MATCH($C30&amp;"|"&amp;$D30,'0.3 Squad Archetypes'!$A$5:$A$23,0)),INDEX('0.3 Squad Archetypes'!$H$5:$H$23,MATCH($C30&amp;"|"&amp;$D30,'0.3 Squad Archetypes'!$A$5:$A$23,0))),"check size")</f>
        <v>2.8</v>
      </c>
      <c r="I30" s="9">
        <f>IFERROR($H30*$G30,"")</f>
        <v>0.5599999999999999</v>
      </c>
      <c r="J30" s="9">
        <f>IFERROR($H30*(1-$G30),"")</f>
        <v>2.2399999999999998</v>
      </c>
      <c r="K30" s="583" t="n">
        <v>15</v>
      </c>
      <c r="L30" s="583" t="n"/>
      <c r="M30" s="559" t="n"/>
      <c r="N30" s="583" t="n"/>
      <c r="O30" s="583" t="n"/>
    </row>
    <row r="31">
      <c r="B31" s="8" t="inlineStr">
        <is>
          <t>Ampol Web</t>
        </is>
      </c>
      <c r="C31" s="210" t="inlineStr">
        <is>
          <t>Product</t>
        </is>
      </c>
      <c r="D31" s="210" t="inlineStr">
        <is>
          <t>M</t>
        </is>
      </c>
      <c r="E31" s="210" t="inlineStr">
        <is>
          <t>Onshore</t>
        </is>
      </c>
      <c r="F31" s="590" t="inlineStr">
        <is>
          <t>AU</t>
        </is>
      </c>
      <c r="G31" s="211" t="n">
        <v>0.2</v>
      </c>
      <c r="H31" s="201">
        <f>IFERROR(IF($E31="Onshore",INDEX('0.3 Squad Archetypes'!$G$5:$G$23,MATCH($C31&amp;"|"&amp;$D31,'0.3 Squad Archetypes'!$A$5:$A$23,0)),INDEX('0.3 Squad Archetypes'!$H$5:$H$23,MATCH($C31&amp;"|"&amp;$D31,'0.3 Squad Archetypes'!$A$5:$A$23,0))),"check size")</f>
        <v>1.9</v>
      </c>
      <c r="I31" s="9">
        <f>IFERROR($H31*$G31,"")</f>
        <v>0.38</v>
      </c>
      <c r="J31" s="9">
        <f>IFERROR($H31*(1-$G31),"")</f>
        <v>1.52</v>
      </c>
      <c r="K31" s="583" t="n">
        <v>9</v>
      </c>
      <c r="L31" s="583" t="n"/>
      <c r="M31" s="559" t="n"/>
      <c r="N31" s="583" t="n"/>
      <c r="O31" s="583" t="n"/>
    </row>
    <row r="32">
      <c r="B32" s="8" t="inlineStr">
        <is>
          <t>Digital Operations</t>
        </is>
      </c>
      <c r="C32" s="210" t="inlineStr">
        <is>
          <t>Operations</t>
        </is>
      </c>
      <c r="D32" s="210" t="inlineStr">
        <is>
          <t>M</t>
        </is>
      </c>
      <c r="E32" s="210" t="inlineStr">
        <is>
          <t>Onshore</t>
        </is>
      </c>
      <c r="F32" s="590" t="inlineStr">
        <is>
          <t>AU</t>
        </is>
      </c>
      <c r="G32" s="211" t="n">
        <v>1</v>
      </c>
      <c r="H32" s="201">
        <f>IFERROR(IF($E32="Onshore",INDEX('0.3 Squad Archetypes'!$G$5:$G$23,MATCH($C32&amp;"|"&amp;$D32,'0.3 Squad Archetypes'!$A$5:$A$23,0)),INDEX('0.3 Squad Archetypes'!$H$5:$H$23,MATCH($C32&amp;"|"&amp;$D32,'0.3 Squad Archetypes'!$A$5:$A$23,0))),"check size")</f>
        <v>1.4</v>
      </c>
      <c r="I32" s="9">
        <f>IFERROR($H32*$G32,"")</f>
        <v>1.4</v>
      </c>
      <c r="J32" s="9">
        <f>IFERROR($H32*(1-$G32),"")</f>
        <v>0.0</v>
      </c>
      <c r="K32" s="583" t="n">
        <v>6</v>
      </c>
      <c r="L32" s="583" t="n"/>
      <c r="M32" s="559" t="n"/>
      <c r="N32" s="583" t="n"/>
      <c r="O32" s="583" t="n"/>
    </row>
    <row r="33">
      <c r="B33" s="454" t="inlineStr">
        <is>
          <t>Platform Overhead</t>
        </is>
      </c>
      <c r="F33" s="547" t="n"/>
      <c r="G33" s="583" t="n"/>
      <c r="H33" s="583" t="n"/>
      <c r="I33" s="201">
        <f>'0.2 Data Config'!$L$16</f>
        <v>0.165</v>
      </c>
      <c r="J33" s="583" t="n"/>
      <c r="K33" s="583" t="n"/>
      <c r="L33" s="583" t="n"/>
      <c r="M33" s="583" t="n"/>
      <c r="N33" s="583" t="n"/>
      <c r="O33" s="583" t="n"/>
    </row>
    <row r="34">
      <c r="B34" s="202" t="inlineStr">
        <is>
          <t>Ampol Digital Total</t>
        </is>
      </c>
      <c r="C34" s="209" t="n"/>
      <c r="D34" s="209" t="n"/>
      <c r="E34" s="209" t="n"/>
      <c r="F34" s="547" t="n"/>
      <c r="G34" s="209" t="n"/>
      <c r="H34" s="466">
        <f>SUM(H30:H32)</f>
        <v>6.1</v>
      </c>
      <c r="I34" s="203">
        <f>SUM(I30:I33)</f>
        <v>2.505</v>
      </c>
      <c r="J34" s="203">
        <f>SUM(J30:J32)</f>
        <v>3.76</v>
      </c>
      <c r="K34" s="583" t="n"/>
      <c r="L34" s="583" t="n"/>
      <c r="M34" s="583" t="n"/>
      <c r="N34" s="583" t="n"/>
      <c r="O34" s="583" t="n"/>
    </row>
    <row r="35">
      <c r="F35" s="547" t="n"/>
      <c r="G35" s="583" t="n"/>
      <c r="H35" s="583" t="n"/>
      <c r="I35" s="583" t="n"/>
      <c r="J35" s="583" t="n"/>
      <c r="K35" s="583" t="n"/>
      <c r="L35" s="583" t="n"/>
      <c r="M35" s="583" t="n"/>
      <c r="N35" s="583" t="n"/>
      <c r="O35" s="583" t="n"/>
    </row>
    <row r="36">
      <c r="B36" s="873" t="inlineStr">
        <is>
          <t>Platform: Customer Z</t>
        </is>
      </c>
      <c r="C36" s="874" t="n"/>
      <c r="D36" s="874" t="n"/>
      <c r="E36" s="874" t="n"/>
      <c r="F36" s="874" t="n"/>
      <c r="G36" s="874" t="n"/>
      <c r="H36" s="874" t="n"/>
      <c r="I36" s="874" t="n"/>
      <c r="J36" s="874" t="n"/>
      <c r="K36" s="583" t="n"/>
      <c r="L36" s="583" t="n"/>
      <c r="M36" s="583" t="n"/>
      <c r="N36" s="583" t="n"/>
      <c r="O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3" t="n"/>
      <c r="M37" s="589" t="n"/>
      <c r="N37" s="583" t="n"/>
      <c r="O37" s="583" t="n"/>
    </row>
    <row r="38">
      <c r="B38" s="8" t="inlineStr">
        <is>
          <t>Z Energy Apps</t>
        </is>
      </c>
      <c r="C38" s="210" t="inlineStr">
        <is>
          <t>Product</t>
        </is>
      </c>
      <c r="D38" s="210" t="inlineStr">
        <is>
          <t>S</t>
        </is>
      </c>
      <c r="E38" s="210" t="inlineStr">
        <is>
          <t>Onshore</t>
        </is>
      </c>
      <c r="F38" s="590" t="inlineStr">
        <is>
          <t>NZ</t>
        </is>
      </c>
      <c r="G38" s="211" t="n">
        <v>1</v>
      </c>
      <c r="H38" s="201">
        <f>IFERROR(IF($E38="Onshore",INDEX('0.3 Squad Archetypes'!$G$5:$G$23,MATCH($C38&amp;"|"&amp;$D38,'0.3 Squad Archetypes'!$A$5:$A$23,0)),INDEX('0.3 Squad Archetypes'!$H$5:$H$23,MATCH($C38&amp;"|"&amp;$D38,'0.3 Squad Archetypes'!$A$5:$A$23,0))),"check size")</f>
        <v>1.3</v>
      </c>
      <c r="I38" s="9">
        <f>IFERROR($H38*$G38,"")</f>
        <v>1.3</v>
      </c>
      <c r="J38" s="9">
        <f>IFERROR($H38*(1-$G38),"")</f>
        <v>0.0</v>
      </c>
      <c r="K38" s="583" t="n"/>
      <c r="L38" s="583" t="n">
        <v>5</v>
      </c>
      <c r="M38" s="559" t="n"/>
      <c r="N38" s="583" t="n"/>
      <c r="O38" s="583" t="n"/>
    </row>
    <row r="39">
      <c r="B39" s="236" t="inlineStr">
        <is>
          <t>Z Energy Martech</t>
        </is>
      </c>
      <c r="C39" s="237" t="inlineStr">
        <is>
          <t>Product</t>
        </is>
      </c>
      <c r="D39" s="237" t="inlineStr">
        <is>
          <t>L</t>
        </is>
      </c>
      <c r="E39" s="237" t="inlineStr">
        <is>
          <t>Onshore</t>
        </is>
      </c>
      <c r="F39" s="590" t="inlineStr">
        <is>
          <t>NZ</t>
        </is>
      </c>
      <c r="G39" s="238" t="n">
        <v>1</v>
      </c>
      <c r="H39" s="201">
        <f>IFERROR(IF($E39="Onshore",INDEX('0.3 Squad Archetypes'!$G$5:$G$23,MATCH($C39&amp;"|"&amp;$D39,'0.3 Squad Archetypes'!$A$5:$A$23,0)),INDEX('0.3 Squad Archetypes'!$H$5:$H$23,MATCH($C39&amp;"|"&amp;$D39,'0.3 Squad Archetypes'!$A$5:$A$23,0))),"check size")</f>
        <v>2.8</v>
      </c>
      <c r="I39" s="9">
        <f>IFERROR($H39*$G39,"")</f>
        <v>2.8</v>
      </c>
      <c r="J39" s="9">
        <f>IFERROR($H39*(1-$G39),"")</f>
        <v>0.0</v>
      </c>
      <c r="K39" s="583" t="n"/>
      <c r="L39" s="583" t="n">
        <v>16</v>
      </c>
      <c r="M39" s="559" t="n"/>
      <c r="N39" s="583" t="n"/>
      <c r="O39" s="583" t="n"/>
    </row>
    <row r="40">
      <c r="A40" t="inlineStr">
        <is>
          <t>Net New</t>
        </is>
      </c>
      <c r="B40" s="8" t="inlineStr">
        <is>
          <t>Digital Support NZ</t>
        </is>
      </c>
      <c r="C40" s="234" t="inlineStr">
        <is>
          <t>Operations</t>
        </is>
      </c>
      <c r="D40" s="234" t="inlineStr">
        <is>
          <t>S</t>
        </is>
      </c>
      <c r="E40" s="234" t="inlineStr">
        <is>
          <t>Onshore</t>
        </is>
      </c>
      <c r="F40" s="590" t="inlineStr">
        <is>
          <t>NZ</t>
        </is>
      </c>
      <c r="G40" s="235" t="n">
        <v>1</v>
      </c>
      <c r="H40" s="201">
        <f>IFERROR(IF($E40="Onshore",INDEX('0.3 Squad Archetypes'!$G$5:$G$23,MATCH($C40&amp;"|"&amp;$D40,'0.3 Squad Archetypes'!$A$5:$A$23,0)),INDEX('0.3 Squad Archetypes'!$H$5:$H$23,MATCH($C40&amp;"|"&amp;$D40,'0.3 Squad Archetypes'!$A$5:$A$23,0))),"check size")</f>
        <v>0.8</v>
      </c>
      <c r="I40" s="9">
        <f>IFERROR($H40*$G40,"")</f>
        <v>0.8</v>
      </c>
      <c r="J40" s="9">
        <f>IFERROR($H40*(1-$G40),"")</f>
        <v>0.0</v>
      </c>
      <c r="K40" s="583" t="n"/>
      <c r="L40" s="583" t="n"/>
      <c r="M40" s="559" t="n"/>
      <c r="N40" s="583" t="n"/>
      <c r="O40" s="583" t="n"/>
    </row>
    <row r="41">
      <c r="B41" s="454" t="inlineStr">
        <is>
          <t>Platform Overhead</t>
        </is>
      </c>
      <c r="F41" s="547" t="n"/>
      <c r="G41" s="583" t="n"/>
      <c r="H41" s="583" t="n"/>
      <c r="I41" s="201">
        <f>'0.2 Data Config'!$L$16</f>
        <v>0.165</v>
      </c>
      <c r="J41" s="583" t="n"/>
      <c r="K41" s="583" t="n"/>
      <c r="L41" s="583" t="n"/>
      <c r="M41" s="583" t="n"/>
      <c r="N41" s="583" t="n"/>
      <c r="O41" s="583" t="n"/>
    </row>
    <row r="42">
      <c r="B42" s="202" t="inlineStr">
        <is>
          <t>Customer Z Total</t>
        </is>
      </c>
      <c r="C42" s="209" t="n"/>
      <c r="D42" s="209" t="n"/>
      <c r="E42" s="209" t="n"/>
      <c r="F42" s="547" t="n"/>
      <c r="G42" s="209" t="n"/>
      <c r="H42" s="203">
        <f>SUM(H38:H40)</f>
        <v>4.8999999999999995</v>
      </c>
      <c r="I42" s="203">
        <f>SUM(I38:I41)</f>
        <v>5.0649999999999995</v>
      </c>
      <c r="J42" s="203">
        <f>SUM(J38:J40)</f>
        <v>0.0</v>
      </c>
      <c r="K42" s="583" t="n"/>
      <c r="L42" s="583" t="n"/>
      <c r="M42" s="583" t="n"/>
      <c r="N42" s="583" t="n"/>
      <c r="O42" s="583" t="n"/>
    </row>
    <row r="43">
      <c r="F43" s="547" t="n"/>
      <c r="G43" s="583" t="n"/>
      <c r="H43" s="583" t="n"/>
      <c r="I43" s="583" t="n"/>
      <c r="J43" s="583" t="n"/>
      <c r="K43" s="583" t="n"/>
      <c r="L43" s="583" t="n"/>
      <c r="M43" s="583" t="n"/>
      <c r="N43" s="583" t="inlineStr">
        <is>
          <t>2 B2B Vacant FTEs</t>
        </is>
      </c>
      <c r="O43" s="583" t="n"/>
    </row>
    <row r="44">
      <c r="B44" s="872" t="inlineStr">
        <is>
          <t>Platform: Group Customer Platforms</t>
        </is>
      </c>
      <c r="K44" s="583" t="n"/>
      <c r="L44" s="583" t="n"/>
      <c r="M44" s="583" t="n"/>
      <c r="N44" s="583" t="n"/>
      <c r="O44" s="583" t="n"/>
    </row>
    <row r="45">
      <c r="B45" s="213" t="inlineStr">
        <is>
          <t>Squad</t>
        </is>
      </c>
      <c r="C45" s="467" t="inlineStr">
        <is>
          <t>Squad Type</t>
        </is>
      </c>
      <c r="D45" s="467" t="inlineStr">
        <is>
          <t>Size</t>
        </is>
      </c>
      <c r="E45" s="467" t="inlineStr">
        <is>
          <t>On/Off</t>
        </is>
      </c>
      <c r="F45" s="571" t="inlineStr">
        <is>
          <t>AU / NZ</t>
        </is>
      </c>
      <c r="G45" s="467" t="inlineStr">
        <is>
          <t>Support %</t>
        </is>
      </c>
      <c r="H45" s="467" t="inlineStr">
        <is>
          <t>Total Squad Cost ($m)</t>
        </is>
      </c>
      <c r="I45" s="467" t="inlineStr">
        <is>
          <t>TDD Cost ($m)</t>
        </is>
      </c>
      <c r="J45" s="467" t="inlineStr">
        <is>
          <t>Funded outside TDD ($m)</t>
        </is>
      </c>
      <c r="K45" s="583" t="n"/>
      <c r="L45" s="583" t="n"/>
      <c r="M45" s="589" t="n"/>
      <c r="N45" s="583" t="n"/>
      <c r="O45" s="583" t="n"/>
    </row>
    <row r="46">
      <c r="B46" s="214" t="inlineStr">
        <is>
          <t>AU CRM &amp; Martech</t>
        </is>
      </c>
      <c r="C46" s="215" t="inlineStr">
        <is>
          <t>Product</t>
        </is>
      </c>
      <c r="D46" s="215" t="inlineStr">
        <is>
          <t>M</t>
        </is>
      </c>
      <c r="E46" s="215" t="inlineStr">
        <is>
          <t>Onshore</t>
        </is>
      </c>
      <c r="F46" s="590" t="inlineStr">
        <is>
          <t>AU</t>
        </is>
      </c>
      <c r="G46" s="216" t="n">
        <v>0.2</v>
      </c>
      <c r="H46" s="217">
        <f>IFERROR(IF($E46="Onshore",INDEX('0.3 Squad Archetypes'!$G$5:$G$23,MATCH($C46&amp;"|"&amp;$D46,'0.3 Squad Archetypes'!$A$5:$A$23,0)),INDEX('0.3 Squad Archetypes'!$H$5:$H$23,MATCH($C46&amp;"|"&amp;$D46,'0.3 Squad Archetypes'!$A$5:$A$23,0))),"check size")</f>
        <v>1.9</v>
      </c>
      <c r="I46" s="218">
        <f>IFERROR($H46*$G46,"")</f>
        <v>0.38</v>
      </c>
      <c r="J46" s="218">
        <f>IFERROR($H46*(1-$G46),"")</f>
        <v>1.52</v>
      </c>
      <c r="K46" s="583" t="n">
        <v>7</v>
      </c>
      <c r="L46" s="583" t="n"/>
      <c r="M46" s="559" t="n"/>
      <c r="N46" s="583" t="n"/>
      <c r="O46" s="583" t="n"/>
    </row>
    <row r="47">
      <c r="A47" t="inlineStr">
        <is>
          <t>Net New - 3FTE</t>
        </is>
      </c>
      <c r="B47" s="214" t="inlineStr">
        <is>
          <t>Customer AI</t>
        </is>
      </c>
      <c r="C47" s="234" t="inlineStr">
        <is>
          <t>Engineering</t>
        </is>
      </c>
      <c r="D47" s="234" t="inlineStr">
        <is>
          <t>S</t>
        </is>
      </c>
      <c r="E47" s="234" t="inlineStr">
        <is>
          <t>Onshore</t>
        </is>
      </c>
      <c r="F47" s="590" t="inlineStr">
        <is>
          <t>AU</t>
        </is>
      </c>
      <c r="G47" s="216" t="n">
        <v>0.2</v>
      </c>
      <c r="H47" s="217">
        <f>IFERROR(IF($E47="Onshore",INDEX('0.3 Squad Archetypes'!$G$5:$G$23,MATCH($C47&amp;"|"&amp;$D47,'0.3 Squad Archetypes'!$A$5:$A$23,0)),INDEX('0.3 Squad Archetypes'!$H$5:$H$23,MATCH($C47&amp;"|"&amp;$D47,'0.3 Squad Archetypes'!$A$5:$A$23,0))),"check size")</f>
        <v>0.8</v>
      </c>
      <c r="I47" s="218">
        <f>IFERROR($H47*$G47,"")</f>
        <v>0.16000000000000003</v>
      </c>
      <c r="J47" s="218">
        <f>IFERROR($H47*(1-$G47),"")</f>
        <v>0.6400000000000001</v>
      </c>
      <c r="K47" s="583" t="n"/>
      <c r="L47" s="583" t="n"/>
      <c r="M47" s="559" t="n"/>
      <c r="N47" s="583" t="n"/>
      <c r="O47" s="583" t="n"/>
    </row>
    <row r="48">
      <c r="B48" s="468" t="inlineStr">
        <is>
          <t>Platform Overhead</t>
        </is>
      </c>
      <c r="C48" s="200" t="n"/>
      <c r="D48" s="200" t="n"/>
      <c r="E48" s="200" t="n"/>
      <c r="F48" s="547" t="n"/>
      <c r="G48" s="200" t="n"/>
      <c r="H48" s="595" t="n"/>
      <c r="I48" s="217">
        <f>'0.2 Data Config'!$L$16</f>
        <v>0.165</v>
      </c>
      <c r="J48" s="595" t="n"/>
      <c r="K48" s="583" t="n"/>
      <c r="L48" s="583" t="n"/>
      <c r="M48" s="583" t="n"/>
      <c r="N48" s="583" t="n"/>
      <c r="O48" s="583" t="n"/>
    </row>
    <row r="49">
      <c r="B49" s="221" t="inlineStr">
        <is>
          <t>Group Customer Platforms Total</t>
        </is>
      </c>
      <c r="C49" s="209" t="n"/>
      <c r="D49" s="209" t="n"/>
      <c r="E49" s="209" t="n"/>
      <c r="F49" s="547" t="n"/>
      <c r="G49" s="209" t="n"/>
      <c r="H49" s="222">
        <f>SUM(H46:H47)</f>
        <v>2.7</v>
      </c>
      <c r="I49" s="222">
        <f>SUM(I46:I48)</f>
        <v>0.7050000000000001</v>
      </c>
      <c r="J49" s="222">
        <f>SUM(J46:J47)</f>
        <v>2.16</v>
      </c>
      <c r="K49" s="583" t="n"/>
      <c r="L49" s="583" t="n"/>
      <c r="M49" s="583" t="n"/>
      <c r="N49" s="583" t="n"/>
      <c r="O49" s="583" t="n"/>
    </row>
    <row r="50">
      <c r="F50" s="547" t="n"/>
      <c r="G50" s="583" t="n"/>
      <c r="H50" s="583" t="n"/>
      <c r="I50" s="583" t="n"/>
      <c r="J50" s="583" t="n"/>
      <c r="K50" s="583" t="n"/>
      <c r="L50" s="583" t="n"/>
      <c r="M50" s="583" t="n"/>
      <c r="N50" s="583" t="n"/>
      <c r="O50" s="583" t="n"/>
    </row>
    <row r="51">
      <c r="B51" s="872" t="inlineStr">
        <is>
          <t>Platform: EGI Customer</t>
        </is>
      </c>
      <c r="K51" s="583" t="n"/>
      <c r="L51" s="583" t="n"/>
      <c r="M51" s="583" t="n"/>
      <c r="N51" s="583" t="n"/>
      <c r="O51" s="583" t="n"/>
    </row>
    <row r="52">
      <c r="B52" s="213" t="inlineStr">
        <is>
          <t>Squad</t>
        </is>
      </c>
      <c r="C52" s="467" t="inlineStr">
        <is>
          <t>Squad Type</t>
        </is>
      </c>
      <c r="D52" s="467" t="inlineStr">
        <is>
          <t>Size</t>
        </is>
      </c>
      <c r="E52" s="467" t="inlineStr">
        <is>
          <t>On/Off</t>
        </is>
      </c>
      <c r="F52" s="571" t="inlineStr">
        <is>
          <t>AU / NZ</t>
        </is>
      </c>
      <c r="G52" s="467" t="inlineStr">
        <is>
          <t>Support %</t>
        </is>
      </c>
      <c r="H52" s="467" t="inlineStr">
        <is>
          <t>Total Squad Cost ($m)</t>
        </is>
      </c>
      <c r="I52" s="467" t="inlineStr">
        <is>
          <t>TDD Cost ($m)</t>
        </is>
      </c>
      <c r="J52" s="467" t="inlineStr">
        <is>
          <t>Funded outside TDD ($m)</t>
        </is>
      </c>
      <c r="K52" s="583" t="n"/>
      <c r="L52" s="583" t="n"/>
      <c r="M52" s="589" t="n"/>
      <c r="N52" s="583" t="n"/>
      <c r="O52" s="583" t="n"/>
    </row>
    <row r="53">
      <c r="B53" s="214" t="inlineStr">
        <is>
          <t>EGI Customer</t>
        </is>
      </c>
      <c r="C53" s="215" t="inlineStr">
        <is>
          <t>Strategic Programs</t>
        </is>
      </c>
      <c r="D53" s="215" t="n"/>
      <c r="E53" s="215" t="inlineStr">
        <is>
          <t>Onshore</t>
        </is>
      </c>
      <c r="F53" s="590" t="inlineStr">
        <is>
          <t>AU</t>
        </is>
      </c>
      <c r="G53" s="216" t="n">
        <v>0</v>
      </c>
      <c r="H53" s="596" t="n">
        <v>0</v>
      </c>
      <c r="I53" s="218">
        <f>IFERROR($H53*$G53,"")</f>
        <v>0.0</v>
      </c>
      <c r="J53" s="218">
        <f>IFERROR($H53*(1-$G53),"")</f>
        <v>0.0</v>
      </c>
      <c r="K53" s="583" t="n">
        <v>9</v>
      </c>
      <c r="L53" s="583" t="inlineStr">
        <is>
          <t>EGI completely separate funded by EGI not within sig items budget</t>
        </is>
      </c>
      <c r="M53" s="559" t="n"/>
      <c r="N53" s="570" t="str">
        <f>"People in this program today cost "&amp;TEXT(SUMIFS('Added data'!$AA:$AA,'Added data'!$AE:$AE,$B53)/1000000,"0.00")&amp;"m. Set the agreed cost in the yellow cell."</f>
        <v>People in this program today cost 2.26m. Set the agreed cost in the yellow cell.</v>
      </c>
      <c r="O53" s="583" t="n"/>
    </row>
    <row r="54">
      <c r="B54" s="219" t="n"/>
      <c r="C54" s="200" t="n"/>
      <c r="D54" s="200" t="n"/>
      <c r="E54" s="200" t="n"/>
      <c r="F54" s="547" t="n"/>
      <c r="G54" s="200" t="n"/>
      <c r="H54" s="595" t="n"/>
      <c r="I54" s="217" t="n"/>
      <c r="J54" s="595" t="n"/>
      <c r="K54" s="583" t="n"/>
      <c r="L54" s="583" t="n">
        <v>2.25</v>
      </c>
      <c r="M54" s="583" t="n"/>
      <c r="N54" s="583" t="n"/>
      <c r="O54" s="583" t="n"/>
    </row>
    <row r="55">
      <c r="B55" s="221" t="inlineStr">
        <is>
          <t>EGI Customer Total</t>
        </is>
      </c>
      <c r="C55" s="209" t="n"/>
      <c r="D55" s="209" t="n"/>
      <c r="E55" s="209" t="n"/>
      <c r="F55" s="547" t="n"/>
      <c r="G55" s="209" t="n"/>
      <c r="H55" s="222">
        <f>SUM(H53:H53)</f>
        <v>0.0</v>
      </c>
      <c r="I55" s="222">
        <f>SUM(I53:I53)</f>
        <v>0.0</v>
      </c>
      <c r="J55" s="222">
        <f>SUM(J53:J53)</f>
        <v>0.0</v>
      </c>
      <c r="K55" s="583" t="n"/>
      <c r="L55" s="583" t="n"/>
      <c r="M55" s="583" t="n"/>
      <c r="N55" s="583" t="n"/>
      <c r="O55" s="583" t="n"/>
    </row>
    <row r="56">
      <c r="F56" s="547" t="n"/>
      <c r="G56" s="583" t="n"/>
      <c r="H56" s="583" t="n"/>
      <c r="I56" s="583" t="n"/>
      <c r="J56" s="583" t="n"/>
      <c r="K56" s="583" t="n"/>
      <c r="L56" s="583" t="n"/>
      <c r="M56" s="583" t="n"/>
      <c r="N56" s="583" t="n"/>
      <c r="O56" s="583" t="n"/>
    </row>
    <row r="57">
      <c r="B57" s="556" t="n"/>
      <c r="C57" s="592" t="n"/>
      <c r="D57" s="547" t="n"/>
      <c r="F57" s="547" t="n"/>
      <c r="G57" s="583" t="n"/>
      <c r="H57" s="583" t="n"/>
      <c r="I57" s="583" t="n"/>
      <c r="J57" s="583" t="n"/>
      <c r="K57" s="583" t="n"/>
      <c r="L57" s="583" t="n"/>
      <c r="M57" s="583" t="n"/>
      <c r="N57" s="583" t="n"/>
      <c r="O57" s="583" t="n"/>
    </row>
    <row r="58">
      <c r="B58" s="556" t="n"/>
      <c r="C58" s="592" t="n"/>
      <c r="D58" s="547" t="n"/>
      <c r="F58" s="547" t="n"/>
      <c r="G58" s="583" t="n"/>
      <c r="H58" s="583" t="n"/>
      <c r="I58" s="583" t="n"/>
      <c r="J58" s="583" t="n"/>
      <c r="K58" s="583" t="n"/>
      <c r="L58" s="583" t="n"/>
      <c r="M58" s="583" t="n"/>
      <c r="N58" s="583" t="n"/>
      <c r="O58" s="583" t="n"/>
    </row>
  </sheetData>
  <mergeCells count="8">
    <mergeCell ref="B51:J51"/>
    <mergeCell ref="B4:E4"/>
    <mergeCell ref="B28:J28"/>
    <mergeCell ref="B36:J36"/>
    <mergeCell ref="H11:K11"/>
    <mergeCell ref="B13:D13"/>
    <mergeCell ref="B12:D12"/>
    <mergeCell ref="B44:J44"/>
  </mergeCells>
  <conditionalFormatting sqref="C18">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5">
    <cfRule type="cellIs" priority="7" operator="greaterThan" dxfId="1">
      <formula>0</formula>
    </cfRule>
    <cfRule type="cellIs" priority="8" operator="lessThanOrEqual" dxfId="0">
      <formula>0</formula>
    </cfRule>
  </conditionalFormatting>
  <dataValidations count="5">
    <dataValidation sqref="C30:C32 C38:C40 C46:C47" showDropDown="0" showInputMessage="0" showErrorMessage="1" allowBlank="1" errorTitle="Invalid entry" error="Pick a value from the list" type="list">
      <formula1>SquadTypes</formula1>
      <formula2>0</formula2>
    </dataValidation>
    <dataValidation sqref="D30:D32 D38:D40 D46:D47 D53" showDropDown="0" showInputMessage="0" showErrorMessage="1" allowBlank="1" errorTitle="Invalid entry" error="Pick a value from the list" type="list">
      <formula1>SquadSizes</formula1>
      <formula2>0</formula2>
    </dataValidation>
    <dataValidation sqref="E30:E32 E38:E40 E46:E47 E53" showDropDown="0" showInputMessage="0" showErrorMessage="1" allowBlank="1" errorTitle="Invalid entry" error="Pick a value from the list" type="list">
      <formula1>OnOff</formula1>
      <formula2>0</formula2>
    </dataValidation>
    <dataValidation sqref="G30:G32 G38:G40 G46:G47 G53" showDropDown="0" showInputMessage="0" showErrorMessage="1" allowBlank="1" errorTitle="Invalid entry" error="Pick a value from the list" type="list">
      <formula1>SupportPct</formula1>
      <formula2>0</formula2>
    </dataValidation>
    <dataValidation sqref="F30:F32 F38:F40 F46:F47 F5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1F4E79"/>
    <outlinePr summaryBelow="1" summaryRight="1"/>
    <pageSetUpPr/>
  </sheetPr>
  <dimension ref="B1:M34"/>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5.1796875" customWidth="1" style="849" min="5" max="5"/>
    <col width="10" customWidth="1" style="849" min="6" max="6"/>
    <col width="11" bestFit="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Enterprise Data</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868" t="inlineStr">
        <is>
          <t>Budget vs TDD Cost</t>
        </is>
      </c>
      <c r="I4" s="852"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Config'!$E$22</f>
        <v>3.5</v>
      </c>
      <c r="J5" s="583" t="n"/>
      <c r="K5" s="583" t="n"/>
      <c r="L5" s="583" t="n"/>
      <c r="M5" s="583" t="n"/>
    </row>
    <row r="6">
      <c r="B6" s="8" t="inlineStr">
        <is>
          <t>Portfolio Overhead (see 0.2 Data Config)</t>
        </is>
      </c>
      <c r="C6" s="551">
        <f>IF(('0.2 Data Config'!$D$22)&gt;('0.2 Data Config'!$C$22),0,'0.2 Data Config'!$L$10)</f>
        <v>0.7495</v>
      </c>
      <c r="D6" s="551">
        <f>IF(('0.2 Data Config'!$D$22)&gt;('0.2 Data Config'!$C$22),'0.2 Data Config'!$L$10,0)</f>
        <v>0.0</v>
      </c>
      <c r="E6" s="551">
        <f>0</f>
        <v>0.0</v>
      </c>
      <c r="F6" s="551">
        <f>C6+D6+E6</f>
        <v>0.7495</v>
      </c>
      <c r="H6" s="563" t="inlineStr">
        <is>
          <t>AU Budget ($m)</t>
        </is>
      </c>
      <c r="I6" s="551">
        <f>'0.2 Data Config'!$C$22</f>
        <v>2.5</v>
      </c>
      <c r="J6" s="583" t="n"/>
      <c r="K6" s="583" t="n"/>
      <c r="L6" s="583" t="n"/>
      <c r="M6" s="583" t="n"/>
    </row>
    <row r="7">
      <c r="B7" s="8" t="inlineStr">
        <is>
          <t>Platform Overheads</t>
        </is>
      </c>
      <c r="C7" s="551">
        <f>IF(('0.2 Data Config'!$D$22)&gt;('0.2 Data Config'!$C$22),0,SUM(I30))</f>
        <v>0.165</v>
      </c>
      <c r="D7" s="551">
        <f>IF(('0.2 Data Config'!$D$22)&gt;('0.2 Data Config'!$C$22),SUM(I30),0)</f>
        <v>0.0</v>
      </c>
      <c r="E7" s="551">
        <f>0</f>
        <v>0.0</v>
      </c>
      <c r="F7" s="551">
        <f>C7+D7+E7</f>
        <v>0.165</v>
      </c>
      <c r="H7" s="584" t="inlineStr">
        <is>
          <t>NZ Budget ($m)</t>
        </is>
      </c>
      <c r="I7" s="585">
        <f>'0.2 Data Config'!$D$22</f>
        <v>1.0</v>
      </c>
      <c r="J7" s="583" t="n"/>
      <c r="K7" s="583" t="n"/>
      <c r="L7" s="583" t="n"/>
      <c r="M7" s="583" t="n"/>
    </row>
    <row r="8">
      <c r="B8" s="8" t="inlineStr">
        <is>
          <t>Squad Support Costs</t>
        </is>
      </c>
      <c r="C8" s="551">
        <f>SUMIF(F25:F29,"AU",I25:I29)</f>
        <v>3.196</v>
      </c>
      <c r="D8" s="551">
        <f>SUMIF(F25:F29,"NZ",I25:I29)</f>
        <v>0.0</v>
      </c>
      <c r="E8" s="551">
        <f>SUM(J25,J26,J27,J28,J29)</f>
        <v>1.9040000000000001</v>
      </c>
      <c r="F8" s="551">
        <f>C8+D8+E8</f>
        <v>5.1000000000000005</v>
      </c>
      <c r="H8" s="550" t="inlineStr">
        <is>
          <t>AU Variance ($m)</t>
        </is>
      </c>
      <c r="I8" s="893">
        <f>I6-C9</f>
        <v>-1.6105</v>
      </c>
      <c r="J8" s="583" t="n"/>
      <c r="K8" s="583" t="n"/>
      <c r="L8" s="583" t="n"/>
      <c r="M8" s="583" t="n"/>
    </row>
    <row r="9">
      <c r="B9" s="202" t="inlineStr">
        <is>
          <t>Total Cost</t>
        </is>
      </c>
      <c r="C9" s="553">
        <f>SUM(C6:C8)</f>
        <v>4.1105</v>
      </c>
      <c r="D9" s="553">
        <f>SUM(D6:D8)</f>
        <v>0.0</v>
      </c>
      <c r="E9" s="553">
        <f>SUM(E6:E8)</f>
        <v>1.9040000000000001</v>
      </c>
      <c r="F9" s="553">
        <f>SUM(F6:F8)</f>
        <v>6.014500000000001</v>
      </c>
      <c r="H9" s="550" t="inlineStr">
        <is>
          <t>NZ Variance ($m)</t>
        </is>
      </c>
      <c r="I9" s="893">
        <f>I7-D9</f>
        <v>1.0</v>
      </c>
      <c r="J9" s="583" t="n"/>
      <c r="K9" s="583" t="n"/>
      <c r="L9" s="583" t="n"/>
      <c r="M9" s="583" t="n"/>
    </row>
    <row r="10">
      <c r="B10" s="547" t="n"/>
      <c r="C10" s="547" t="n"/>
      <c r="D10" s="547" t="n"/>
      <c r="E10" s="547" t="n"/>
      <c r="F10" s="547" t="n"/>
      <c r="G10" s="583" t="n"/>
      <c r="H10" s="621" t="n"/>
      <c r="I10" s="622" t="n"/>
      <c r="J10" s="583" t="n"/>
      <c r="K10" s="583" t="n"/>
      <c r="L10" s="583" t="n"/>
      <c r="M10" s="583" t="n"/>
    </row>
    <row r="11">
      <c r="F11" s="547" t="n"/>
      <c r="G11" s="583" t="n"/>
      <c r="H11" s="877" t="inlineStr">
        <is>
          <t xml:space="preserve">Other funding </t>
        </is>
      </c>
      <c r="I11" s="870" t="n"/>
      <c r="J11" s="870" t="n"/>
      <c r="K11" s="871" t="n"/>
      <c r="L11" s="583" t="n"/>
      <c r="M11" s="583" t="n"/>
    </row>
    <row r="12">
      <c r="E12" s="547" t="n"/>
      <c r="F12" s="547" t="n"/>
      <c r="G12" s="583" t="n"/>
      <c r="H12" s="463" t="inlineStr">
        <is>
          <t>Funding position</t>
        </is>
      </c>
      <c r="I12" s="213" t="n"/>
      <c r="J12" s="213" t="n"/>
      <c r="K12" s="213" t="n"/>
      <c r="L12" s="583" t="n"/>
      <c r="M12" s="583" t="n"/>
    </row>
    <row r="13">
      <c r="B13" s="547" t="n"/>
      <c r="C13" s="547" t="n"/>
      <c r="D13" s="547" t="n"/>
      <c r="F13" s="547" t="n"/>
      <c r="G13" s="583" t="n"/>
      <c r="H13" s="208" t="inlineStr">
        <is>
          <t>Other cost (this model)</t>
        </is>
      </c>
      <c r="I13" s="217" t="n"/>
      <c r="J13" s="223">
        <f>E9</f>
        <v>1.9040000000000001</v>
      </c>
      <c r="K13" s="218" t="n"/>
      <c r="L13" s="583" t="n"/>
      <c r="M13" s="583" t="n"/>
    </row>
    <row r="14">
      <c r="B14" s="415" t="inlineStr">
        <is>
          <t>Total to fund</t>
        </is>
      </c>
      <c r="C14" s="416" t="n"/>
      <c r="D14" s="547" t="n"/>
      <c r="F14" s="547" t="n"/>
      <c r="G14" s="583" t="n"/>
      <c r="H14" s="208" t="inlineStr">
        <is>
          <t>Funded from TDD Corporate pool (3.4 COE Summary)</t>
        </is>
      </c>
      <c r="I14" s="217" t="n"/>
      <c r="J14" s="591" t="n">
        <v>0</v>
      </c>
      <c r="K14" s="218" t="n"/>
      <c r="L14" s="583" t="n"/>
      <c r="M14" s="583" t="n"/>
    </row>
    <row r="15">
      <c r="B15" s="417" t="inlineStr">
        <is>
          <t>TDD Variance</t>
        </is>
      </c>
      <c r="C15" s="894">
        <f>-(I8+I9)</f>
        <v>0.6105</v>
      </c>
      <c r="D15" s="547" t="n"/>
      <c r="F15" s="547" t="n"/>
      <c r="G15" s="583" t="n"/>
      <c r="H15" s="202" t="inlineStr">
        <is>
          <t>Left to fund</t>
        </is>
      </c>
      <c r="I15" s="217" t="n"/>
      <c r="J15" s="203">
        <f>J13-J14</f>
        <v>1.9040000000000001</v>
      </c>
      <c r="K15" s="218" t="n"/>
      <c r="L15" s="583" t="n"/>
      <c r="M15" s="583" t="n"/>
    </row>
    <row r="16">
      <c r="B16" s="417" t="inlineStr">
        <is>
          <t>Other Variance</t>
        </is>
      </c>
      <c r="C16" s="894">
        <f>J15</f>
        <v>1.9040000000000001</v>
      </c>
      <c r="D16" s="547" t="n"/>
      <c r="F16" s="547" t="n"/>
      <c r="G16" s="583" t="n"/>
      <c r="H16" s="214" t="n"/>
      <c r="I16" s="217" t="n"/>
      <c r="J16" s="224" t="n"/>
      <c r="K16" s="218" t="n"/>
      <c r="L16" s="583" t="n"/>
      <c r="M16" s="583" t="n"/>
    </row>
    <row r="17">
      <c r="B17" s="419" t="inlineStr">
        <is>
          <t>Total</t>
        </is>
      </c>
      <c r="C17" s="895">
        <f>C15+C16</f>
        <v>2.5145</v>
      </c>
      <c r="D17" s="547" t="n"/>
      <c r="F17" s="547" t="n"/>
      <c r="G17" s="583" t="n"/>
      <c r="H17" s="214" t="n"/>
      <c r="I17" s="217" t="n"/>
      <c r="J17" s="224" t="n"/>
      <c r="K17" s="218" t="n"/>
      <c r="L17" s="583" t="n"/>
      <c r="M17" s="583" t="n"/>
    </row>
    <row r="18">
      <c r="C18" s="547" t="n"/>
      <c r="D18" s="547" t="n"/>
      <c r="F18" s="547" t="n"/>
      <c r="G18" s="583" t="n"/>
      <c r="H18" s="225" t="n"/>
      <c r="I18" s="595" t="n"/>
      <c r="J18" s="226" t="n"/>
      <c r="K18" s="595" t="n"/>
      <c r="L18" s="583" t="n"/>
      <c r="M18" s="583" t="n"/>
    </row>
    <row r="19">
      <c r="D19" s="547" t="n"/>
      <c r="F19" s="547" t="n"/>
      <c r="G19" s="583" t="n"/>
      <c r="H19" s="214" t="n"/>
      <c r="I19" s="595" t="n"/>
      <c r="J19" s="218" t="n"/>
      <c r="K19" s="595" t="n"/>
      <c r="L19" s="583" t="n"/>
      <c r="M19" s="583" t="n"/>
    </row>
    <row r="20">
      <c r="F20" s="547" t="n"/>
      <c r="G20" s="583" t="n"/>
      <c r="H20" s="221" t="n"/>
      <c r="I20" s="595" t="n"/>
      <c r="J20" s="222" t="n"/>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3" t="inlineStr">
        <is>
          <t>Platform: Group Data</t>
        </is>
      </c>
      <c r="C23" s="874" t="n"/>
      <c r="D23" s="874" t="n"/>
      <c r="E23" s="874" t="n"/>
      <c r="F23" s="874" t="n"/>
      <c r="G23" s="874" t="n"/>
      <c r="H23" s="874" t="n"/>
      <c r="I23" s="874" t="n"/>
      <c r="J23" s="874" t="n"/>
      <c r="K23" s="583" t="n"/>
      <c r="L23" s="583" t="n"/>
      <c r="M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row>
    <row r="25">
      <c r="B25" s="8" t="inlineStr">
        <is>
          <t>Data Science</t>
        </is>
      </c>
      <c r="C25" s="210" t="inlineStr">
        <is>
          <t>Enterprise Data and Insights</t>
        </is>
      </c>
      <c r="D25" s="210" t="inlineStr">
        <is>
          <t>M</t>
        </is>
      </c>
      <c r="E25" s="210" t="inlineStr">
        <is>
          <t>Onshore</t>
        </is>
      </c>
      <c r="F25" s="590" t="inlineStr">
        <is>
          <t>AU</t>
        </is>
      </c>
      <c r="G25" s="211" t="n">
        <v>0.2</v>
      </c>
      <c r="H25" s="201">
        <f>IFERROR(IF($E25="Onshore",INDEX('0.3 Squad Archetypes'!$G$5:$G$23,MATCH($C25&amp;"|"&amp;$D25,'0.3 Squad Archetypes'!$A$5:$A$23,0)),INDEX('0.3 Squad Archetypes'!$H$5:$H$23,MATCH($C25&amp;"|"&amp;$D25,'0.3 Squad Archetypes'!$A$5:$A$23,0))),"check size")</f>
        <v>1.7</v>
      </c>
      <c r="I25" s="9">
        <f>IFERROR($H25*$G25,"")</f>
        <v>0.34</v>
      </c>
      <c r="J25" s="9">
        <f>IFERROR($H25*(1-$G25),"")</f>
        <v>1.36</v>
      </c>
      <c r="K25" s="583" t="n"/>
      <c r="L25" s="559" t="n"/>
      <c r="M25" s="583" t="n"/>
    </row>
    <row r="26">
      <c r="B26" s="8" t="inlineStr">
        <is>
          <t>Operations</t>
        </is>
      </c>
      <c r="C26" s="210" t="inlineStr">
        <is>
          <t>Operations</t>
        </is>
      </c>
      <c r="D26" s="210" t="inlineStr">
        <is>
          <t>L</t>
        </is>
      </c>
      <c r="E26" s="210" t="inlineStr">
        <is>
          <t>Offshore</t>
        </is>
      </c>
      <c r="F26" s="590" t="inlineStr">
        <is>
          <t>AU</t>
        </is>
      </c>
      <c r="G26" s="211" t="n">
        <v>1</v>
      </c>
      <c r="H26" s="201">
        <f>IFERROR(IF($E26="Onshore",INDEX('0.3 Squad Archetypes'!$G$5:$G$23,MATCH($C26&amp;"|"&amp;$D26,'0.3 Squad Archetypes'!$A$5:$A$23,0)),INDEX('0.3 Squad Archetypes'!$H$5:$H$23,MATCH($C26&amp;"|"&amp;$D26,'0.3 Squad Archetypes'!$A$5:$A$23,0))),"check size")</f>
        <v>0.9199999999999999</v>
      </c>
      <c r="I26" s="9">
        <f>IFERROR($H26*$G26,"")</f>
        <v>0.9199999999999999</v>
      </c>
      <c r="J26" s="9">
        <f>IFERROR($H26*(1-$G26),"")</f>
        <v>0.0</v>
      </c>
      <c r="K26" s="583" t="inlineStr">
        <is>
          <t>2 Large to 1 big ops squad offshore and 2 small data squads onshore</t>
        </is>
      </c>
      <c r="L26" s="559" t="n"/>
      <c r="M26" s="583" t="n"/>
    </row>
    <row r="27">
      <c r="B27" s="8" t="inlineStr">
        <is>
          <t>Reporting &amp; Analytics</t>
        </is>
      </c>
      <c r="C27" s="210" t="inlineStr">
        <is>
          <t>Enterprise Data and Insights</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0.9</v>
      </c>
      <c r="I27" s="9">
        <f>IFERROR($H27*$G27,"")</f>
        <v>0.9</v>
      </c>
      <c r="J27" s="9">
        <f>IFERROR($H27*(1-$G27),"")</f>
        <v>0.0</v>
      </c>
      <c r="K27" s="583" t="n"/>
      <c r="L27" s="559" t="n"/>
      <c r="M27" s="583" t="n"/>
    </row>
    <row r="28">
      <c r="B28" s="8" t="inlineStr">
        <is>
          <t>Data Platforms</t>
        </is>
      </c>
      <c r="C28" s="210" t="inlineStr">
        <is>
          <t>Enterprise Data and Insights</t>
        </is>
      </c>
      <c r="D28" s="210" t="inlineStr">
        <is>
          <t>S</t>
        </is>
      </c>
      <c r="E28" s="210" t="inlineStr">
        <is>
          <t>Onshore</t>
        </is>
      </c>
      <c r="F28" s="590" t="inlineStr">
        <is>
          <t>AU</t>
        </is>
      </c>
      <c r="G28" s="211" t="n">
        <v>1</v>
      </c>
      <c r="H28" s="201">
        <f>IFERROR(IF($E28="Onshore",INDEX('0.3 Squad Archetypes'!$G$5:$G$23,MATCH($C28&amp;"|"&amp;$D28,'0.3 Squad Archetypes'!$A$5:$A$23,0)),INDEX('0.3 Squad Archetypes'!$H$5:$H$23,MATCH($C28&amp;"|"&amp;$D28,'0.3 Squad Archetypes'!$A$5:$A$23,0))),"check size")</f>
        <v>0.9</v>
      </c>
      <c r="I28" s="9">
        <f>IFERROR($H28*$G28,"")</f>
        <v>0.9</v>
      </c>
      <c r="J28" s="9">
        <f>IFERROR($H28*(1-$G28),"")</f>
        <v>0.0</v>
      </c>
      <c r="K28" s="583" t="n"/>
      <c r="L28" s="559" t="n"/>
      <c r="M28" s="583" t="n"/>
    </row>
    <row r="29">
      <c r="B29" s="8" t="inlineStr">
        <is>
          <t>Enterprise Data Delivery</t>
        </is>
      </c>
      <c r="C29" s="210" t="inlineStr">
        <is>
          <t>Enterprise Data and Insights</t>
        </is>
      </c>
      <c r="D29" s="210" t="inlineStr">
        <is>
          <t>M</t>
        </is>
      </c>
      <c r="E29" s="210" t="inlineStr">
        <is>
          <t>Offshore</t>
        </is>
      </c>
      <c r="F29" s="590" t="inlineStr">
        <is>
          <t>AU</t>
        </is>
      </c>
      <c r="G29" s="211" t="n">
        <v>0.2</v>
      </c>
      <c r="H29" s="201">
        <f>IFERROR(IF($E29="Onshore",INDEX('0.3 Squad Archetypes'!$G$5:$G$23,MATCH($C29&amp;"|"&amp;$D29,'0.3 Squad Archetypes'!$A$5:$A$23,0)),INDEX('0.3 Squad Archetypes'!$H$5:$H$23,MATCH($C29&amp;"|"&amp;$D29,'0.3 Squad Archetypes'!$A$5:$A$23,0))),"check size")</f>
        <v>0.68</v>
      </c>
      <c r="I29" s="9">
        <f>IFERROR($H29*$G29,"")</f>
        <v>0.136</v>
      </c>
      <c r="J29" s="9">
        <f>IFERROR($H29*(1-$G29),"")</f>
        <v>0.544</v>
      </c>
      <c r="K29" s="583" t="n"/>
      <c r="L29" s="559" t="n"/>
      <c r="M29" s="583" t="n"/>
    </row>
    <row r="30">
      <c r="B30" s="454" t="inlineStr">
        <is>
          <t>Platform Overhead</t>
        </is>
      </c>
      <c r="F30" s="547" t="n"/>
      <c r="G30" s="583" t="n"/>
      <c r="H30" s="583" t="n"/>
      <c r="I30" s="201">
        <f>'0.2 Data Config'!$L$16</f>
        <v>0.165</v>
      </c>
      <c r="J30" s="583" t="n"/>
      <c r="K30" s="583" t="n"/>
      <c r="L30" s="583" t="n"/>
      <c r="M30" s="583" t="n"/>
    </row>
    <row r="31">
      <c r="B31" s="202" t="inlineStr">
        <is>
          <t>Group Data Total</t>
        </is>
      </c>
      <c r="C31" s="209" t="n"/>
      <c r="D31" s="209" t="n"/>
      <c r="E31" s="209" t="n"/>
      <c r="F31" s="547" t="n"/>
      <c r="G31" s="209" t="n"/>
      <c r="H31" s="203">
        <f>SUM(H25:H29)</f>
        <v>5.1</v>
      </c>
      <c r="I31" s="203">
        <f>SUM(I25:I30)</f>
        <v>3.361</v>
      </c>
      <c r="J31" s="203">
        <f>SUM(J25:J29)</f>
        <v>1.9040000000000001</v>
      </c>
      <c r="K31" s="583" t="n"/>
      <c r="L31" s="583" t="n"/>
      <c r="M31" s="583" t="n"/>
    </row>
    <row r="32">
      <c r="F32" s="547" t="n"/>
      <c r="G32" s="583" t="n"/>
      <c r="H32" s="583" t="n"/>
      <c r="I32" s="583" t="n"/>
      <c r="J32" s="583" t="n"/>
      <c r="K32" s="583" t="n"/>
      <c r="L32" s="583" t="n"/>
      <c r="M32" s="583" t="n"/>
    </row>
    <row r="33">
      <c r="B33" s="556" t="n"/>
      <c r="C33" s="592" t="n"/>
      <c r="D33" s="547" t="n"/>
      <c r="F33" s="547" t="n"/>
      <c r="G33" s="583" t="n"/>
      <c r="H33" s="583" t="n"/>
      <c r="I33" s="583" t="n"/>
      <c r="J33" s="583" t="n"/>
      <c r="K33" s="583" t="n"/>
      <c r="L33" s="583" t="n"/>
      <c r="M33" s="583" t="n"/>
    </row>
    <row r="34">
      <c r="B34" s="556" t="n"/>
      <c r="C34" s="592" t="n"/>
      <c r="D34" s="547" t="n"/>
      <c r="F34" s="547" t="n"/>
      <c r="G34" s="583" t="n"/>
      <c r="H34" s="583" t="n"/>
      <c r="I34" s="583" t="n"/>
      <c r="J34" s="583" t="n"/>
      <c r="K34" s="583" t="n"/>
      <c r="L34" s="583" t="n"/>
      <c r="M34" s="583" t="n"/>
    </row>
  </sheetData>
  <mergeCells count="4">
    <mergeCell ref="B23:J23"/>
    <mergeCell ref="H11:K11"/>
    <mergeCell ref="H4:I4"/>
    <mergeCell ref="B4:E4"/>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5">
    <cfRule type="cellIs" priority="7" operator="greaterThan" dxfId="1">
      <formula>0</formula>
    </cfRule>
    <cfRule type="cellIs" priority="8" operator="lessThanOrEqual" dxfId="0">
      <formula>0</formula>
    </cfRule>
  </conditionalFormatting>
  <dataValidations count="5">
    <dataValidation sqref="C25:C29" showDropDown="0" showInputMessage="0" showErrorMessage="1" allowBlank="1" errorTitle="Invalid entry" error="Pick a value from the list" type="list">
      <formula1>SquadTypes</formula1>
      <formula2>0</formula2>
    </dataValidation>
    <dataValidation sqref="D25:D29" showDropDown="0" showInputMessage="0" showErrorMessage="1" allowBlank="1" errorTitle="Invalid entry" error="Pick a value from the list" type="list">
      <formula1>SquadSizes</formula1>
      <formula2>0</formula2>
    </dataValidation>
    <dataValidation sqref="E25:E29" showDropDown="0" showInputMessage="0" showErrorMessage="1" allowBlank="1" errorTitle="Invalid entry" error="Pick a value from the list" type="list">
      <formula1>OnOff</formula1>
      <formula2>0</formula2>
    </dataValidation>
    <dataValidation sqref="G25:G29" showDropDown="0" showInputMessage="0" showErrorMessage="1" allowBlank="1" errorTitle="Invalid entry" error="Pick a value from the list" type="list">
      <formula1>SupportPct</formula1>
      <formula2>0</formula2>
    </dataValidation>
    <dataValidation sqref="F25:F2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1F4E79"/>
    <outlinePr summaryBelow="1" summaryRight="1"/>
    <pageSetUpPr/>
  </sheetPr>
  <dimension ref="B1:O37"/>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9.7265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TDD Group Functions</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Config'!$E$21</f>
        <v>5.5</v>
      </c>
      <c r="J5" s="583" t="n"/>
      <c r="K5" s="583" t="n"/>
      <c r="L5" s="583" t="n"/>
      <c r="M5" s="583" t="n"/>
      <c r="N5" s="583" t="n"/>
      <c r="O5" s="583" t="n"/>
    </row>
    <row r="6">
      <c r="B6" s="8" t="inlineStr">
        <is>
          <t>Portfolio Overhead (see 0.2 Data Config)</t>
        </is>
      </c>
      <c r="C6" s="551">
        <f>IF(('0.2 Data Config'!$D$21)&gt;('0.2 Data Config'!$C$21),0,'0.2 Data Config'!$L$10)</f>
        <v>0.7495</v>
      </c>
      <c r="D6" s="551">
        <f>IF(('0.2 Data Config'!$D$21)&gt;('0.2 Data Config'!$C$21),'0.2 Data Config'!$L$10,0)</f>
        <v>0.0</v>
      </c>
      <c r="E6" s="551">
        <f>0</f>
        <v>0.0</v>
      </c>
      <c r="F6" s="551">
        <f>C6+D6+E6</f>
        <v>0.7495</v>
      </c>
      <c r="G6" s="630" t="n"/>
      <c r="H6" s="563" t="inlineStr">
        <is>
          <t>AU Budget ($m)</t>
        </is>
      </c>
      <c r="I6" s="551">
        <f>'0.2 Data Config'!$C$21</f>
        <v>4.5</v>
      </c>
      <c r="J6" s="583" t="n"/>
      <c r="K6" s="583" t="n"/>
      <c r="L6" s="583" t="n"/>
      <c r="M6" s="583" t="n"/>
      <c r="N6" s="583" t="n"/>
      <c r="O6" s="583" t="n"/>
    </row>
    <row r="7">
      <c r="B7" s="8" t="inlineStr">
        <is>
          <t>Platform Overheads</t>
        </is>
      </c>
      <c r="C7" s="551">
        <f>IF(('0.2 Data Config'!$D$21)&gt;('0.2 Data Config'!$C$21),0,SUM(I28))</f>
        <v>0.165</v>
      </c>
      <c r="D7" s="551">
        <f>IF(('0.2 Data Config'!$D$21)&gt;('0.2 Data Config'!$C$21),SUM(I28),0)</f>
        <v>0.0</v>
      </c>
      <c r="E7" s="551">
        <f>0</f>
        <v>0.0</v>
      </c>
      <c r="F7" s="551">
        <f>C7+D7+E7</f>
        <v>0.165</v>
      </c>
      <c r="G7" s="630" t="n"/>
      <c r="H7" s="584" t="inlineStr">
        <is>
          <t>NZ Budget ($m)</t>
        </is>
      </c>
      <c r="I7" s="585">
        <f>'0.2 Data Config'!$D$21</f>
        <v>1.0</v>
      </c>
      <c r="J7" s="583" t="n"/>
      <c r="K7" s="583" t="n"/>
      <c r="L7" s="583" t="n"/>
      <c r="M7" s="583" t="n"/>
      <c r="N7" s="583" t="n"/>
      <c r="O7" s="583" t="n"/>
    </row>
    <row r="8">
      <c r="B8" s="8" t="inlineStr">
        <is>
          <t>Squad Support Costs</t>
        </is>
      </c>
      <c r="C8" s="551">
        <f>SUMIF(F24:F27,"AU",I24:I27)+SUMIF(F33:F33,"AU",I33:I33)</f>
        <v>4.75</v>
      </c>
      <c r="D8" s="551">
        <f>SUMIF(F24:F27,"NZ",I24:I27)+SUMIF(F33:F33,"NZ",I33:I33)</f>
        <v>0.0</v>
      </c>
      <c r="E8" s="551">
        <f>SUM(J24,J25,J26,J27,J33)</f>
        <v>1.15</v>
      </c>
      <c r="F8" s="551">
        <f>C8+D8+E8</f>
        <v>5.9</v>
      </c>
      <c r="G8" s="630" t="n"/>
      <c r="H8" s="550" t="inlineStr">
        <is>
          <t>AU Variance ($m)</t>
        </is>
      </c>
      <c r="I8" s="893">
        <f>I6-C9</f>
        <v>-1.1645000000000003</v>
      </c>
      <c r="J8" s="583" t="n"/>
      <c r="K8" s="583" t="n"/>
      <c r="L8" s="583" t="n"/>
      <c r="M8" s="583" t="n"/>
      <c r="N8" s="583" t="n"/>
      <c r="O8" s="583" t="n"/>
    </row>
    <row r="9">
      <c r="B9" s="202" t="inlineStr">
        <is>
          <t>Total Cost</t>
        </is>
      </c>
      <c r="C9" s="553">
        <f>SUM(C6:C8)</f>
        <v>5.6645</v>
      </c>
      <c r="D9" s="553">
        <f>SUM(D6:D8)</f>
        <v>0.0</v>
      </c>
      <c r="E9" s="553">
        <f>SUM(E6:E8)</f>
        <v>1.15</v>
      </c>
      <c r="F9" s="553">
        <f>SUM(F6:F8)</f>
        <v>6.814500000000001</v>
      </c>
      <c r="G9" s="631" t="n"/>
      <c r="H9" s="550" t="inlineStr">
        <is>
          <t>NZ Variance ($m)</t>
        </is>
      </c>
      <c r="I9" s="893">
        <f>I7-D9</f>
        <v>1.0</v>
      </c>
      <c r="J9" s="583" t="n"/>
      <c r="K9" s="583" t="n"/>
      <c r="L9" s="583" t="n"/>
      <c r="M9" s="583" t="n"/>
      <c r="N9" s="583" t="n"/>
      <c r="O9" s="583" t="n"/>
    </row>
    <row r="10">
      <c r="F10" s="547" t="n"/>
      <c r="G10" s="583" t="n"/>
      <c r="H10" s="873" t="inlineStr">
        <is>
          <t xml:space="preserve">Other funding </t>
        </is>
      </c>
      <c r="I10" s="874" t="n"/>
      <c r="J10" s="874" t="n"/>
      <c r="K10" s="874" t="n"/>
      <c r="L10" s="583" t="n"/>
      <c r="M10" s="583" t="n"/>
      <c r="N10" s="583" t="n"/>
      <c r="O10" s="583" t="n"/>
    </row>
    <row r="11">
      <c r="B11" s="878" t="inlineStr">
        <is>
          <t>Lights On funded from the TDD allocation above (Data Config). Shared TDD Corporate pool sits on 3.4 COE Summary.</t>
        </is>
      </c>
      <c r="D11" s="876" t="n"/>
      <c r="E11" s="205" t="n"/>
      <c r="F11" s="547" t="n"/>
      <c r="G11" s="583" t="n"/>
      <c r="H11" s="463" t="inlineStr">
        <is>
          <t>Funding position</t>
        </is>
      </c>
      <c r="I11" s="5" t="n"/>
      <c r="J11" s="5" t="n"/>
      <c r="K11" s="5" t="n"/>
      <c r="L11" s="583" t="n"/>
      <c r="M11" s="583" t="n"/>
      <c r="N11" s="583" t="n"/>
      <c r="O11" s="583" t="n"/>
    </row>
    <row r="12">
      <c r="B12" s="879" t="n"/>
      <c r="D12" s="876" t="n"/>
      <c r="E12" s="206" t="n"/>
      <c r="F12" s="547" t="n"/>
      <c r="G12" s="583" t="n"/>
      <c r="H12" s="208" t="inlineStr">
        <is>
          <t>Other cost (this model)</t>
        </is>
      </c>
      <c r="I12" s="201" t="n"/>
      <c r="J12" s="223">
        <f>E9</f>
        <v>1.15</v>
      </c>
      <c r="K12" s="9" t="n"/>
      <c r="L12" s="583" t="n"/>
      <c r="M12" s="583" t="n"/>
      <c r="N12" s="583" t="n"/>
      <c r="O12" s="583" t="n"/>
    </row>
    <row r="13">
      <c r="B13" s="415" t="inlineStr">
        <is>
          <t>Total to fund</t>
        </is>
      </c>
      <c r="C13" s="416" t="n"/>
      <c r="F13" s="547" t="n"/>
      <c r="G13" s="583" t="n"/>
      <c r="H13" s="208" t="inlineStr">
        <is>
          <t>Funded from TDD Corporate pool (3.4 COE Summary)</t>
        </is>
      </c>
      <c r="I13" s="201" t="n"/>
      <c r="J13" s="223">
        <f>J33</f>
        <v>0.0</v>
      </c>
      <c r="K13" s="9" t="n"/>
      <c r="L13" s="583" t="n"/>
      <c r="M13" s="583" t="n"/>
      <c r="N13" s="583" t="n"/>
      <c r="O13" s="583" t="n"/>
    </row>
    <row r="14">
      <c r="B14" s="417" t="inlineStr">
        <is>
          <t>TDD Variance</t>
        </is>
      </c>
      <c r="C14" s="894">
        <f>-(I8+I9)</f>
        <v>0.1645000000000003</v>
      </c>
      <c r="F14" s="547" t="n"/>
      <c r="G14" s="583" t="n"/>
      <c r="H14" s="202" t="inlineStr">
        <is>
          <t>Left to fund</t>
        </is>
      </c>
      <c r="I14" s="201" t="n"/>
      <c r="J14" s="203">
        <f>J12-J13</f>
        <v>1.15</v>
      </c>
      <c r="K14" s="9" t="n"/>
      <c r="L14" s="583" t="n"/>
      <c r="M14" s="583" t="n"/>
      <c r="N14" s="583" t="n"/>
      <c r="O14" s="583" t="n"/>
    </row>
    <row r="15">
      <c r="B15" s="417" t="inlineStr">
        <is>
          <t>Other Variance</t>
        </is>
      </c>
      <c r="C15" s="894">
        <f>J14</f>
        <v>1.15</v>
      </c>
      <c r="F15" s="547" t="n"/>
      <c r="G15" s="583" t="n"/>
      <c r="H15" s="8" t="n"/>
      <c r="I15" s="201" t="n"/>
      <c r="J15" s="207" t="n"/>
      <c r="K15" s="9" t="n"/>
      <c r="L15" s="583" t="n"/>
      <c r="M15" s="583" t="n"/>
      <c r="N15" s="583" t="n"/>
      <c r="O15" s="583" t="n"/>
    </row>
    <row r="16">
      <c r="B16" s="419" t="inlineStr">
        <is>
          <t>Total</t>
        </is>
      </c>
      <c r="C16" s="895">
        <f>C14+C15</f>
        <v>1.3145000000000002</v>
      </c>
      <c r="F16" s="547" t="n"/>
      <c r="G16" s="583" t="n"/>
      <c r="H16" s="8" t="n"/>
      <c r="I16" s="201" t="n"/>
      <c r="J16" s="207" t="n"/>
      <c r="K16" s="9" t="n"/>
      <c r="L16" s="583" t="n"/>
      <c r="M16" s="583" t="n"/>
      <c r="N16" s="583" t="n"/>
      <c r="O16" s="583" t="n"/>
    </row>
    <row r="17">
      <c r="F17" s="547" t="n"/>
      <c r="G17" s="583" t="n"/>
      <c r="H17" s="208" t="n"/>
      <c r="I17" s="583" t="n"/>
      <c r="J17" s="21" t="n"/>
      <c r="K17" s="583" t="n"/>
      <c r="L17" s="583" t="n"/>
      <c r="M17" s="583" t="n"/>
      <c r="N17" s="583" t="n"/>
      <c r="O17" s="583" t="n"/>
    </row>
    <row r="18">
      <c r="F18" s="547" t="n"/>
      <c r="G18" s="583" t="n"/>
      <c r="H18" s="8" t="n"/>
      <c r="I18" s="583" t="n"/>
      <c r="J18" s="9" t="n"/>
      <c r="K18" s="583" t="n"/>
      <c r="L18" s="583" t="n"/>
      <c r="M18" s="583" t="n"/>
      <c r="N18" s="583" t="n"/>
      <c r="O18" s="583" t="n"/>
    </row>
    <row r="19">
      <c r="F19" s="547" t="n"/>
      <c r="G19" s="583" t="n"/>
      <c r="H19" s="202" t="n"/>
      <c r="I19" s="583" t="n"/>
      <c r="J19" s="203" t="n"/>
      <c r="K19" s="583" t="n"/>
      <c r="L19" s="583" t="n"/>
      <c r="M19" s="583" t="n"/>
      <c r="N19" s="583" t="n"/>
      <c r="O19" s="583" t="n"/>
    </row>
    <row r="20">
      <c r="F20" s="547" t="n"/>
      <c r="G20" s="583" t="n"/>
      <c r="H20" s="583" t="n"/>
      <c r="I20" s="583" t="n"/>
      <c r="J20" s="583" t="n"/>
      <c r="K20" s="583" t="n"/>
      <c r="L20" s="583" t="n"/>
      <c r="M20" s="583" t="n"/>
      <c r="N20" s="583" t="n"/>
      <c r="O20" s="583" t="n"/>
    </row>
    <row r="21">
      <c r="F21" s="547" t="n"/>
      <c r="G21" s="583" t="n"/>
      <c r="H21" s="583" t="n"/>
      <c r="I21" s="583" t="n"/>
      <c r="J21" s="583" t="n"/>
      <c r="K21" s="583" t="n"/>
      <c r="L21" s="583" t="n"/>
      <c r="M21" s="583" t="n"/>
      <c r="N21" s="583" t="n"/>
      <c r="O21" s="583" t="n"/>
    </row>
    <row r="22">
      <c r="B22" s="873" t="inlineStr">
        <is>
          <t>Platform: TDD Group Functions</t>
        </is>
      </c>
      <c r="C22" s="874" t="n"/>
      <c r="D22" s="874" t="n"/>
      <c r="E22" s="874" t="n"/>
      <c r="F22" s="874" t="n"/>
      <c r="G22" s="874" t="n"/>
      <c r="H22" s="874" t="n"/>
      <c r="I22" s="874" t="n"/>
      <c r="J22" s="874" t="n"/>
      <c r="K22" s="583" t="n"/>
      <c r="L22" s="583" t="n"/>
      <c r="M22" s="583" t="n"/>
      <c r="N22" s="583" t="n"/>
      <c r="O22" s="583" t="n"/>
    </row>
    <row r="23">
      <c r="B23" s="5" t="inlineStr">
        <is>
          <t>Squad</t>
        </is>
      </c>
      <c r="C23" s="463" t="inlineStr">
        <is>
          <t>Squad Type</t>
        </is>
      </c>
      <c r="D23" s="463" t="inlineStr">
        <is>
          <t>Size</t>
        </is>
      </c>
      <c r="E23" s="463" t="inlineStr">
        <is>
          <t>On/Off</t>
        </is>
      </c>
      <c r="F23" s="571" t="inlineStr">
        <is>
          <t>AU / NZ</t>
        </is>
      </c>
      <c r="G23" s="463" t="inlineStr">
        <is>
          <t>Support %</t>
        </is>
      </c>
      <c r="H23" s="463" t="inlineStr">
        <is>
          <t>Total Squad Cost ($m)</t>
        </is>
      </c>
      <c r="I23" s="463" t="inlineStr">
        <is>
          <t>TDD Cost ($m)</t>
        </is>
      </c>
      <c r="J23" s="463" t="inlineStr">
        <is>
          <t>Funded outside TDD ($m)</t>
        </is>
      </c>
      <c r="K23" s="583" t="n"/>
      <c r="L23" s="589" t="n"/>
      <c r="M23" s="583" t="n"/>
      <c r="N23" s="583" t="n"/>
      <c r="O23" s="583" t="n"/>
    </row>
    <row r="24">
      <c r="B24" s="8" t="inlineStr">
        <is>
          <t>Workplace &amp; Enterprise Tooling</t>
        </is>
      </c>
      <c r="C24" s="210" t="inlineStr">
        <is>
          <t>Configuration / Integration</t>
        </is>
      </c>
      <c r="D24" s="210" t="inlineStr">
        <is>
          <t>S</t>
        </is>
      </c>
      <c r="E24" s="210" t="inlineStr">
        <is>
          <t>Onshore</t>
        </is>
      </c>
      <c r="F24" s="590" t="inlineStr">
        <is>
          <t>AU</t>
        </is>
      </c>
      <c r="G24" s="211" t="n">
        <v>1</v>
      </c>
      <c r="H24" s="201">
        <f>IFERROR(IF($E24="Onshore",INDEX('0.3 Squad Archetypes'!$G$5:$G$23,MATCH($C24&amp;"|"&amp;$D24,'0.3 Squad Archetypes'!$A$5:$A$23,0)),INDEX('0.3 Squad Archetypes'!$H$5:$H$23,MATCH($C24&amp;"|"&amp;$D24,'0.3 Squad Archetypes'!$A$5:$A$23,0))),"check size")</f>
        <v>1.4</v>
      </c>
      <c r="I24" s="9">
        <f>IFERROR($H24*$G24,"")</f>
        <v>1.4</v>
      </c>
      <c r="J24" s="9">
        <f>IFERROR($H24*(1-$G24),"")</f>
        <v>0.0</v>
      </c>
      <c r="K24" s="583" t="n"/>
      <c r="L24" s="559" t="n"/>
      <c r="M24" s="583" t="n"/>
      <c r="N24" s="583" t="n"/>
      <c r="O24" s="583" t="n"/>
    </row>
    <row r="25">
      <c r="B25" s="8" t="inlineStr">
        <is>
          <t>Network &amp; Infrastructure</t>
        </is>
      </c>
      <c r="C25" s="210" t="inlineStr">
        <is>
          <t>Operations</t>
        </is>
      </c>
      <c r="D25" s="210" t="inlineStr">
        <is>
          <t>L</t>
        </is>
      </c>
      <c r="E25" s="210" t="inlineStr">
        <is>
          <t>Onshore</t>
        </is>
      </c>
      <c r="F25" s="590" t="inlineStr">
        <is>
          <t>AU</t>
        </is>
      </c>
      <c r="G25" s="211" t="n">
        <v>0.5</v>
      </c>
      <c r="H25" s="201">
        <f>IFERROR(IF($E25="Onshore",INDEX('0.3 Squad Archetypes'!$G$5:$G$23,MATCH($C25&amp;"|"&amp;$D25,'0.3 Squad Archetypes'!$A$5:$A$23,0)),INDEX('0.3 Squad Archetypes'!$H$5:$H$23,MATCH($C25&amp;"|"&amp;$D25,'0.3 Squad Archetypes'!$A$5:$A$23,0))),"check size")</f>
        <v>2.3</v>
      </c>
      <c r="I25" s="9">
        <f>IFERROR($H25*$G25,"")</f>
        <v>1.15</v>
      </c>
      <c r="J25" s="9">
        <f>IFERROR($H25*(1-$G25),"")</f>
        <v>1.15</v>
      </c>
      <c r="K25" s="583" t="n"/>
      <c r="L25" s="559" t="n"/>
      <c r="M25" s="583" t="n"/>
      <c r="N25" s="583" t="n"/>
      <c r="O25" s="583" t="n"/>
    </row>
    <row r="26">
      <c r="B26" s="8" t="inlineStr">
        <is>
          <t>DevOps &amp; Engineering</t>
        </is>
      </c>
      <c r="C26" s="210" t="inlineStr">
        <is>
          <t>Engineering</t>
        </is>
      </c>
      <c r="D26" s="210" t="inlineStr">
        <is>
          <t>S</t>
        </is>
      </c>
      <c r="E26" s="210" t="inlineStr">
        <is>
          <t>Onshore</t>
        </is>
      </c>
      <c r="F26" s="590" t="inlineStr">
        <is>
          <t>AU</t>
        </is>
      </c>
      <c r="G26" s="211" t="n">
        <v>1</v>
      </c>
      <c r="H26" s="201">
        <f>IFERROR(IF($E26="Onshore",INDEX('0.3 Squad Archetypes'!$G$5:$G$23,MATCH($C26&amp;"|"&amp;$D26,'0.3 Squad Archetypes'!$A$5:$A$23,0)),INDEX('0.3 Squad Archetypes'!$H$5:$H$23,MATCH($C26&amp;"|"&amp;$D26,'0.3 Squad Archetypes'!$A$5:$A$23,0))),"check size")</f>
        <v>0.8</v>
      </c>
      <c r="I26" s="9">
        <f>IFERROR($H26*$G26,"")</f>
        <v>0.8</v>
      </c>
      <c r="J26" s="9">
        <f>IFERROR($H26*(1-$G26),"")</f>
        <v>0.0</v>
      </c>
      <c r="K26" s="583" t="inlineStr">
        <is>
          <t>Support could be more than 20%</t>
        </is>
      </c>
      <c r="L26" s="559" t="n"/>
      <c r="M26" s="583" t="n"/>
      <c r="N26" s="583" t="n"/>
      <c r="O26" s="583" t="n"/>
    </row>
    <row r="27">
      <c r="B27" s="8" t="inlineStr">
        <is>
          <t>Integration</t>
        </is>
      </c>
      <c r="C27" s="210" t="inlineStr">
        <is>
          <t>Configuration / Integration</t>
        </is>
      </c>
      <c r="D27" s="210" t="inlineStr">
        <is>
          <t>S</t>
        </is>
      </c>
      <c r="E27" s="210" t="inlineStr">
        <is>
          <t>Onshore</t>
        </is>
      </c>
      <c r="F27" s="590" t="inlineStr">
        <is>
          <t>AU</t>
        </is>
      </c>
      <c r="G27" s="211" t="n">
        <v>1</v>
      </c>
      <c r="H27" s="201">
        <f>IFERROR(IF($E27="Onshore",INDEX('0.3 Squad Archetypes'!$G$5:$G$23,MATCH($C27&amp;"|"&amp;$D27,'0.3 Squad Archetypes'!$A$5:$A$23,0)),INDEX('0.3 Squad Archetypes'!$H$5:$H$23,MATCH($C27&amp;"|"&amp;$D27,'0.3 Squad Archetypes'!$A$5:$A$23,0))),"check size")</f>
        <v>1.4</v>
      </c>
      <c r="I27" s="9">
        <f>IFERROR($H27*$G27,"")</f>
        <v>1.4</v>
      </c>
      <c r="J27" s="9">
        <f>IFERROR($H27*(1-$G27),"")</f>
        <v>0.0</v>
      </c>
      <c r="K27" s="583" t="n"/>
      <c r="L27" s="559" t="n"/>
      <c r="M27" s="583" t="n"/>
      <c r="N27" s="583" t="n"/>
      <c r="O27" s="583" t="n"/>
    </row>
    <row r="28">
      <c r="B28" s="454" t="inlineStr">
        <is>
          <t>Platform Overhead</t>
        </is>
      </c>
      <c r="F28" s="547" t="n"/>
      <c r="G28" s="583" t="n"/>
      <c r="H28" s="583" t="n"/>
      <c r="I28" s="201">
        <f>'0.2 Data Config'!$L$16</f>
        <v>0.165</v>
      </c>
      <c r="J28" s="583" t="n"/>
      <c r="K28" s="583" t="n"/>
      <c r="L28" s="583" t="n"/>
      <c r="M28" s="583" t="n"/>
      <c r="N28" s="583" t="n"/>
      <c r="O28" s="583" t="n"/>
    </row>
    <row r="29">
      <c r="B29" s="202" t="inlineStr">
        <is>
          <t>TDD Group Functions Total</t>
        </is>
      </c>
      <c r="C29" s="209" t="n"/>
      <c r="D29" s="209" t="n"/>
      <c r="E29" s="209" t="n"/>
      <c r="F29" s="547" t="n"/>
      <c r="G29" s="209" t="n"/>
      <c r="H29" s="203">
        <f>SUM(H24:H27)</f>
        <v>5.9</v>
      </c>
      <c r="I29" s="203">
        <f>SUM(I24:I28)</f>
        <v>4.915</v>
      </c>
      <c r="J29" s="203">
        <f>SUM(J24:J27)</f>
        <v>1.15</v>
      </c>
      <c r="K29" s="583" t="n"/>
      <c r="L29" s="583" t="n"/>
      <c r="M29" s="583" t="n"/>
      <c r="N29" s="583" t="n"/>
      <c r="O29" s="583" t="n"/>
    </row>
    <row r="30">
      <c r="F30" s="547" t="n"/>
      <c r="G30" s="583" t="n"/>
      <c r="H30" s="583" t="n"/>
      <c r="I30" s="583" t="n"/>
      <c r="J30" s="583" t="n"/>
      <c r="K30" s="583" t="n"/>
      <c r="L30" s="583" t="n"/>
      <c r="M30" s="583" t="n"/>
      <c r="N30" s="583" t="n"/>
      <c r="O30" s="583" t="n"/>
    </row>
    <row r="31">
      <c r="B31" s="204" t="inlineStr">
        <is>
          <t>Platform: EGI TDD</t>
        </is>
      </c>
      <c r="F31" s="547" t="n"/>
      <c r="G31" s="583" t="n"/>
      <c r="H31" s="583" t="n"/>
      <c r="I31" s="583" t="n"/>
      <c r="J31" s="583" t="n"/>
      <c r="K31" s="583" t="n"/>
      <c r="L31" s="583" t="n"/>
      <c r="M31" s="583" t="n"/>
      <c r="N31" s="583" t="n"/>
      <c r="O31" s="583" t="n"/>
    </row>
    <row r="32">
      <c r="B32" s="5" t="inlineStr">
        <is>
          <t>Squad</t>
        </is>
      </c>
      <c r="C32" s="463" t="inlineStr">
        <is>
          <t>Squad Type</t>
        </is>
      </c>
      <c r="D32" s="463" t="inlineStr">
        <is>
          <t>Size</t>
        </is>
      </c>
      <c r="E32" s="463" t="inlineStr">
        <is>
          <t>On/Off</t>
        </is>
      </c>
      <c r="F32" s="571" t="inlineStr">
        <is>
          <t>AU / NZ</t>
        </is>
      </c>
      <c r="G32" s="463" t="inlineStr">
        <is>
          <t>Support %</t>
        </is>
      </c>
      <c r="H32" s="463" t="inlineStr">
        <is>
          <t>Total Squad Cost ($m)</t>
        </is>
      </c>
      <c r="I32" s="463" t="inlineStr">
        <is>
          <t>TDD Cost ($m)</t>
        </is>
      </c>
      <c r="J32" s="463" t="inlineStr">
        <is>
          <t>Funded outside TDD ($m)</t>
        </is>
      </c>
      <c r="K32" s="583" t="n"/>
      <c r="L32" s="589" t="n"/>
      <c r="M32" s="583" t="n"/>
      <c r="N32" s="583" t="n"/>
      <c r="O32" s="583" t="n"/>
    </row>
    <row r="33">
      <c r="B33" s="8" t="inlineStr">
        <is>
          <t>EGI TDD</t>
        </is>
      </c>
      <c r="C33" s="210" t="inlineStr">
        <is>
          <t>Strategic Programs</t>
        </is>
      </c>
      <c r="D33" s="210" t="n"/>
      <c r="E33" s="210" t="inlineStr">
        <is>
          <t>Onshore</t>
        </is>
      </c>
      <c r="F33" s="590" t="inlineStr">
        <is>
          <t>AU</t>
        </is>
      </c>
      <c r="G33" s="211" t="n">
        <v>0.2</v>
      </c>
      <c r="H33" s="591" t="n">
        <v>0</v>
      </c>
      <c r="I33" s="9">
        <f>IFERROR($H33*$G33,"")</f>
        <v>0.0</v>
      </c>
      <c r="J33" s="9">
        <f>IFERROR($H33*(1-$G33),"")</f>
        <v>0.0</v>
      </c>
      <c r="K33" s="583" t="n"/>
      <c r="L33" s="559" t="n"/>
      <c r="M33" s="583" t="n"/>
      <c r="N33" s="570" t="str">
        <f>"People in this program today cost "&amp;TEXT(SUMIFS('Added data'!$AA:$AA,'Added data'!$AE:$AE,$B33)/1000000,"0.00")&amp;"m. Set the agreed cost in the yellow cell."</f>
        <v>People in this program today cost 1.32m. Set the agreed cost in the yellow cell.</v>
      </c>
      <c r="O33" s="583" t="n"/>
    </row>
    <row r="34">
      <c r="B34" s="202" t="inlineStr">
        <is>
          <t>EGI TDD Total</t>
        </is>
      </c>
      <c r="F34" s="547" t="n"/>
      <c r="G34" s="583" t="n"/>
      <c r="H34" s="203">
        <f>SUM(H33:H33)</f>
        <v>0.0</v>
      </c>
      <c r="I34" s="203">
        <f>SUM(I33:I33)</f>
        <v>0.0</v>
      </c>
      <c r="J34" s="203">
        <f>SUM(J33:J33)</f>
        <v>0.0</v>
      </c>
      <c r="K34" s="583" t="n"/>
      <c r="L34" s="583" t="n"/>
      <c r="M34" s="583" t="n"/>
      <c r="N34" s="583" t="n"/>
      <c r="O34" s="583" t="n"/>
    </row>
    <row r="35">
      <c r="F35" s="547" t="n"/>
      <c r="G35" s="583" t="n"/>
      <c r="H35" s="583" t="n"/>
      <c r="I35" s="583" t="n"/>
      <c r="J35" s="583" t="n"/>
      <c r="K35" s="583" t="n"/>
      <c r="L35" s="583" t="n"/>
      <c r="M35" s="583" t="n"/>
      <c r="N35" s="583" t="n"/>
      <c r="O35" s="583" t="n"/>
    </row>
    <row r="36">
      <c r="B36" s="556" t="n"/>
      <c r="C36" s="592" t="n"/>
      <c r="D36" s="547" t="n"/>
      <c r="F36" s="547" t="n"/>
      <c r="G36" s="583" t="n"/>
      <c r="H36" s="583" t="n"/>
      <c r="I36" s="583" t="n"/>
      <c r="J36" s="583" t="n"/>
      <c r="K36" s="583" t="n"/>
      <c r="L36" s="583" t="n"/>
      <c r="M36" s="583" t="n"/>
      <c r="N36" s="583" t="n"/>
      <c r="O36" s="583" t="n"/>
    </row>
    <row r="37">
      <c r="B37" s="556" t="n"/>
      <c r="C37" s="592" t="n"/>
      <c r="D37" s="547" t="n"/>
      <c r="F37" s="547" t="n"/>
      <c r="G37" s="583" t="n"/>
      <c r="H37" s="583" t="n"/>
      <c r="I37" s="583" t="n"/>
      <c r="J37" s="583" t="n"/>
      <c r="K37" s="583" t="n"/>
      <c r="L37" s="583" t="n"/>
      <c r="M37" s="583" t="n"/>
      <c r="N37" s="583" t="n"/>
      <c r="O37" s="583" t="n"/>
    </row>
  </sheetData>
  <mergeCells count="6">
    <mergeCell ref="B11:D11"/>
    <mergeCell ref="B4:E4"/>
    <mergeCell ref="B22:J22"/>
    <mergeCell ref="H4:I4"/>
    <mergeCell ref="B12:D12"/>
    <mergeCell ref="H10:K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G24:G27 G33" showDropDown="0" showInputMessage="0" showErrorMessage="1" allowBlank="1" errorTitle="Invalid entry" error="Pick a value from the list" type="list">
      <formula1>SupportPct</formula1>
      <formula2>0</formula2>
    </dataValidation>
    <dataValidation sqref="F24 F25 F26 F27 F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1F4E79"/>
    <outlinePr summaryBelow="1" summaryRight="1"/>
    <pageSetUpPr/>
  </sheetPr>
  <dimension ref="B1:O35"/>
  <sheetViews>
    <sheetView showGridLines="0" topLeftCell="A9"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P&amp;C</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80"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Config'!$E$18</f>
        <v>2.0</v>
      </c>
      <c r="J5" s="583" t="n"/>
      <c r="K5" s="583" t="n"/>
      <c r="L5" s="583" t="n"/>
      <c r="M5" s="583" t="n"/>
      <c r="N5" s="583" t="n"/>
      <c r="O5" s="583" t="n"/>
    </row>
    <row r="6">
      <c r="B6" s="8" t="inlineStr">
        <is>
          <t>Portfolio Overhead (see 0.2 Data Config)</t>
        </is>
      </c>
      <c r="C6" s="551">
        <f>IF(('0.2 Data Config'!$D$18)&gt;('0.2 Data Config'!$C$18),0,'0.2 Data Config'!$L$10)</f>
        <v>0.7495</v>
      </c>
      <c r="D6" s="551">
        <f>IF(('0.2 Data Config'!$D$18)&gt;('0.2 Data Config'!$C$18),'0.2 Data Config'!$L$10,0)</f>
        <v>0.0</v>
      </c>
      <c r="E6" s="551">
        <f>0</f>
        <v>0.0</v>
      </c>
      <c r="F6" s="551">
        <f>C6+D6+E6</f>
        <v>0.7495</v>
      </c>
      <c r="G6" s="630" t="n"/>
      <c r="H6" s="563" t="inlineStr">
        <is>
          <t>AU Budget ($m)</t>
        </is>
      </c>
      <c r="I6" s="551">
        <f>'0.2 Data Config'!$C$18</f>
        <v>1.0</v>
      </c>
      <c r="J6" s="583" t="n"/>
      <c r="K6" s="583" t="n"/>
      <c r="L6" s="583" t="n"/>
      <c r="M6" s="583" t="n"/>
      <c r="N6" s="583" t="n"/>
      <c r="O6" s="583" t="n"/>
    </row>
    <row r="7">
      <c r="B7" s="8" t="inlineStr">
        <is>
          <t>Platform Overheads</t>
        </is>
      </c>
      <c r="C7" s="551">
        <f>IF(('0.2 Data Config'!$D$18)&gt;('0.2 Data Config'!$C$18),0,SUM(I26))</f>
        <v>0.165</v>
      </c>
      <c r="D7" s="551">
        <f>IF(('0.2 Data Config'!$D$18)&gt;('0.2 Data Config'!$C$18),SUM(I26),0)</f>
        <v>0.0</v>
      </c>
      <c r="E7" s="551">
        <f>0</f>
        <v>0.0</v>
      </c>
      <c r="F7" s="551">
        <f>C7+D7+E7</f>
        <v>0.165</v>
      </c>
      <c r="G7" s="630" t="n"/>
      <c r="H7" s="584" t="inlineStr">
        <is>
          <t>NZ Budget ($m)</t>
        </is>
      </c>
      <c r="I7" s="585">
        <f>'0.2 Data Config'!$D$18</f>
        <v>1.0</v>
      </c>
      <c r="J7" s="583" t="n"/>
      <c r="K7" s="583" t="n"/>
      <c r="L7" s="583" t="n"/>
      <c r="M7" s="583" t="n"/>
      <c r="N7" s="583" t="n"/>
      <c r="O7" s="583" t="n"/>
    </row>
    <row r="8">
      <c r="B8" s="8" t="inlineStr">
        <is>
          <t>Squad Support Costs</t>
        </is>
      </c>
      <c r="C8" s="551">
        <f>SUMIF(F24:F25,"AU",I24:I25)+SUMIF(F31:F31,"AU",I31:I31)</f>
        <v>0.7</v>
      </c>
      <c r="D8" s="551">
        <f>SUMIF(F24:F25,"NZ",I24:I25)+SUMIF(F31:F31,"NZ",I31:I31)</f>
        <v>0.0</v>
      </c>
      <c r="E8" s="551">
        <f>SUM(J24,J25,J31)</f>
        <v>2.8</v>
      </c>
      <c r="F8" s="551">
        <f>C8+D8+E8</f>
        <v>3.5</v>
      </c>
      <c r="G8" s="630" t="n"/>
      <c r="H8" s="550" t="inlineStr">
        <is>
          <t>AU Variance ($m)</t>
        </is>
      </c>
      <c r="I8" s="893">
        <f>I6-C9</f>
        <v>-0.6145</v>
      </c>
      <c r="J8" s="583" t="n"/>
      <c r="K8" s="583" t="n"/>
      <c r="L8" s="583" t="n"/>
      <c r="M8" s="583" t="n"/>
      <c r="N8" s="583" t="n"/>
      <c r="O8" s="583" t="n"/>
    </row>
    <row r="9">
      <c r="B9" s="202" t="inlineStr">
        <is>
          <t>Total Cost</t>
        </is>
      </c>
      <c r="C9" s="553">
        <f>SUM(C6:C8)</f>
        <v>1.6145</v>
      </c>
      <c r="D9" s="553">
        <f>SUM(D6:D8)</f>
        <v>0.0</v>
      </c>
      <c r="E9" s="553">
        <f>SUM(E6:E8)</f>
        <v>2.8</v>
      </c>
      <c r="F9" s="553">
        <f>SUM(F6:F8)</f>
        <v>4.4145</v>
      </c>
      <c r="G9" s="631" t="n"/>
      <c r="H9" s="550" t="inlineStr">
        <is>
          <t>NZ Variance ($m)</t>
        </is>
      </c>
      <c r="I9" s="893">
        <f>I7-D9</f>
        <v>1.0</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P&amp;C budget </t>
        </is>
      </c>
      <c r="D11" s="876" t="n"/>
      <c r="E11" s="205">
        <f>SUM(I12:I17)</f>
        <v>5.799999999999999</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(Fin)'!Q12</f>
        <v>5.8</v>
      </c>
      <c r="F12" s="547" t="n"/>
      <c r="G12" s="583" t="n"/>
      <c r="H12" s="214" t="inlineStr">
        <is>
          <t>P&amp;C Lights On</t>
        </is>
      </c>
      <c r="I12" s="217">
        <f>'0.1 Budget Table (Fin)'!L12</f>
        <v>2.1</v>
      </c>
      <c r="J12" s="597">
        <f>'0.1 Budget Table (Fin)'!G12</f>
        <v>0.0</v>
      </c>
      <c r="K12" s="218">
        <f>IFERROR(I12-J12,0)</f>
        <v>2.1</v>
      </c>
      <c r="L12" s="583" t="n"/>
      <c r="M12" s="583" t="n"/>
      <c r="N12" s="583" t="n"/>
      <c r="O12" s="583" t="n"/>
    </row>
    <row r="13">
      <c r="F13" s="547" t="n"/>
      <c r="G13" s="583" t="n"/>
      <c r="H13" s="214" t="inlineStr">
        <is>
          <t>OpEx Initiatives</t>
        </is>
      </c>
      <c r="I13" s="217">
        <f>'0.1 Budget Table (Fin)'!N12</f>
        <v>2.0</v>
      </c>
      <c r="J13" s="224" t="n">
        <v>0</v>
      </c>
      <c r="K13" s="218">
        <f>IFERROR(I13-J13,0)</f>
        <v>2.0</v>
      </c>
      <c r="L13" s="583" t="n"/>
      <c r="M13" s="583" t="n"/>
      <c r="N13" s="583" t="n"/>
      <c r="O13" s="583" t="n"/>
    </row>
    <row r="14">
      <c r="B14" s="415" t="inlineStr">
        <is>
          <t>Total to fund</t>
        </is>
      </c>
      <c r="C14" s="416" t="n"/>
      <c r="F14" s="547" t="n"/>
      <c r="G14" s="583" t="n"/>
      <c r="H14" s="214" t="inlineStr">
        <is>
          <t>CapEx</t>
        </is>
      </c>
      <c r="I14" s="217">
        <f>'0.1 Budget Table (Fin)'!P12</f>
        <v>0.3</v>
      </c>
      <c r="J14" s="224" t="n">
        <v>0</v>
      </c>
      <c r="K14" s="218">
        <f>IFERROR(I14-J14,0)</f>
        <v>0.3</v>
      </c>
      <c r="L14" s="583" t="n"/>
      <c r="M14" s="583" t="n"/>
      <c r="N14" s="583" t="n"/>
      <c r="O14" s="583" t="n"/>
    </row>
    <row r="15">
      <c r="B15" s="417" t="inlineStr">
        <is>
          <t>TDD Variance</t>
        </is>
      </c>
      <c r="C15" s="894">
        <f>-(I8+I9)</f>
        <v>-0.38549999999999995</v>
      </c>
      <c r="F15" s="547" t="n"/>
      <c r="G15" s="583" t="n"/>
      <c r="H15" s="214" t="inlineStr">
        <is>
          <t>Significant Items</t>
        </is>
      </c>
      <c r="I15" s="217">
        <f>'0.1 Budget Table (Fin)'!O12</f>
        <v>1.4</v>
      </c>
      <c r="J15" s="224" t="n">
        <v>0</v>
      </c>
      <c r="K15" s="218">
        <f>IFERROR(I15-J15,0)</f>
        <v>1.4</v>
      </c>
      <c r="L15" s="583" t="n"/>
      <c r="M15" s="583" t="n"/>
      <c r="N15" s="583" t="n"/>
      <c r="O15" s="583" t="n"/>
    </row>
    <row r="16">
      <c r="B16" s="417" t="inlineStr">
        <is>
          <t>Other Variance</t>
        </is>
      </c>
      <c r="C16" s="894">
        <f>J20</f>
        <v>2.8</v>
      </c>
      <c r="F16" s="547" t="n"/>
      <c r="G16" s="583" t="n"/>
      <c r="H16" s="214" t="inlineStr">
        <is>
          <t>Significant Items EGI</t>
        </is>
      </c>
      <c r="I16" s="217" t="n"/>
      <c r="J16" s="598">
        <f>J31</f>
        <v>0.0</v>
      </c>
      <c r="K16" s="218" t="n"/>
      <c r="L16" s="583" t="n"/>
      <c r="M16" s="583" t="n"/>
      <c r="N16" s="583" t="n"/>
      <c r="O16" s="583" t="n"/>
    </row>
    <row r="17">
      <c r="B17" s="419" t="inlineStr">
        <is>
          <t>Total</t>
        </is>
      </c>
      <c r="C17" s="895">
        <f>C15+C16</f>
        <v>2.4145</v>
      </c>
      <c r="F17" s="547" t="n"/>
      <c r="G17" s="583" t="n"/>
      <c r="H17" s="214" t="inlineStr">
        <is>
          <t>Depreciation</t>
        </is>
      </c>
      <c r="I17" s="217">
        <f>'0.1 Budget Table (Fin)'!M12</f>
        <v>0.0</v>
      </c>
      <c r="J17" s="224" t="n">
        <v>0</v>
      </c>
      <c r="K17" s="218">
        <f>IFERROR(I17-J17,0)</f>
        <v>0.0</v>
      </c>
      <c r="L17" s="583" t="n"/>
      <c r="M17" s="583" t="n"/>
      <c r="N17" s="583" t="n"/>
      <c r="O17" s="583" t="n"/>
    </row>
    <row r="18">
      <c r="F18" s="547" t="n"/>
      <c r="G18" s="583" t="n"/>
      <c r="H18" s="225" t="inlineStr">
        <is>
          <t>Total applied</t>
        </is>
      </c>
      <c r="I18" s="595" t="n"/>
      <c r="J18" s="226">
        <f>SUM(J12:J17)</f>
        <v>0.0</v>
      </c>
      <c r="K18" s="595" t="n"/>
      <c r="L18" s="583" t="n"/>
      <c r="M18" s="583" t="n"/>
      <c r="N18" s="583" t="n"/>
      <c r="O18" s="583" t="n"/>
    </row>
    <row r="19">
      <c r="F19" s="547" t="n"/>
      <c r="G19" s="583" t="n"/>
      <c r="H19" s="214" t="inlineStr">
        <is>
          <t>Other cost (this model)</t>
        </is>
      </c>
      <c r="I19" s="595" t="n"/>
      <c r="J19" s="218">
        <f>E9</f>
        <v>2.8</v>
      </c>
      <c r="K19" s="595" t="n"/>
      <c r="L19" s="583" t="n"/>
      <c r="M19" s="583" t="n"/>
      <c r="N19" s="583" t="n"/>
      <c r="O19" s="583" t="n"/>
    </row>
    <row r="20">
      <c r="F20" s="547" t="n"/>
      <c r="G20" s="583" t="n"/>
      <c r="H20" s="221" t="inlineStr">
        <is>
          <t>Left to fund</t>
        </is>
      </c>
      <c r="I20" s="595" t="n"/>
      <c r="J20" s="222">
        <f>E9-(J18-J12)</f>
        <v>2.8</v>
      </c>
      <c r="K20" s="595" t="n"/>
      <c r="L20" s="583" t="n"/>
      <c r="M20" s="583" t="n"/>
      <c r="N20" s="583" t="n"/>
      <c r="O20" s="583" t="n"/>
    </row>
    <row r="21">
      <c r="F21" s="547" t="n"/>
      <c r="G21" s="583" t="n"/>
      <c r="H21" s="583" t="n"/>
      <c r="I21" s="583" t="n"/>
      <c r="J21" s="583" t="n"/>
      <c r="K21" s="583" t="n"/>
      <c r="L21" s="583" t="n"/>
      <c r="M21" s="583" t="n"/>
      <c r="N21" s="583" t="n"/>
      <c r="O21" s="583" t="n"/>
    </row>
    <row r="22">
      <c r="B22" s="877" t="inlineStr">
        <is>
          <t>Platform: P&amp;C</t>
        </is>
      </c>
      <c r="C22" s="870" t="n"/>
      <c r="D22" s="870" t="n"/>
      <c r="E22" s="870" t="n"/>
      <c r="F22" s="870" t="n"/>
      <c r="G22" s="870" t="n"/>
      <c r="H22" s="870" t="n"/>
      <c r="I22" s="870" t="n"/>
      <c r="J22" s="871" t="n"/>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P&amp;C</t>
        </is>
      </c>
      <c r="C24" s="215" t="inlineStr">
        <is>
          <t>Configuration / Integration</t>
        </is>
      </c>
      <c r="D24" s="215" t="inlineStr">
        <is>
          <t>M</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2.1</v>
      </c>
      <c r="I24" s="218">
        <f>IFERROR($H24*$G24,"")</f>
        <v>0.42000000000000004</v>
      </c>
      <c r="J24" s="218">
        <f>IFERROR($H24*(1-$G24),"")</f>
        <v>1.6800000000000002</v>
      </c>
      <c r="K24" s="559" t="n"/>
      <c r="L24" s="583" t="n"/>
      <c r="M24" s="583" t="n"/>
      <c r="N24" s="583" t="n"/>
      <c r="O24" s="583" t="n"/>
    </row>
    <row r="25">
      <c r="B25" s="214" t="inlineStr">
        <is>
          <t>P&amp;C - RTA</t>
        </is>
      </c>
      <c r="C25" s="215" t="inlineStr">
        <is>
          <t>Configuration / Integration</t>
        </is>
      </c>
      <c r="D25" s="215" t="inlineStr">
        <is>
          <t>S</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1.4</v>
      </c>
      <c r="I25" s="218">
        <f>IFERROR($H25*$G25,"")</f>
        <v>0.27999999999999997</v>
      </c>
      <c r="J25" s="218">
        <f>IFERROR($H25*(1-$G25),"")</f>
        <v>1.1199999999999999</v>
      </c>
      <c r="K25" s="559" t="n"/>
      <c r="L25" s="583" t="n"/>
      <c r="M25" s="583" t="n"/>
      <c r="N25" s="583" t="n"/>
      <c r="O25" s="583" t="n"/>
    </row>
    <row r="26">
      <c r="B26" s="468" t="inlineStr">
        <is>
          <t>Platform Overhead</t>
        </is>
      </c>
      <c r="F26" s="547" t="n"/>
      <c r="G26" s="583" t="n"/>
      <c r="H26" s="595" t="n"/>
      <c r="I26" s="217">
        <f>'0.2 Data Config'!$L$16</f>
        <v>0.165</v>
      </c>
      <c r="J26" s="595" t="n"/>
      <c r="K26" s="583" t="n"/>
      <c r="L26" s="583" t="n"/>
      <c r="M26" s="583" t="n"/>
      <c r="N26" s="583" t="n"/>
      <c r="O26" s="583" t="n"/>
    </row>
    <row r="27">
      <c r="B27" s="221" t="inlineStr">
        <is>
          <t>P&amp;C Total</t>
        </is>
      </c>
      <c r="C27" s="209" t="n"/>
      <c r="D27" s="209" t="n"/>
      <c r="E27" s="209" t="n"/>
      <c r="F27" s="547" t="n"/>
      <c r="G27" s="209" t="n"/>
      <c r="H27" s="222">
        <f>SUM(H24:H25)</f>
        <v>3.5</v>
      </c>
      <c r="I27" s="222">
        <f>SUM(I24:I26)</f>
        <v>0.865</v>
      </c>
      <c r="J27" s="222">
        <f>SUM(J24:J25)</f>
        <v>2.8</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P&amp;C</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P&amp;C</t>
        </is>
      </c>
      <c r="C31" s="210" t="inlineStr">
        <is>
          <t>Strategic Programs</t>
        </is>
      </c>
      <c r="D31" s="210" t="n"/>
      <c r="E31" s="210" t="inlineStr">
        <is>
          <t>Onshore</t>
        </is>
      </c>
      <c r="F31" s="590" t="inlineStr">
        <is>
          <t>AU</t>
        </is>
      </c>
      <c r="G31" s="211" t="n">
        <v>0.2</v>
      </c>
      <c r="H31" s="591" t="n">
        <v>0</v>
      </c>
      <c r="I31" s="9">
        <f>IFERROR($H31*$G31,"")</f>
        <v>0.0</v>
      </c>
      <c r="J31" s="9">
        <f>IFERROR($H31*(1-$G31),"")</f>
        <v>0.0</v>
      </c>
      <c r="K31" s="559" t="n"/>
      <c r="L31" s="583" t="n"/>
      <c r="M31" s="583" t="n"/>
      <c r="N31" s="570" t="str">
        <f>"People in this program today cost "&amp;TEXT(SUMIFS('Added data'!$AA:$AA,'Added data'!$AE:$AE,$B31)/1000000,"0.00")&amp;"m. Set the agreed cost in the yellow cell."</f>
        <v>People in this program today cost 0.24m. Set the agreed cost in the yellow cell.</v>
      </c>
      <c r="O31" s="583" t="n"/>
    </row>
    <row r="32">
      <c r="B32" s="202" t="inlineStr">
        <is>
          <t>EGI P&amp;C Total</t>
        </is>
      </c>
      <c r="F32" s="547" t="n"/>
      <c r="G32" s="583" t="n"/>
      <c r="H32" s="203">
        <f>SUM(H31:H31)</f>
        <v>0.0</v>
      </c>
      <c r="I32" s="203">
        <f>SUM(I31:I31)</f>
        <v>0.0</v>
      </c>
      <c r="J32" s="203">
        <f>SUM(J31:J31)</f>
        <v>0.0</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1F4E79"/>
    <outlinePr summaryBelow="1" summaryRight="1"/>
    <pageSetUpPr/>
  </sheetPr>
  <dimension ref="B1:O35"/>
  <sheetViews>
    <sheetView showGridLines="0" topLeftCell="A9"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c r="O1" s="583" t="n"/>
    </row>
    <row r="2" ht="21" customHeight="1" s="849">
      <c r="B2" s="198" t="inlineStr">
        <is>
          <t>Finance</t>
        </is>
      </c>
      <c r="F2" s="547" t="n"/>
      <c r="G2" s="583" t="n"/>
      <c r="H2" s="583" t="n"/>
      <c r="I2" s="583" t="n"/>
      <c r="J2" s="583" t="n"/>
      <c r="K2" s="583" t="n"/>
      <c r="L2" s="583" t="n"/>
      <c r="M2" s="583" t="n"/>
      <c r="N2" s="583" t="n"/>
      <c r="O2" s="583" t="n"/>
    </row>
    <row r="3">
      <c r="F3" s="547" t="n"/>
      <c r="G3" s="583" t="n"/>
      <c r="H3" s="583" t="n"/>
      <c r="I3" s="583" t="n"/>
      <c r="J3" s="583" t="n"/>
      <c r="K3" s="583" t="n"/>
      <c r="L3" s="583" t="n"/>
      <c r="M3" s="583" t="n"/>
      <c r="N3" s="583" t="n"/>
      <c r="O3" s="583" t="n"/>
    </row>
    <row r="4">
      <c r="B4" s="850" t="inlineStr">
        <is>
          <t>Portfolio Summary</t>
        </is>
      </c>
      <c r="C4" s="851" t="n"/>
      <c r="D4" s="851" t="n"/>
      <c r="E4" s="852" t="n"/>
      <c r="F4" s="547" t="n"/>
      <c r="G4" s="583" t="n"/>
      <c r="H4" s="868" t="inlineStr">
        <is>
          <t>Budget vs TDD Cost</t>
        </is>
      </c>
      <c r="I4" s="852" t="n"/>
      <c r="J4" s="583" t="n"/>
      <c r="K4" s="583" t="n"/>
      <c r="L4" s="583" t="n"/>
      <c r="M4" s="583" t="n"/>
      <c r="N4" s="583" t="n"/>
      <c r="O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Config'!$E$19</f>
        <v>2.0</v>
      </c>
      <c r="J5" s="583" t="n"/>
      <c r="K5" s="583" t="n"/>
      <c r="L5" s="583" t="n"/>
      <c r="M5" s="583" t="n"/>
      <c r="N5" s="583" t="n"/>
      <c r="O5" s="583" t="n"/>
    </row>
    <row r="6">
      <c r="B6" s="8" t="inlineStr">
        <is>
          <t>Portfolio Overhead (see 0.2 Data Config)</t>
        </is>
      </c>
      <c r="C6" s="551">
        <f>IF(('0.2 Data Config'!$D$19)&gt;('0.2 Data Config'!$C$19),0,'0.2 Data Config'!$L$10)</f>
        <v>0.7495</v>
      </c>
      <c r="D6" s="551">
        <f>IF(('0.2 Data Config'!$D$19)&gt;('0.2 Data Config'!$C$19),'0.2 Data Config'!$L$10,0)</f>
        <v>0.0</v>
      </c>
      <c r="E6" s="551">
        <f>0</f>
        <v>0.0</v>
      </c>
      <c r="F6" s="551">
        <f>C6+D6+E6</f>
        <v>0.7495</v>
      </c>
      <c r="G6" s="630" t="n"/>
      <c r="H6" s="563" t="inlineStr">
        <is>
          <t>AU Budget ($m)</t>
        </is>
      </c>
      <c r="I6" s="551">
        <f>'0.2 Data Config'!$C$19</f>
        <v>1.0</v>
      </c>
      <c r="J6" s="583" t="n"/>
      <c r="K6" s="583" t="n"/>
      <c r="L6" s="583" t="n"/>
      <c r="M6" s="583" t="n"/>
      <c r="N6" s="583" t="n"/>
      <c r="O6" s="583" t="n"/>
    </row>
    <row r="7">
      <c r="B7" s="8" t="inlineStr">
        <is>
          <t>Platform Overheads</t>
        </is>
      </c>
      <c r="C7" s="551">
        <f>IF(('0.2 Data Config'!$D$19)&gt;('0.2 Data Config'!$C$19),0,SUM(I26))</f>
        <v>0.165</v>
      </c>
      <c r="D7" s="551">
        <f>IF(('0.2 Data Config'!$D$19)&gt;('0.2 Data Config'!$C$19),SUM(I26),0)</f>
        <v>0.0</v>
      </c>
      <c r="E7" s="551">
        <f>0</f>
        <v>0.0</v>
      </c>
      <c r="F7" s="551">
        <f>C7+D7+E7</f>
        <v>0.165</v>
      </c>
      <c r="G7" s="630" t="n"/>
      <c r="H7" s="584" t="inlineStr">
        <is>
          <t>NZ Budget ($m)</t>
        </is>
      </c>
      <c r="I7" s="585">
        <f>'0.2 Data Config'!$D$19</f>
        <v>1.0</v>
      </c>
      <c r="J7" s="583" t="n"/>
      <c r="K7" s="583" t="n"/>
      <c r="L7" s="583" t="n"/>
      <c r="M7" s="583" t="n"/>
      <c r="N7" s="583" t="n"/>
      <c r="O7" s="583" t="n"/>
    </row>
    <row r="8">
      <c r="B8" s="8" t="inlineStr">
        <is>
          <t>Squad Support Costs</t>
        </is>
      </c>
      <c r="C8" s="551">
        <f>SUMIF(F24:F25,"AU",I24:I25)+SUMIF(F31:F31,"AU",I31:I31)</f>
        <v>0.6400000000000001</v>
      </c>
      <c r="D8" s="551">
        <f>SUMIF(F24:F25,"NZ",I24:I25)+SUMIF(F31:F31,"NZ",I31:I31)</f>
        <v>0.27999999999999997</v>
      </c>
      <c r="E8" s="551">
        <f>SUM(J24,J25,J31)</f>
        <v>3.6800000000000006</v>
      </c>
      <c r="F8" s="551">
        <f>C8+D8+E8</f>
        <v>4.6000000000000005</v>
      </c>
      <c r="G8" s="630" t="n"/>
      <c r="H8" s="550" t="inlineStr">
        <is>
          <t>AU Variance ($m)</t>
        </is>
      </c>
      <c r="I8" s="893">
        <f>I6-C9</f>
        <v>-0.5545000000000002</v>
      </c>
      <c r="J8" s="583" t="n"/>
      <c r="K8" s="583" t="n"/>
      <c r="L8" s="583" t="n"/>
      <c r="M8" s="583" t="n"/>
      <c r="N8" s="583" t="n"/>
      <c r="O8" s="583" t="n"/>
    </row>
    <row r="9">
      <c r="B9" s="202" t="inlineStr">
        <is>
          <t>Total Cost</t>
        </is>
      </c>
      <c r="C9" s="553">
        <f>SUM(C6:C8)</f>
        <v>1.5545000000000002</v>
      </c>
      <c r="D9" s="553">
        <f>SUM(D6:D8)</f>
        <v>0.27999999999999997</v>
      </c>
      <c r="E9" s="553">
        <f>SUM(E6:E8)</f>
        <v>3.6800000000000006</v>
      </c>
      <c r="F9" s="553">
        <f>SUM(F6:F8)</f>
        <v>5.514500000000001</v>
      </c>
      <c r="G9" s="631" t="n"/>
      <c r="H9" s="550" t="inlineStr">
        <is>
          <t>NZ Variance ($m)</t>
        </is>
      </c>
      <c r="I9" s="893">
        <f>I7-D9</f>
        <v>0.72</v>
      </c>
      <c r="J9" s="583" t="n"/>
      <c r="K9" s="583" t="n"/>
      <c r="L9" s="583" t="n"/>
      <c r="M9" s="583" t="n"/>
      <c r="N9" s="583" t="n"/>
      <c r="O9" s="583" t="n"/>
    </row>
    <row r="10">
      <c r="F10" s="547" t="n"/>
      <c r="G10" s="583" t="n"/>
      <c r="H10" s="877" t="inlineStr">
        <is>
          <t xml:space="preserve">Other funding </t>
        </is>
      </c>
      <c r="I10" s="870" t="n"/>
      <c r="J10" s="870" t="n"/>
      <c r="K10" s="871" t="n"/>
      <c r="L10" s="583" t="n"/>
      <c r="M10" s="583" t="n"/>
      <c r="N10" s="583" t="n"/>
      <c r="O10" s="583" t="n"/>
    </row>
    <row r="11">
      <c r="B11" s="879" t="inlineStr">
        <is>
          <t xml:space="preserve">Total Corporate Finance budget </t>
        </is>
      </c>
      <c r="D11" s="876" t="n"/>
      <c r="E11" s="205">
        <f>SUM(I12:I17)</f>
        <v>3.5</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c r="N11" s="583" t="n"/>
      <c r="O11" s="583" t="n"/>
    </row>
    <row r="12">
      <c r="B12" s="879" t="inlineStr">
        <is>
          <t xml:space="preserve">Reconciled to Finance </t>
        </is>
      </c>
      <c r="D12" s="876" t="n"/>
      <c r="E12" s="205">
        <f>'0.1 Budget Table (Fin)'!Q11</f>
        <v>3.5</v>
      </c>
      <c r="F12" s="547" t="n"/>
      <c r="G12" s="583" t="n"/>
      <c r="H12" s="214" t="inlineStr">
        <is>
          <t>Corporate Finance Lights On</t>
        </is>
      </c>
      <c r="I12" s="217">
        <f>'0.1 Budget Table (Fin)'!L11</f>
        <v>2.6</v>
      </c>
      <c r="J12" s="597">
        <f>'0.1 Budget Table (Fin)'!G11</f>
        <v>0.0</v>
      </c>
      <c r="K12" s="218">
        <f>IFERROR(I12-J12,0)</f>
        <v>2.6</v>
      </c>
      <c r="L12" s="583" t="n"/>
      <c r="M12" s="583" t="n"/>
      <c r="N12" s="583" t="n"/>
      <c r="O12" s="583" t="n"/>
    </row>
    <row r="13">
      <c r="F13" s="547" t="n"/>
      <c r="G13" s="583" t="n"/>
      <c r="H13" s="214" t="inlineStr">
        <is>
          <t>OpEx Initiatives</t>
        </is>
      </c>
      <c r="I13" s="217">
        <f>'0.1 Budget Table (Fin)'!N11</f>
        <v>0.9</v>
      </c>
      <c r="J13" s="224" t="n">
        <v>0</v>
      </c>
      <c r="K13" s="218">
        <f>IFERROR(I13-J13,0)</f>
        <v>0.9</v>
      </c>
      <c r="L13" s="583" t="n"/>
      <c r="M13" s="583" t="n"/>
      <c r="N13" s="583" t="n"/>
      <c r="O13" s="583" t="n"/>
    </row>
    <row r="14">
      <c r="B14" s="415" t="inlineStr">
        <is>
          <t>Total to fund</t>
        </is>
      </c>
      <c r="C14" s="416" t="n"/>
      <c r="F14" s="547" t="n"/>
      <c r="G14" s="583" t="n"/>
      <c r="H14" s="214" t="inlineStr">
        <is>
          <t>CapEx</t>
        </is>
      </c>
      <c r="I14" s="217">
        <f>'0.1 Budget Table (Fin)'!P11</f>
        <v>0.0</v>
      </c>
      <c r="J14" s="224" t="n">
        <v>0</v>
      </c>
      <c r="K14" s="218">
        <f>IFERROR(I14-J14,0)</f>
        <v>0.0</v>
      </c>
      <c r="L14" s="583" t="n"/>
      <c r="M14" s="583" t="n"/>
      <c r="N14" s="583" t="n"/>
      <c r="O14" s="583" t="n"/>
    </row>
    <row r="15">
      <c r="B15" s="417" t="inlineStr">
        <is>
          <t>TDD Variance</t>
        </is>
      </c>
      <c r="C15" s="894">
        <f>-(I8+I9)</f>
        <v>-0.16549999999999976</v>
      </c>
      <c r="F15" s="547" t="n"/>
      <c r="G15" s="583" t="n"/>
      <c r="H15" s="214" t="inlineStr">
        <is>
          <t>Significant Items</t>
        </is>
      </c>
      <c r="I15" s="217">
        <f>'0.1 Budget Table (Fin)'!O11</f>
        <v>0.0</v>
      </c>
      <c r="J15" s="224" t="n">
        <v>0</v>
      </c>
      <c r="K15" s="218">
        <f>IFERROR(I15-J15,0)</f>
        <v>0.0</v>
      </c>
      <c r="L15" s="583" t="n"/>
      <c r="M15" s="583" t="n"/>
      <c r="N15" s="583" t="n"/>
      <c r="O15" s="583" t="n"/>
    </row>
    <row r="16">
      <c r="B16" s="417" t="inlineStr">
        <is>
          <t>Other Variance</t>
        </is>
      </c>
      <c r="C16" s="894">
        <f>J20</f>
        <v>3.6800000000000006</v>
      </c>
      <c r="F16" s="547" t="n"/>
      <c r="G16" s="583" t="n"/>
      <c r="H16" s="214" t="inlineStr">
        <is>
          <t>Significant Items EGI</t>
        </is>
      </c>
      <c r="I16" s="217" t="n"/>
      <c r="J16" s="598">
        <f>J31</f>
        <v>0.0</v>
      </c>
      <c r="K16" s="218" t="n"/>
      <c r="L16" s="583" t="n"/>
      <c r="M16" s="583" t="n"/>
      <c r="N16" s="583" t="n"/>
      <c r="O16" s="583" t="n"/>
    </row>
    <row r="17">
      <c r="B17" s="419" t="inlineStr">
        <is>
          <t>Total</t>
        </is>
      </c>
      <c r="C17" s="895">
        <f>C15+C16</f>
        <v>3.514500000000001</v>
      </c>
      <c r="F17" s="547" t="n"/>
      <c r="G17" s="583" t="n"/>
      <c r="H17" s="214" t="inlineStr">
        <is>
          <t>Depreciation</t>
        </is>
      </c>
      <c r="I17" s="217">
        <f>'0.1 Budget Table (Fin)'!M11</f>
        <v>0.0</v>
      </c>
      <c r="J17" s="224" t="n">
        <v>0</v>
      </c>
      <c r="K17" s="218">
        <f>IFERROR(I17-J17,0)</f>
        <v>0.0</v>
      </c>
      <c r="L17" s="583" t="n"/>
      <c r="M17" s="583" t="n"/>
      <c r="N17" s="583" t="n"/>
      <c r="O17" s="583" t="n"/>
    </row>
    <row r="18">
      <c r="F18" s="547" t="n"/>
      <c r="G18" s="583" t="n"/>
      <c r="H18" s="225" t="inlineStr">
        <is>
          <t>Total applied</t>
        </is>
      </c>
      <c r="I18" s="595" t="n"/>
      <c r="J18" s="226">
        <f>SUM(J12:J17)</f>
        <v>0.0</v>
      </c>
      <c r="K18" s="595" t="n"/>
      <c r="L18" s="583" t="n"/>
      <c r="M18" s="583" t="n"/>
      <c r="N18" s="583" t="n"/>
      <c r="O18" s="583" t="n"/>
    </row>
    <row r="19">
      <c r="F19" s="547" t="n"/>
      <c r="G19" s="583" t="n"/>
      <c r="H19" s="214" t="inlineStr">
        <is>
          <t>Other cost (this model)</t>
        </is>
      </c>
      <c r="I19" s="595" t="n"/>
      <c r="J19" s="218">
        <f>E9</f>
        <v>3.6800000000000006</v>
      </c>
      <c r="K19" s="595" t="n"/>
      <c r="L19" s="583" t="n"/>
      <c r="M19" s="583" t="n"/>
      <c r="N19" s="583" t="n"/>
      <c r="O19" s="583" t="n"/>
    </row>
    <row r="20">
      <c r="F20" s="547" t="n"/>
      <c r="G20" s="583" t="n"/>
      <c r="H20" s="221" t="inlineStr">
        <is>
          <t>Left to fund</t>
        </is>
      </c>
      <c r="I20" s="595" t="n"/>
      <c r="J20" s="222">
        <f>E9-(J18-J12)</f>
        <v>3.6800000000000006</v>
      </c>
      <c r="K20" s="595" t="n"/>
      <c r="L20" s="583" t="n"/>
      <c r="M20" s="583" t="n"/>
      <c r="N20" s="583" t="n"/>
      <c r="O20" s="583" t="n"/>
    </row>
    <row r="21">
      <c r="F21" s="547" t="n"/>
      <c r="G21" s="583" t="n"/>
      <c r="H21" s="583" t="n"/>
      <c r="I21" s="583" t="n"/>
      <c r="J21" s="583" t="n"/>
      <c r="K21" s="583" t="n"/>
      <c r="L21" s="583" t="n"/>
      <c r="M21" s="583" t="n"/>
      <c r="N21" s="583" t="n"/>
      <c r="O21" s="583" t="n"/>
    </row>
    <row r="22">
      <c r="B22" s="872" t="inlineStr">
        <is>
          <t>Platform: Finance</t>
        </is>
      </c>
      <c r="K22" s="583" t="n"/>
      <c r="L22" s="583" t="n"/>
      <c r="M22" s="583" t="n"/>
      <c r="N22" s="583" t="n"/>
      <c r="O22" s="583" t="n"/>
    </row>
    <row r="23">
      <c r="B23" s="213" t="inlineStr">
        <is>
          <t>Squad</t>
        </is>
      </c>
      <c r="C23" s="467" t="inlineStr">
        <is>
          <t>Squad Type</t>
        </is>
      </c>
      <c r="D23" s="467" t="inlineStr">
        <is>
          <t>Size</t>
        </is>
      </c>
      <c r="E23" s="467" t="inlineStr">
        <is>
          <t>On/Off</t>
        </is>
      </c>
      <c r="F23" s="571" t="inlineStr">
        <is>
          <t>AU / NZ</t>
        </is>
      </c>
      <c r="G23" s="467" t="inlineStr">
        <is>
          <t>Support %</t>
        </is>
      </c>
      <c r="H23" s="467" t="inlineStr">
        <is>
          <t>Total Squad Cost ($m)</t>
        </is>
      </c>
      <c r="I23" s="467" t="inlineStr">
        <is>
          <t>TDD Cost ($m)</t>
        </is>
      </c>
      <c r="J23" s="467" t="inlineStr">
        <is>
          <t>Funded outside TDD ($m)</t>
        </is>
      </c>
      <c r="K23" s="589" t="n"/>
      <c r="L23" s="583" t="n"/>
      <c r="M23" s="583" t="n"/>
      <c r="N23" s="583" t="n"/>
      <c r="O23" s="583" t="n"/>
    </row>
    <row r="24">
      <c r="B24" s="214" t="inlineStr">
        <is>
          <t>AU Finance</t>
        </is>
      </c>
      <c r="C24" s="215" t="inlineStr">
        <is>
          <t>Configuration / Integration</t>
        </is>
      </c>
      <c r="D24" s="215" t="inlineStr">
        <is>
          <t>L</t>
        </is>
      </c>
      <c r="E24" s="215" t="inlineStr">
        <is>
          <t>Onshore</t>
        </is>
      </c>
      <c r="F24" s="590" t="inlineStr">
        <is>
          <t>AU</t>
        </is>
      </c>
      <c r="G24" s="216" t="n">
        <v>0.2</v>
      </c>
      <c r="H24" s="217">
        <f>IFERROR(IF($E24="Onshore",INDEX('0.3 Squad Archetypes'!$G$5:$G$23,MATCH($C24&amp;"|"&amp;$D24,'0.3 Squad Archetypes'!$A$5:$A$23,0)),INDEX('0.3 Squad Archetypes'!$H$5:$H$23,MATCH($C24&amp;"|"&amp;$D24,'0.3 Squad Archetypes'!$A$5:$A$23,0))),"check size")</f>
        <v>3.2</v>
      </c>
      <c r="I24" s="218">
        <f>IFERROR($H24*$G24,"")</f>
        <v>0.6400000000000001</v>
      </c>
      <c r="J24" s="218">
        <f>IFERROR($H24*(1-$G24),"")</f>
        <v>2.5600000000000005</v>
      </c>
      <c r="K24" s="559" t="n"/>
      <c r="L24" s="583" t="n"/>
      <c r="M24" s="583" t="n"/>
      <c r="N24" s="583" t="n"/>
      <c r="O24" s="583" t="n"/>
    </row>
    <row r="25">
      <c r="B25" s="214" t="inlineStr">
        <is>
          <t>NZ Finance</t>
        </is>
      </c>
      <c r="C25" s="215" t="inlineStr">
        <is>
          <t>Configuration / Integration</t>
        </is>
      </c>
      <c r="D25" s="215" t="inlineStr">
        <is>
          <t>S</t>
        </is>
      </c>
      <c r="E25" s="215" t="inlineStr">
        <is>
          <t>Onshore</t>
        </is>
      </c>
      <c r="F25" s="590" t="inlineStr">
        <is>
          <t>NZ</t>
        </is>
      </c>
      <c r="G25" s="216" t="n">
        <v>0.2</v>
      </c>
      <c r="H25" s="217">
        <f>IFERROR(IF($E25="Onshore",INDEX('0.3 Squad Archetypes'!$G$5:$G$23,MATCH($C25&amp;"|"&amp;$D25,'0.3 Squad Archetypes'!$A$5:$A$23,0)),INDEX('0.3 Squad Archetypes'!$H$5:$H$23,MATCH($C25&amp;"|"&amp;$D25,'0.3 Squad Archetypes'!$A$5:$A$23,0))),"check size")</f>
        <v>1.4</v>
      </c>
      <c r="I25" s="218">
        <f>IFERROR($H25*$G25,"")</f>
        <v>0.27999999999999997</v>
      </c>
      <c r="J25" s="218">
        <f>IFERROR($H25*(1-$G25),"")</f>
        <v>1.1199999999999999</v>
      </c>
      <c r="K25" s="559" t="n"/>
      <c r="L25" s="583" t="n"/>
      <c r="M25" s="583" t="n"/>
      <c r="N25" s="583" t="n"/>
      <c r="O25" s="583" t="n"/>
    </row>
    <row r="26">
      <c r="B26" s="468" t="inlineStr">
        <is>
          <t>Platform Overhead</t>
        </is>
      </c>
      <c r="C26" s="220" t="n"/>
      <c r="D26" s="220" t="n"/>
      <c r="E26" s="220" t="n"/>
      <c r="F26" s="547" t="n"/>
      <c r="G26" s="595" t="n"/>
      <c r="H26" s="595" t="n"/>
      <c r="I26" s="217">
        <f>'0.2 Data Config'!$L$16</f>
        <v>0.165</v>
      </c>
      <c r="J26" s="595" t="n"/>
      <c r="K26" s="583" t="n"/>
      <c r="L26" s="583" t="n"/>
      <c r="M26" s="583" t="n"/>
      <c r="N26" s="583" t="n"/>
      <c r="O26" s="583" t="n"/>
    </row>
    <row r="27">
      <c r="B27" s="221" t="inlineStr">
        <is>
          <t>Finance Total</t>
        </is>
      </c>
      <c r="C27" s="209" t="n"/>
      <c r="D27" s="209" t="n"/>
      <c r="E27" s="209" t="n"/>
      <c r="F27" s="547" t="n"/>
      <c r="G27" s="209" t="n"/>
      <c r="H27" s="222">
        <f>SUM(H24:H25)</f>
        <v>4.6</v>
      </c>
      <c r="I27" s="222">
        <f>SUM(I24:I26)</f>
        <v>1.0850000000000002</v>
      </c>
      <c r="J27" s="222">
        <f>SUM(J24:J25)</f>
        <v>3.6800000000000006</v>
      </c>
      <c r="K27" s="583" t="n"/>
      <c r="L27" s="583" t="n"/>
      <c r="M27" s="583" t="n"/>
      <c r="N27" s="583" t="n"/>
      <c r="O27" s="583" t="n"/>
    </row>
    <row r="28">
      <c r="F28" s="547" t="n"/>
      <c r="G28" s="583" t="n"/>
      <c r="H28" s="583" t="n"/>
      <c r="I28" s="583" t="n"/>
      <c r="J28" s="583" t="n"/>
      <c r="K28" s="583" t="n"/>
      <c r="L28" s="583" t="n"/>
      <c r="M28" s="583" t="n"/>
      <c r="N28" s="583" t="n"/>
      <c r="O28" s="583" t="n"/>
    </row>
    <row r="29">
      <c r="B29" s="204" t="inlineStr">
        <is>
          <t>Platform: EGI Finance</t>
        </is>
      </c>
      <c r="F29" s="547" t="n"/>
      <c r="G29" s="583" t="n"/>
      <c r="H29" s="583" t="n"/>
      <c r="I29" s="583" t="n"/>
      <c r="J29" s="583" t="n"/>
      <c r="K29" s="583" t="n"/>
      <c r="L29" s="583" t="n"/>
      <c r="M29" s="583" t="n"/>
      <c r="N29" s="583" t="n"/>
      <c r="O29" s="583" t="n"/>
    </row>
    <row r="30">
      <c r="B30" s="5" t="inlineStr">
        <is>
          <t>Squad</t>
        </is>
      </c>
      <c r="C30" s="463" t="inlineStr">
        <is>
          <t>Squad Type</t>
        </is>
      </c>
      <c r="D30" s="463" t="inlineStr">
        <is>
          <t>Size</t>
        </is>
      </c>
      <c r="E30" s="463" t="inlineStr">
        <is>
          <t>On/Off</t>
        </is>
      </c>
      <c r="F30" s="571" t="inlineStr">
        <is>
          <t>AU / NZ</t>
        </is>
      </c>
      <c r="G30" s="463" t="inlineStr">
        <is>
          <t>Support %</t>
        </is>
      </c>
      <c r="H30" s="463" t="inlineStr">
        <is>
          <t>Total Squad Cost ($m)</t>
        </is>
      </c>
      <c r="I30" s="463" t="inlineStr">
        <is>
          <t>TDD Cost ($m)</t>
        </is>
      </c>
      <c r="J30" s="463" t="inlineStr">
        <is>
          <t>Funded outside TDD ($m)</t>
        </is>
      </c>
      <c r="K30" s="589" t="n"/>
      <c r="L30" s="583" t="n"/>
      <c r="M30" s="583" t="n"/>
      <c r="N30" s="583" t="n"/>
      <c r="O30" s="583" t="n"/>
    </row>
    <row r="31">
      <c r="B31" s="8" t="inlineStr">
        <is>
          <t>EGI Finance</t>
        </is>
      </c>
      <c r="C31" s="210" t="inlineStr">
        <is>
          <t>Strategic Programs</t>
        </is>
      </c>
      <c r="D31" s="210" t="n"/>
      <c r="E31" s="210" t="inlineStr">
        <is>
          <t>Onshore</t>
        </is>
      </c>
      <c r="F31" s="590" t="inlineStr">
        <is>
          <t>AU</t>
        </is>
      </c>
      <c r="G31" s="211" t="n">
        <v>0.2</v>
      </c>
      <c r="H31" s="591" t="n">
        <v>0</v>
      </c>
      <c r="I31" s="9">
        <f>IFERROR($H31*$G31,"")</f>
        <v>0.0</v>
      </c>
      <c r="J31" s="9">
        <f>IFERROR($H31*(1-$G31),"")</f>
        <v>0.0</v>
      </c>
      <c r="K31" s="559" t="n"/>
      <c r="L31" s="583" t="n"/>
      <c r="M31" s="583" t="n"/>
      <c r="N31" s="570" t="str">
        <f>"People in this program today cost "&amp;TEXT(SUMIFS('Added data'!$AA:$AA,'Added data'!$AE:$AE,$B31)/1000000,"0.00")&amp;"m. Set the agreed cost in the yellow cell."</f>
        <v>People in this program today cost 0.24m. Set the agreed cost in the yellow cell.</v>
      </c>
      <c r="O31" s="583" t="n"/>
    </row>
    <row r="32">
      <c r="B32" s="202" t="inlineStr">
        <is>
          <t>EGI Finance Total</t>
        </is>
      </c>
      <c r="F32" s="547" t="n"/>
      <c r="G32" s="583" t="n"/>
      <c r="H32" s="203">
        <f>SUM(H31:H31)</f>
        <v>0.0</v>
      </c>
      <c r="I32" s="203">
        <f>SUM(I31:I31)</f>
        <v>0.0</v>
      </c>
      <c r="J32" s="203">
        <f>SUM(J31:J31)</f>
        <v>0.0</v>
      </c>
      <c r="K32" s="583" t="n"/>
      <c r="L32" s="583" t="n"/>
      <c r="M32" s="583" t="n"/>
      <c r="N32" s="583" t="n"/>
      <c r="O32" s="583" t="n"/>
    </row>
    <row r="33">
      <c r="F33" s="547" t="n"/>
      <c r="G33" s="583" t="n"/>
      <c r="H33" s="583" t="n"/>
      <c r="I33" s="583" t="n"/>
      <c r="J33" s="583" t="n"/>
      <c r="K33" s="583" t="n"/>
      <c r="L33" s="583" t="n"/>
      <c r="M33" s="583" t="n"/>
      <c r="N33" s="583" t="n"/>
      <c r="O33" s="583" t="n"/>
    </row>
    <row r="34">
      <c r="B34" s="556" t="n"/>
      <c r="C34" s="592" t="n"/>
      <c r="D34" s="547" t="n"/>
      <c r="F34" s="547" t="n"/>
      <c r="G34" s="583" t="n"/>
      <c r="H34" s="583" t="n"/>
      <c r="I34" s="583" t="n"/>
      <c r="J34" s="583" t="n"/>
      <c r="K34" s="583" t="n"/>
      <c r="L34" s="583" t="n"/>
      <c r="M34" s="583" t="n"/>
      <c r="N34" s="583" t="n"/>
      <c r="O34" s="583" t="n"/>
    </row>
    <row r="35">
      <c r="B35" s="556" t="n"/>
      <c r="C35" s="592" t="n"/>
      <c r="D35" s="547" t="n"/>
      <c r="F35" s="547" t="n"/>
      <c r="G35" s="583" t="n"/>
      <c r="H35" s="583" t="n"/>
      <c r="I35" s="583" t="n"/>
      <c r="J35" s="583" t="n"/>
      <c r="K35" s="583" t="n"/>
      <c r="L35" s="583" t="n"/>
      <c r="M35" s="583" t="n"/>
      <c r="N35" s="583" t="n"/>
      <c r="O35" s="583" t="n"/>
    </row>
  </sheetData>
  <mergeCells count="6">
    <mergeCell ref="B11:D11"/>
    <mergeCell ref="B4:E4"/>
    <mergeCell ref="B22:J22"/>
    <mergeCell ref="H4:I4"/>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G24:G25 G31" showDropDown="0" showInputMessage="0" showErrorMessage="1" allowBlank="1" errorTitle="Invalid entry" error="Pick a value from the list" type="list">
      <formula1>SupportPct</formula1>
      <formula2>0</formula2>
    </dataValidation>
    <dataValidation sqref="F24 F25 F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1F4E79"/>
    <outlinePr summaryBelow="1" summaryRight="1"/>
    <pageSetUpPr/>
  </sheetPr>
  <dimension ref="B1:M43"/>
  <sheetViews>
    <sheetView showGridLines="0" zoomScaleNormal="10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3.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Infrastructure</t>
        </is>
      </c>
      <c r="F2" s="547" t="n"/>
      <c r="G2" s="583" t="n"/>
      <c r="H2" s="583" t="n"/>
      <c r="I2" s="583" t="n"/>
      <c r="J2" s="583" t="n"/>
      <c r="K2" s="583" t="n"/>
      <c r="L2" s="583" t="n"/>
      <c r="M2" s="583" t="n"/>
    </row>
    <row r="3">
      <c r="F3" s="547" t="n"/>
      <c r="G3" s="583" t="n"/>
      <c r="H3" s="583" t="n"/>
      <c r="I3" s="583" t="n"/>
      <c r="J3" s="583" t="n"/>
      <c r="K3" s="583" t="n"/>
      <c r="L3" s="583" t="n"/>
      <c r="M3" s="583" t="n"/>
    </row>
    <row r="4">
      <c r="F4" s="547" t="n"/>
      <c r="G4" s="583" t="n"/>
      <c r="H4" s="583" t="n"/>
      <c r="I4" s="583" t="n"/>
      <c r="J4" s="583" t="n"/>
      <c r="K4" s="583" t="n"/>
      <c r="L4" s="583" t="n"/>
      <c r="M4" s="583" t="n"/>
    </row>
    <row r="5">
      <c r="B5" s="850" t="inlineStr">
        <is>
          <t>Portfolio Summary</t>
        </is>
      </c>
      <c r="C5" s="851" t="n"/>
      <c r="D5" s="851" t="n"/>
      <c r="E5" s="852" t="n"/>
      <c r="F5" s="547" t="n"/>
      <c r="G5" s="583" t="n"/>
      <c r="H5" s="199" t="inlineStr">
        <is>
          <t>Budget vs TDD Cost</t>
        </is>
      </c>
      <c r="I5" s="199" t="n"/>
      <c r="J5" s="583" t="n"/>
      <c r="K5" s="583" t="n"/>
      <c r="L5" s="583" t="n"/>
      <c r="M5" s="583" t="n"/>
    </row>
    <row r="6" ht="29" customHeight="1" s="849">
      <c r="B6" s="5" t="inlineStr">
        <is>
          <t>Cost</t>
        </is>
      </c>
      <c r="C6" s="549" t="inlineStr">
        <is>
          <t>TDD AU ($m)</t>
        </is>
      </c>
      <c r="D6" s="549" t="inlineStr">
        <is>
          <t>TDD NZ ($m)</t>
        </is>
      </c>
      <c r="E6" s="549" t="inlineStr">
        <is>
          <t>Other ($m)</t>
        </is>
      </c>
      <c r="F6" s="549" t="inlineStr">
        <is>
          <t>Total ($m)</t>
        </is>
      </c>
      <c r="G6" s="629" t="n"/>
      <c r="H6" s="563" t="inlineStr">
        <is>
          <t>AU Budget ($m)</t>
        </is>
      </c>
      <c r="I6" s="551">
        <f>'0.2 Data Config'!$C$17</f>
        <v>2.5</v>
      </c>
      <c r="J6" s="583" t="n"/>
      <c r="K6" s="583" t="n"/>
      <c r="L6" s="583" t="n"/>
      <c r="M6" s="583" t="n"/>
    </row>
    <row r="7">
      <c r="B7" s="227" t="inlineStr">
        <is>
          <t>Portfolio Overhead (see 0.2 Data Config)</t>
        </is>
      </c>
      <c r="C7" s="551">
        <f>IF(('0.2 Data Config'!$D$17)&gt;('0.2 Data Config'!$C$17),0,'0.2 Data Config'!$L$10)</f>
        <v>0.7495</v>
      </c>
      <c r="D7" s="551">
        <f>IF(('0.2 Data Config'!$D$17)&gt;('0.2 Data Config'!$C$17),'0.2 Data Config'!$L$10,0)</f>
        <v>0.0</v>
      </c>
      <c r="E7" s="551">
        <f>0</f>
        <v>0.0</v>
      </c>
      <c r="F7" s="551">
        <f>C7+D7+E7</f>
        <v>0.7495</v>
      </c>
      <c r="G7" s="630" t="n"/>
      <c r="H7" s="563" t="inlineStr">
        <is>
          <t>NZ Budget ($m)</t>
        </is>
      </c>
      <c r="I7" s="551">
        <f>'0.2 Data Config'!$D$17</f>
        <v>0.0</v>
      </c>
      <c r="J7" s="583" t="n"/>
      <c r="K7" s="583" t="n"/>
      <c r="L7" s="583" t="n"/>
      <c r="M7" s="583" t="n"/>
    </row>
    <row r="8">
      <c r="B8" s="227" t="inlineStr">
        <is>
          <t>Platform Overheads</t>
        </is>
      </c>
      <c r="C8" s="551">
        <f>IF(('0.2 Data Config'!$D$17)&gt;('0.2 Data Config'!$C$17),0,SUM(I26,I33,I39))</f>
        <v>0.495</v>
      </c>
      <c r="D8" s="551">
        <f>IF(('0.2 Data Config'!$D$17)&gt;('0.2 Data Config'!$C$17),SUM(I26,I33,I39),0)</f>
        <v>0.0</v>
      </c>
      <c r="E8" s="551">
        <f>0</f>
        <v>0.0</v>
      </c>
      <c r="F8" s="551">
        <f>C8+D8+E8</f>
        <v>0.495</v>
      </c>
      <c r="G8" s="630" t="n"/>
      <c r="H8" s="599" t="inlineStr">
        <is>
          <t>AU Variance ($m)</t>
        </is>
      </c>
      <c r="I8" s="896">
        <f>I6-C10</f>
        <v>-0.5045000000000002</v>
      </c>
      <c r="J8" s="583" t="n"/>
      <c r="K8" s="583" t="n"/>
      <c r="L8" s="583" t="n"/>
      <c r="M8" s="583" t="n"/>
    </row>
    <row r="9">
      <c r="B9" s="8" t="inlineStr">
        <is>
          <t>Squad Support Costs</t>
        </is>
      </c>
      <c r="C9" s="551">
        <f>SUMIF(F25:F25,"AU",I25:I25)+SUMIF(F31:F32,"AU",I31:I32)+SUMIF(F38:F38,"AU",I38:I38)</f>
        <v>1.76</v>
      </c>
      <c r="D9" s="551">
        <f>SUMIF(F25:F25,"NZ",I25:I25)+SUMIF(F31:F32,"NZ",I31:I32)+SUMIF(F38:F38,"NZ",I38:I38)</f>
        <v>0.0</v>
      </c>
      <c r="E9" s="551">
        <f>SUM(J25,J31,J32,J38)</f>
        <v>4.640000000000001</v>
      </c>
      <c r="F9" s="551">
        <f>C9+D9+E9</f>
        <v>6.4</v>
      </c>
      <c r="G9" s="630" t="n"/>
      <c r="H9" s="550" t="inlineStr">
        <is>
          <t>NZ Variance ($m)</t>
        </is>
      </c>
      <c r="I9" s="893">
        <f>I7-D10</f>
        <v>0.0</v>
      </c>
      <c r="J9" s="583" t="n"/>
      <c r="K9" s="583" t="n"/>
      <c r="L9" s="583" t="n"/>
      <c r="M9" s="583" t="n"/>
    </row>
    <row r="10">
      <c r="B10" s="202" t="inlineStr">
        <is>
          <t>Total Cost</t>
        </is>
      </c>
      <c r="C10" s="553">
        <f>SUM(C7:C9)</f>
        <v>3.0045</v>
      </c>
      <c r="D10" s="553">
        <f>SUM(D7:D9)</f>
        <v>0.0</v>
      </c>
      <c r="E10" s="553">
        <f>SUM(E7:E9)</f>
        <v>4.640000000000001</v>
      </c>
      <c r="F10" s="553">
        <f>SUM(F7:F9)</f>
        <v>7.644500000000001</v>
      </c>
      <c r="G10" s="631" t="n"/>
      <c r="H10" s="583" t="n"/>
      <c r="I10" s="583" t="n"/>
      <c r="J10" s="583" t="n"/>
      <c r="K10" s="583" t="n"/>
      <c r="L10" s="583" t="n"/>
      <c r="M10" s="583" t="n"/>
    </row>
    <row r="11">
      <c r="F11" s="547" t="n"/>
      <c r="G11" s="583" t="n"/>
      <c r="H11" s="877" t="inlineStr">
        <is>
          <t xml:space="preserve">Other funding </t>
        </is>
      </c>
      <c r="I11" s="870" t="n"/>
      <c r="J11" s="870" t="n"/>
      <c r="K11" s="871" t="n"/>
      <c r="L11" s="583" t="n"/>
      <c r="M11" s="583" t="n"/>
    </row>
    <row r="12">
      <c r="B12" s="879" t="inlineStr">
        <is>
          <t xml:space="preserve">Total Infrastructure budget </t>
        </is>
      </c>
      <c r="D12" s="876" t="n"/>
      <c r="E12" s="205">
        <f>SUM(I13:I17)</f>
        <v>9.3</v>
      </c>
      <c r="F12" s="547" t="n"/>
      <c r="G12" s="583" t="n"/>
      <c r="H12" s="467" t="inlineStr">
        <is>
          <t>Budget line</t>
        </is>
      </c>
      <c r="I12" s="467" t="inlineStr">
        <is>
          <t>Budget ($m)</t>
        </is>
      </c>
      <c r="J12" s="469" t="inlineStr">
        <is>
          <t>Amount that can be allocated to people</t>
        </is>
      </c>
      <c r="K12" s="467" t="inlineStr">
        <is>
          <t>Remaining for non-people ($m)</t>
        </is>
      </c>
      <c r="L12" s="583" t="n"/>
      <c r="M12" s="583" t="n"/>
    </row>
    <row r="13">
      <c r="B13" s="881" t="inlineStr">
        <is>
          <t xml:space="preserve">Reconciled to Finance </t>
        </is>
      </c>
      <c r="C13" s="870" t="n"/>
      <c r="D13" s="871" t="n"/>
      <c r="E13" s="205">
        <f>'0.1 Budget Table (Fin)'!Q10</f>
        <v>9.3</v>
      </c>
      <c r="F13" s="547" t="n"/>
      <c r="G13" s="583" t="n"/>
      <c r="H13" s="214" t="inlineStr">
        <is>
          <t>Infrastructure Lights On</t>
        </is>
      </c>
      <c r="I13" s="217">
        <f>'0.1 Budget Table (Fin)'!L10</f>
        <v>3.9</v>
      </c>
      <c r="J13" s="595">
        <f>'0.1 Budget Table (Fin)'!G10</f>
        <v>0.0</v>
      </c>
      <c r="K13" s="218">
        <f>IFERROR(I13-J13,0)</f>
        <v>3.9</v>
      </c>
      <c r="L13" s="583" t="n"/>
      <c r="M13" s="583" t="n"/>
    </row>
    <row r="14">
      <c r="F14" s="547" t="n"/>
      <c r="G14" s="583" t="n"/>
      <c r="H14" s="214" t="inlineStr">
        <is>
          <t>OpEx Initiatives</t>
        </is>
      </c>
      <c r="I14" s="217">
        <f>'0.1 Budget Table (Fin)'!N10</f>
        <v>0.4</v>
      </c>
      <c r="J14" s="224" t="n">
        <v>0</v>
      </c>
      <c r="K14" s="218">
        <f>IFERROR(I14-J14,0)</f>
        <v>0.4</v>
      </c>
      <c r="L14" s="583" t="n"/>
      <c r="M14" s="583" t="n"/>
    </row>
    <row r="15">
      <c r="B15" s="415" t="inlineStr">
        <is>
          <t>Total to fund</t>
        </is>
      </c>
      <c r="C15" s="416" t="n"/>
      <c r="F15" s="547" t="n"/>
      <c r="G15" s="583" t="n"/>
      <c r="H15" s="214" t="inlineStr">
        <is>
          <t>CapEx</t>
        </is>
      </c>
      <c r="I15" s="217">
        <f>'0.1 Budget Table (Fin)'!P10</f>
        <v>5.0</v>
      </c>
      <c r="J15" s="224" t="n">
        <v>0</v>
      </c>
      <c r="K15" s="218">
        <f>IFERROR(I15-J15,0)</f>
        <v>5.0</v>
      </c>
      <c r="L15" s="583" t="n"/>
      <c r="M15" s="583" t="n"/>
    </row>
    <row r="16">
      <c r="B16" s="417" t="inlineStr">
        <is>
          <t>TDD Variance</t>
        </is>
      </c>
      <c r="C16" s="894">
        <f>-(I8+I9)</f>
        <v>0.5045000000000002</v>
      </c>
      <c r="F16" s="547" t="n"/>
      <c r="G16" s="583" t="n"/>
      <c r="H16" s="214" t="inlineStr">
        <is>
          <t>Significant Items</t>
        </is>
      </c>
      <c r="I16" s="217">
        <f>'0.1 Budget Table (Fin)'!O10</f>
        <v>0.0</v>
      </c>
      <c r="J16" s="224" t="n">
        <v>0</v>
      </c>
      <c r="K16" s="218">
        <f>IFERROR(I16-J16,0)</f>
        <v>0.0</v>
      </c>
      <c r="L16" s="583" t="n"/>
      <c r="M16" s="583" t="n"/>
    </row>
    <row r="17">
      <c r="B17" s="417" t="inlineStr">
        <is>
          <t>Other Variance</t>
        </is>
      </c>
      <c r="C17" s="894">
        <f>J20</f>
        <v>4.640000000000001</v>
      </c>
      <c r="F17" s="547" t="n"/>
      <c r="G17" s="583" t="n"/>
      <c r="H17" s="214" t="inlineStr">
        <is>
          <t>Depreciation</t>
        </is>
      </c>
      <c r="I17" s="217">
        <f>'0.1 Budget Table (Fin)'!M10</f>
        <v>0.0</v>
      </c>
      <c r="J17" s="224" t="n">
        <v>0</v>
      </c>
      <c r="K17" s="218">
        <f>IFERROR(I17-J17,0)</f>
        <v>0.0</v>
      </c>
      <c r="L17" s="583" t="n"/>
      <c r="M17" s="583" t="n"/>
    </row>
    <row r="18">
      <c r="B18" s="419" t="inlineStr">
        <is>
          <t>Total</t>
        </is>
      </c>
      <c r="C18" s="895">
        <f>C16+C17</f>
        <v>5.144500000000001</v>
      </c>
      <c r="F18" s="547" t="n"/>
      <c r="G18" s="583" t="n"/>
      <c r="H18" s="225" t="inlineStr">
        <is>
          <t>Total applied</t>
        </is>
      </c>
      <c r="I18" s="595" t="n"/>
      <c r="J18" s="226">
        <f>SUM(J13:J17)</f>
        <v>0.0</v>
      </c>
      <c r="K18" s="595" t="n"/>
      <c r="L18" s="583" t="n"/>
      <c r="M18" s="583" t="n"/>
    </row>
    <row r="19">
      <c r="F19" s="547" t="n"/>
      <c r="G19" s="583" t="n"/>
      <c r="H19" s="214" t="inlineStr">
        <is>
          <t>Other cost (this model)</t>
        </is>
      </c>
      <c r="I19" s="595" t="n"/>
      <c r="J19" s="218">
        <f>E10</f>
        <v>4.640000000000001</v>
      </c>
      <c r="K19" s="595" t="n"/>
      <c r="L19" s="583" t="n"/>
      <c r="M19" s="583" t="n"/>
    </row>
    <row r="20">
      <c r="F20" s="547" t="n"/>
      <c r="G20" s="583" t="n"/>
      <c r="H20" s="221" t="inlineStr">
        <is>
          <t>Left to fund</t>
        </is>
      </c>
      <c r="I20" s="595" t="n"/>
      <c r="J20" s="222">
        <f>E10-(J18-J13)</f>
        <v>4.640000000000001</v>
      </c>
      <c r="K20" s="595" t="n"/>
      <c r="L20" s="583" t="n"/>
      <c r="M20" s="583" t="n"/>
    </row>
    <row r="21">
      <c r="F21" s="547" t="n"/>
      <c r="G21" s="583" t="n"/>
      <c r="H21" s="583" t="n"/>
      <c r="I21" s="583" t="n"/>
      <c r="J21" s="583" t="n"/>
      <c r="K21" s="583" t="n"/>
      <c r="L21" s="583" t="n"/>
      <c r="M21" s="583" t="n"/>
    </row>
    <row r="22">
      <c r="F22" s="547" t="n"/>
      <c r="G22" s="583" t="n"/>
      <c r="H22" s="583" t="n"/>
      <c r="I22" s="583" t="n"/>
      <c r="J22" s="583" t="n"/>
      <c r="K22" s="583" t="n"/>
      <c r="L22" s="583" t="n"/>
      <c r="M22" s="583" t="n"/>
    </row>
    <row r="23">
      <c r="B23" s="877" t="inlineStr">
        <is>
          <t>Platform: Distribution</t>
        </is>
      </c>
      <c r="C23" s="870" t="n"/>
      <c r="D23" s="870" t="n"/>
      <c r="E23" s="870" t="n"/>
      <c r="F23" s="870" t="n"/>
      <c r="G23" s="870" t="n"/>
      <c r="H23" s="870" t="n"/>
      <c r="I23" s="870" t="n"/>
      <c r="J23" s="871" t="n"/>
      <c r="K23" s="583" t="n"/>
      <c r="L23" s="583" t="n"/>
      <c r="M23" s="583" t="n"/>
    </row>
    <row r="24">
      <c r="B24" s="213" t="inlineStr">
        <is>
          <t>Squad</t>
        </is>
      </c>
      <c r="C24" s="467" t="inlineStr">
        <is>
          <t>Squad Type</t>
        </is>
      </c>
      <c r="D24" s="467" t="inlineStr">
        <is>
          <t>Size</t>
        </is>
      </c>
      <c r="E24" s="467" t="inlineStr">
        <is>
          <t>On/Off</t>
        </is>
      </c>
      <c r="F24" s="571" t="inlineStr">
        <is>
          <t>AU / NZ</t>
        </is>
      </c>
      <c r="G24" s="467" t="inlineStr">
        <is>
          <t>Support %</t>
        </is>
      </c>
      <c r="H24" s="467" t="inlineStr">
        <is>
          <t>Total Squad Cost ($m)</t>
        </is>
      </c>
      <c r="I24" s="467" t="inlineStr">
        <is>
          <t>TDD Cost ($m)</t>
        </is>
      </c>
      <c r="J24" s="467" t="inlineStr">
        <is>
          <t>Funded outside TDD ($m)</t>
        </is>
      </c>
      <c r="K24" s="583" t="n"/>
      <c r="L24" s="589" t="n"/>
      <c r="M24" s="583" t="n"/>
    </row>
    <row r="25">
      <c r="B25" s="214" t="inlineStr">
        <is>
          <t>Distribution, Sales &amp; Services</t>
        </is>
      </c>
      <c r="C25" s="215" t="inlineStr">
        <is>
          <t>Configuration / Integration</t>
        </is>
      </c>
      <c r="D25" s="215" t="inlineStr">
        <is>
          <t>M</t>
        </is>
      </c>
      <c r="E25" s="215" t="inlineStr">
        <is>
          <t>Onshore</t>
        </is>
      </c>
      <c r="F25" s="590" t="inlineStr">
        <is>
          <t>AU</t>
        </is>
      </c>
      <c r="G25" s="216" t="n">
        <v>0.2</v>
      </c>
      <c r="H25" s="217">
        <f>IFERROR(IF($E25="Onshore",INDEX('0.3 Squad Archetypes'!$G$5:$G$23,MATCH($C25&amp;"|"&amp;$D25,'0.3 Squad Archetypes'!$A$5:$A$23,0)),INDEX('0.3 Squad Archetypes'!$H$5:$H$23,MATCH($C25&amp;"|"&amp;$D25,'0.3 Squad Archetypes'!$A$5:$A$23,0))),"check size")</f>
        <v>2.1</v>
      </c>
      <c r="I25" s="218">
        <f>IFERROR($H25*$G25,"")</f>
        <v>0.42000000000000004</v>
      </c>
      <c r="J25" s="218">
        <f>IFERROR($H25*(1-$G25),"")</f>
        <v>1.6800000000000002</v>
      </c>
      <c r="K25" s="583" t="n"/>
      <c r="L25" s="559" t="n"/>
      <c r="M25" s="583" t="n"/>
    </row>
    <row r="26">
      <c r="B26" s="468" t="inlineStr">
        <is>
          <t>Platform Overhead</t>
        </is>
      </c>
      <c r="C26" s="220" t="n"/>
      <c r="D26" s="220" t="n"/>
      <c r="E26" s="220" t="n"/>
      <c r="F26" s="547" t="n"/>
      <c r="G26" s="595" t="n"/>
      <c r="H26" s="595" t="n"/>
      <c r="I26" s="217">
        <f>'0.2 Data Config'!$L$16</f>
        <v>0.165</v>
      </c>
      <c r="J26" s="595" t="n"/>
      <c r="K26" s="583" t="n"/>
      <c r="L26" s="583" t="n"/>
      <c r="M26" s="583" t="n"/>
    </row>
    <row r="27">
      <c r="B27" s="221" t="inlineStr">
        <is>
          <t>Distribution Total</t>
        </is>
      </c>
      <c r="C27" s="209" t="n"/>
      <c r="D27" s="209" t="n"/>
      <c r="E27" s="209" t="n"/>
      <c r="F27" s="547" t="n"/>
      <c r="G27" s="209" t="n"/>
      <c r="H27" s="222">
        <f>SUM(H25:H25)</f>
        <v>2.1</v>
      </c>
      <c r="I27" s="222">
        <f>SUM(I25:I26)</f>
        <v>0.5850000000000001</v>
      </c>
      <c r="J27" s="222">
        <f>SUM(J25:J25)</f>
        <v>1.6800000000000002</v>
      </c>
      <c r="K27" s="583" t="n"/>
      <c r="L27" s="583" t="n"/>
      <c r="M27" s="583" t="n"/>
    </row>
    <row r="28">
      <c r="F28" s="547" t="n"/>
      <c r="G28" s="583" t="n"/>
      <c r="H28" s="583" t="n"/>
      <c r="I28" s="583" t="n"/>
      <c r="J28" s="583" t="n"/>
      <c r="K28" s="583" t="n"/>
      <c r="L28" s="583" t="n"/>
      <c r="M28" s="583" t="n"/>
    </row>
    <row r="29">
      <c r="B29" s="877" t="inlineStr">
        <is>
          <t>Platform: Manufacturing</t>
        </is>
      </c>
      <c r="C29" s="870" t="n"/>
      <c r="D29" s="870" t="n"/>
      <c r="E29" s="870" t="n"/>
      <c r="F29" s="870" t="n"/>
      <c r="G29" s="870" t="n"/>
      <c r="H29" s="870" t="n"/>
      <c r="I29" s="870" t="n"/>
      <c r="J29" s="871" t="n"/>
      <c r="K29" s="583" t="n"/>
      <c r="L29" s="583" t="n"/>
      <c r="M29" s="583" t="n"/>
    </row>
    <row r="30">
      <c r="B30" s="213" t="inlineStr">
        <is>
          <t>Squad</t>
        </is>
      </c>
      <c r="C30" s="467" t="inlineStr">
        <is>
          <t>Squad Type</t>
        </is>
      </c>
      <c r="D30" s="467" t="inlineStr">
        <is>
          <t>Size</t>
        </is>
      </c>
      <c r="E30" s="467" t="inlineStr">
        <is>
          <t>On/Off</t>
        </is>
      </c>
      <c r="F30" s="571" t="inlineStr">
        <is>
          <t>AU / NZ</t>
        </is>
      </c>
      <c r="G30" s="467" t="inlineStr">
        <is>
          <t>Support %</t>
        </is>
      </c>
      <c r="H30" s="467" t="inlineStr">
        <is>
          <t>Total Squad Cost ($m)</t>
        </is>
      </c>
      <c r="I30" s="467" t="inlineStr">
        <is>
          <t>TDD Cost ($m)</t>
        </is>
      </c>
      <c r="J30" s="467" t="inlineStr">
        <is>
          <t>Funded outside TDD ($m)</t>
        </is>
      </c>
      <c r="K30" s="583" t="n"/>
      <c r="L30" s="589" t="n"/>
      <c r="M30" s="583" t="n"/>
    </row>
    <row r="31">
      <c r="B31" s="214" t="inlineStr">
        <is>
          <t>Manufacturing &amp; Group Projects</t>
        </is>
      </c>
      <c r="C31" s="215" t="inlineStr">
        <is>
          <t>Configuration / Integration</t>
        </is>
      </c>
      <c r="D31" s="215" t="inlineStr">
        <is>
          <t>M</t>
        </is>
      </c>
      <c r="E31" s="215" t="inlineStr">
        <is>
          <t>Onshore</t>
        </is>
      </c>
      <c r="F31" s="590" t="inlineStr">
        <is>
          <t>AU</t>
        </is>
      </c>
      <c r="G31" s="216" t="n">
        <v>0.2</v>
      </c>
      <c r="H31" s="217">
        <f>IFERROR(IF($E31="Onshore",INDEX('0.3 Squad Archetypes'!$G$5:$G$23,MATCH($C31&amp;"|"&amp;$D31,'0.3 Squad Archetypes'!$A$5:$A$23,0)),INDEX('0.3 Squad Archetypes'!$H$5:$H$23,MATCH($C31&amp;"|"&amp;$D31,'0.3 Squad Archetypes'!$A$5:$A$23,0))),"check size")</f>
        <v>2.1</v>
      </c>
      <c r="I31" s="218">
        <f>IFERROR($H31*$G31,"")</f>
        <v>0.42000000000000004</v>
      </c>
      <c r="J31" s="218">
        <f>IFERROR($H31*(1-$G31),"")</f>
        <v>1.6800000000000002</v>
      </c>
      <c r="K31" s="583" t="n"/>
      <c r="L31" s="559" t="n"/>
      <c r="M31" s="583" t="n"/>
    </row>
    <row r="32">
      <c r="B32" s="214" t="inlineStr">
        <is>
          <t>Technology Support</t>
        </is>
      </c>
      <c r="C32" s="215" t="inlineStr">
        <is>
          <t>Operations</t>
        </is>
      </c>
      <c r="D32" s="215" t="inlineStr">
        <is>
          <t>S</t>
        </is>
      </c>
      <c r="E32" s="215" t="inlineStr">
        <is>
          <t>Onshore</t>
        </is>
      </c>
      <c r="F32" s="590" t="inlineStr">
        <is>
          <t>AU</t>
        </is>
      </c>
      <c r="G32" s="216" t="n">
        <v>0.8</v>
      </c>
      <c r="H32" s="217">
        <f>IFERROR(IF($E32="Onshore",INDEX('0.3 Squad Archetypes'!$G$5:$G$23,MATCH($C32&amp;"|"&amp;$D32,'0.3 Squad Archetypes'!$A$5:$A$23,0)),INDEX('0.3 Squad Archetypes'!$H$5:$H$23,MATCH($C32&amp;"|"&amp;$D32,'0.3 Squad Archetypes'!$A$5:$A$23,0))),"check size")</f>
        <v>0.8</v>
      </c>
      <c r="I32" s="218">
        <f>IFERROR($H32*$G32,"")</f>
        <v>0.6400000000000001</v>
      </c>
      <c r="J32" s="218">
        <f>IFERROR($H32*(1-$G32),"")</f>
        <v>0.15999999999999998</v>
      </c>
      <c r="K32" s="583" t="n"/>
      <c r="L32" s="559" t="n"/>
      <c r="M32" s="583" t="n"/>
    </row>
    <row r="33">
      <c r="B33" s="468" t="inlineStr">
        <is>
          <t>Platform Overhead</t>
        </is>
      </c>
      <c r="C33" s="220" t="n"/>
      <c r="D33" s="220" t="n"/>
      <c r="E33" s="220" t="n"/>
      <c r="F33" s="547" t="n"/>
      <c r="G33" s="595" t="n"/>
      <c r="H33" s="595" t="n"/>
      <c r="I33" s="217">
        <f>'0.2 Data Config'!$L$16</f>
        <v>0.165</v>
      </c>
      <c r="J33" s="595" t="n"/>
      <c r="K33" s="583" t="n"/>
      <c r="L33" s="583" t="n"/>
      <c r="M33" s="583" t="n"/>
    </row>
    <row r="34">
      <c r="B34" s="221" t="inlineStr">
        <is>
          <t>Manufacturing Total</t>
        </is>
      </c>
      <c r="C34" s="209" t="n"/>
      <c r="D34" s="209" t="n"/>
      <c r="E34" s="209" t="n"/>
      <c r="F34" s="547" t="n"/>
      <c r="G34" s="209" t="n"/>
      <c r="H34" s="222">
        <f>SUM(H31:H32)</f>
        <v>2.9000000000000004</v>
      </c>
      <c r="I34" s="222">
        <f>SUM(I31:I33)</f>
        <v>1.225</v>
      </c>
      <c r="J34" s="222">
        <f>SUM(J31:J32)</f>
        <v>1.84</v>
      </c>
      <c r="K34" s="583" t="n"/>
      <c r="L34" s="583" t="n"/>
      <c r="M34" s="583" t="n"/>
    </row>
    <row r="35">
      <c r="F35" s="547" t="n"/>
      <c r="G35" s="583" t="n"/>
      <c r="H35" s="583" t="n"/>
      <c r="I35" s="583" t="n"/>
      <c r="J35" s="583" t="n"/>
      <c r="K35" s="583" t="n"/>
      <c r="L35" s="583" t="n"/>
      <c r="M35" s="583" t="n"/>
    </row>
    <row r="36">
      <c r="B36" s="877" t="inlineStr">
        <is>
          <t>Platform: Data &amp; Insights</t>
        </is>
      </c>
      <c r="C36" s="870" t="n"/>
      <c r="D36" s="870" t="n"/>
      <c r="E36" s="870" t="n"/>
      <c r="F36" s="870" t="n"/>
      <c r="G36" s="870" t="n"/>
      <c r="H36" s="870" t="n"/>
      <c r="I36" s="870" t="n"/>
      <c r="J36" s="871" t="n"/>
      <c r="K36" s="583" t="n"/>
      <c r="L36" s="583" t="n"/>
      <c r="M36" s="583" t="n"/>
    </row>
    <row r="37">
      <c r="B37" s="213" t="inlineStr">
        <is>
          <t>Squad</t>
        </is>
      </c>
      <c r="C37" s="467" t="inlineStr">
        <is>
          <t>Squad Type</t>
        </is>
      </c>
      <c r="D37" s="467" t="inlineStr">
        <is>
          <t>Size</t>
        </is>
      </c>
      <c r="E37" s="467" t="inlineStr">
        <is>
          <t>On/Off</t>
        </is>
      </c>
      <c r="F37" s="571" t="inlineStr">
        <is>
          <t>AU / NZ</t>
        </is>
      </c>
      <c r="G37" s="467" t="inlineStr">
        <is>
          <t>Support %</t>
        </is>
      </c>
      <c r="H37" s="467" t="inlineStr">
        <is>
          <t>Total Squad Cost ($m)</t>
        </is>
      </c>
      <c r="I37" s="467" t="inlineStr">
        <is>
          <t>TDD Cost ($m)</t>
        </is>
      </c>
      <c r="J37" s="467" t="inlineStr">
        <is>
          <t>Funded outside TDD ($m)</t>
        </is>
      </c>
      <c r="K37" s="583" t="n"/>
      <c r="L37" s="589" t="n"/>
      <c r="M37" s="583" t="n"/>
    </row>
    <row r="38">
      <c r="B38" s="214" t="inlineStr">
        <is>
          <t>Data &amp; Insights</t>
        </is>
      </c>
      <c r="C38" s="215" t="inlineStr">
        <is>
          <t>Configuration / Integration</t>
        </is>
      </c>
      <c r="D38" s="215" t="inlineStr">
        <is>
          <t>S</t>
        </is>
      </c>
      <c r="E38" s="215" t="inlineStr">
        <is>
          <t>Onshore</t>
        </is>
      </c>
      <c r="F38" s="590" t="inlineStr">
        <is>
          <t>AU</t>
        </is>
      </c>
      <c r="G38" s="216" t="n">
        <v>0.2</v>
      </c>
      <c r="H38" s="217">
        <f>IFERROR(IF($E38="Onshore",INDEX('0.3 Squad Archetypes'!$G$5:$G$23,MATCH($C38&amp;"|"&amp;$D38,'0.3 Squad Archetypes'!$A$5:$A$23,0)),INDEX('0.3 Squad Archetypes'!$H$5:$H$23,MATCH($C38&amp;"|"&amp;$D38,'0.3 Squad Archetypes'!$A$5:$A$23,0))),"check size")</f>
        <v>1.4</v>
      </c>
      <c r="I38" s="218">
        <f>IFERROR($H38*$G38,"")</f>
        <v>0.27999999999999997</v>
      </c>
      <c r="J38" s="218">
        <f>IFERROR($H38*(1-$G38),"")</f>
        <v>1.1199999999999999</v>
      </c>
      <c r="K38" s="583" t="inlineStr">
        <is>
          <t>Data team to be worked out</t>
        </is>
      </c>
      <c r="L38" s="559" t="n"/>
      <c r="M38" s="583" t="n"/>
    </row>
    <row r="39">
      <c r="B39" s="468" t="inlineStr">
        <is>
          <t>Platform Overhead</t>
        </is>
      </c>
      <c r="C39" s="220" t="n"/>
      <c r="D39" s="220" t="n"/>
      <c r="E39" s="220" t="n"/>
      <c r="F39" s="547" t="n"/>
      <c r="G39" s="595" t="n"/>
      <c r="H39" s="595" t="n"/>
      <c r="I39" s="217">
        <f>'0.2 Data Config'!$L$16</f>
        <v>0.165</v>
      </c>
      <c r="J39" s="595" t="n"/>
      <c r="K39" s="583" t="n"/>
      <c r="L39" s="583" t="n"/>
      <c r="M39" s="583" t="n"/>
    </row>
    <row r="40">
      <c r="B40" s="221" t="inlineStr">
        <is>
          <t>Data &amp; Insights Total</t>
        </is>
      </c>
      <c r="C40" s="209" t="n"/>
      <c r="D40" s="209" t="n"/>
      <c r="E40" s="209" t="n"/>
      <c r="F40" s="547" t="n"/>
      <c r="G40" s="209" t="n"/>
      <c r="H40" s="222">
        <f>SUM(H38:H38)</f>
        <v>1.4</v>
      </c>
      <c r="I40" s="222">
        <f>SUM(I38:I39)</f>
        <v>0.44499999999999995</v>
      </c>
      <c r="J40" s="222">
        <f>SUM(J38:J38)</f>
        <v>1.1199999999999999</v>
      </c>
      <c r="K40" s="583" t="n"/>
      <c r="L40" s="583" t="n"/>
      <c r="M40" s="583" t="n"/>
    </row>
    <row r="41">
      <c r="F41" s="547" t="n"/>
      <c r="G41" s="583" t="n"/>
      <c r="H41" s="583" t="n"/>
      <c r="I41" s="583" t="n"/>
      <c r="J41" s="583" t="n"/>
      <c r="K41" s="583" t="n"/>
      <c r="L41" s="583" t="n"/>
      <c r="M41" s="583" t="n"/>
    </row>
    <row r="42">
      <c r="B42" s="556" t="n"/>
      <c r="C42" s="592" t="n"/>
      <c r="D42" s="547" t="n"/>
      <c r="F42" s="547" t="n"/>
      <c r="G42" s="583" t="n"/>
      <c r="H42" s="583" t="n"/>
      <c r="I42" s="583" t="n"/>
      <c r="J42" s="583" t="n"/>
      <c r="K42" s="583" t="n"/>
      <c r="L42" s="583" t="n"/>
      <c r="M42" s="583" t="n"/>
    </row>
    <row r="43">
      <c r="B43" s="556" t="n"/>
      <c r="C43" s="592" t="n"/>
      <c r="D43" s="547" t="n"/>
      <c r="F43" s="547" t="n"/>
      <c r="G43" s="583" t="n"/>
      <c r="H43" s="583" t="n"/>
      <c r="I43" s="583" t="n"/>
      <c r="J43" s="583" t="n"/>
      <c r="K43" s="583" t="n"/>
      <c r="L43" s="583" t="n"/>
      <c r="M43" s="583" t="n"/>
    </row>
  </sheetData>
  <mergeCells count="7">
    <mergeCell ref="B29:J29"/>
    <mergeCell ref="B36:J36"/>
    <mergeCell ref="H11:K11"/>
    <mergeCell ref="B23:J23"/>
    <mergeCell ref="B13:D13"/>
    <mergeCell ref="B5:E5"/>
    <mergeCell ref="B12:D12"/>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G25 G31:G32 G38" showDropDown="0" showInputMessage="0" showErrorMessage="1" allowBlank="1" errorTitle="Invalid entry" error="Pick a value from the list" type="list">
      <formula1>SupportPct</formula1>
      <formula2>0</formula2>
    </dataValidation>
    <dataValidation sqref="F25 F31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1F4E79"/>
    <outlinePr summaryBelow="1" summaryRight="1"/>
    <pageSetUpPr/>
  </sheetPr>
  <dimension ref="B1:M39"/>
  <sheetViews>
    <sheetView showGridLines="0" zoomScale="110" zoomScaleNormal="11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9.8164062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row>
    <row r="2" ht="21" customHeight="1" s="849">
      <c r="B2" s="198" t="inlineStr">
        <is>
          <t>Energy Solutions &amp; B2B</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Config'!$E$16</f>
        <v>2.5</v>
      </c>
      <c r="J5" s="583" t="n"/>
      <c r="K5" s="583" t="n"/>
      <c r="L5" s="583" t="n"/>
      <c r="M5" s="583" t="n"/>
    </row>
    <row r="6">
      <c r="B6" s="8" t="inlineStr">
        <is>
          <t>Portfolio Overhead (see 0.2 Data Config)</t>
        </is>
      </c>
      <c r="C6" s="551">
        <f>IF(('0.2 Data Config'!$D$16)&gt;('0.2 Data Config'!$C$16),0,'0.2 Data Config'!$L$10)</f>
        <v>0.7495</v>
      </c>
      <c r="D6" s="551">
        <f>IF(('0.2 Data Config'!$D$16)&gt;('0.2 Data Config'!$C$16),'0.2 Data Config'!$L$10,0)</f>
        <v>0.0</v>
      </c>
      <c r="E6" s="551">
        <f>0</f>
        <v>0.0</v>
      </c>
      <c r="F6" s="551">
        <f>C6+D6+E6</f>
        <v>0.7495</v>
      </c>
      <c r="G6" s="630" t="n"/>
      <c r="H6" s="563" t="inlineStr">
        <is>
          <t>AU Budget ($m)</t>
        </is>
      </c>
      <c r="I6" s="551">
        <f>'0.2 Data Config'!$C$16</f>
        <v>2.5</v>
      </c>
      <c r="J6" s="583" t="n"/>
      <c r="K6" s="583" t="n"/>
      <c r="L6" s="583" t="n"/>
      <c r="M6" s="583" t="n"/>
    </row>
    <row r="7">
      <c r="B7" s="8" t="inlineStr">
        <is>
          <t>Platform Overheads</t>
        </is>
      </c>
      <c r="C7" s="551">
        <f>IF(('0.2 Data Config'!$D$16)&gt;('0.2 Data Config'!$C$16),0,SUM(I29,I35))</f>
        <v>0.33</v>
      </c>
      <c r="D7" s="551">
        <f>IF(('0.2 Data Config'!$D$16)&gt;('0.2 Data Config'!$C$16),SUM(I29,I35),0)</f>
        <v>0.0</v>
      </c>
      <c r="E7" s="551">
        <f>0</f>
        <v>0.0</v>
      </c>
      <c r="F7" s="551">
        <f>C7+D7+E7</f>
        <v>0.33</v>
      </c>
      <c r="G7" s="630" t="n"/>
      <c r="H7" s="584" t="inlineStr">
        <is>
          <t>NZ Budget ($m)</t>
        </is>
      </c>
      <c r="I7" s="585">
        <f>'0.2 Data Config'!$D$16</f>
        <v>0.0</v>
      </c>
      <c r="J7" s="583" t="n"/>
      <c r="K7" s="583" t="n"/>
      <c r="L7" s="583" t="n"/>
      <c r="M7" s="583" t="n"/>
    </row>
    <row r="8">
      <c r="B8" s="8" t="inlineStr">
        <is>
          <t>Squad Support Costs</t>
        </is>
      </c>
      <c r="C8" s="551">
        <f>SUMIF(F27:F28,"AU",I27:I28)+SUMIF(F34:F34,"AU",I34:I34)</f>
        <v>1.76</v>
      </c>
      <c r="D8" s="551">
        <f>SUMIF(F27:F28,"NZ",I27:I28)+SUMIF(F34:F34,"NZ",I34:I34)</f>
        <v>0.0</v>
      </c>
      <c r="E8" s="551">
        <f>SUM(J27,J28,J34)</f>
        <v>5.4399999999999995</v>
      </c>
      <c r="F8" s="551">
        <f>C8+D8+E8</f>
        <v>7.199999999999999</v>
      </c>
      <c r="G8" s="630" t="n"/>
      <c r="H8" s="550" t="inlineStr">
        <is>
          <t>AU Variance ($m)</t>
        </is>
      </c>
      <c r="I8" s="893">
        <f>I6-C9</f>
        <v>-0.33950000000000014</v>
      </c>
      <c r="J8" s="583" t="n"/>
      <c r="K8" s="583" t="n"/>
      <c r="L8" s="583" t="n"/>
      <c r="M8" s="583" t="n"/>
    </row>
    <row r="9">
      <c r="B9" s="202" t="inlineStr">
        <is>
          <t>Total Cost</t>
        </is>
      </c>
      <c r="C9" s="553">
        <f>SUM(C6:C8)</f>
        <v>2.8395</v>
      </c>
      <c r="D9" s="553">
        <f>SUM(D6:D8)</f>
        <v>0.0</v>
      </c>
      <c r="E9" s="553">
        <f>SUM(E6:E8)</f>
        <v>5.4399999999999995</v>
      </c>
      <c r="F9" s="553">
        <f>SUM(F6:F8)</f>
        <v>8.279499999999999</v>
      </c>
      <c r="G9" s="631" t="n"/>
      <c r="H9" s="550" t="inlineStr">
        <is>
          <t>NZ Variance ($m)</t>
        </is>
      </c>
      <c r="I9" s="893">
        <f>I7-D9</f>
        <v>0.0</v>
      </c>
      <c r="J9" s="583" t="n"/>
      <c r="K9" s="583" t="n"/>
      <c r="L9" s="583" t="n"/>
      <c r="M9" s="583" t="n"/>
    </row>
    <row r="10">
      <c r="F10" s="547" t="n"/>
      <c r="G10" s="583" t="n"/>
      <c r="H10" s="877" t="inlineStr">
        <is>
          <t xml:space="preserve">Other funding </t>
        </is>
      </c>
      <c r="I10" s="870" t="n"/>
      <c r="J10" s="870" t="n"/>
      <c r="K10" s="871" t="n"/>
      <c r="L10" s="583" t="n"/>
      <c r="M10" s="583" t="n"/>
    </row>
    <row r="11">
      <c r="B11" s="875" t="inlineStr">
        <is>
          <t xml:space="preserve">Total Energy Solutions budget </t>
        </is>
      </c>
      <c r="D11" s="876" t="n"/>
      <c r="E11" s="205">
        <f>SUM(I12:I19)</f>
        <v>12.4</v>
      </c>
      <c r="F11" s="547" t="n"/>
      <c r="G11" s="583" t="n"/>
      <c r="H11" s="467" t="inlineStr">
        <is>
          <t>Budget line</t>
        </is>
      </c>
      <c r="I11" s="467" t="inlineStr">
        <is>
          <t>Budget ($m)</t>
        </is>
      </c>
      <c r="J11" s="467" t="inlineStr">
        <is>
          <t>Amount that can be allocated to people</t>
        </is>
      </c>
      <c r="K11" s="467" t="inlineStr">
        <is>
          <t>Remaining for non-people ($m)</t>
        </is>
      </c>
      <c r="L11" s="583" t="n"/>
      <c r="M11" s="583" t="n"/>
    </row>
    <row r="12" ht="29" customHeight="1" s="849">
      <c r="B12" s="875" t="inlineStr">
        <is>
          <t xml:space="preserve">Reconciled to Finance </t>
        </is>
      </c>
      <c r="D12" s="876" t="n"/>
      <c r="E12" s="205">
        <f>'0.1 Budget Table (Fin)'!Q7</f>
        <v>7.2</v>
      </c>
      <c r="F12" s="547" t="n"/>
      <c r="G12" s="583" t="n"/>
      <c r="H12" s="214" t="inlineStr">
        <is>
          <t>Energy Solutions Lights On</t>
        </is>
      </c>
      <c r="I12" s="217">
        <f>'0.1 Budget Table (Fin)'!L7</f>
        <v>3.9</v>
      </c>
      <c r="J12" s="597">
        <f>'0.1 Budget Table (Fin)'!G7</f>
        <v>1.0</v>
      </c>
      <c r="K12" s="218">
        <f>IFERROR(I12-J12,0)</f>
        <v>2.9</v>
      </c>
      <c r="L12" s="593" t="inlineStr">
        <is>
          <t>Agreed by / date</t>
        </is>
      </c>
      <c r="M12" s="583" t="n"/>
    </row>
    <row r="13">
      <c r="F13" s="547" t="n"/>
      <c r="G13" s="583" t="n"/>
      <c r="H13" s="214" t="inlineStr">
        <is>
          <t xml:space="preserve">ES OpEx Initiatives </t>
        </is>
      </c>
      <c r="I13" s="217">
        <f>'0.1 Budget Table (Fin)'!N7</f>
        <v>1.0</v>
      </c>
      <c r="J13" s="224" t="n">
        <v>0</v>
      </c>
      <c r="K13" s="218">
        <f>IFERROR(I13-J13,0)</f>
        <v>1.0</v>
      </c>
      <c r="L13" s="594" t="n"/>
      <c r="M13" s="583" t="n"/>
    </row>
    <row r="14">
      <c r="B14" s="415" t="inlineStr">
        <is>
          <t>Total to fund</t>
        </is>
      </c>
      <c r="C14" s="416" t="n"/>
      <c r="F14" s="547" t="n"/>
      <c r="G14" s="583" t="n"/>
      <c r="H14" s="214" t="inlineStr">
        <is>
          <t>ES CapEx</t>
        </is>
      </c>
      <c r="I14" s="217">
        <f>'0.1 Budget Table (Fin)'!P7</f>
        <v>2.3</v>
      </c>
      <c r="J14" s="224" t="n">
        <v>1</v>
      </c>
      <c r="K14" s="218">
        <f>IFERROR(I14-J14,0)</f>
        <v>1.2999999999999998</v>
      </c>
      <c r="L14" s="594" t="n"/>
      <c r="M14" s="583" t="n"/>
    </row>
    <row r="15">
      <c r="B15" s="417" t="inlineStr">
        <is>
          <t>TDD Variance</t>
        </is>
      </c>
      <c r="C15" s="894">
        <f>-(I8+I9)</f>
        <v>0.33950000000000014</v>
      </c>
      <c r="F15" s="547" t="n"/>
      <c r="G15" s="583" t="n"/>
      <c r="H15" s="239" t="inlineStr">
        <is>
          <t>B2B Lights On</t>
        </is>
      </c>
      <c r="I15" s="224" t="n"/>
      <c r="J15" s="224" t="n"/>
      <c r="K15" s="218" t="n"/>
      <c r="L15" s="594" t="n"/>
      <c r="M15" s="583" t="n"/>
    </row>
    <row r="16">
      <c r="B16" s="417" t="inlineStr">
        <is>
          <t>Other Variance</t>
        </is>
      </c>
      <c r="C16" s="894">
        <f>J22</f>
        <v>2.9399999999999995</v>
      </c>
      <c r="E16" t="inlineStr">
        <is>
          <t>What is the B2B initiatives #?</t>
        </is>
      </c>
      <c r="F16" s="547" t="n"/>
      <c r="G16" s="583" t="n"/>
      <c r="H16" s="239" t="inlineStr">
        <is>
          <t xml:space="preserve">B2B OpEx Initiatives </t>
        </is>
      </c>
      <c r="I16" s="224" t="n"/>
      <c r="J16" s="224" t="n"/>
      <c r="K16" s="218" t="n"/>
      <c r="L16" s="594" t="n"/>
      <c r="M16" s="583" t="n"/>
    </row>
    <row r="17">
      <c r="B17" s="419" t="inlineStr">
        <is>
          <t>Total</t>
        </is>
      </c>
      <c r="C17" s="895">
        <f>C15+C16</f>
        <v>3.2794999999999996</v>
      </c>
      <c r="E17" t="inlineStr">
        <is>
          <t>What is the B2B CapEx?</t>
        </is>
      </c>
      <c r="F17" s="547" t="n"/>
      <c r="G17" s="583" t="n"/>
      <c r="H17" s="239" t="inlineStr">
        <is>
          <t>B2B CapEx (not yet in the Finance table)</t>
        </is>
      </c>
      <c r="I17" s="224" t="n">
        <v>5.2</v>
      </c>
      <c r="J17" s="224" t="n">
        <v>1.5</v>
      </c>
      <c r="K17" s="218" t="n"/>
      <c r="L17" s="594" t="n"/>
      <c r="M17" s="583" t="n"/>
    </row>
    <row r="18">
      <c r="F18" s="547" t="n"/>
      <c r="G18" s="583" t="n"/>
      <c r="H18" s="214" t="inlineStr">
        <is>
          <t>Significant Items</t>
        </is>
      </c>
      <c r="I18" s="217">
        <f>'0.1 Budget Table (Fin)'!O7</f>
        <v>0.0</v>
      </c>
      <c r="J18" s="224" t="n">
        <v>0</v>
      </c>
      <c r="K18" s="218">
        <f>IFERROR(I18-J18,0)</f>
        <v>0.0</v>
      </c>
      <c r="L18" s="594" t="n"/>
      <c r="M18" s="583" t="n"/>
    </row>
    <row r="19">
      <c r="F19" s="547" t="n"/>
      <c r="G19" s="583" t="n"/>
      <c r="H19" s="214" t="inlineStr">
        <is>
          <t>Depreciation</t>
        </is>
      </c>
      <c r="I19" s="217">
        <f>'0.1 Budget Table (Fin)'!M7</f>
        <v>0.0</v>
      </c>
      <c r="J19" s="224" t="n">
        <v>0</v>
      </c>
      <c r="K19" s="218">
        <f>IFERROR(I19-J19,0)</f>
        <v>0.0</v>
      </c>
      <c r="L19" s="594" t="n"/>
      <c r="M19" s="583" t="n"/>
    </row>
    <row r="20">
      <c r="F20" s="547" t="n"/>
      <c r="G20" s="583" t="n"/>
      <c r="H20" s="225" t="inlineStr">
        <is>
          <t>Total applied</t>
        </is>
      </c>
      <c r="I20" s="595" t="n"/>
      <c r="J20" s="226">
        <f>SUM(J12:J19)</f>
        <v>3.5</v>
      </c>
      <c r="K20" s="595" t="n"/>
      <c r="L20" s="583" t="n"/>
      <c r="M20" s="583" t="n"/>
    </row>
    <row r="21">
      <c r="F21" s="547" t="n"/>
      <c r="G21" s="583" t="n"/>
      <c r="H21" s="214" t="inlineStr">
        <is>
          <t>Other cost (this model)</t>
        </is>
      </c>
      <c r="I21" s="595" t="n"/>
      <c r="J21" s="218">
        <f>E9</f>
        <v>5.4399999999999995</v>
      </c>
      <c r="K21" s="595" t="n"/>
      <c r="L21" s="583" t="n"/>
      <c r="M21" s="583" t="n"/>
    </row>
    <row r="22">
      <c r="F22" s="547" t="n"/>
      <c r="G22" s="583" t="n"/>
      <c r="H22" s="221" t="inlineStr">
        <is>
          <t>Left to fund</t>
        </is>
      </c>
      <c r="I22" s="595" t="n"/>
      <c r="J22" s="222">
        <f>E9-(J20-J12-J15)</f>
        <v>2.9399999999999995</v>
      </c>
      <c r="K22" s="595" t="n"/>
      <c r="L22" s="583" t="n"/>
      <c r="M22" s="583" t="n"/>
    </row>
    <row r="23">
      <c r="F23" s="547" t="n"/>
      <c r="G23" s="583" t="n"/>
      <c r="H23" s="583" t="n"/>
      <c r="I23" s="583" t="n"/>
      <c r="J23" s="583" t="n"/>
      <c r="K23" s="583" t="n"/>
      <c r="L23" s="583" t="n"/>
      <c r="M23" s="583" t="n"/>
    </row>
    <row r="24">
      <c r="F24" s="547" t="n"/>
      <c r="G24" s="583" t="n"/>
      <c r="H24" s="583" t="n"/>
      <c r="I24" s="583" t="n"/>
      <c r="J24" s="583" t="n"/>
      <c r="K24" s="583" t="n"/>
      <c r="L24" s="583" t="n"/>
      <c r="M24" s="583" t="n"/>
    </row>
    <row r="25">
      <c r="B25" s="877" t="inlineStr">
        <is>
          <t>Platform: Energy Solutions</t>
        </is>
      </c>
      <c r="C25" s="870" t="n"/>
      <c r="D25" s="870" t="n"/>
      <c r="E25" s="870" t="n"/>
      <c r="F25" s="870" t="n"/>
      <c r="G25" s="870" t="n"/>
      <c r="H25" s="870" t="n"/>
      <c r="I25" s="870" t="n"/>
      <c r="J25" s="871" t="n"/>
      <c r="K25" s="583" t="n"/>
      <c r="L25" s="583" t="n"/>
      <c r="M25" s="583" t="n"/>
    </row>
    <row r="26">
      <c r="B26" s="213" t="inlineStr">
        <is>
          <t>Squad</t>
        </is>
      </c>
      <c r="C26" s="467" t="inlineStr">
        <is>
          <t>Squad Type</t>
        </is>
      </c>
      <c r="D26" s="467" t="inlineStr">
        <is>
          <t>Size</t>
        </is>
      </c>
      <c r="E26" s="467" t="inlineStr">
        <is>
          <t>On/Off</t>
        </is>
      </c>
      <c r="F26" s="571" t="inlineStr">
        <is>
          <t>AU / NZ</t>
        </is>
      </c>
      <c r="G26" s="467" t="inlineStr">
        <is>
          <t>Support %</t>
        </is>
      </c>
      <c r="H26" s="467" t="inlineStr">
        <is>
          <t>Total Squad Cost ($m)</t>
        </is>
      </c>
      <c r="I26" s="467" t="inlineStr">
        <is>
          <t>TDD Cost ($m)</t>
        </is>
      </c>
      <c r="J26" s="467" t="inlineStr">
        <is>
          <t>Funded outside TDD ($m)</t>
        </is>
      </c>
      <c r="K26" s="583" t="n"/>
      <c r="L26" s="589" t="n"/>
      <c r="M26" s="583" t="n"/>
    </row>
    <row r="27">
      <c r="B27" s="214" t="inlineStr">
        <is>
          <t>Energy</t>
        </is>
      </c>
      <c r="C27" s="215" t="inlineStr">
        <is>
          <t>Engineering</t>
        </is>
      </c>
      <c r="D27" s="215" t="inlineStr">
        <is>
          <t>M</t>
        </is>
      </c>
      <c r="E27" s="215" t="inlineStr">
        <is>
          <t>Onshore</t>
        </is>
      </c>
      <c r="F27" s="590" t="inlineStr">
        <is>
          <t>AU</t>
        </is>
      </c>
      <c r="G27" s="216" t="n">
        <v>0.2</v>
      </c>
      <c r="H27" s="217">
        <f>IFERROR(IF($E27="Onshore",INDEX('0.3 Squad Archetypes'!$G$5:$G$23,MATCH($C27&amp;"|"&amp;$D27,'0.3 Squad Archetypes'!$A$5:$A$23,0)),INDEX('0.3 Squad Archetypes'!$H$5:$H$23,MATCH($C27&amp;"|"&amp;$D27,'0.3 Squad Archetypes'!$A$5:$A$23,0))),"check size")</f>
        <v>2.0</v>
      </c>
      <c r="I27" s="218">
        <f>IFERROR($H27*$G27,"")</f>
        <v>0.4</v>
      </c>
      <c r="J27" s="218">
        <f>IFERROR($H27*(1-$G27),"")</f>
        <v>1.6</v>
      </c>
      <c r="K27" s="583" t="n"/>
      <c r="L27" s="559" t="n"/>
      <c r="M27" s="583" t="n"/>
    </row>
    <row r="28">
      <c r="B28" s="214" t="inlineStr">
        <is>
          <t>EVCI</t>
        </is>
      </c>
      <c r="C28" s="215" t="inlineStr">
        <is>
          <t>Engineering</t>
        </is>
      </c>
      <c r="D28" s="215" t="inlineStr">
        <is>
          <t>M</t>
        </is>
      </c>
      <c r="E28" s="215" t="inlineStr">
        <is>
          <t>Onshore</t>
        </is>
      </c>
      <c r="F28" s="590" t="inlineStr">
        <is>
          <t>AU</t>
        </is>
      </c>
      <c r="G28" s="216" t="n">
        <v>0.2</v>
      </c>
      <c r="H28" s="217">
        <f>IFERROR(IF($E28="Onshore",INDEX('0.3 Squad Archetypes'!$G$5:$G$23,MATCH($C28&amp;"|"&amp;$D28,'0.3 Squad Archetypes'!$A$5:$A$23,0)),INDEX('0.3 Squad Archetypes'!$H$5:$H$23,MATCH($C28&amp;"|"&amp;$D28,'0.3 Squad Archetypes'!$A$5:$A$23,0))),"check size")</f>
        <v>2.0</v>
      </c>
      <c r="I28" s="218">
        <f>IFERROR($H28*$G28,"")</f>
        <v>0.4</v>
      </c>
      <c r="J28" s="218">
        <f>IFERROR($H28*(1-$G28),"")</f>
        <v>1.6</v>
      </c>
      <c r="K28" s="583" t="n"/>
      <c r="L28" s="559" t="n"/>
      <c r="M28" s="583" t="n"/>
    </row>
    <row r="29">
      <c r="B29" s="468" t="inlineStr">
        <is>
          <t>Platform Overhead</t>
        </is>
      </c>
      <c r="C29" s="220" t="n"/>
      <c r="D29" s="220" t="n"/>
      <c r="E29" s="220" t="n"/>
      <c r="F29" s="547" t="n"/>
      <c r="G29" s="595" t="n"/>
      <c r="H29" s="595" t="n"/>
      <c r="I29" s="217">
        <f>'0.2 Data Config'!$L$16</f>
        <v>0.165</v>
      </c>
      <c r="J29" s="595" t="n"/>
      <c r="K29" s="583" t="n"/>
      <c r="L29" s="583" t="n"/>
      <c r="M29" s="583" t="n"/>
    </row>
    <row r="30">
      <c r="B30" s="221" t="inlineStr">
        <is>
          <t>Energy Solutions Total</t>
        </is>
      </c>
      <c r="C30" s="209" t="n"/>
      <c r="D30" s="209" t="n"/>
      <c r="E30" s="209" t="n"/>
      <c r="F30" s="547" t="n"/>
      <c r="G30" s="209" t="n"/>
      <c r="H30" s="222">
        <f>SUM(H27:H28)</f>
        <v>4.0</v>
      </c>
      <c r="I30" s="222">
        <f>SUM(I27:I29)</f>
        <v>0.9650000000000001</v>
      </c>
      <c r="J30" s="222">
        <f>SUM(J27:J28)</f>
        <v>3.2</v>
      </c>
      <c r="K30" s="583" t="n"/>
      <c r="L30" s="583" t="n"/>
      <c r="M30" s="583" t="n"/>
    </row>
    <row r="31">
      <c r="F31" s="547" t="n"/>
      <c r="G31" s="583" t="n"/>
      <c r="H31" s="583" t="n"/>
      <c r="I31" s="583" t="n"/>
      <c r="J31" s="583" t="n"/>
      <c r="K31" s="583" t="n"/>
      <c r="L31" s="583" t="n"/>
      <c r="M31" s="583" t="n"/>
    </row>
    <row r="32">
      <c r="B32" s="877" t="inlineStr">
        <is>
          <t>Platform: B2B</t>
        </is>
      </c>
      <c r="C32" s="870" t="n"/>
      <c r="D32" s="870" t="n"/>
      <c r="E32" s="870" t="n"/>
      <c r="F32" s="870" t="n"/>
      <c r="G32" s="870" t="n"/>
      <c r="H32" s="870" t="n"/>
      <c r="I32" s="870" t="n"/>
      <c r="J32" s="871" t="n"/>
      <c r="K32" s="583" t="n"/>
      <c r="L32" s="583" t="n"/>
      <c r="M32" s="583" t="n"/>
    </row>
    <row r="33">
      <c r="B33" s="213" t="inlineStr">
        <is>
          <t>Squad</t>
        </is>
      </c>
      <c r="C33" s="467" t="inlineStr">
        <is>
          <t>Squad Type</t>
        </is>
      </c>
      <c r="D33" s="467" t="inlineStr">
        <is>
          <t>Size</t>
        </is>
      </c>
      <c r="E33" s="467" t="inlineStr">
        <is>
          <t>On/Off</t>
        </is>
      </c>
      <c r="F33" s="571" t="inlineStr">
        <is>
          <t>AU / NZ</t>
        </is>
      </c>
      <c r="G33" s="467" t="inlineStr">
        <is>
          <t>Support %</t>
        </is>
      </c>
      <c r="H33" s="467" t="inlineStr">
        <is>
          <t>Total Squad Cost ($m)</t>
        </is>
      </c>
      <c r="I33" s="467" t="inlineStr">
        <is>
          <t>TDD Cost ($m)</t>
        </is>
      </c>
      <c r="J33" s="467" t="inlineStr">
        <is>
          <t>Funded outside TDD ($m)</t>
        </is>
      </c>
      <c r="K33" s="583" t="n"/>
      <c r="L33" s="589" t="n"/>
      <c r="M33" s="583" t="n"/>
    </row>
    <row r="34">
      <c r="B34" s="214" t="inlineStr">
        <is>
          <t>B2B</t>
        </is>
      </c>
      <c r="C34" s="215" t="inlineStr">
        <is>
          <t>Configuration / Integration</t>
        </is>
      </c>
      <c r="D34" s="215" t="inlineStr">
        <is>
          <t>L</t>
        </is>
      </c>
      <c r="E34" s="215" t="inlineStr">
        <is>
          <t>Onshore</t>
        </is>
      </c>
      <c r="F34" s="590" t="inlineStr">
        <is>
          <t>AU</t>
        </is>
      </c>
      <c r="G34" s="216" t="n">
        <v>0.3</v>
      </c>
      <c r="H34" s="217">
        <f>IFERROR(IF($E34="Onshore",INDEX('0.3 Squad Archetypes'!$G$5:$G$23,MATCH($C34&amp;"|"&amp;$D34,'0.3 Squad Archetypes'!$A$5:$A$23,0)),INDEX('0.3 Squad Archetypes'!$H$5:$H$23,MATCH($C34&amp;"|"&amp;$D34,'0.3 Squad Archetypes'!$A$5:$A$23,0))),"check size")</f>
        <v>3.2</v>
      </c>
      <c r="I34" s="218">
        <f>IFERROR($H34*$G34,"")</f>
        <v>0.96</v>
      </c>
      <c r="J34" s="218">
        <f>IFERROR($H34*(1-$G34),"")</f>
        <v>2.2399999999999998</v>
      </c>
      <c r="K34" s="583" t="n"/>
      <c r="L34" s="559" t="n"/>
      <c r="M34" s="583" t="n"/>
    </row>
    <row r="35">
      <c r="B35" s="468" t="inlineStr">
        <is>
          <t>Platform Overhead</t>
        </is>
      </c>
      <c r="C35" s="220" t="n"/>
      <c r="D35" s="220" t="n"/>
      <c r="E35" s="220" t="n"/>
      <c r="F35" s="547" t="n"/>
      <c r="G35" s="595" t="n"/>
      <c r="H35" s="595" t="n"/>
      <c r="I35" s="217">
        <f>'0.2 Data Config'!$L$16</f>
        <v>0.165</v>
      </c>
      <c r="J35" s="595" t="n"/>
      <c r="K35" s="583" t="n"/>
      <c r="L35" s="583" t="n"/>
      <c r="M35" s="583" t="n"/>
    </row>
    <row r="36">
      <c r="B36" s="221" t="inlineStr">
        <is>
          <t>B2B Total</t>
        </is>
      </c>
      <c r="C36" s="209" t="n"/>
      <c r="D36" s="209" t="n"/>
      <c r="E36" s="209" t="n"/>
      <c r="F36" s="547" t="n"/>
      <c r="G36" s="209" t="n"/>
      <c r="H36" s="222">
        <f>SUM(H34:H34)</f>
        <v>3.2</v>
      </c>
      <c r="I36" s="222">
        <f>SUM(I34:I35)</f>
        <v>1.125</v>
      </c>
      <c r="J36" s="222">
        <f>SUM(J34:J34)</f>
        <v>2.2399999999999998</v>
      </c>
      <c r="K36" s="583" t="n"/>
      <c r="L36" s="583" t="n"/>
      <c r="M36" s="583" t="n"/>
    </row>
    <row r="37">
      <c r="F37" s="547" t="n"/>
      <c r="G37" s="583" t="n"/>
      <c r="H37" s="583" t="n"/>
      <c r="I37" s="583" t="n"/>
      <c r="J37" s="583" t="n"/>
      <c r="K37" s="583" t="n"/>
      <c r="L37" s="583" t="n"/>
      <c r="M37" s="583" t="n"/>
    </row>
    <row r="38">
      <c r="B38" s="556" t="n"/>
      <c r="C38" s="592" t="n"/>
      <c r="D38" s="547" t="n"/>
      <c r="F38" s="547" t="n"/>
      <c r="G38" s="583" t="n"/>
      <c r="H38" s="583" t="n"/>
      <c r="I38" s="583" t="n"/>
      <c r="J38" s="583" t="n"/>
      <c r="K38" s="583" t="n"/>
      <c r="L38" s="583" t="n"/>
      <c r="M38" s="583" t="n"/>
    </row>
    <row r="39">
      <c r="B39" s="556" t="n"/>
      <c r="C39" s="592" t="n"/>
      <c r="D39" s="547" t="n"/>
      <c r="F39" s="547" t="n"/>
      <c r="G39" s="583" t="n"/>
      <c r="H39" s="583" t="n"/>
      <c r="I39" s="583" t="n"/>
      <c r="J39" s="583" t="n"/>
      <c r="K39" s="583" t="n"/>
      <c r="L39" s="583" t="n"/>
      <c r="M39" s="583" t="n"/>
    </row>
  </sheetData>
  <mergeCells count="6">
    <mergeCell ref="B11:D11"/>
    <mergeCell ref="B25:J25"/>
    <mergeCell ref="B4:E4"/>
    <mergeCell ref="B32:J32"/>
    <mergeCell ref="B12:D12"/>
    <mergeCell ref="H10:K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G27:G28 G34" showDropDown="0" showInputMessage="0" showErrorMessage="1" allowBlank="1" errorTitle="Invalid entry" error="Pick a value from the list" type="list">
      <formula1>SupportPct</formula1>
      <formula2>0</formula2>
    </dataValidation>
    <dataValidation sqref="F27 F28 F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FF1F4E79"/>
    <outlinePr summaryBelow="1" summaryRight="1"/>
    <pageSetUpPr/>
  </sheetPr>
  <dimension ref="B1:N43"/>
  <sheetViews>
    <sheetView showGridLines="0" topLeftCell="A5" zoomScale="120" zoomScaleNormal="12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26.54296875" customWidth="1" style="849" min="5" max="5"/>
    <col width="10" customWidth="1" style="849" min="6" max="6"/>
    <col width="11" customWidth="1" style="849" min="7" max="7"/>
    <col width="17" customWidth="1" style="849" min="8" max="8"/>
    <col width="14" customWidth="1" style="849" min="9" max="9"/>
    <col width="50.1796875" customWidth="1" style="849" min="10" max="10"/>
    <col width="24.81640625" customWidth="1" style="849" min="11" max="11"/>
  </cols>
  <sheetData>
    <row r="1">
      <c r="F1" s="547" t="n"/>
      <c r="G1" s="583" t="n"/>
      <c r="H1" s="583" t="n"/>
      <c r="I1" s="583" t="n"/>
      <c r="J1" s="583" t="n"/>
      <c r="K1" s="583" t="n"/>
      <c r="L1" s="583" t="n"/>
      <c r="M1" s="583" t="n"/>
      <c r="N1" s="583" t="n"/>
    </row>
    <row r="2" ht="21" customHeight="1" s="849">
      <c r="B2" s="198" t="inlineStr">
        <is>
          <t>Commercial Fuels</t>
        </is>
      </c>
      <c r="F2" s="547" t="n"/>
      <c r="G2" s="583" t="n"/>
      <c r="H2" s="583" t="n"/>
      <c r="I2" s="583" t="n"/>
      <c r="J2" s="583" t="n"/>
      <c r="K2" s="583" t="n"/>
      <c r="L2" s="583" t="n"/>
      <c r="M2" s="583" t="n"/>
      <c r="N2" s="583" t="n"/>
    </row>
    <row r="3">
      <c r="F3" s="547" t="n"/>
      <c r="G3" s="583" t="n"/>
      <c r="H3" s="583" t="n"/>
      <c r="I3" s="583" t="n"/>
      <c r="J3" s="583" t="n"/>
      <c r="K3" s="583" t="n"/>
      <c r="L3" s="583" t="n"/>
      <c r="M3" s="583" t="n"/>
      <c r="N3" s="583" t="n"/>
    </row>
    <row r="4">
      <c r="B4" s="850" t="inlineStr">
        <is>
          <t>Portfolio Summary</t>
        </is>
      </c>
      <c r="C4" s="851" t="n"/>
      <c r="D4" s="851" t="n"/>
      <c r="E4" s="852" t="n"/>
      <c r="F4" s="547" t="n"/>
      <c r="G4" s="583" t="n"/>
      <c r="H4" s="199" t="inlineStr">
        <is>
          <t>Budget vs TDD Cost</t>
        </is>
      </c>
      <c r="I4" s="199" t="n"/>
      <c r="J4" s="583" t="n"/>
      <c r="K4" s="583" t="n"/>
      <c r="L4" s="583" t="n"/>
      <c r="M4" s="583" t="n"/>
      <c r="N4" s="583" t="n"/>
    </row>
    <row r="5" ht="29" customHeight="1" s="849">
      <c r="B5" s="5" t="inlineStr">
        <is>
          <t>Cost</t>
        </is>
      </c>
      <c r="C5" s="549" t="inlineStr">
        <is>
          <t>TDD AU ($m)</t>
        </is>
      </c>
      <c r="D5" s="549" t="inlineStr">
        <is>
          <t>TDD NZ ($m)</t>
        </is>
      </c>
      <c r="E5" s="549" t="inlineStr">
        <is>
          <t>Other ($m)</t>
        </is>
      </c>
      <c r="F5" s="549" t="inlineStr">
        <is>
          <t>Total ($m)</t>
        </is>
      </c>
      <c r="G5" s="629" t="n"/>
      <c r="H5" s="200" t="inlineStr">
        <is>
          <t>TDD Lights On Budget (people - 0.2 Data Config)</t>
        </is>
      </c>
      <c r="I5" s="201">
        <f>'0.2 Data Config'!$E$15</f>
        <v>2.5</v>
      </c>
      <c r="J5" s="583" t="n"/>
      <c r="K5" s="583" t="n"/>
      <c r="L5" s="583" t="n"/>
      <c r="M5" s="583" t="n"/>
      <c r="N5" s="583" t="n"/>
    </row>
    <row r="6">
      <c r="B6" s="8" t="inlineStr">
        <is>
          <t>Portfolio Overhead (see 0.2 Data Config)</t>
        </is>
      </c>
      <c r="C6" s="551">
        <f>IF(('0.2 Data Config'!$D$15)&gt;('0.2 Data Config'!$C$15),0,'0.2 Data Config'!$L$10)</f>
        <v>0.7495</v>
      </c>
      <c r="D6" s="551">
        <f>IF(('0.2 Data Config'!$D$15)&gt;('0.2 Data Config'!$C$15),'0.2 Data Config'!$L$10,0)</f>
        <v>0.0</v>
      </c>
      <c r="E6" s="551">
        <f>0</f>
        <v>0.0</v>
      </c>
      <c r="F6" s="551">
        <f>C6+D6+E6</f>
        <v>0.7495</v>
      </c>
      <c r="G6" s="630" t="n"/>
      <c r="H6" s="563" t="inlineStr">
        <is>
          <t>AU Budget ($m)</t>
        </is>
      </c>
      <c r="I6" s="551">
        <f>'0.2 Data Config'!$C$15</f>
        <v>2.5</v>
      </c>
      <c r="J6" s="583" t="n"/>
      <c r="K6" s="583" t="n"/>
      <c r="L6" s="583" t="n"/>
      <c r="M6" s="583" t="n"/>
      <c r="N6" s="583" t="n"/>
    </row>
    <row r="7">
      <c r="B7" s="8" t="inlineStr">
        <is>
          <t>Platform Overheads</t>
        </is>
      </c>
      <c r="C7" s="551">
        <f>IF(('0.2 Data Config'!$D$15)&gt;('0.2 Data Config'!$C$15),0,SUM(I27,I33,I39))</f>
        <v>0.495</v>
      </c>
      <c r="D7" s="551">
        <f>IF(('0.2 Data Config'!$D$15)&gt;('0.2 Data Config'!$C$15),SUM(I27,I33,I39),0)</f>
        <v>0.0</v>
      </c>
      <c r="E7" s="551">
        <f>0</f>
        <v>0.0</v>
      </c>
      <c r="F7" s="551">
        <f>C7+D7+E7</f>
        <v>0.495</v>
      </c>
      <c r="G7" s="630" t="n"/>
      <c r="H7" s="584" t="inlineStr">
        <is>
          <t>NZ Budget ($m)</t>
        </is>
      </c>
      <c r="I7" s="585">
        <f>'0.2 Data Config'!$D$15</f>
        <v>0.0</v>
      </c>
      <c r="J7" s="583" t="n"/>
      <c r="K7" s="583" t="n"/>
      <c r="L7" s="583" t="n"/>
      <c r="M7" s="583" t="n"/>
      <c r="N7" s="583" t="n"/>
    </row>
    <row r="8">
      <c r="B8" s="8" t="inlineStr">
        <is>
          <t>Squad Support Costs</t>
        </is>
      </c>
      <c r="C8" s="551">
        <f>SUMIF(F25:F26,"AU",I25:I26)+SUMIF(F32:F32,"AU",I32:I32)+SUMIF(F38:F38,"AU",I38:I38)</f>
        <v>1.2600000000000002</v>
      </c>
      <c r="D8" s="551">
        <f>SUMIF(F25:F26,"NZ",I25:I26)+SUMIF(F32:F32,"NZ",I32:I32)+SUMIF(F38:F38,"NZ",I38:I38)</f>
        <v>0.0</v>
      </c>
      <c r="E8" s="551">
        <f>SUM(J25,J26,J32,J38)</f>
        <v>6.040000000000001</v>
      </c>
      <c r="F8" s="551">
        <f>C8+D8+E8</f>
        <v>7.300000000000001</v>
      </c>
      <c r="G8" s="630" t="n"/>
      <c r="H8" s="550" t="inlineStr">
        <is>
          <t>AU Variance ($m)</t>
        </is>
      </c>
      <c r="I8" s="893">
        <f>I6-C9</f>
        <v>-0.0045000000000001705</v>
      </c>
      <c r="J8" s="583" t="n"/>
      <c r="K8" s="583" t="n"/>
      <c r="L8" s="583" t="n"/>
      <c r="M8" s="583" t="n"/>
      <c r="N8" s="583" t="n"/>
    </row>
    <row r="9">
      <c r="B9" s="202" t="inlineStr">
        <is>
          <t>Total Cost</t>
        </is>
      </c>
      <c r="C9" s="553">
        <f>SUM(C6:C8)</f>
        <v>2.5045</v>
      </c>
      <c r="D9" s="553">
        <f>SUM(D6:D8)</f>
        <v>0.0</v>
      </c>
      <c r="E9" s="553">
        <f>SUM(E6:E8)</f>
        <v>6.040000000000001</v>
      </c>
      <c r="F9" s="553">
        <f>SUM(F6:F8)</f>
        <v>8.544500000000001</v>
      </c>
      <c r="G9" s="631" t="n"/>
      <c r="H9" s="550" t="inlineStr">
        <is>
          <t>NZ Variance ($m)</t>
        </is>
      </c>
      <c r="I9" s="893">
        <f>I7-D9</f>
        <v>0.0</v>
      </c>
      <c r="J9" s="583" t="n"/>
      <c r="K9" s="583" t="n"/>
      <c r="L9" s="583" t="n"/>
      <c r="M9" s="583" t="n"/>
      <c r="N9" s="583" t="n"/>
    </row>
    <row r="10">
      <c r="F10" s="547" t="n"/>
      <c r="G10" s="583" t="n"/>
      <c r="H10" s="868" t="inlineStr">
        <is>
          <t xml:space="preserve">Other funding </t>
        </is>
      </c>
      <c r="I10" s="851" t="n"/>
      <c r="J10" s="851" t="n"/>
      <c r="K10" s="852" t="n"/>
      <c r="L10" s="583" t="n"/>
      <c r="M10" s="583" t="n"/>
      <c r="N10" s="583" t="n"/>
    </row>
    <row r="11">
      <c r="B11" s="879" t="inlineStr">
        <is>
          <t xml:space="preserve">Total Commercial Fuels budget </t>
        </is>
      </c>
      <c r="D11" s="876" t="n"/>
      <c r="E11" s="205">
        <f>SUM(I12:I14)+SUM(I16:I17)</f>
        <v>40.5</v>
      </c>
      <c r="F11" s="547" t="n"/>
      <c r="G11" s="583" t="n"/>
      <c r="H11" s="463" t="inlineStr">
        <is>
          <t>Budget line</t>
        </is>
      </c>
      <c r="I11" s="463" t="inlineStr">
        <is>
          <t>Budget ($m)</t>
        </is>
      </c>
      <c r="J11" s="463" t="inlineStr">
        <is>
          <t>Amount that can be allocated to people</t>
        </is>
      </c>
      <c r="K11" s="463" t="inlineStr">
        <is>
          <t>Remaining for non-people ($m)</t>
        </is>
      </c>
      <c r="L11" s="583" t="n"/>
      <c r="M11" s="583" t="n"/>
      <c r="N11" s="583" t="n"/>
    </row>
    <row r="12" ht="29" customHeight="1" s="849">
      <c r="B12" s="879" t="inlineStr">
        <is>
          <t xml:space="preserve">Reconciled to Finance </t>
        </is>
      </c>
      <c r="D12" s="876" t="n"/>
      <c r="E12" s="205">
        <f>'0.1 Budget Table (Fin)'!Q8</f>
        <v>40.5</v>
      </c>
      <c r="F12" s="547" t="n"/>
      <c r="G12" s="583" t="n"/>
      <c r="H12" s="8" t="inlineStr">
        <is>
          <t>Commercial Fuels Lights On</t>
        </is>
      </c>
      <c r="I12" s="201">
        <f>'0.1 Budget Table (Fin)'!L8</f>
        <v>13.4</v>
      </c>
      <c r="J12" s="587">
        <f>'0.1 Budget Table (Fin)'!G8</f>
        <v>0.0</v>
      </c>
      <c r="K12" s="9">
        <f>IFERROR(I12-J12,0)</f>
        <v>13.4</v>
      </c>
      <c r="L12" s="593" t="inlineStr">
        <is>
          <t>Agreed by / date</t>
        </is>
      </c>
      <c r="M12" s="583" t="n"/>
      <c r="N12" s="583" t="n"/>
    </row>
    <row r="13">
      <c r="F13" s="547" t="n"/>
      <c r="G13" s="583" t="n"/>
      <c r="H13" s="8" t="inlineStr">
        <is>
          <t>OpEx Initiatives</t>
        </is>
      </c>
      <c r="I13" s="201">
        <f>'0.1 Budget Table (Fin)'!N8</f>
        <v>6.1</v>
      </c>
      <c r="J13" s="207" t="n">
        <v>0</v>
      </c>
      <c r="K13" s="9">
        <f>IFERROR(I13-J13,0)</f>
        <v>6.1</v>
      </c>
      <c r="L13" s="594" t="n"/>
      <c r="M13" s="583" t="n"/>
      <c r="N13" s="583" t="n"/>
    </row>
    <row r="14">
      <c r="B14" s="415" t="inlineStr">
        <is>
          <t>Total to fund</t>
        </is>
      </c>
      <c r="C14" s="416" t="n"/>
      <c r="F14" s="547" t="n"/>
      <c r="G14" s="583" t="n"/>
      <c r="H14" s="8" t="inlineStr">
        <is>
          <t>CapEx</t>
        </is>
      </c>
      <c r="I14" s="201">
        <f>'0.1 Budget Table (Fin)'!P8</f>
        <v>6.8</v>
      </c>
      <c r="J14" s="207" t="n">
        <v>1.7</v>
      </c>
      <c r="K14" s="9">
        <f>IFERROR(I14-J14,0)</f>
        <v>5.1</v>
      </c>
      <c r="L14" s="594" t="n"/>
      <c r="M14" s="583" t="n"/>
      <c r="N14" s="583" t="n"/>
    </row>
    <row r="15">
      <c r="B15" s="417" t="inlineStr">
        <is>
          <t>TDD Variance</t>
        </is>
      </c>
      <c r="C15" s="894">
        <f>-(I8+I9)</f>
        <v>0.0045000000000001705</v>
      </c>
      <c r="F15" s="547" t="n"/>
      <c r="G15" s="583" t="n"/>
      <c r="H15" s="8" t="inlineStr">
        <is>
          <t>TDD CapEx (central pool, reference only)</t>
        </is>
      </c>
      <c r="I15" s="201">
        <f>'0.1 Budget Table (Fin)'!P5</f>
        <v>4.9</v>
      </c>
      <c r="J15" s="207" t="n"/>
      <c r="K15" s="9">
        <f>IFERROR(I15-J15,0)</f>
        <v>4.9</v>
      </c>
      <c r="L15" s="594" t="n"/>
      <c r="M15" s="583" t="n"/>
      <c r="N15" s="583" t="n"/>
    </row>
    <row r="16">
      <c r="B16" s="417" t="inlineStr">
        <is>
          <t>Other Variance</t>
        </is>
      </c>
      <c r="C16" s="894">
        <f>-J20</f>
        <v>-2.9400000000000013</v>
      </c>
      <c r="F16" s="547" t="n"/>
      <c r="G16" s="583" t="n"/>
      <c r="H16" s="8" t="inlineStr">
        <is>
          <t>Significant Items</t>
        </is>
      </c>
      <c r="I16" s="201">
        <f>'0.1 Budget Table (Fin)'!O8</f>
        <v>14.2</v>
      </c>
      <c r="J16" s="588">
        <f>J38</f>
        <v>1.4</v>
      </c>
      <c r="K16" s="9">
        <f>IFERROR(I16-J16,0)</f>
        <v>12.799999999999999</v>
      </c>
      <c r="L16" s="594" t="n"/>
      <c r="M16" s="583" t="n"/>
      <c r="N16" s="583" t="n"/>
    </row>
    <row r="17">
      <c r="B17" s="419" t="inlineStr">
        <is>
          <t>Total</t>
        </is>
      </c>
      <c r="C17" s="895">
        <f>C15+C16</f>
        <v>-2.935500000000001</v>
      </c>
      <c r="F17" s="547" t="n"/>
      <c r="G17" s="583" t="n"/>
      <c r="H17" s="8" t="inlineStr">
        <is>
          <t>Depreciation</t>
        </is>
      </c>
      <c r="I17" s="201">
        <f>'0.1 Budget Table (Fin)'!M8</f>
        <v>0.0</v>
      </c>
      <c r="J17" s="207" t="n">
        <v>0</v>
      </c>
      <c r="K17" s="9">
        <f>IFERROR(I17-J17,0)</f>
        <v>0.0</v>
      </c>
      <c r="L17" s="594" t="n"/>
      <c r="M17" s="583" t="n"/>
      <c r="N17" s="583" t="n"/>
    </row>
    <row r="18">
      <c r="F18" s="547" t="n"/>
      <c r="G18" s="583" t="n"/>
      <c r="H18" s="208" t="inlineStr">
        <is>
          <t>Total applied</t>
        </is>
      </c>
      <c r="I18" s="583" t="n"/>
      <c r="J18" s="21">
        <f>SUM(J12:J17)</f>
        <v>3.0999999999999996</v>
      </c>
      <c r="K18" s="583" t="n"/>
      <c r="L18" s="583" t="n"/>
      <c r="M18" s="583" t="n"/>
      <c r="N18" s="583" t="n"/>
    </row>
    <row r="19">
      <c r="F19" s="547" t="n"/>
      <c r="G19" s="583" t="n"/>
      <c r="H19" s="8" t="inlineStr">
        <is>
          <t>Other cost (this model)</t>
        </is>
      </c>
      <c r="I19" s="583" t="n"/>
      <c r="J19" s="9">
        <f>E9</f>
        <v>6.040000000000001</v>
      </c>
      <c r="K19" s="583" t="n"/>
      <c r="L19" s="583" t="n"/>
      <c r="M19" s="583" t="n"/>
      <c r="N19" s="583" t="n"/>
    </row>
    <row r="20">
      <c r="F20" s="547" t="n"/>
      <c r="G20" s="583" t="n"/>
      <c r="H20" s="202" t="inlineStr">
        <is>
          <t>Left to fund</t>
        </is>
      </c>
      <c r="I20" s="583" t="n"/>
      <c r="J20" s="203">
        <f>E9-(J18-J12)</f>
        <v>2.9400000000000013</v>
      </c>
      <c r="K20" s="583" t="n"/>
      <c r="L20" s="583" t="n"/>
      <c r="M20" s="583" t="n"/>
      <c r="N20" s="583" t="n"/>
    </row>
    <row r="21">
      <c r="F21" s="547" t="n"/>
      <c r="G21" s="583" t="n"/>
      <c r="H21" s="583" t="n"/>
      <c r="I21" s="583" t="n"/>
      <c r="J21" s="583" t="n"/>
      <c r="K21" s="583" t="n"/>
      <c r="L21" s="583" t="n"/>
      <c r="M21" s="583" t="n"/>
      <c r="N21" s="583" t="n"/>
    </row>
    <row r="22">
      <c r="F22" s="547" t="n"/>
      <c r="G22" s="583" t="n"/>
      <c r="H22" s="583" t="n"/>
      <c r="I22" s="583" t="n"/>
      <c r="J22" s="583" t="n"/>
      <c r="K22" s="583" t="n"/>
      <c r="L22" s="583" t="n"/>
      <c r="M22" s="583" t="n"/>
      <c r="N22" s="583" t="n"/>
    </row>
    <row r="23">
      <c r="B23" s="873" t="inlineStr">
        <is>
          <t>Platform: Trading &amp; Shipping</t>
        </is>
      </c>
      <c r="C23" s="874" t="n"/>
      <c r="D23" s="874" t="n"/>
      <c r="E23" s="874" t="n"/>
      <c r="F23" s="874" t="n"/>
      <c r="G23" s="874" t="n"/>
      <c r="H23" s="874" t="n"/>
      <c r="I23" s="874" t="n"/>
      <c r="J23" s="874" t="n"/>
      <c r="K23" s="583" t="n"/>
      <c r="L23" s="583" t="n"/>
      <c r="M23" s="583" t="n"/>
      <c r="N23" s="583" t="n"/>
    </row>
    <row r="24">
      <c r="B24" s="5" t="inlineStr">
        <is>
          <t>Squad</t>
        </is>
      </c>
      <c r="C24" s="463" t="inlineStr">
        <is>
          <t>Squad Type</t>
        </is>
      </c>
      <c r="D24" s="463" t="inlineStr">
        <is>
          <t>Size</t>
        </is>
      </c>
      <c r="E24" s="463" t="inlineStr">
        <is>
          <t>On/Off</t>
        </is>
      </c>
      <c r="F24" s="571" t="inlineStr">
        <is>
          <t>AU / NZ</t>
        </is>
      </c>
      <c r="G24" s="463" t="inlineStr">
        <is>
          <t>Support %</t>
        </is>
      </c>
      <c r="H24" s="463" t="inlineStr">
        <is>
          <t>Total Squad Cost ($m)</t>
        </is>
      </c>
      <c r="I24" s="463" t="inlineStr">
        <is>
          <t>TDD Cost ($m)</t>
        </is>
      </c>
      <c r="J24" s="463" t="inlineStr">
        <is>
          <t>Funded outside TDD ($m)</t>
        </is>
      </c>
      <c r="K24" s="583" t="n"/>
      <c r="L24" s="589" t="n"/>
      <c r="M24" s="583" t="n"/>
      <c r="N24" s="583" t="n"/>
    </row>
    <row r="25">
      <c r="B25" s="8" t="inlineStr">
        <is>
          <t>Trading &amp; Shipping</t>
        </is>
      </c>
      <c r="C25" s="210" t="inlineStr">
        <is>
          <t>Configuration / Integration</t>
        </is>
      </c>
      <c r="D25" s="210" t="inlineStr">
        <is>
          <t>M</t>
        </is>
      </c>
      <c r="E25" s="210" t="inlineStr">
        <is>
          <t>Onshore</t>
        </is>
      </c>
      <c r="F25" s="590" t="inlineStr">
        <is>
          <t>AU</t>
        </is>
      </c>
      <c r="G25" s="211" t="n">
        <v>0.4</v>
      </c>
      <c r="H25" s="201">
        <f>IFERROR(IF($E25="Onshore",INDEX('0.3 Squad Archetypes'!$G$5:$G$23,MATCH($C25&amp;"|"&amp;$D25,'0.3 Squad Archetypes'!$A$5:$A$23,0)),INDEX('0.3 Squad Archetypes'!$H$5:$H$23,MATCH($C25&amp;"|"&amp;$D25,'0.3 Squad Archetypes'!$A$5:$A$23,0))),"check size")</f>
        <v>2.1</v>
      </c>
      <c r="I25" s="9">
        <f>IFERROR($H25*$G25,"")</f>
        <v>0.8400000000000001</v>
      </c>
      <c r="J25" s="9">
        <f>IFERROR($H25*(1-$G25),"")</f>
        <v>1.26</v>
      </c>
      <c r="K25" s="583" t="n"/>
      <c r="L25" s="559" t="n"/>
      <c r="M25" s="583" t="n"/>
      <c r="N25" s="583" t="n"/>
    </row>
    <row r="26">
      <c r="B26" s="8" t="inlineStr">
        <is>
          <t>Trading &amp; Shipping Data</t>
        </is>
      </c>
      <c r="C26" s="210" t="inlineStr">
        <is>
          <t>Enterprise Data and Insights</t>
        </is>
      </c>
      <c r="D26" s="210" t="inlineStr">
        <is>
          <t>M</t>
        </is>
      </c>
      <c r="E26" s="210" t="inlineStr">
        <is>
          <t>Onshore</t>
        </is>
      </c>
      <c r="F26" s="590" t="inlineStr">
        <is>
          <t>AU</t>
        </is>
      </c>
      <c r="G26" s="211" t="n">
        <v>0</v>
      </c>
      <c r="H26" s="201">
        <f>IFERROR(IF($E26="Onshore",INDEX('0.3 Squad Archetypes'!$G$5:$G$23,MATCH($C26&amp;"|"&amp;$D26,'0.3 Squad Archetypes'!$A$5:$A$23,0)),INDEX('0.3 Squad Archetypes'!$H$5:$H$23,MATCH($C26&amp;"|"&amp;$D26,'0.3 Squad Archetypes'!$A$5:$A$23,0))),"check size")</f>
        <v>1.7</v>
      </c>
      <c r="I26" s="9">
        <f>IFERROR($H26*$G26,"")</f>
        <v>0.0</v>
      </c>
      <c r="J26" s="9">
        <f>IFERROR($H26*(1-$G26),"")</f>
        <v>1.7</v>
      </c>
      <c r="K26" s="101" t="inlineStr">
        <is>
          <t>Fully funded by CF</t>
        </is>
      </c>
      <c r="L26" s="559" t="n"/>
      <c r="M26" s="583" t="n"/>
      <c r="N26" s="583" t="n"/>
    </row>
    <row r="27">
      <c r="B27" s="454" t="inlineStr">
        <is>
          <t>Platform Overhead</t>
        </is>
      </c>
      <c r="F27" s="547" t="n"/>
      <c r="G27" s="583" t="n"/>
      <c r="H27" s="583" t="n"/>
      <c r="I27" s="201">
        <f>'0.2 Data Config'!$L$16</f>
        <v>0.165</v>
      </c>
      <c r="J27" s="583" t="n"/>
      <c r="K27" s="583" t="n"/>
      <c r="L27" s="583" t="n"/>
      <c r="M27" s="583" t="n"/>
      <c r="N27" s="583" t="n"/>
    </row>
    <row r="28">
      <c r="B28" s="202" t="inlineStr">
        <is>
          <t>Trading &amp; Shipping Total</t>
        </is>
      </c>
      <c r="C28" s="209" t="n"/>
      <c r="D28" s="209" t="n"/>
      <c r="E28" s="209" t="n"/>
      <c r="F28" s="547" t="n"/>
      <c r="G28" s="209" t="n"/>
      <c r="H28" s="203">
        <f>SUM(H25:H26)</f>
        <v>3.8</v>
      </c>
      <c r="I28" s="203">
        <f>SUM(I25:I27)</f>
        <v>1.0050000000000001</v>
      </c>
      <c r="J28" s="203">
        <f>SUM(J25:J26)</f>
        <v>2.96</v>
      </c>
      <c r="K28" s="583" t="n"/>
      <c r="L28" s="583" t="n"/>
      <c r="M28" s="101" t="n"/>
      <c r="N28" s="583" t="n"/>
    </row>
    <row r="29">
      <c r="F29" s="547" t="n"/>
      <c r="G29" s="583" t="n"/>
      <c r="H29" s="583" t="n"/>
      <c r="I29" s="583" t="n"/>
      <c r="J29" s="583" t="n"/>
      <c r="K29" s="583" t="n"/>
      <c r="L29" s="583" t="n"/>
      <c r="M29" s="583" t="n"/>
      <c r="N29" s="583" t="n"/>
    </row>
    <row r="30">
      <c r="B30" s="873" t="inlineStr">
        <is>
          <t>Platform: Supply</t>
        </is>
      </c>
      <c r="C30" s="874" t="n"/>
      <c r="D30" s="874" t="n"/>
      <c r="E30" s="874" t="n"/>
      <c r="F30" s="874" t="n"/>
      <c r="G30" s="874" t="n"/>
      <c r="H30" s="874" t="n"/>
      <c r="I30" s="874" t="n"/>
      <c r="J30" s="874" t="n"/>
      <c r="K30" s="583" t="n"/>
      <c r="L30" s="583" t="n"/>
      <c r="M30" s="583" t="n"/>
      <c r="N30" s="583" t="n"/>
    </row>
    <row r="31">
      <c r="B31" s="5" t="inlineStr">
        <is>
          <t>Squad</t>
        </is>
      </c>
      <c r="C31" s="463" t="inlineStr">
        <is>
          <t>Squad Type</t>
        </is>
      </c>
      <c r="D31" s="463" t="inlineStr">
        <is>
          <t>Size</t>
        </is>
      </c>
      <c r="E31" s="463" t="inlineStr">
        <is>
          <t>On/Off</t>
        </is>
      </c>
      <c r="F31" s="571" t="inlineStr">
        <is>
          <t>AU / NZ</t>
        </is>
      </c>
      <c r="G31" s="463" t="inlineStr">
        <is>
          <t>Support %</t>
        </is>
      </c>
      <c r="H31" s="463" t="inlineStr">
        <is>
          <t>Total Squad Cost ($m)</t>
        </is>
      </c>
      <c r="I31" s="463" t="inlineStr">
        <is>
          <t>TDD Cost ($m)</t>
        </is>
      </c>
      <c r="J31" s="463" t="inlineStr">
        <is>
          <t>Funded outside TDD ($m)</t>
        </is>
      </c>
      <c r="K31" s="583" t="n"/>
      <c r="L31" s="589" t="n"/>
      <c r="M31" s="583" t="n"/>
      <c r="N31" s="583" t="n"/>
    </row>
    <row r="32">
      <c r="B32" s="8" t="inlineStr">
        <is>
          <t>Supply</t>
        </is>
      </c>
      <c r="C32" s="210" t="inlineStr">
        <is>
          <t>Configuration / Integration</t>
        </is>
      </c>
      <c r="D32" s="210" t="inlineStr">
        <is>
          <t>M</t>
        </is>
      </c>
      <c r="E32" s="210" t="inlineStr">
        <is>
          <t>Onshore</t>
        </is>
      </c>
      <c r="F32" s="590" t="inlineStr">
        <is>
          <t>AU</t>
        </is>
      </c>
      <c r="G32" s="211" t="n">
        <v>0.2</v>
      </c>
      <c r="H32" s="201">
        <f>IFERROR(IF($E32="Onshore",INDEX('0.3 Squad Archetypes'!$G$5:$G$23,MATCH($C32&amp;"|"&amp;$D32,'0.3 Squad Archetypes'!$A$5:$A$23,0)),INDEX('0.3 Squad Archetypes'!$H$5:$H$23,MATCH($C32&amp;"|"&amp;$D32,'0.3 Squad Archetypes'!$A$5:$A$23,0))),"check size")</f>
        <v>2.1</v>
      </c>
      <c r="I32" s="9">
        <f>IFERROR($H32*$G32,"")</f>
        <v>0.42000000000000004</v>
      </c>
      <c r="J32" s="9">
        <f>IFERROR($H32*(1-$G32),"")</f>
        <v>1.6800000000000002</v>
      </c>
      <c r="K32" s="583" t="n"/>
      <c r="L32" s="559" t="n"/>
      <c r="M32" s="583" t="n"/>
      <c r="N32" s="583" t="n"/>
    </row>
    <row r="33">
      <c r="B33" s="454" t="inlineStr">
        <is>
          <t>Platform Overhead</t>
        </is>
      </c>
      <c r="F33" s="547" t="n"/>
      <c r="G33" s="583" t="n"/>
      <c r="H33" s="583" t="n"/>
      <c r="I33" s="201">
        <f>'0.2 Data Config'!$L$16</f>
        <v>0.165</v>
      </c>
      <c r="J33" s="583" t="n"/>
      <c r="K33" s="583" t="n"/>
      <c r="L33" s="583" t="n"/>
      <c r="M33" s="583" t="n"/>
      <c r="N33" s="583" t="n"/>
    </row>
    <row r="34">
      <c r="B34" s="202" t="inlineStr">
        <is>
          <t>Supply Total</t>
        </is>
      </c>
      <c r="C34" s="209" t="n"/>
      <c r="D34" s="209" t="n"/>
      <c r="E34" s="209" t="n"/>
      <c r="F34" s="547" t="n"/>
      <c r="G34" s="209" t="n"/>
      <c r="H34" s="203">
        <f>SUM(H32:H32)</f>
        <v>2.1</v>
      </c>
      <c r="I34" s="203">
        <f>SUM(I32:I33)</f>
        <v>0.5850000000000001</v>
      </c>
      <c r="J34" s="203">
        <f>SUM(J32:J32)</f>
        <v>1.6800000000000002</v>
      </c>
      <c r="K34" s="583" t="n"/>
      <c r="L34" s="583" t="n"/>
      <c r="M34" s="583" t="n"/>
      <c r="N34" s="583" t="n"/>
    </row>
    <row r="35">
      <c r="F35" s="547" t="n"/>
      <c r="G35" s="583" t="n"/>
      <c r="H35" s="583" t="n"/>
      <c r="I35" s="583" t="n"/>
      <c r="J35" s="583" t="n"/>
      <c r="K35" s="583" t="n"/>
      <c r="L35" s="583" t="n"/>
      <c r="M35" s="583" t="n"/>
      <c r="N35" s="583" t="n"/>
    </row>
    <row r="36">
      <c r="B36" s="873" t="inlineStr">
        <is>
          <t>Platform: CTRM</t>
        </is>
      </c>
      <c r="C36" s="874" t="n"/>
      <c r="D36" s="874" t="n"/>
      <c r="E36" s="874" t="n"/>
      <c r="F36" s="874" t="n"/>
      <c r="G36" s="874" t="n"/>
      <c r="H36" s="874" t="n"/>
      <c r="I36" s="874" t="n"/>
      <c r="J36" s="874" t="n"/>
      <c r="K36" s="583" t="n"/>
      <c r="L36" s="583" t="n"/>
      <c r="M36" s="583" t="n"/>
      <c r="N36" s="583" t="n"/>
    </row>
    <row r="37">
      <c r="B37" s="5" t="inlineStr">
        <is>
          <t>Squad</t>
        </is>
      </c>
      <c r="C37" s="463" t="inlineStr">
        <is>
          <t>Squad Type</t>
        </is>
      </c>
      <c r="D37" s="463" t="inlineStr">
        <is>
          <t>Size</t>
        </is>
      </c>
      <c r="E37" s="463" t="inlineStr">
        <is>
          <t>On/Off</t>
        </is>
      </c>
      <c r="F37" s="571" t="inlineStr">
        <is>
          <t>AU / NZ</t>
        </is>
      </c>
      <c r="G37" s="463" t="inlineStr">
        <is>
          <t>Support %</t>
        </is>
      </c>
      <c r="H37" s="463" t="inlineStr">
        <is>
          <t>Total Squad Cost ($m)</t>
        </is>
      </c>
      <c r="I37" s="463" t="inlineStr">
        <is>
          <t>TDD Cost ($m)</t>
        </is>
      </c>
      <c r="J37" s="463" t="inlineStr">
        <is>
          <t>Funded outside TDD ($m)</t>
        </is>
      </c>
      <c r="K37" s="583" t="n"/>
      <c r="L37" s="589" t="n"/>
      <c r="M37" s="583" t="n"/>
      <c r="N37" s="583" t="n"/>
    </row>
    <row r="38">
      <c r="B38" s="8" t="inlineStr">
        <is>
          <t>CTRM</t>
        </is>
      </c>
      <c r="C38" s="210" t="inlineStr">
        <is>
          <t>Strategic Programs</t>
        </is>
      </c>
      <c r="D38" s="210" t="n"/>
      <c r="E38" s="210" t="inlineStr">
        <is>
          <t>Onshore</t>
        </is>
      </c>
      <c r="F38" s="590" t="inlineStr">
        <is>
          <t>AU</t>
        </is>
      </c>
      <c r="G38" s="211" t="n">
        <v>0</v>
      </c>
      <c r="H38" s="591" t="n">
        <v>1.4</v>
      </c>
      <c r="I38" s="9">
        <f>IFERROR($H38*$G38,"")</f>
        <v>0.0</v>
      </c>
      <c r="J38" s="9">
        <f>IFERROR($H38*(1-$G38),"")</f>
        <v>1.4</v>
      </c>
      <c r="K38" s="101" t="inlineStr">
        <is>
          <t>Fully funded by CTRM</t>
        </is>
      </c>
      <c r="L38" s="559" t="n"/>
      <c r="M38" s="583" t="n"/>
      <c r="N38" s="583" t="n"/>
    </row>
    <row r="39">
      <c r="B39" s="454" t="inlineStr">
        <is>
          <t>Platform Overhead</t>
        </is>
      </c>
      <c r="F39" s="547" t="n"/>
      <c r="G39" s="583" t="n"/>
      <c r="H39" s="583" t="n"/>
      <c r="I39" s="201">
        <f>'0.2 Data Config'!$L$16</f>
        <v>0.165</v>
      </c>
      <c r="J39" s="583" t="n"/>
      <c r="K39" s="583" t="n"/>
      <c r="L39" s="583" t="n"/>
      <c r="M39" s="583" t="n"/>
      <c r="N39" s="583" t="n"/>
    </row>
    <row r="40">
      <c r="B40" s="202" t="inlineStr">
        <is>
          <t>CTRM Total</t>
        </is>
      </c>
      <c r="C40" s="209" t="n"/>
      <c r="D40" s="209" t="n"/>
      <c r="E40" s="209" t="n"/>
      <c r="F40" s="547" t="n"/>
      <c r="G40" s="209" t="n"/>
      <c r="H40" s="203">
        <f>SUM(H38:H38)</f>
        <v>1.4</v>
      </c>
      <c r="I40" s="203">
        <f>SUM(I38:I39)</f>
        <v>0.165</v>
      </c>
      <c r="J40" s="203">
        <f>SUM(J38:J38)</f>
        <v>1.4</v>
      </c>
      <c r="K40" s="583" t="n"/>
      <c r="L40" s="583" t="n"/>
      <c r="M40" s="583" t="n"/>
      <c r="N40" s="583" t="n"/>
    </row>
    <row r="41">
      <c r="F41" s="547" t="n"/>
      <c r="G41" s="583" t="n"/>
      <c r="H41" s="583" t="n"/>
      <c r="I41" s="583" t="n"/>
      <c r="J41" s="583" t="n"/>
      <c r="K41" s="583" t="n"/>
      <c r="L41" s="583" t="n"/>
      <c r="M41" s="583" t="n"/>
      <c r="N41" s="583" t="n"/>
    </row>
    <row r="42">
      <c r="B42" s="556" t="n"/>
      <c r="C42" s="592" t="n"/>
      <c r="D42" s="547" t="n"/>
      <c r="F42" s="547" t="n"/>
      <c r="G42" s="583" t="n"/>
      <c r="H42" s="583" t="n"/>
      <c r="I42" s="583" t="n"/>
      <c r="J42" s="583" t="n"/>
      <c r="K42" s="583" t="n"/>
      <c r="L42" s="583" t="n"/>
      <c r="M42" s="583" t="n"/>
      <c r="N42" s="583" t="n"/>
    </row>
    <row r="43">
      <c r="B43" s="556" t="n"/>
      <c r="C43" s="592" t="n"/>
      <c r="D43" s="547" t="n"/>
      <c r="F43" s="547" t="n"/>
      <c r="G43" s="583" t="n"/>
      <c r="H43" s="583" t="n"/>
      <c r="I43" s="583" t="n"/>
      <c r="J43" s="583" t="n"/>
      <c r="K43" s="583" t="n"/>
      <c r="L43" s="583" t="n"/>
      <c r="M43" s="583" t="n"/>
      <c r="N43" s="583" t="n"/>
    </row>
  </sheetData>
  <mergeCells count="7">
    <mergeCell ref="B11:D11"/>
    <mergeCell ref="B4:E4"/>
    <mergeCell ref="B36:J36"/>
    <mergeCell ref="B23:J23"/>
    <mergeCell ref="H10:K10"/>
    <mergeCell ref="B12:D12"/>
    <mergeCell ref="B30:J3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G25:G26 G32 G38" showDropDown="0" showInputMessage="0" showErrorMessage="1" allowBlank="1" errorTitle="Invalid entry" error="Pick a value from the list" type="list">
      <formula1>SupportPct</formula1>
      <formula2>0</formula2>
    </dataValidation>
    <dataValidation sqref="F25 F26 F32 F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FF1F4E79"/>
    <outlinePr summaryBelow="1" summaryRight="1"/>
    <pageSetUpPr/>
  </sheetPr>
  <dimension ref="B1:M41"/>
  <sheetViews>
    <sheetView showGridLines="0" zoomScale="70" zoomScaleNormal="70" workbookViewId="0">
      <selection activeCell="A1" sqref="A1"/>
    </sheetView>
  </sheetViews>
  <sheetFormatPr baseColWidth="8" defaultColWidth="8.54296875" defaultRowHeight="14.5"/>
  <cols>
    <col width="28" customWidth="1" style="849" min="2" max="2"/>
    <col width="26" customWidth="1" style="849" min="3" max="3"/>
    <col width="9.54296875" customWidth="1" style="849" min="4" max="4"/>
    <col width="17.81640625" customWidth="1" style="849" min="5" max="5"/>
    <col width="10" customWidth="1" style="849" min="6" max="6"/>
    <col width="11" customWidth="1" style="849" min="7" max="7"/>
    <col width="37.6328125" bestFit="1" customWidth="1" style="849" min="8" max="8"/>
    <col width="14" customWidth="1" style="849" min="9" max="9"/>
    <col width="50.1796875" customWidth="1" style="849" min="10" max="10"/>
    <col width="24.81640625" customWidth="1" style="849" min="11" max="11"/>
    <col width="8.6328125" customWidth="1" style="849" min="12" max="12"/>
    <col width="9.453125" bestFit="1" customWidth="1" style="849" min="13" max="13"/>
    <col width="9" bestFit="1" customWidth="1" style="849" min="14" max="14"/>
    <col width="15.36328125" bestFit="1" customWidth="1" style="849" min="15" max="15"/>
    <col width="8.90625" bestFit="1" customWidth="1" style="849" min="16" max="16"/>
    <col width="18.54296875" bestFit="1" customWidth="1" style="849" min="17" max="17"/>
  </cols>
  <sheetData>
    <row r="1">
      <c r="F1" s="547" t="n"/>
      <c r="G1" s="583" t="n"/>
      <c r="H1" s="583" t="n"/>
      <c r="I1" s="583" t="n"/>
      <c r="J1" s="583" t="n"/>
      <c r="K1" s="583" t="n"/>
      <c r="L1" s="583" t="n"/>
      <c r="M1" s="583" t="n"/>
    </row>
    <row r="2" ht="21" customHeight="1" s="849">
      <c r="B2" s="198" t="inlineStr">
        <is>
          <t>Z Retail</t>
        </is>
      </c>
      <c r="F2" s="547" t="n"/>
      <c r="G2" s="583" t="n"/>
      <c r="H2" s="583" t="n"/>
      <c r="I2" s="583" t="n"/>
      <c r="J2" s="583" t="n"/>
      <c r="K2" s="583" t="n"/>
      <c r="L2" s="583" t="n"/>
      <c r="M2" s="583" t="n"/>
    </row>
    <row r="3">
      <c r="F3" s="547" t="n"/>
      <c r="G3" s="583" t="n"/>
      <c r="H3" s="583" t="n"/>
      <c r="I3" s="583" t="n"/>
      <c r="J3" s="583" t="n"/>
      <c r="K3" s="583" t="n"/>
      <c r="L3" s="583" t="n"/>
      <c r="M3" s="583" t="n"/>
    </row>
    <row r="4">
      <c r="B4" s="850" t="inlineStr">
        <is>
          <t>Portfolio Summary</t>
        </is>
      </c>
      <c r="C4" s="851" t="n"/>
      <c r="D4" s="851" t="n"/>
      <c r="E4" s="852" t="n"/>
      <c r="F4" s="547" t="n"/>
      <c r="G4" s="583" t="n"/>
      <c r="H4" s="199" t="inlineStr">
        <is>
          <t>Budget vs TDD Cost</t>
        </is>
      </c>
      <c r="I4" s="199" t="n"/>
      <c r="J4" s="583" t="n"/>
      <c r="K4" s="583" t="n"/>
      <c r="L4" s="583" t="n"/>
      <c r="M4" s="583" t="n"/>
    </row>
    <row r="5" ht="29" customHeight="1" s="849">
      <c r="B5" s="5" t="inlineStr">
        <is>
          <t>Cost</t>
        </is>
      </c>
      <c r="C5" s="549" t="inlineStr">
        <is>
          <t>TDD AU ($m)</t>
        </is>
      </c>
      <c r="D5" s="549" t="inlineStr">
        <is>
          <t>TDD NZ ($m)</t>
        </is>
      </c>
      <c r="E5" s="549" t="inlineStr">
        <is>
          <t>Other ($m)</t>
        </is>
      </c>
      <c r="F5" s="549" t="inlineStr">
        <is>
          <t>Total ($m)</t>
        </is>
      </c>
      <c r="H5" s="200" t="inlineStr">
        <is>
          <t>TDD Lights On Budget (people - 0.2 Data Config)</t>
        </is>
      </c>
      <c r="I5" s="201">
        <f>'0.2 Data Config'!$E$12</f>
        <v>2.5</v>
      </c>
      <c r="J5" s="583" t="n"/>
      <c r="K5" s="583" t="n"/>
      <c r="L5" s="583" t="n"/>
      <c r="M5" s="583" t="n"/>
    </row>
    <row r="6">
      <c r="B6" s="8" t="inlineStr">
        <is>
          <t>Portfolio Overhead (see 0.2 Data Config)</t>
        </is>
      </c>
      <c r="C6" s="551">
        <f>IF(('0.2 Data Config'!$D$12)&gt;('0.2 Data Config'!$C$12),0,'0.2 Data Config'!$L$10)</f>
        <v>0.0</v>
      </c>
      <c r="D6" s="551">
        <f>IF(('0.2 Data Config'!$D$12)&gt;('0.2 Data Config'!$C$12),'0.2 Data Config'!$L$10,0)</f>
        <v>0.7495</v>
      </c>
      <c r="E6" s="551">
        <f>0</f>
        <v>0.0</v>
      </c>
      <c r="F6" s="551">
        <f>C6+D6+E6</f>
        <v>0.7495</v>
      </c>
      <c r="H6" s="563" t="inlineStr">
        <is>
          <t>AU Budget ($m)</t>
        </is>
      </c>
      <c r="I6" s="551">
        <f>'0.2 Data Config'!$C$12</f>
        <v>0.0</v>
      </c>
      <c r="J6" s="583" t="n"/>
      <c r="K6" s="583" t="n"/>
      <c r="L6" s="583" t="n"/>
      <c r="M6" s="583" t="n"/>
    </row>
    <row r="7">
      <c r="B7" s="8" t="inlineStr">
        <is>
          <t>Platform Overheads</t>
        </is>
      </c>
      <c r="C7" s="551">
        <f>IF(('0.2 Data Config'!$D$12)&gt;('0.2 Data Config'!$C$12),0,SUM(I27,I34))</f>
        <v>0.0</v>
      </c>
      <c r="D7" s="551">
        <f>IF(('0.2 Data Config'!$D$12)&gt;('0.2 Data Config'!$C$12),SUM(I27,I34,I40),0)</f>
        <v>0.33</v>
      </c>
      <c r="E7" s="551">
        <f>0</f>
        <v>0.0</v>
      </c>
      <c r="F7" s="551">
        <f>C7+D7+E7</f>
        <v>0.33</v>
      </c>
      <c r="H7" s="584" t="inlineStr">
        <is>
          <t>NZ Budget ($m)</t>
        </is>
      </c>
      <c r="I7" s="585">
        <f>'0.2 Data Config'!$D$12</f>
        <v>2.5</v>
      </c>
      <c r="J7" s="583" t="inlineStr">
        <is>
          <t>Z funded - out of Z OpEx</t>
        </is>
      </c>
      <c r="K7" s="583" t="n"/>
      <c r="L7" s="583" t="n"/>
      <c r="M7" s="583" t="n"/>
    </row>
    <row r="8">
      <c r="B8" s="8" t="inlineStr">
        <is>
          <t>Squad Support Costs</t>
        </is>
      </c>
      <c r="C8" s="551">
        <f>SUMIF(F26:F26,"AU",I26:I26)+SUMIF(F32:F33,"AU",I32:I33)</f>
        <v>0.0</v>
      </c>
      <c r="D8" s="551">
        <f>SUMIF(F26:F26,"NZ",I26:I26)+SUMIF(F32:F33,"NZ",I32:I33)+SUMIF(F39,"NZ",I39:I39)</f>
        <v>5.492000000000001</v>
      </c>
      <c r="E8" s="551">
        <f>SUM(J26,J32,J33,J39)</f>
        <v>1.2879999999999998</v>
      </c>
      <c r="F8" s="551">
        <f>C8+D8+E8</f>
        <v>6.780000000000001</v>
      </c>
      <c r="H8" s="550" t="inlineStr">
        <is>
          <t>AU Variance ($m)</t>
        </is>
      </c>
      <c r="I8" s="893">
        <f>I6-C9</f>
        <v>0.0</v>
      </c>
      <c r="J8" s="583" t="n"/>
      <c r="K8" s="583" t="n"/>
      <c r="L8" s="583" t="n"/>
      <c r="M8" s="583" t="n"/>
    </row>
    <row r="9">
      <c r="B9" s="202" t="inlineStr">
        <is>
          <t>Total Cost</t>
        </is>
      </c>
      <c r="C9" s="553">
        <f>SUM(C6:C8)</f>
        <v>0.0</v>
      </c>
      <c r="D9" s="553">
        <f>SUM(D6:D8)</f>
        <v>6.571500000000001</v>
      </c>
      <c r="E9" s="553">
        <f>SUM(E6:E8)</f>
        <v>1.2879999999999998</v>
      </c>
      <c r="F9" s="553">
        <f>SUM(F6:F8)</f>
        <v>7.8595000000000015</v>
      </c>
      <c r="H9" s="550" t="inlineStr">
        <is>
          <t>NZ Variance ($m)</t>
        </is>
      </c>
      <c r="I9" s="893">
        <f>I7-D9</f>
        <v>-4.071500000000001</v>
      </c>
      <c r="J9" s="583" t="n"/>
      <c r="K9" s="583" t="n"/>
      <c r="L9" s="583" t="n"/>
      <c r="M9" s="583" t="n"/>
    </row>
    <row r="10">
      <c r="H10" s="550" t="inlineStr">
        <is>
          <t>Total Variance ($m)</t>
        </is>
      </c>
      <c r="I10" s="566">
        <f>SUM(I8,I9)</f>
        <v>-4.071500000000001</v>
      </c>
      <c r="J10" s="583" t="n"/>
      <c r="K10" s="583" t="n"/>
      <c r="L10" s="583" t="n"/>
      <c r="M10" s="583" t="n"/>
    </row>
    <row r="11">
      <c r="H11" s="621" t="n"/>
      <c r="I11" s="622" t="n"/>
      <c r="J11" s="583" t="n"/>
      <c r="K11" s="583" t="n"/>
      <c r="L11" s="583" t="n"/>
      <c r="M11" s="583" t="n"/>
    </row>
    <row r="12">
      <c r="F12" s="547" t="n"/>
      <c r="G12" s="583" t="n"/>
      <c r="H12" s="877" t="inlineStr">
        <is>
          <t xml:space="preserve">Other funding </t>
        </is>
      </c>
      <c r="I12" s="870" t="n"/>
      <c r="J12" s="870" t="n"/>
      <c r="K12" s="871" t="n"/>
      <c r="L12" s="583" t="n"/>
      <c r="M12" s="583" t="n"/>
    </row>
    <row r="13">
      <c r="B13" s="879" t="inlineStr">
        <is>
          <t xml:space="preserve">Total Z-Energy budget </t>
        </is>
      </c>
      <c r="D13" s="876" t="n"/>
      <c r="E13" s="205">
        <f>SUM(I14:I18)</f>
        <v>76.60000000000001</v>
      </c>
      <c r="F13" s="547" t="n"/>
      <c r="G13" s="583" t="n"/>
      <c r="H13" s="467" t="inlineStr">
        <is>
          <t>Budget line</t>
        </is>
      </c>
      <c r="I13" s="467" t="inlineStr">
        <is>
          <t>Budget ($m)</t>
        </is>
      </c>
      <c r="J13" s="467" t="inlineStr">
        <is>
          <t>Amount that can be allocated to people</t>
        </is>
      </c>
      <c r="K13" s="467" t="inlineStr">
        <is>
          <t>Remaining for non-people ($m)</t>
        </is>
      </c>
      <c r="L13" s="583" t="n"/>
      <c r="M13" s="583" t="n"/>
    </row>
    <row r="14">
      <c r="B14" s="879" t="inlineStr">
        <is>
          <t xml:space="preserve">Reconciled to Finance </t>
        </is>
      </c>
      <c r="D14" s="876" t="n"/>
      <c r="E14" s="205">
        <f>'0.1 Budget Table (Fin)'!Q6</f>
        <v>76.60000000000002</v>
      </c>
      <c r="F14" s="547" t="n"/>
      <c r="G14" s="583" t="n"/>
      <c r="H14" s="214" t="inlineStr">
        <is>
          <t>Z-Energy Lights On</t>
        </is>
      </c>
      <c r="I14" s="217">
        <f>'0.1 Budget Table (Fin)'!L6</f>
        <v>52.20000000000001</v>
      </c>
      <c r="J14" s="595" t="n"/>
      <c r="K14" s="218">
        <f>IFERROR(I14-J14,0)</f>
        <v>52.20000000000001</v>
      </c>
      <c r="L14" s="583" t="n"/>
      <c r="M14" s="583" t="n"/>
    </row>
    <row r="15">
      <c r="F15" s="547" t="n"/>
      <c r="G15" s="583" t="n"/>
      <c r="H15" s="214" t="inlineStr">
        <is>
          <t>OpEx Initiatives</t>
        </is>
      </c>
      <c r="I15" s="217">
        <f>'0.1 Budget Table (Fin)'!N6</f>
        <v>1.4</v>
      </c>
      <c r="J15" s="224" t="n">
        <v>0</v>
      </c>
      <c r="K15" s="218">
        <f>IFERROR(I15-J15,0)</f>
        <v>1.4</v>
      </c>
      <c r="L15" s="583" t="n"/>
      <c r="M15" s="583" t="n"/>
    </row>
    <row r="16">
      <c r="B16" s="415" t="inlineStr">
        <is>
          <t>Total to fund</t>
        </is>
      </c>
      <c r="C16" s="416" t="n"/>
      <c r="F16" s="547" t="n"/>
      <c r="G16" s="583" t="n"/>
      <c r="H16" s="214" t="inlineStr">
        <is>
          <t>CapEx</t>
        </is>
      </c>
      <c r="I16" s="217">
        <f>'0.1 Budget Table (Fin)'!P6</f>
        <v>11.7</v>
      </c>
      <c r="J16" s="224" t="n">
        <v>1.08</v>
      </c>
      <c r="K16" s="218">
        <f>IFERROR(I16-J16,0)</f>
        <v>10.62</v>
      </c>
      <c r="L16" s="583" t="n"/>
      <c r="M16" s="583" t="n"/>
    </row>
    <row r="17">
      <c r="B17" s="417" t="inlineStr">
        <is>
          <t>TDD Variance</t>
        </is>
      </c>
      <c r="C17" s="894">
        <f>(I8+I9)</f>
        <v>-4.071500000000001</v>
      </c>
      <c r="F17" s="547" t="n"/>
      <c r="G17" s="583" t="n"/>
      <c r="H17" s="214" t="inlineStr">
        <is>
          <t>Significant Items</t>
        </is>
      </c>
      <c r="I17" s="217" t="str">
        <f>'0.1 Budget Table (Fin)'!$O$6</f>
        <v>-</v>
      </c>
      <c r="J17" s="224" t="n">
        <v>0</v>
      </c>
      <c r="K17" s="218">
        <f>IFERROR(I17-J17,0)</f>
        <v>0.0</v>
      </c>
      <c r="L17" s="583" t="n"/>
      <c r="M17" s="583" t="n"/>
    </row>
    <row r="18">
      <c r="B18" s="417" t="inlineStr">
        <is>
          <t>Other Variance</t>
        </is>
      </c>
      <c r="C18" s="894">
        <f>-J21</f>
        <v>-0.20799999999999974</v>
      </c>
      <c r="F18" s="547" t="n"/>
      <c r="G18" s="583" t="n"/>
      <c r="H18" s="214" t="inlineStr">
        <is>
          <t>Depreciation</t>
        </is>
      </c>
      <c r="I18" s="217">
        <f>'0.1 Budget Table (Fin)'!M6</f>
        <v>11.3</v>
      </c>
      <c r="J18" s="224" t="n">
        <v>0</v>
      </c>
      <c r="K18" s="218">
        <f>IFERROR(I18-J18,0)</f>
        <v>11.3</v>
      </c>
      <c r="L18" s="583" t="n"/>
      <c r="M18" s="583" t="n"/>
    </row>
    <row r="19">
      <c r="B19" s="419" t="inlineStr">
        <is>
          <t>Total</t>
        </is>
      </c>
      <c r="C19" s="897">
        <f>C17+C18</f>
        <v>-4.2795000000000005</v>
      </c>
      <c r="F19" s="547" t="n"/>
      <c r="G19" s="583" t="n"/>
      <c r="H19" s="225" t="inlineStr">
        <is>
          <t>Total applied</t>
        </is>
      </c>
      <c r="I19" s="595" t="n"/>
      <c r="J19" s="226">
        <f>SUM(J14:J18)</f>
        <v>1.08</v>
      </c>
      <c r="K19" s="595" t="n"/>
      <c r="L19" s="583" t="n"/>
      <c r="M19" s="583" t="n"/>
    </row>
    <row r="20">
      <c r="F20" s="547" t="n"/>
      <c r="G20" s="583" t="n"/>
      <c r="H20" s="214" t="inlineStr">
        <is>
          <t>Other cost (this model)</t>
        </is>
      </c>
      <c r="I20" s="595" t="n"/>
      <c r="J20" s="218">
        <f>E9</f>
        <v>1.2879999999999998</v>
      </c>
      <c r="K20" s="595" t="n"/>
      <c r="L20" s="583" t="n"/>
      <c r="M20" s="583" t="n"/>
    </row>
    <row r="21">
      <c r="F21" s="547" t="n"/>
      <c r="G21" s="583" t="n"/>
      <c r="H21" s="221" t="inlineStr">
        <is>
          <t>Left to fund</t>
        </is>
      </c>
      <c r="I21" s="595" t="n"/>
      <c r="J21" s="222">
        <f>E9-(J19-J14)</f>
        <v>0.20799999999999974</v>
      </c>
      <c r="K21" s="595" t="n"/>
      <c r="L21" s="583" t="n"/>
      <c r="M21" s="583" t="n"/>
    </row>
    <row r="22">
      <c r="F22" s="547" t="n"/>
      <c r="G22" s="583" t="n"/>
      <c r="H22" s="583" t="n"/>
      <c r="I22" s="583" t="n"/>
      <c r="J22" s="583" t="n"/>
      <c r="K22" s="583" t="n"/>
      <c r="L22" s="583" t="n"/>
      <c r="M22" s="583" t="n"/>
    </row>
    <row r="23">
      <c r="F23" s="547" t="n"/>
      <c r="G23" s="583" t="n"/>
      <c r="H23" s="583" t="n"/>
      <c r="I23" s="583" t="n"/>
      <c r="J23" s="583" t="n"/>
      <c r="K23" s="583" t="n"/>
      <c r="L23" s="583" t="n"/>
      <c r="M23" s="583" t="n"/>
    </row>
    <row r="24">
      <c r="B24" s="882" t="inlineStr">
        <is>
          <t>Platform: Z Supply</t>
        </is>
      </c>
      <c r="C24" s="870" t="n"/>
      <c r="D24" s="870" t="n"/>
      <c r="E24" s="870" t="n"/>
      <c r="F24" s="870" t="n"/>
      <c r="G24" s="870" t="n"/>
      <c r="H24" s="870" t="n"/>
      <c r="I24" s="870" t="n"/>
      <c r="J24" s="871" t="n"/>
      <c r="K24" s="583" t="n"/>
      <c r="L24" s="583" t="n"/>
      <c r="M24" s="583" t="n"/>
    </row>
    <row r="25">
      <c r="B25" s="213" t="inlineStr">
        <is>
          <t>Squad</t>
        </is>
      </c>
      <c r="C25" s="467" t="inlineStr">
        <is>
          <t>Squad Type</t>
        </is>
      </c>
      <c r="D25" s="467" t="inlineStr">
        <is>
          <t>Size</t>
        </is>
      </c>
      <c r="E25" s="467" t="inlineStr">
        <is>
          <t>On/Off</t>
        </is>
      </c>
      <c r="F25" s="571" t="inlineStr">
        <is>
          <t>AU / NZ</t>
        </is>
      </c>
      <c r="G25" s="467" t="inlineStr">
        <is>
          <t>Support %</t>
        </is>
      </c>
      <c r="H25" s="467" t="inlineStr">
        <is>
          <t>Total Squad Cost ($m)</t>
        </is>
      </c>
      <c r="I25" s="467" t="inlineStr">
        <is>
          <t>TDD Cost ($m)</t>
        </is>
      </c>
      <c r="J25" s="467" t="inlineStr">
        <is>
          <t>Funded outside TDD ($m)</t>
        </is>
      </c>
    </row>
    <row r="26">
      <c r="B26" s="214" t="inlineStr">
        <is>
          <t>Z Supply</t>
        </is>
      </c>
      <c r="C26" s="215" t="inlineStr">
        <is>
          <t>Build and Run</t>
        </is>
      </c>
      <c r="D26" s="215" t="inlineStr">
        <is>
          <t>M</t>
        </is>
      </c>
      <c r="E26" s="215" t="inlineStr">
        <is>
          <t>Onshore</t>
        </is>
      </c>
      <c r="F26" s="590" t="inlineStr">
        <is>
          <t>NZ</t>
        </is>
      </c>
      <c r="G26" s="216" t="n">
        <v>0.8</v>
      </c>
      <c r="H26" s="217">
        <f>IFERROR(IF($E26="Onshore",INDEX('0.3 Squad Archetypes'!$G$5:$G$23,MATCH($C26&amp;"|"&amp;$D26,'0.3 Squad Archetypes'!$A$5:$A$23,0)),INDEX('0.3 Squad Archetypes'!$H$5:$H$23,MATCH($C26&amp;"|"&amp;$D26,'0.3 Squad Archetypes'!$A$5:$A$23,0))),"check size")</f>
        <v>2.0</v>
      </c>
      <c r="I26" s="218">
        <f>IFERROR($H26*$G26,"")</f>
        <v>1.6</v>
      </c>
      <c r="J26" s="218">
        <f>IFERROR($H26*(1-$G26),"")</f>
        <v>0.3999999999999999</v>
      </c>
      <c r="K26" s="583" t="n"/>
      <c r="L26" s="559" t="n"/>
      <c r="M26" s="583" t="n"/>
    </row>
    <row r="27">
      <c r="B27" s="468" t="inlineStr">
        <is>
          <t>Platform Overhead</t>
        </is>
      </c>
      <c r="C27" s="220" t="n"/>
      <c r="D27" s="220" t="n"/>
      <c r="E27" s="220" t="n"/>
      <c r="F27" s="547" t="n"/>
      <c r="G27" s="595" t="n"/>
      <c r="H27" s="595" t="n"/>
      <c r="I27" s="217">
        <f>'0.2 Data Config'!$L$16</f>
        <v>0.165</v>
      </c>
      <c r="J27" s="595" t="n"/>
      <c r="K27" s="583" t="n"/>
      <c r="L27" s="583" t="n"/>
      <c r="M27" s="583" t="n"/>
    </row>
    <row r="28">
      <c r="B28" s="221" t="inlineStr">
        <is>
          <t>Z Supply Total</t>
        </is>
      </c>
      <c r="C28" s="209" t="n"/>
      <c r="D28" s="209" t="n"/>
      <c r="E28" s="209" t="n"/>
      <c r="F28" s="547" t="n"/>
      <c r="G28" s="209" t="n"/>
      <c r="H28" s="470">
        <f>SUM(H26:H26)</f>
        <v>2.0</v>
      </c>
      <c r="I28" s="222">
        <f>SUM(I26:I27)</f>
        <v>1.7650000000000001</v>
      </c>
      <c r="J28" s="222">
        <f>SUM(J26:J26)</f>
        <v>0.3999999999999999</v>
      </c>
      <c r="K28" s="583" t="n"/>
      <c r="L28" s="583" t="n"/>
      <c r="M28" s="583" t="n"/>
    </row>
    <row r="29">
      <c r="F29" s="547" t="n"/>
      <c r="G29" s="583" t="n"/>
      <c r="H29" s="583" t="n"/>
      <c r="I29" s="583" t="n"/>
      <c r="J29" s="583" t="n"/>
      <c r="K29" s="583" t="n"/>
      <c r="L29" s="583" t="n"/>
      <c r="M29" s="583" t="n"/>
    </row>
    <row r="30">
      <c r="B30" s="877" t="inlineStr">
        <is>
          <t>Platform: Z Customer</t>
        </is>
      </c>
      <c r="C30" s="870" t="n"/>
      <c r="D30" s="870" t="n"/>
      <c r="E30" s="870" t="n"/>
      <c r="F30" s="870" t="n"/>
      <c r="G30" s="870" t="n"/>
      <c r="H30" s="870" t="n"/>
      <c r="I30" s="870" t="n"/>
      <c r="J30" s="871" t="n"/>
      <c r="K30" s="583" t="n"/>
      <c r="L30" s="583" t="n"/>
      <c r="M30" s="583" t="n"/>
    </row>
    <row r="31">
      <c r="B31" s="213" t="inlineStr">
        <is>
          <t>Squad</t>
        </is>
      </c>
      <c r="C31" s="467" t="inlineStr">
        <is>
          <t>Squad Type</t>
        </is>
      </c>
      <c r="D31" s="467" t="inlineStr">
        <is>
          <t>Size</t>
        </is>
      </c>
      <c r="E31" s="467" t="inlineStr">
        <is>
          <t>On/Off</t>
        </is>
      </c>
      <c r="F31" s="571" t="inlineStr">
        <is>
          <t>AU / NZ</t>
        </is>
      </c>
      <c r="G31" s="467" t="inlineStr">
        <is>
          <t>Support %</t>
        </is>
      </c>
      <c r="H31" s="467" t="inlineStr">
        <is>
          <t>Total Squad Cost ($m)</t>
        </is>
      </c>
      <c r="I31" s="467" t="inlineStr">
        <is>
          <t>TDD Cost ($m)</t>
        </is>
      </c>
      <c r="J31" s="467" t="inlineStr">
        <is>
          <t>Funded outside TDD ($m)</t>
        </is>
      </c>
      <c r="K31" s="583" t="n"/>
      <c r="L31" s="589" t="n"/>
      <c r="M31" s="583" t="n"/>
    </row>
    <row r="32">
      <c r="B32" s="214" t="inlineStr">
        <is>
          <t>Site Systems</t>
        </is>
      </c>
      <c r="C32" s="215" t="inlineStr">
        <is>
          <t>Configuration / Integration</t>
        </is>
      </c>
      <c r="D32" s="215" t="inlineStr">
        <is>
          <t>M</t>
        </is>
      </c>
      <c r="E32" s="215" t="inlineStr">
        <is>
          <t>Onshore</t>
        </is>
      </c>
      <c r="F32" s="590" t="inlineStr">
        <is>
          <t>NZ</t>
        </is>
      </c>
      <c r="G32" s="216" t="n">
        <v>0.8</v>
      </c>
      <c r="H32" s="217">
        <f>IFERROR(IF($E32="Onshore",INDEX('0.3 Squad Archetypes'!$G$5:$G$23,MATCH($C32&amp;"|"&amp;$D32,'0.3 Squad Archetypes'!$A$5:$A$23,0)),INDEX('0.3 Squad Archetypes'!$H$5:$H$23,MATCH($C32&amp;"|"&amp;$D32,'0.3 Squad Archetypes'!$A$5:$A$23,0))),"check size")</f>
        <v>2.1</v>
      </c>
      <c r="I32" s="218">
        <f>IFERROR($H32*$G32,"")</f>
        <v>1.6800000000000002</v>
      </c>
      <c r="J32" s="218">
        <f>IFERROR($H32*(1-$G32),"")</f>
        <v>0.41999999999999993</v>
      </c>
      <c r="K32" s="583" t="n"/>
      <c r="L32" s="559" t="n"/>
      <c r="M32" s="583" t="n"/>
    </row>
    <row r="33">
      <c r="B33" s="214" t="inlineStr">
        <is>
          <t>Z Retail Backend</t>
        </is>
      </c>
      <c r="C33" s="215" t="inlineStr">
        <is>
          <t>Build and Run</t>
        </is>
      </c>
      <c r="D33" s="215" t="inlineStr">
        <is>
          <t>M</t>
        </is>
      </c>
      <c r="E33" s="215" t="inlineStr">
        <is>
          <t>Onshore</t>
        </is>
      </c>
      <c r="F33" s="590" t="inlineStr">
        <is>
          <t>NZ</t>
        </is>
      </c>
      <c r="G33" s="216" t="n">
        <v>0.8</v>
      </c>
      <c r="H33" s="217">
        <f>IFERROR(IF($E33="Onshore",INDEX('0.3 Squad Archetypes'!$G$5:$G$23,MATCH($C33&amp;"|"&amp;$D33,'0.3 Squad Archetypes'!$A$5:$A$23,0)),INDEX('0.3 Squad Archetypes'!$H$5:$H$23,MATCH($C33&amp;"|"&amp;$D33,'0.3 Squad Archetypes'!$A$5:$A$23,0))),"check size")</f>
        <v>2.0</v>
      </c>
      <c r="I33" s="218">
        <f>IFERROR($H33*$G33,"")</f>
        <v>1.6</v>
      </c>
      <c r="J33" s="218">
        <f>IFERROR($H33*(1-$G33),"")</f>
        <v>0.3999999999999999</v>
      </c>
      <c r="K33" s="583" t="n"/>
      <c r="L33" s="559" t="n"/>
      <c r="M33" s="583" t="n"/>
    </row>
    <row r="34">
      <c r="B34" s="468" t="inlineStr">
        <is>
          <t>Platform Overhead</t>
        </is>
      </c>
      <c r="C34" s="220" t="n"/>
      <c r="D34" s="220" t="n"/>
      <c r="E34" s="220" t="n"/>
      <c r="F34" s="547" t="n"/>
      <c r="G34" s="595" t="n"/>
      <c r="H34" s="595" t="n"/>
      <c r="I34" s="217">
        <f>'0.2 Data Config'!$L$16</f>
        <v>0.165</v>
      </c>
      <c r="J34" s="595" t="n"/>
      <c r="K34" s="583" t="n"/>
      <c r="L34" s="583" t="n"/>
      <c r="M34" s="583" t="n"/>
    </row>
    <row r="35">
      <c r="B35" s="221" t="inlineStr">
        <is>
          <t>Z Customer Total</t>
        </is>
      </c>
      <c r="C35" s="209" t="n"/>
      <c r="D35" s="209" t="n"/>
      <c r="E35" s="209" t="n"/>
      <c r="F35" s="547" t="n"/>
      <c r="G35" s="209" t="n"/>
      <c r="H35" s="222">
        <f>SUM(H32:H33)</f>
        <v>4.1</v>
      </c>
      <c r="I35" s="222">
        <f>SUM(I32:I34)</f>
        <v>3.4450000000000003</v>
      </c>
      <c r="J35" s="222">
        <f>SUM(J32:J33)</f>
        <v>0.8199999999999998</v>
      </c>
      <c r="K35" s="583" t="n"/>
      <c r="L35" s="583" t="n"/>
      <c r="M35" s="583" t="n"/>
    </row>
    <row r="36">
      <c r="F36" s="547" t="n"/>
      <c r="G36" s="583" t="n"/>
      <c r="H36" s="583" t="n"/>
      <c r="I36" s="583" t="n"/>
      <c r="J36" s="583" t="n"/>
      <c r="K36" s="583" t="n"/>
      <c r="L36" s="583" t="n"/>
      <c r="M36" s="583" t="n"/>
    </row>
    <row r="37">
      <c r="B37" s="868" t="inlineStr">
        <is>
          <t>Platform: Data NZ</t>
        </is>
      </c>
      <c r="C37" s="851" t="n"/>
      <c r="D37" s="851" t="n"/>
      <c r="E37" s="851" t="n"/>
      <c r="F37" s="851" t="n"/>
      <c r="G37" s="851" t="n"/>
      <c r="H37" s="851" t="n"/>
      <c r="I37" s="851" t="n"/>
      <c r="J37" s="852" t="n"/>
      <c r="K37" s="583" t="n"/>
      <c r="L37" s="583" t="n"/>
      <c r="M37" s="583" t="n"/>
    </row>
    <row r="38">
      <c r="B38" s="5" t="inlineStr">
        <is>
          <t>Squad</t>
        </is>
      </c>
      <c r="C38" s="463" t="inlineStr">
        <is>
          <t>Squad Type</t>
        </is>
      </c>
      <c r="D38" s="463" t="inlineStr">
        <is>
          <t>Size</t>
        </is>
      </c>
      <c r="E38" s="463" t="inlineStr">
        <is>
          <t>On/Off</t>
        </is>
      </c>
      <c r="F38" s="571" t="inlineStr">
        <is>
          <t>AU / NZ</t>
        </is>
      </c>
      <c r="G38" s="463" t="inlineStr">
        <is>
          <t>Support %</t>
        </is>
      </c>
      <c r="H38" s="463" t="inlineStr">
        <is>
          <t>Total Squad Cost ($m)</t>
        </is>
      </c>
      <c r="I38" s="463" t="inlineStr">
        <is>
          <t>TDD Cost ($m)</t>
        </is>
      </c>
      <c r="J38" s="463" t="inlineStr">
        <is>
          <t>Funded outside TDD ($m)</t>
        </is>
      </c>
      <c r="K38" s="583" t="n"/>
      <c r="L38" s="583" t="n"/>
      <c r="M38" s="583" t="n"/>
    </row>
    <row r="39">
      <c r="B39" s="8" t="inlineStr">
        <is>
          <t>Data NZ</t>
        </is>
      </c>
      <c r="C39" s="210" t="inlineStr">
        <is>
          <t>Enterprise Data and Insights</t>
        </is>
      </c>
      <c r="D39" s="210" t="inlineStr">
        <is>
          <t>M</t>
        </is>
      </c>
      <c r="E39" s="210" t="inlineStr">
        <is>
          <t>Offshore</t>
        </is>
      </c>
      <c r="F39" s="590" t="inlineStr">
        <is>
          <t>NZ</t>
        </is>
      </c>
      <c r="G39" s="211" t="n">
        <v>0.9</v>
      </c>
      <c r="H39" s="201">
        <f>IFERROR(IF($E39="Onshore",INDEX('0.3 Squad Archetypes'!$G$5:$G$23,MATCH($C39&amp;"|"&amp;$D39,'0.3 Squad Archetypes'!$A$5:$A$23,0)),INDEX('0.3 Squad Archetypes'!$H$5:$H$23,MATCH($C39&amp;"|"&amp;$D39,'0.3 Squad Archetypes'!$A$5:$A$23,0))),"check size")</f>
        <v>0.68</v>
      </c>
      <c r="I39" s="9">
        <f>IFERROR($H39*$G39,"")</f>
        <v>0.6120000000000001</v>
      </c>
      <c r="J39" s="9">
        <f>IFERROR($H39*(1-$G39),"")</f>
        <v>0.06799999999999999</v>
      </c>
      <c r="K39" t="inlineStr">
        <is>
          <t xml:space="preserve">No Overhead required </t>
        </is>
      </c>
    </row>
    <row r="40">
      <c r="B40" s="454" t="inlineStr">
        <is>
          <t>Platform Overhead</t>
        </is>
      </c>
      <c r="C40" s="200" t="n"/>
      <c r="D40" s="200" t="n"/>
      <c r="E40" s="200" t="n"/>
      <c r="F40" s="547" t="n"/>
      <c r="G40" s="200" t="n"/>
      <c r="H40" s="200" t="n"/>
      <c r="I40" s="201" t="n"/>
      <c r="J40" s="200" t="n"/>
    </row>
    <row r="41">
      <c r="B41" s="202" t="inlineStr">
        <is>
          <t>Data AU Total</t>
        </is>
      </c>
      <c r="C41" s="209" t="n"/>
      <c r="D41" s="209" t="n"/>
      <c r="E41" s="209" t="n"/>
      <c r="F41" s="547" t="n"/>
      <c r="G41" s="209" t="n"/>
      <c r="H41" s="203">
        <f>SUM(H39:H39)</f>
        <v>0.68</v>
      </c>
      <c r="I41" s="203">
        <f>SUM(I39:I40)</f>
        <v>0.6120000000000001</v>
      </c>
      <c r="J41" s="203">
        <f>SUM(J39:J39)</f>
        <v>0.06799999999999999</v>
      </c>
    </row>
  </sheetData>
  <mergeCells count="7">
    <mergeCell ref="B24:J24"/>
    <mergeCell ref="B14:D14"/>
    <mergeCell ref="B37:J37"/>
    <mergeCell ref="B4:E4"/>
    <mergeCell ref="H12:K12"/>
    <mergeCell ref="B13:D13"/>
    <mergeCell ref="B30:J30"/>
  </mergeCells>
  <conditionalFormatting sqref="H7">
    <cfRule type="cellIs" priority="5" operator="greaterThanOrEqual" dxfId="0">
      <formula>0</formula>
    </cfRule>
    <cfRule type="cellIs" priority="6" operator="lessThan" dxfId="1">
      <formula>0</formula>
    </cfRule>
  </conditionalFormatting>
  <conditionalFormatting sqref="I21">
    <cfRule type="cellIs" priority="7" operator="greaterThan" dxfId="1">
      <formula>0</formula>
    </cfRule>
    <cfRule type="cellIs" priority="8" operator="lessThanOrEqual" dxfId="0">
      <formula>0</formula>
    </cfRule>
  </conditionalFormatting>
  <dataValidations disablePrompts="1" count="5">
    <dataValidation sqref="C26 C32:C33 C39" showDropDown="0" showInputMessage="0" showErrorMessage="1" allowBlank="1" errorTitle="Invalid entry" error="Pick a value from the list" type="list">
      <formula1>SquadTypes</formula1>
      <formula2>0</formula2>
    </dataValidation>
    <dataValidation sqref="D26 D32:D33 D39" showDropDown="0" showInputMessage="0" showErrorMessage="1" allowBlank="1" errorTitle="Invalid entry" error="Pick a value from the list" type="list">
      <formula1>SquadSizes</formula1>
      <formula2>0</formula2>
    </dataValidation>
    <dataValidation sqref="E26 E32:E33 E39" showDropDown="0" showInputMessage="0" showErrorMessage="1" allowBlank="1" errorTitle="Invalid entry" error="Pick a value from the list" type="list">
      <formula1>OnOff</formula1>
      <formula2>0</formula2>
    </dataValidation>
    <dataValidation sqref="G26 G32:G33 G39" showDropDown="0" showInputMessage="0" showErrorMessage="1" allowBlank="1" errorTitle="Invalid entry" error="Pick a value from the list" type="list">
      <formula1>SupportPct</formula1>
      <formula2>0</formula2>
    </dataValidation>
    <dataValidation sqref="F26 F32:F33 F39"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1F4E79"/>
    <outlinePr summaryBelow="1" summaryRight="1"/>
    <pageSetUpPr/>
  </sheetPr>
  <dimension ref="B2:T54"/>
  <sheetViews>
    <sheetView showGridLines="0" zoomScale="70" zoomScaleNormal="70" workbookViewId="0">
      <selection activeCell="A1" sqref="A1"/>
    </sheetView>
  </sheetViews>
  <sheetFormatPr baseColWidth="8" defaultRowHeight="14.5"/>
  <cols>
    <col width="3" customWidth="1" style="849" min="1" max="1"/>
    <col width="71.26953125" bestFit="1" customWidth="1" style="849" min="2" max="2"/>
    <col width="24.26953125" customWidth="1" style="849" min="3" max="3"/>
    <col width="26" customWidth="1" style="849" min="4" max="4"/>
    <col width="10" customWidth="1" style="849" min="5" max="5"/>
    <col width="16.36328125" bestFit="1" customWidth="1" style="849" min="6" max="6"/>
    <col width="20" customWidth="1" style="849" min="7" max="7"/>
    <col width="11" bestFit="1" customWidth="1" style="849" min="8" max="8"/>
    <col width="13" customWidth="1" style="849" min="9" max="10"/>
    <col width="46" customWidth="1" style="849" min="11" max="11"/>
    <col hidden="1" width="13" customWidth="1" style="849" min="20" max="20"/>
  </cols>
  <sheetData>
    <row r="2" ht="21" customHeight="1" s="849">
      <c r="B2" s="423" t="inlineStr">
        <is>
          <t>Business Partnering &amp; Transformation - roles and funding</t>
        </is>
      </c>
    </row>
    <row r="4">
      <c r="B4" s="548" t="inlineStr">
        <is>
          <t>Summary</t>
        </is>
      </c>
      <c r="C4" s="547" t="n"/>
      <c r="D4" s="547" t="n"/>
      <c r="E4" s="547" t="n"/>
      <c r="F4" s="547" t="n"/>
      <c r="G4" s="547" t="n"/>
      <c r="H4" s="547" t="n"/>
      <c r="I4" s="547" t="n"/>
      <c r="J4" s="547" t="n"/>
      <c r="K4" s="547" t="n"/>
      <c r="L4" s="547" t="n"/>
    </row>
    <row r="5" ht="29" customHeight="1" s="849">
      <c r="B5" s="549" t="inlineStr">
        <is>
          <t>Grouping</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c r="K5" s="547" t="n"/>
      <c r="L5" s="547" t="n"/>
    </row>
    <row r="6">
      <c r="B6" s="550" t="inlineStr">
        <is>
          <t>Business Partnering</t>
        </is>
      </c>
      <c r="C6" s="600">
        <f>COUNTIFS($D$21:$D$44,"TDD Business Partner")+COUNTIFS($D$21:$D$44,"Commercial")</f>
        <v>10.0</v>
      </c>
      <c r="D6" s="600">
        <f>COUNTIFS($D$21:$D$44,"TDD Business Partner",$F$21:$F$44,"Filled")+COUNTIFS($D$21:$D$44,"Commercial",$F$21:$F$44,"Filled")</f>
        <v>9.0</v>
      </c>
      <c r="E6" s="600">
        <f>COUNTIFS($D$21:$D$44,"TDD Business Partner",$F$21:$F$44,"Vacant")+COUNTIFS($D$21:$D$44,"Commercial",$F$21:$F$44,"Vacant")</f>
        <v>1.0</v>
      </c>
      <c r="F6" s="551">
        <f>SUMIFS($T$21:$T$44,$D$21:$D$44,"TDD Business Partner")+SUMIFS($T$21:$T$44,$D$21:$D$44,"Commercial")-C13</f>
        <v>1.5725625920000001</v>
      </c>
      <c r="G6" s="551">
        <f>C15</f>
        <v>2.0</v>
      </c>
      <c r="H6" s="898">
        <f>F6-G6</f>
        <v>-0.42743740799999985</v>
      </c>
      <c r="I6" s="551">
        <f>SUMIFS($T$21:$T$44,$D$21:$D$44,"TDD Business Partner",$E$21:$E$44,"&lt;&gt;NZ")+SUMIFS($T$21:$T$44,$D$21:$D$44,"Commercial",$E$21:$E$44,"&lt;&gt;NZ")</f>
        <v>2.8501381</v>
      </c>
      <c r="J6" s="551">
        <f>SUMIFS($T$21:$T$44,$D$21:$D$44,"TDD Business Partner",$E$21:$E$44,"NZ")+SUMIFS($T$21:$T$44,$D$21:$D$44,"Commercial",$E$21:$E$44,"NZ")</f>
        <v>0.442424492</v>
      </c>
      <c r="K6" s="547" t="n"/>
      <c r="L6" s="547" t="n"/>
    </row>
    <row r="7">
      <c r="B7" s="550" t="inlineStr">
        <is>
          <t>Transformation</t>
        </is>
      </c>
      <c r="C7" s="600">
        <f>COUNTIFS($D$21:$D$44,"Transformation")</f>
        <v>14.0</v>
      </c>
      <c r="D7" s="600">
        <f>COUNTIFS($D$21:$D$44,"Transformation",$F$21:$F$44,"Filled")</f>
        <v>6.0</v>
      </c>
      <c r="E7" s="600">
        <f>COUNTIFS($D$21:$D$44,"Transformation",$F$21:$F$44,"Vacant")</f>
        <v>8.0</v>
      </c>
      <c r="F7" s="551">
        <f>SUMIFS($T$21:$T$44,$D$21:$D$44,"Transformation")</f>
        <v>3.10799923</v>
      </c>
      <c r="G7" s="551">
        <f>C16</f>
        <v>2.0</v>
      </c>
      <c r="H7" s="898">
        <f>F7-G7</f>
        <v>1.10799923</v>
      </c>
      <c r="I7" s="551">
        <f>SUMIFS($T$21:$T$44,$D$21:$D$44,"Transformation",$E$21:$E$44,"&lt;&gt;NZ")</f>
        <v>2.80847245</v>
      </c>
      <c r="J7" s="551">
        <f>SUMIFS($T$21:$T$44,$D$21:$D$44,"Transformation",$E$21:$E$44,"NZ")</f>
        <v>0.29952678</v>
      </c>
      <c r="K7" s="547" t="n"/>
      <c r="L7" s="547" t="n"/>
    </row>
    <row r="8">
      <c r="B8" s="561" t="inlineStr">
        <is>
          <t>Total</t>
        </is>
      </c>
      <c r="C8" s="562">
        <f>SUM(C6:C7)</f>
        <v>24.0</v>
      </c>
      <c r="D8" s="562">
        <f>SUM(D6:D7)</f>
        <v>15.0</v>
      </c>
      <c r="E8" s="562">
        <f>SUM(E6:E7)</f>
        <v>9.0</v>
      </c>
      <c r="F8" s="553">
        <f>SUM(F6:F7)</f>
        <v>4.680561822</v>
      </c>
      <c r="G8" s="553">
        <f>SUM(G6:G7)</f>
        <v>4.0</v>
      </c>
      <c r="H8" s="553">
        <f>SUM(H6:H7)</f>
        <v>0.680561822</v>
      </c>
      <c r="I8" s="553">
        <f>SUM(I6:I7)</f>
        <v>5.658610550000001</v>
      </c>
      <c r="J8" s="553">
        <f>SUM(J6:J7)</f>
        <v>0.741951272</v>
      </c>
      <c r="K8" s="547" t="n"/>
      <c r="L8" s="547" t="n"/>
    </row>
    <row r="9">
      <c r="B9" s="981" t="inlineStr">
        <is>
          <t>Planned spend is net of the Business Partner FTEs funded inside portfolio overheads (row 13); the COE draws down its own allocation only.</t>
        </is>
      </c>
      <c r="C9" s="547" t="n"/>
      <c r="D9" s="547" t="n"/>
      <c r="E9" s="547" t="n"/>
      <c r="F9" s="547" t="n"/>
      <c r="G9" s="547" t="n"/>
      <c r="H9" s="547" t="n"/>
      <c r="I9" s="547" t="n"/>
      <c r="J9" s="547" t="n"/>
      <c r="K9" s="547" t="n"/>
      <c r="L9" s="547" t="n"/>
    </row>
    <row r="10">
      <c r="B10" s="563" t="inlineStr">
        <is>
          <t>Portfolios funded (2.0 Group Summary)</t>
        </is>
      </c>
      <c r="C10" s="564">
        <f>COUNTA('3.1 Group Summary'!$B$6:$B$15)</f>
        <v>10.0</v>
      </c>
      <c r="D10" s="547" t="n"/>
      <c r="E10" s="547" t="n"/>
      <c r="F10" s="547" t="n"/>
      <c r="G10" s="547" t="n"/>
      <c r="H10" s="547" t="n"/>
      <c r="I10" s="547" t="n"/>
      <c r="J10" s="547" t="n"/>
      <c r="K10" s="547" t="n"/>
      <c r="L10" s="547" t="n"/>
    </row>
    <row r="11">
      <c r="B11" s="563" t="inlineStr">
        <is>
          <t>Business Partner allocation per portfolio (FTE - 0.2 Data Config)</t>
        </is>
      </c>
      <c r="C11" s="899">
        <f>'0.2 Data Config'!$K$7</f>
        <v>0.4</v>
      </c>
      <c r="D11" s="547" t="n"/>
      <c r="E11" s="547" t="n"/>
      <c r="F11" s="547" t="n"/>
      <c r="G11" s="547" t="n"/>
      <c r="H11" s="547" t="n"/>
      <c r="I11" s="547" t="n"/>
      <c r="J11" s="547" t="n"/>
      <c r="K11" s="547" t="n"/>
      <c r="L11" s="547" t="n"/>
    </row>
    <row r="12">
      <c r="B12" s="563" t="inlineStr">
        <is>
          <t>Business Partner FTEs funded by portfolio overheads</t>
        </is>
      </c>
      <c r="C12" s="899">
        <f>C10*C11</f>
        <v>4.0</v>
      </c>
      <c r="D12" s="547" t="n"/>
      <c r="E12" s="547" t="n"/>
      <c r="F12" s="547" t="n"/>
      <c r="G12" s="547" t="n"/>
      <c r="H12" s="547" t="n"/>
      <c r="I12" s="547" t="n"/>
      <c r="J12" s="547" t="n"/>
      <c r="K12" s="547" t="n"/>
      <c r="L12" s="547" t="n"/>
    </row>
    <row r="13">
      <c r="B13" s="563" t="inlineStr">
        <is>
          <t>Business Partner funding from portfolio overheads ($m)</t>
        </is>
      </c>
      <c r="C13" s="551">
        <f>COUNTA('3.1 Group Summary'!$B$6:$B$15)*'0.2 Data Config'!$L$7</f>
        <v>1.7200000000000002</v>
      </c>
      <c r="D13" s="547" t="n"/>
      <c r="E13" s="547" t="n"/>
      <c r="F13" s="547" t="n"/>
      <c r="G13" s="547" t="n"/>
      <c r="H13" s="547" t="n"/>
      <c r="I13" s="547" t="n"/>
      <c r="J13" s="547" t="n"/>
      <c r="K13" s="547" t="n"/>
      <c r="L13" s="547" t="n"/>
    </row>
    <row r="14">
      <c r="B14" s="563" t="inlineStr">
        <is>
          <t>COE - Business Partnering allocation ($m) - 0.2 Data Config</t>
        </is>
      </c>
      <c r="C14" s="551">
        <f>'0.2 Data Config'!$E$9</f>
        <v>2.0</v>
      </c>
      <c r="D14" s="547" t="n"/>
      <c r="E14" s="547" t="n"/>
      <c r="F14" s="547" t="n"/>
      <c r="G14" s="547" t="n"/>
      <c r="H14" s="547" t="n"/>
      <c r="I14" s="547" t="n"/>
      <c r="J14" s="547" t="n"/>
      <c r="K14" s="547" t="n"/>
      <c r="L14" s="547" t="n"/>
    </row>
    <row r="15">
      <c r="B15" s="550" t="inlineStr">
        <is>
          <t>Total Business Partnering budget ($m)</t>
        </is>
      </c>
      <c r="C15" s="566">
        <f>C14</f>
        <v>2.0</v>
      </c>
      <c r="D15" s="547" t="n"/>
      <c r="E15" s="547" t="n"/>
      <c r="F15" s="547" t="n"/>
      <c r="G15" s="547" t="n"/>
      <c r="H15" s="547" t="n"/>
      <c r="I15" s="547" t="n"/>
      <c r="J15" s="547" t="n"/>
      <c r="K15" s="547" t="n"/>
      <c r="L15" s="547" t="n"/>
    </row>
    <row r="16">
      <c r="B16" s="563" t="inlineStr">
        <is>
          <t>COE - Transformation allocation ($m) - 0.2 Data Config</t>
        </is>
      </c>
      <c r="C16" s="551">
        <f>'0.2 Data Config'!$E$8</f>
        <v>2.0</v>
      </c>
      <c r="D16" s="547" t="n"/>
      <c r="E16" s="547" t="n"/>
      <c r="F16" s="547" t="n"/>
      <c r="G16" s="547" t="n"/>
      <c r="H16" s="547" t="n"/>
      <c r="I16" s="547" t="n"/>
      <c r="J16" s="547" t="n"/>
      <c r="K16" s="547" t="n"/>
      <c r="L16" s="547" t="n"/>
    </row>
    <row r="17">
      <c r="B17" s="550" t="inlineStr">
        <is>
          <t>Total budget to draw down ($m)</t>
        </is>
      </c>
      <c r="C17" s="566">
        <f>C15+C16</f>
        <v>4.0</v>
      </c>
      <c r="D17" s="547" t="n"/>
      <c r="E17" s="547" t="n"/>
      <c r="F17" s="547" t="n"/>
      <c r="G17" s="547" t="n"/>
      <c r="H17" s="547" t="n"/>
      <c r="I17" s="547" t="n"/>
      <c r="J17" s="547" t="n"/>
      <c r="K17" s="547" t="n"/>
      <c r="L17" s="547" t="n"/>
    </row>
    <row r="18">
      <c r="B18" s="559" t="n"/>
      <c r="C18" s="559" t="n"/>
      <c r="D18" s="559" t="n"/>
      <c r="E18" s="559" t="n"/>
      <c r="F18" s="559" t="n"/>
      <c r="G18" s="559" t="n"/>
      <c r="H18" s="559" t="n"/>
      <c r="I18" s="559" t="n"/>
      <c r="J18" s="559" t="n"/>
      <c r="K18" s="547" t="n"/>
      <c r="L18" s="547" t="n"/>
    </row>
    <row r="19">
      <c r="B19" s="548" t="inlineStr">
        <is>
          <t>Roles</t>
        </is>
      </c>
      <c r="C19" s="554" t="n"/>
      <c r="D19" s="554" t="n"/>
      <c r="E19" s="554" t="n"/>
      <c r="F19" s="559" t="n"/>
      <c r="G19" s="554" t="n"/>
      <c r="H19" s="559" t="n"/>
      <c r="I19" s="900" t="n"/>
      <c r="J19" s="555" t="n"/>
      <c r="K19" s="547" t="n"/>
      <c r="L19" s="547" t="n"/>
    </row>
    <row r="20">
      <c r="B20" s="549" t="inlineStr">
        <is>
          <t>Name</t>
        </is>
      </c>
      <c r="C20" s="549" t="inlineStr">
        <is>
          <t>Position Title</t>
        </is>
      </c>
      <c r="D20" s="549" t="inlineStr">
        <is>
          <t>Department</t>
        </is>
      </c>
      <c r="E20" s="549" t="inlineStr">
        <is>
          <t>Country</t>
        </is>
      </c>
      <c r="F20" s="549" t="inlineStr">
        <is>
          <t>Status</t>
        </is>
      </c>
      <c r="G20" s="549" t="inlineStr">
        <is>
          <t>Cost if hired ($)</t>
        </is>
      </c>
      <c r="H20" s="549" t="inlineStr">
        <is>
          <t>On/Off</t>
        </is>
      </c>
      <c r="I20" s="900" t="n"/>
      <c r="J20" s="555" t="n"/>
      <c r="K20" s="547" t="n"/>
      <c r="L20" s="547" t="n"/>
    </row>
    <row r="21" ht="29" customHeight="1" s="849">
      <c r="B21" s="563" t="str">
        <f>Sheet2!$B$70</f>
        <v>Briony Scott</v>
      </c>
      <c r="C21" s="567" t="str">
        <f>SUBSTITUTE(SUBSTITUTE(Sheet2!$C$70,"–","-"),"—","-")</f>
        <v>Service &amp; Contract Specialist AU</v>
      </c>
      <c r="D21" s="563" t="str">
        <f>Sheet2!$G$70</f>
        <v>Commercial</v>
      </c>
      <c r="E21" s="563" t="str">
        <f>Sheet2!$M$70</f>
        <v>Australia</v>
      </c>
      <c r="F21" s="552" t="str">
        <f>IF(LOWER(Sheet2!$Q$70)="v","Vacant",IF(LOWER(Sheet2!$Q$70)="pause","Paused",IF(LOWER(Sheet2!$Q$70)="cxc","Contractor","Filled")))</f>
        <v>Filled</v>
      </c>
      <c r="G21" s="554" t="n"/>
      <c r="H21" s="590" t="inlineStr">
        <is>
          <t>Onshore</t>
        </is>
      </c>
      <c r="I21" s="900" t="n"/>
      <c r="J21" s="555" t="n"/>
      <c r="K21" s="547" t="n"/>
      <c r="L21" s="547" t="n"/>
      <c r="T21" s="568">
        <f>(Sheet2!$AA$70/1000000)*IF($H21="Offshore",0.4,1)</f>
        <v>0.205056</v>
      </c>
    </row>
    <row r="22">
      <c r="B22" s="563" t="str">
        <f>Sheet2!$B$71</f>
        <v>Conli Mills</v>
      </c>
      <c r="C22" s="567" t="str">
        <f>SUBSTITUTE(SUBSTITUTE(Sheet2!$C$71,"–","-"),"—","-")</f>
        <v>TDD BP - Infrastructure</v>
      </c>
      <c r="D22" s="563" t="str">
        <f>Sheet2!$G$71</f>
        <v>TDD Business Partner</v>
      </c>
      <c r="E22" s="563" t="str">
        <f>Sheet2!$M$71</f>
        <v>Australia</v>
      </c>
      <c r="F22" s="552" t="str">
        <f>IF(LOWER(Sheet2!$Q$71)="v","Vacant",IF(LOWER(Sheet2!$Q$71)="pause","Paused",IF(LOWER(Sheet2!$Q$71)="cxc","Contractor","Filled")))</f>
        <v>Filled</v>
      </c>
      <c r="G22" s="554" t="n"/>
      <c r="H22" s="590" t="inlineStr">
        <is>
          <t>Onshore</t>
        </is>
      </c>
      <c r="I22" s="900" t="n"/>
      <c r="J22" s="555" t="n"/>
      <c r="K22" s="547" t="n"/>
      <c r="L22" s="547" t="n"/>
      <c r="T22" s="568">
        <f>(Sheet2!$AA$71/1000000)*IF($H22="Offshore",0.4,1)</f>
        <v>0.29715</v>
      </c>
    </row>
    <row r="23" ht="29" customHeight="1" s="849">
      <c r="B23" s="563" t="str">
        <f>Sheet2!$B$72</f>
        <v>Helen Ngu</v>
      </c>
      <c r="C23" s="567" t="str">
        <f>SUBSTITUTE(SUBSTITUTE(Sheet2!$C$72,"–","-"),"—","-")</f>
        <v>Service &amp; Contract Specialist NZ</v>
      </c>
      <c r="D23" s="563" t="str">
        <f>Sheet2!$G$72</f>
        <v>Commercial</v>
      </c>
      <c r="E23" s="563" t="str">
        <f>Sheet2!$M$72</f>
        <v>NZ</v>
      </c>
      <c r="F23" s="552" t="str">
        <f>IF(LOWER(Sheet2!$Q$72)="v","Vacant",IF(LOWER(Sheet2!$Q$72)="pause","Paused",IF(LOWER(Sheet2!$Q$72)="cxc","Contractor","Filled")))</f>
        <v>Filled</v>
      </c>
      <c r="G23" s="554" t="n"/>
      <c r="H23" s="590" t="inlineStr">
        <is>
          <t>Onshore</t>
        </is>
      </c>
      <c r="I23" s="900" t="n"/>
      <c r="J23" s="555" t="n"/>
      <c r="K23" s="547" t="n"/>
      <c r="L23" s="547" t="n"/>
      <c r="T23" s="568">
        <f>(Sheet2!$AA$72/1000000)*IF($H23="Offshore",0.4,1)</f>
        <v>0.151002492</v>
      </c>
    </row>
    <row r="24">
      <c r="B24" s="563" t="str">
        <f>Sheet2!$B$73</f>
        <v>Jane Esclandra</v>
      </c>
      <c r="C24" s="567" t="str">
        <f>SUBSTITUTE(SUBSTITUTE(Sheet2!$C$73,"–","-"),"—","-")</f>
        <v>Software Asset Specialist</v>
      </c>
      <c r="D24" s="563" t="str">
        <f>Sheet2!$G$73</f>
        <v>Commercial</v>
      </c>
      <c r="E24" s="563" t="str">
        <f>Sheet2!$M$73</f>
        <v>Australia</v>
      </c>
      <c r="F24" s="552" t="str">
        <f>IF(LOWER(Sheet2!$Q$73)="v","Vacant",IF(LOWER(Sheet2!$Q$73)="pause","Paused",IF(LOWER(Sheet2!$Q$73)="cxc","Contractor","Filled")))</f>
        <v>Filled</v>
      </c>
      <c r="G24" s="554" t="n"/>
      <c r="H24" s="590" t="inlineStr">
        <is>
          <t>Onshore</t>
        </is>
      </c>
      <c r="I24" s="900" t="n"/>
      <c r="J24" s="555" t="n"/>
      <c r="K24" s="547" t="n"/>
      <c r="L24" s="547" t="n"/>
      <c r="T24" s="568">
        <f>(Sheet2!$AA$73/1000000)*IF($H24="Offshore",0.4,1)</f>
        <v>0.18345569999999997</v>
      </c>
    </row>
    <row r="25" ht="29" customHeight="1" s="849">
      <c r="B25" s="563" t="str">
        <f>Sheet2!$B$74</f>
        <v>Jeannie Chu</v>
      </c>
      <c r="C25" s="567" t="str">
        <f>SUBSTITUTE(SUBSTITUTE(Sheet2!$C$74,"–","-"),"—","-")</f>
        <v>Snr Finance Support Administrator</v>
      </c>
      <c r="D25" s="563" t="str">
        <f>Sheet2!$G$74</f>
        <v>Transformation</v>
      </c>
      <c r="E25" s="563" t="str">
        <f>Sheet2!$M$74</f>
        <v>Australia</v>
      </c>
      <c r="F25" s="552" t="str">
        <f>IF(LOWER(Sheet2!$Q$74)="v","Vacant",IF(LOWER(Sheet2!$Q$74)="pause","Paused",IF(LOWER(Sheet2!$Q$74)="cxc","Contractor","Filled")))</f>
        <v>Filled</v>
      </c>
      <c r="G25" s="554" t="n"/>
      <c r="H25" s="590" t="inlineStr">
        <is>
          <t>Onshore</t>
        </is>
      </c>
      <c r="I25" s="900" t="n"/>
      <c r="J25" s="555" t="n"/>
      <c r="K25" s="547" t="n"/>
      <c r="L25" s="547" t="n"/>
      <c r="T25" s="568">
        <f>(Sheet2!$AA$74/1000000)*IF($H25="Offshore",0.4,1)</f>
        <v>0.14768765</v>
      </c>
    </row>
    <row r="26">
      <c r="B26" s="563" t="str">
        <f>Sheet2!$B$75</f>
        <v>Jenny Chan</v>
      </c>
      <c r="C26" s="567" t="str">
        <f>SUBSTITUTE(SUBSTITUTE(Sheet2!$C$75,"–","-"),"—","-")</f>
        <v>Project Finance Lead</v>
      </c>
      <c r="D26" s="563" t="str">
        <f>Sheet2!$G$75</f>
        <v>Transformation</v>
      </c>
      <c r="E26" s="563" t="str">
        <f>Sheet2!$M$75</f>
        <v>Australia</v>
      </c>
      <c r="F26" s="552" t="str">
        <f>IF(LOWER(Sheet2!$Q$75)="v","Vacant",IF(LOWER(Sheet2!$Q$75)="pause","Paused",IF(LOWER(Sheet2!$Q$75)="cxc","Contractor","Filled")))</f>
        <v>Filled</v>
      </c>
      <c r="G26" s="554" t="n"/>
      <c r="H26" s="590" t="inlineStr">
        <is>
          <t>Onshore</t>
        </is>
      </c>
      <c r="I26" s="900" t="n"/>
      <c r="J26" s="555" t="n"/>
      <c r="K26" s="547" t="n"/>
      <c r="L26" s="547" t="n"/>
      <c r="T26" s="568">
        <f>(Sheet2!$AA$75/1000000)*IF($H26="Offshore",0.4,1)</f>
        <v>0.206124</v>
      </c>
    </row>
    <row r="27">
      <c r="B27" s="563" t="str">
        <f>Sheet2!$B$76</f>
        <v>Malcolm Deare</v>
      </c>
      <c r="C27" s="567" t="str">
        <f>SUBSTITUTE(SUBSTITUTE(Sheet2!$C$76,"–","-"),"—","-")</f>
        <v>TDD BP, Group Functions</v>
      </c>
      <c r="D27" s="563" t="str">
        <f>Sheet2!$G$76</f>
        <v>TDD Business Partner</v>
      </c>
      <c r="E27" s="563" t="str">
        <f>Sheet2!$M$76</f>
        <v>Australia</v>
      </c>
      <c r="F27" s="552" t="str">
        <f>IF(LOWER(Sheet2!$Q$76)="v","Vacant",IF(LOWER(Sheet2!$Q$76)="pause","Paused",IF(LOWER(Sheet2!$Q$76)="cxc","Contractor","Filled")))</f>
        <v>Filled</v>
      </c>
      <c r="G27" s="554" t="n"/>
      <c r="H27" s="590" t="inlineStr">
        <is>
          <t>Onshore</t>
        </is>
      </c>
      <c r="I27" s="900" t="n"/>
      <c r="J27" s="555" t="n"/>
      <c r="K27" s="547" t="n"/>
      <c r="L27" s="547" t="n"/>
      <c r="T27" s="568">
        <f>(Sheet2!$AA$76/1000000)*IF($H27="Offshore",0.4,1)</f>
        <v>0.2981</v>
      </c>
    </row>
    <row r="28">
      <c r="B28" s="563" t="str">
        <f>Sheet2!$B$77</f>
        <v>Maria Somera</v>
      </c>
      <c r="C28" s="567" t="str">
        <f>SUBSTITUTE(SUBSTITUTE(Sheet2!$C$77,"–","-"),"—","-")</f>
        <v>Technology Finance Analyst</v>
      </c>
      <c r="D28" s="563" t="str">
        <f>Sheet2!$G$77</f>
        <v>Transformation</v>
      </c>
      <c r="E28" s="563" t="str">
        <f>Sheet2!$M$77</f>
        <v>Australia</v>
      </c>
      <c r="F28" s="552" t="str">
        <f>IF(LOWER(Sheet2!$Q$77)="v","Vacant",IF(LOWER(Sheet2!$Q$77)="pause","Paused",IF(LOWER(Sheet2!$Q$77)="cxc","Contractor","Filled")))</f>
        <v>Filled</v>
      </c>
      <c r="G28" s="554" t="n"/>
      <c r="H28" s="590" t="inlineStr">
        <is>
          <t>Onshore</t>
        </is>
      </c>
      <c r="I28" s="900" t="n"/>
      <c r="J28" s="555" t="n"/>
      <c r="K28" s="547" t="n"/>
      <c r="L28" s="547" t="n"/>
      <c r="T28" s="568">
        <f>(Sheet2!$AA$77/1000000)*IF($H28="Offshore",0.4,1)</f>
        <v>0.17931339999999998</v>
      </c>
    </row>
    <row r="29">
      <c r="B29" s="563" t="str">
        <f>Sheet2!$B$78</f>
        <v>Matt Saunders</v>
      </c>
      <c r="C29" s="567" t="str">
        <f>SUBSTITUTE(SUBSTITUTE(Sheet2!$C$78,"–","-"),"—","-")</f>
        <v>Scrum Master</v>
      </c>
      <c r="D29" s="563" t="str">
        <f>Sheet2!$G$78</f>
        <v>Transformation</v>
      </c>
      <c r="E29" s="563" t="str">
        <f>Sheet2!$M$78</f>
        <v>NZ</v>
      </c>
      <c r="F29" s="552" t="str">
        <f>IF(LOWER(Sheet2!$Q$78)="v","Vacant",IF(LOWER(Sheet2!$Q$78)="pause","Paused",IF(LOWER(Sheet2!$Q$78)="cxc","Contractor","Filled")))</f>
        <v>Filled</v>
      </c>
      <c r="G29" s="554" t="n"/>
      <c r="H29" s="590" t="inlineStr">
        <is>
          <t>Onshore</t>
        </is>
      </c>
      <c r="I29" s="900" t="n"/>
      <c r="J29" s="555" t="n"/>
      <c r="K29" s="547" t="n"/>
      <c r="L29" s="547" t="n"/>
      <c r="T29" s="568">
        <f>(Sheet2!$AA$78/1000000)*IF($H29="Offshore",0.4,1)</f>
        <v>0.1477548</v>
      </c>
    </row>
    <row r="30">
      <c r="B30" s="563" t="str">
        <f>Sheet2!$B$79</f>
        <v>Neil Reilly</v>
      </c>
      <c r="C30" s="567" t="str">
        <f>SUBSTITUTE(SUBSTITUTE(Sheet2!$C$79,"–","-"),"—","-")</f>
        <v>TDD BP - T&amp;S</v>
      </c>
      <c r="D30" s="563" t="str">
        <f>Sheet2!$G$79</f>
        <v>TDD Business Partner</v>
      </c>
      <c r="E30" s="563" t="str">
        <f>Sheet2!$M$79</f>
        <v>Singapore</v>
      </c>
      <c r="F30" s="552" t="str">
        <f>IF(LOWER(Sheet2!$Q$79)="v","Vacant",IF(LOWER(Sheet2!$Q$79)="pause","Paused",IF(LOWER(Sheet2!$Q$79)="cxc","Contractor","Filled")))</f>
        <v>Filled</v>
      </c>
      <c r="G30" s="554" t="n"/>
      <c r="H30" s="590" t="inlineStr">
        <is>
          <t>Onshore</t>
        </is>
      </c>
      <c r="I30" s="900" t="n"/>
      <c r="J30" s="555" t="n"/>
      <c r="K30" s="547" t="n"/>
      <c r="L30" s="547" t="n"/>
      <c r="T30" s="568">
        <f>(Sheet2!$AA$79/1000000)*IF($H30="Offshore",0.4,1)</f>
        <v>0.6660875</v>
      </c>
    </row>
    <row r="31" ht="29" customHeight="1" s="849">
      <c r="B31" s="563" t="str">
        <f>Sheet2!$B$80</f>
        <v>Ruth Chou</v>
      </c>
      <c r="C31" s="567" t="str">
        <f>SUBSTITUTE(SUBSTITUTE(Sheet2!$C$80,"–","-"),"—","-")</f>
        <v>Portfolio Reporting Manager</v>
      </c>
      <c r="D31" s="563" t="str">
        <f>Sheet2!$G$80</f>
        <v>Transformation</v>
      </c>
      <c r="E31" s="563" t="str">
        <f>Sheet2!$M$80</f>
        <v>Australia</v>
      </c>
      <c r="F31" s="552" t="str">
        <f>IF(LOWER(Sheet2!$Q$80)="v","Vacant",IF(LOWER(Sheet2!$Q$80)="pause","Paused",IF(LOWER(Sheet2!$Q$80)="cxc","Contractor","Filled")))</f>
        <v>Filled</v>
      </c>
      <c r="G31" s="554" t="n"/>
      <c r="H31" s="590" t="inlineStr">
        <is>
          <t>Onshore</t>
        </is>
      </c>
      <c r="I31" s="900" t="n"/>
      <c r="J31" s="555" t="n"/>
      <c r="K31" s="547" t="n"/>
      <c r="L31" s="547" t="n"/>
      <c r="T31" s="568">
        <f>(Sheet2!$AA$80/1000000)*IF($H31="Offshore",0.4,1)</f>
        <v>0.29331684999999996</v>
      </c>
    </row>
    <row r="32">
      <c r="B32" s="563" t="str">
        <f>Sheet2!$B$81</f>
        <v>Sam Chan</v>
      </c>
      <c r="C32" s="567" t="str">
        <f>SUBSTITUTE(SUBSTITUTE(Sheet2!$C$81,"–","-"),"—","-")</f>
        <v>FinOps Manager</v>
      </c>
      <c r="D32" s="563" t="str">
        <f>Sheet2!$G$81</f>
        <v>Transformation</v>
      </c>
      <c r="E32" s="563" t="str">
        <f>Sheet2!$M$81</f>
        <v>Australia</v>
      </c>
      <c r="F32" s="552" t="str">
        <f>IF(LOWER(Sheet2!$Q$81)="v","Vacant",IF(LOWER(Sheet2!$Q$81)="pause","Paused",IF(LOWER(Sheet2!$Q$81)="cxc","Contractor","Filled")))</f>
        <v>Filled</v>
      </c>
      <c r="G32" s="554" t="n"/>
      <c r="H32" s="590" t="inlineStr">
        <is>
          <t>Onshore</t>
        </is>
      </c>
      <c r="I32" s="900" t="n"/>
      <c r="J32" s="555" t="n"/>
      <c r="K32" s="547" t="n"/>
      <c r="L32" s="547" t="n"/>
      <c r="T32" s="568">
        <f>(Sheet2!$AA$81/1000000)*IF($H32="Offshore",0.4,1)</f>
        <v>0.22578854999999998</v>
      </c>
    </row>
    <row r="33">
      <c r="B33" s="563" t="str">
        <f>Sheet2!$B$82</f>
        <v>Shelley Crawford</v>
      </c>
      <c r="C33" s="567" t="str">
        <f>SUBSTITUTE(SUBSTITUTE(Sheet2!$C$82,"–","-"),"—","-")</f>
        <v>TDD BP - Z</v>
      </c>
      <c r="D33" s="563" t="str">
        <f>Sheet2!$G$82</f>
        <v>TDD Business Partner</v>
      </c>
      <c r="E33" s="563" t="str">
        <f>Sheet2!$M$82</f>
        <v>NZ</v>
      </c>
      <c r="F33" s="552" t="str">
        <f>IF(LOWER(Sheet2!$Q$82)="v","Vacant",IF(LOWER(Sheet2!$Q$82)="pause","Paused",IF(LOWER(Sheet2!$Q$82)="cxc","Contractor","Filled")))</f>
        <v>Filled</v>
      </c>
      <c r="G33" s="554" t="n"/>
      <c r="H33" s="590" t="inlineStr">
        <is>
          <t>Onshore</t>
        </is>
      </c>
      <c r="I33" s="900" t="n"/>
      <c r="J33" s="555" t="n"/>
      <c r="K33" s="547" t="n"/>
      <c r="L33" s="547" t="n"/>
      <c r="T33" s="568">
        <f>(Sheet2!$AA$82/1000000)*IF($H33="Offshore",0.4,1)</f>
        <v>0.291422</v>
      </c>
    </row>
    <row r="34" ht="29" customHeight="1" s="849">
      <c r="B34" s="563" t="str">
        <f>Sheet2!$B$83</f>
        <v>Thomas Reid</v>
      </c>
      <c r="C34" s="567" t="str">
        <f>SUBSTITUTE(SUBSTITUTE(Sheet2!$C$83,"–","-"),"—","-")</f>
        <v>TDD BP - Retail &amp; Customer - Store Digital</v>
      </c>
      <c r="D34" s="563" t="str">
        <f>Sheet2!$G$83</f>
        <v>TDD Business Partner</v>
      </c>
      <c r="E34" s="563" t="str">
        <f>Sheet2!$M$83</f>
        <v>Australia</v>
      </c>
      <c r="F34" s="552" t="str">
        <f>IF(LOWER(Sheet2!$Q$83)="v","Vacant",IF(LOWER(Sheet2!$Q$83)="pause","Paused",IF(LOWER(Sheet2!$Q$83)="cxc","Contractor","Filled")))</f>
        <v>Filled</v>
      </c>
      <c r="G34" s="554" t="n"/>
      <c r="H34" s="590" t="inlineStr">
        <is>
          <t>Onshore</t>
        </is>
      </c>
      <c r="I34" s="900" t="n"/>
      <c r="J34" s="555" t="n"/>
      <c r="K34" s="547" t="n"/>
      <c r="L34" s="547" t="n"/>
      <c r="T34" s="568">
        <f>(Sheet2!$AA$83/1000000)*IF($H34="Offshore",0.4,1)</f>
        <v>0.417425</v>
      </c>
    </row>
    <row r="35">
      <c r="B35" s="563" t="str">
        <f>Sheet2!$B$84</f>
        <v>Vacant</v>
      </c>
      <c r="C35" s="567" t="str">
        <f>SUBSTITUTE(SUBSTITUTE(Sheet2!$C$84,"–","-"),"—","-")</f>
        <v>Commercial Director</v>
      </c>
      <c r="D35" s="563" t="str">
        <f>Sheet2!$G$84</f>
        <v>Commercial</v>
      </c>
      <c r="E35" s="563" t="str">
        <f>Sheet2!$M$84</f>
        <v>Australia</v>
      </c>
      <c r="F35" s="552" t="str">
        <f>IF(LOWER(Sheet2!$Q$84)="v","Vacant",IF(LOWER(Sheet2!$Q$84)="pause","Paused",IF(LOWER(Sheet2!$Q$84)="cxc","Contractor","Filled")))</f>
        <v>Vacant</v>
      </c>
      <c r="G35" s="569">
        <f>(Sheet2!$AA$84)*IF($H35="Offshore",0.4,1)</f>
        <v>439499.99999999994</v>
      </c>
      <c r="H35" s="590" t="inlineStr">
        <is>
          <t>Onshore</t>
        </is>
      </c>
      <c r="I35" s="900" t="n"/>
      <c r="J35" s="555" t="n"/>
      <c r="K35" s="547" t="n"/>
      <c r="L35" s="547" t="n"/>
      <c r="T35" s="568">
        <f>(Sheet2!$AA$84/1000000)*IF($H35="Offshore",0.4,1)</f>
        <v>0.43949999999999995</v>
      </c>
    </row>
    <row r="36">
      <c r="B36" s="563" t="str">
        <f>Sheet2!$B$85</f>
        <v>Vacant</v>
      </c>
      <c r="C36" s="567" t="str">
        <f>SUBSTITUTE(SUBSTITUTE(Sheet2!$C$85,"–","-"),"—","-")</f>
        <v>Head of Transformation</v>
      </c>
      <c r="D36" s="563" t="str">
        <f>Sheet2!$G$85</f>
        <v>Transformation</v>
      </c>
      <c r="E36" s="563" t="str">
        <f>Sheet2!$M$85</f>
        <v>Australia</v>
      </c>
      <c r="F36" s="552" t="str">
        <f>IF(LOWER(Sheet2!$Q$85)="v","Vacant",IF(LOWER(Sheet2!$Q$85)="pause","Paused",IF(LOWER(Sheet2!$Q$85)="cxc","Contractor","Filled")))</f>
        <v>Vacant</v>
      </c>
      <c r="G36" s="569">
        <f>(Sheet2!$AA$85)*IF($H36="Offshore",0.4,1)</f>
        <v>367900.0</v>
      </c>
      <c r="H36" s="590" t="inlineStr">
        <is>
          <t>Onshore</t>
        </is>
      </c>
      <c r="I36" s="900" t="n"/>
      <c r="J36" s="555" t="n"/>
      <c r="K36" s="547" t="n"/>
      <c r="L36" s="547" t="n"/>
      <c r="T36" s="568">
        <f>(Sheet2!$AA$85/1000000)*IF($H36="Offshore",0.4,1)</f>
        <v>0.3679</v>
      </c>
    </row>
    <row r="37">
      <c r="B37" s="563" t="str">
        <f>Sheet2!$B$86</f>
        <v>Vacant</v>
      </c>
      <c r="C37" s="567" t="str">
        <f>SUBSTITUTE(SUBSTITUTE(Sheet2!$C$86,"–","-"),"—","-")</f>
        <v>Delivery Systems Analyst</v>
      </c>
      <c r="D37" s="563" t="str">
        <f>Sheet2!$G$86</f>
        <v>Transformation</v>
      </c>
      <c r="E37" s="563" t="str">
        <f>Sheet2!$M$86</f>
        <v>Australia</v>
      </c>
      <c r="F37" s="552" t="str">
        <f>IF(LOWER(Sheet2!$Q$86)="v","Vacant",IF(LOWER(Sheet2!$Q$86)="pause","Paused",IF(LOWER(Sheet2!$Q$86)="cxc","Contractor","Filled")))</f>
        <v>Vacant</v>
      </c>
      <c r="G37" s="569">
        <f>(Sheet2!$AA$86)*IF($H37="Offshore",0.4,1)</f>
        <v>202853.25</v>
      </c>
      <c r="H37" s="590" t="inlineStr">
        <is>
          <t>Onshore</t>
        </is>
      </c>
      <c r="I37" s="900" t="n"/>
      <c r="J37" s="555" t="n"/>
      <c r="K37" s="547" t="n"/>
      <c r="L37" s="547" t="n"/>
      <c r="T37" s="568">
        <f>(Sheet2!$AA$86/1000000)*IF($H37="Offshore",0.4,1)</f>
        <v>0.20285325</v>
      </c>
    </row>
    <row r="38" ht="29" customHeight="1" s="849">
      <c r="B38" s="563" t="str">
        <f>Sheet2!$B$87</f>
        <v>Vacant</v>
      </c>
      <c r="C38" s="567" t="str">
        <f>SUBSTITUTE(SUBSTITUTE(Sheet2!$C$87,"–","-"),"—","-")</f>
        <v>Business Analysis Practice Lead</v>
      </c>
      <c r="D38" s="563" t="str">
        <f>Sheet2!$G$87</f>
        <v>Transformation</v>
      </c>
      <c r="E38" s="563" t="str">
        <f>Sheet2!$M$87</f>
        <v>Australia</v>
      </c>
      <c r="F38" s="552" t="str">
        <f>IF(LOWER(Sheet2!$Q$87)="v","Vacant",IF(LOWER(Sheet2!$Q$87)="pause","Paused",IF(LOWER(Sheet2!$Q$87)="cxc","Contractor","Filled")))</f>
        <v>Vacant</v>
      </c>
      <c r="G38" s="569">
        <f>(Sheet2!$AA$87)*IF($H38="Offshore",0.4,1)</f>
        <v>231689.25</v>
      </c>
      <c r="H38" s="590" t="inlineStr">
        <is>
          <t>Onshore</t>
        </is>
      </c>
      <c r="I38" s="900" t="n"/>
      <c r="J38" s="555" t="n"/>
      <c r="K38" s="547" t="n"/>
      <c r="L38" s="547" t="n"/>
      <c r="T38" s="568">
        <f>(Sheet2!$AA$87/1000000)*IF($H38="Offshore",0.4,1)</f>
        <v>0.23168925</v>
      </c>
    </row>
    <row r="39" ht="29" customHeight="1" s="849">
      <c r="B39" s="563" t="str">
        <f>Sheet2!$B$88</f>
        <v>Vacant</v>
      </c>
      <c r="C39" s="567" t="str">
        <f>SUBSTITUTE(SUBSTITUTE(Sheet2!$C$88,"–","-"),"—","-")</f>
        <v>Delivery Assurance Manager</v>
      </c>
      <c r="D39" s="563" t="str">
        <f>Sheet2!$G$88</f>
        <v>Transformation</v>
      </c>
      <c r="E39" s="563" t="str">
        <f>Sheet2!$M$88</f>
        <v>Australia</v>
      </c>
      <c r="F39" s="552" t="str">
        <f>IF(LOWER(Sheet2!$Q$88)="v","Vacant",IF(LOWER(Sheet2!$Q$88)="pause","Paused",IF(LOWER(Sheet2!$Q$88)="cxc","Contractor","Filled")))</f>
        <v>Vacant</v>
      </c>
      <c r="G39" s="569">
        <f>(Sheet2!$AA$88)*IF($H39="Offshore",0.4,1)</f>
        <v>275810.25</v>
      </c>
      <c r="H39" s="590" t="inlineStr">
        <is>
          <t>Onshore</t>
        </is>
      </c>
      <c r="I39" s="900" t="n"/>
      <c r="J39" s="555" t="n"/>
      <c r="K39" s="547" t="n"/>
      <c r="L39" s="547" t="n"/>
      <c r="T39" s="568">
        <f>(Sheet2!$AA$88/1000000)*IF($H39="Offshore",0.4,1)</f>
        <v>0.27581025</v>
      </c>
    </row>
    <row r="40" ht="29" customHeight="1" s="849">
      <c r="B40" s="563" t="str">
        <f>Sheet2!$B$89</f>
        <v>Vacant</v>
      </c>
      <c r="C40" s="567" t="str">
        <f>SUBSTITUTE(SUBSTITUTE(Sheet2!$C$89,"–","-"),"—","-")</f>
        <v>Delivery Capacity &amp; Assurance Lead</v>
      </c>
      <c r="D40" s="563" t="str">
        <f>Sheet2!$G$89</f>
        <v>Transformation</v>
      </c>
      <c r="E40" s="563" t="str">
        <f>Sheet2!$M$89</f>
        <v>Australia</v>
      </c>
      <c r="F40" s="552" t="str">
        <f>IF(LOWER(Sheet2!$Q$89)="v","Vacant",IF(LOWER(Sheet2!$Q$89)="pause","Paused",IF(LOWER(Sheet2!$Q$89)="cxc","Contractor","Filled")))</f>
        <v>Vacant</v>
      </c>
      <c r="G40" s="569">
        <f>(Sheet2!$AA$89)*IF($H40="Offshore",0.4,1)</f>
        <v>231689.25</v>
      </c>
      <c r="H40" s="590" t="inlineStr">
        <is>
          <t>Onshore</t>
        </is>
      </c>
      <c r="I40" s="900" t="n"/>
      <c r="J40" s="555" t="n"/>
      <c r="K40" s="547" t="n"/>
      <c r="L40" s="547" t="n"/>
      <c r="T40" s="568">
        <f>(Sheet2!$AA$89/1000000)*IF($H40="Offshore",0.4,1)</f>
        <v>0.23168925</v>
      </c>
    </row>
    <row r="41" ht="29" customHeight="1" s="849">
      <c r="B41" s="563" t="str">
        <f>Sheet2!$B$90</f>
        <v>Vacant</v>
      </c>
      <c r="C41" s="567" t="str">
        <f>SUBSTITUTE(SUBSTITUTE(Sheet2!$C$90,"–","-"),"—","-")</f>
        <v>Delivery Excellence Manager</v>
      </c>
      <c r="D41" s="563" t="str">
        <f>Sheet2!$G$90</f>
        <v>Transformation</v>
      </c>
      <c r="E41" s="563" t="str">
        <f>Sheet2!$M$90</f>
        <v>Australia</v>
      </c>
      <c r="F41" s="552" t="str">
        <f>IF(LOWER(Sheet2!$Q$90)="v","Vacant",IF(LOWER(Sheet2!$Q$90)="pause","Paused",IF(LOWER(Sheet2!$Q$90)="cxc","Contractor","Filled")))</f>
        <v>Vacant</v>
      </c>
      <c r="G41" s="569">
        <f>(Sheet2!$AA$90)*IF($H41="Offshore",0.4,1)</f>
        <v>275810.25</v>
      </c>
      <c r="H41" s="590" t="inlineStr">
        <is>
          <t>Onshore</t>
        </is>
      </c>
      <c r="I41" s="900" t="n"/>
      <c r="J41" s="555" t="n"/>
      <c r="K41" s="547" t="n"/>
      <c r="L41" s="547" t="n"/>
      <c r="T41" s="568">
        <f>(Sheet2!$AA$90/1000000)*IF($H41="Offshore",0.4,1)</f>
        <v>0.27581025</v>
      </c>
    </row>
    <row r="42">
      <c r="B42" s="563" t="str">
        <f>Sheet2!$B$91</f>
        <v>Vacant</v>
      </c>
      <c r="C42" s="567" t="str">
        <f>SUBSTITUTE(SUBSTITUTE(Sheet2!$C$91,"–","-"),"—","-")</f>
        <v>Scrum Master</v>
      </c>
      <c r="D42" s="563" t="str">
        <f>Sheet2!$G$91</f>
        <v>Transformation</v>
      </c>
      <c r="E42" s="563" t="str">
        <f>Sheet2!$M$91</f>
        <v>NZ</v>
      </c>
      <c r="F42" s="552" t="str">
        <f>IF(LOWER(Sheet2!$Q$91)="v","Vacant",IF(LOWER(Sheet2!$Q$91)="pause","Paused",IF(LOWER(Sheet2!$Q$91)="cxc","Contractor","Filled")))</f>
        <v>Vacant</v>
      </c>
      <c r="G42" s="569">
        <f>(Sheet2!$AA$91)*IF($H42="Offshore",0.4,1)</f>
        <v>151771.98</v>
      </c>
      <c r="H42" s="590" t="inlineStr">
        <is>
          <t>Onshore</t>
        </is>
      </c>
      <c r="I42" s="547" t="n"/>
      <c r="J42" s="547" t="n"/>
      <c r="K42" s="547" t="n"/>
      <c r="L42" s="547" t="n"/>
      <c r="T42" s="568">
        <f>(Sheet2!$AA$91/1000000)*IF($H42="Offshore",0.4,1)</f>
        <v>0.15177198</v>
      </c>
    </row>
    <row r="43">
      <c r="B43" s="563" t="str">
        <f>Sheet2!$B$92</f>
        <v>Vacant </v>
      </c>
      <c r="C43" s="567" t="str">
        <f>SUBSTITUTE(SUBSTITUTE(Sheet2!$C$92,"–","-"),"—","-")</f>
        <v>Portfolio Analyst</v>
      </c>
      <c r="D43" s="563" t="str">
        <f>Sheet2!$G$92</f>
        <v>Transformation</v>
      </c>
      <c r="E43" s="563" t="str">
        <f>Sheet2!$M$92</f>
        <v>Australia</v>
      </c>
      <c r="F43" s="552" t="str">
        <f>IF(LOWER(Sheet2!$Q$92)="v","Vacant",IF(LOWER(Sheet2!$Q$92)="pause","Paused",IF(LOWER(Sheet2!$Q$92)="cxc","Contractor","Filled")))</f>
        <v>Vacant</v>
      </c>
      <c r="G43" s="569">
        <f>(Sheet2!$AA$92)*IF($H43="Offshore",0.4,1)</f>
        <v>170489.75</v>
      </c>
      <c r="H43" s="590" t="inlineStr">
        <is>
          <t>Onshore</t>
        </is>
      </c>
      <c r="I43" s="547" t="n"/>
      <c r="J43" s="547" t="n"/>
      <c r="K43" s="547" t="n"/>
      <c r="L43" s="547" t="n"/>
      <c r="T43" s="568">
        <f>(Sheet2!$AA$92/1000000)*IF($H43="Offshore",0.4,1)</f>
        <v>0.17048975</v>
      </c>
    </row>
    <row r="44">
      <c r="B44" s="563" t="str">
        <f>Sheet2!$B$93</f>
        <v>Vaughn Scott</v>
      </c>
      <c r="C44" s="567" t="str">
        <f>SUBSTITUTE(SUBSTITUTE(Sheet2!$C$93,"–","-"),"—","-")</f>
        <v>TDD BP - ES</v>
      </c>
      <c r="D44" s="563" t="str">
        <f>Sheet2!$G$93</f>
        <v>TDD Business Partner</v>
      </c>
      <c r="E44" s="563" t="str">
        <f>Sheet2!$M$93</f>
        <v>Australia</v>
      </c>
      <c r="F44" s="552" t="str">
        <f>IF(LOWER(Sheet2!$Q$93)="v","Vacant",IF(LOWER(Sheet2!$Q$93)="pause","Paused",IF(LOWER(Sheet2!$Q$93)="cxc","Contractor","Filled")))</f>
        <v>Filled</v>
      </c>
      <c r="G44" s="547" t="n"/>
      <c r="H44" s="590" t="inlineStr">
        <is>
          <t>Onshore</t>
        </is>
      </c>
      <c r="I44" s="547" t="n"/>
      <c r="J44" s="547" t="n"/>
      <c r="K44" s="547" t="n"/>
      <c r="L44" s="547" t="n"/>
      <c r="T44" s="568">
        <f>(Sheet2!$AA$93/1000000)*IF($H44="Offshore",0.4,1)</f>
        <v>0.3433639</v>
      </c>
    </row>
    <row r="45">
      <c r="B45" s="563" t="inlineStr">
        <is>
          <t>Check - roles listed vs counted (must be 0)</t>
        </is>
      </c>
      <c r="C45" s="600">
        <f>COUNTA(B21:B44)-C8</f>
        <v>0.0</v>
      </c>
      <c r="D45" s="547" t="n"/>
      <c r="E45" s="547" t="n"/>
      <c r="F45" s="547" t="n"/>
      <c r="G45" s="547" t="n"/>
      <c r="H45" s="547" t="n"/>
      <c r="I45" s="547" t="n"/>
      <c r="J45" s="547" t="n"/>
      <c r="K45" s="547" t="n"/>
      <c r="L45" s="547" t="n"/>
    </row>
    <row r="46">
      <c r="B46" s="547" t="n"/>
      <c r="C46" s="547" t="n"/>
      <c r="D46" s="547" t="n"/>
      <c r="E46" s="547" t="n"/>
      <c r="F46" s="547" t="n"/>
      <c r="G46" s="547" t="n"/>
      <c r="H46" s="547" t="n"/>
      <c r="I46" s="547" t="n"/>
      <c r="J46" s="547" t="n"/>
      <c r="K46" s="547" t="n"/>
      <c r="L46" s="547" t="n"/>
    </row>
    <row r="47">
      <c r="B47" s="570" t="inlineStr">
        <is>
          <t>Commercial roles sit in the Business Partnering bucket - the Department column shows where each role reports.</t>
        </is>
      </c>
    </row>
    <row r="48">
      <c r="B48" s="547" t="n"/>
      <c r="C48" s="547" t="n"/>
      <c r="D48" s="547" t="n"/>
      <c r="E48" s="547" t="n"/>
      <c r="F48" s="547" t="n"/>
      <c r="G48" s="547" t="n"/>
      <c r="H48" s="547" t="n"/>
      <c r="I48" s="547" t="n"/>
      <c r="J48" s="547" t="n"/>
      <c r="K48" s="547" t="n"/>
      <c r="L48" s="547" t="n"/>
    </row>
    <row r="49" ht="29" customHeight="1" s="849">
      <c r="B49" s="579" t="inlineStr">
        <is>
          <t>On/Off: set a role to Offshore and it is priced at 40% of the onshore cost. The totals above and every summary follow.</t>
        </is>
      </c>
      <c r="C49" s="547" t="n"/>
      <c r="D49" s="547" t="n"/>
      <c r="E49" s="547" t="n"/>
      <c r="F49" s="547" t="n"/>
      <c r="G49" s="547" t="n"/>
      <c r="H49" s="547" t="n"/>
      <c r="I49" s="547" t="n"/>
      <c r="J49" s="547" t="n"/>
      <c r="K49" s="547" t="n"/>
      <c r="L49" s="547" t="n"/>
    </row>
    <row r="50">
      <c r="B50" s="547" t="n"/>
      <c r="C50" s="547" t="n"/>
      <c r="D50" s="547" t="n"/>
      <c r="E50" s="547" t="n"/>
      <c r="F50" s="547" t="n"/>
      <c r="G50" s="547" t="n"/>
      <c r="H50" s="547" t="n"/>
      <c r="I50" s="547" t="n"/>
      <c r="J50" s="547" t="n"/>
      <c r="K50" s="547" t="n"/>
      <c r="L50" s="547" t="n"/>
    </row>
    <row r="51">
      <c r="B51" s="547" t="n"/>
      <c r="C51" s="547" t="n"/>
      <c r="D51" s="547" t="n"/>
      <c r="E51" s="547" t="n"/>
      <c r="F51" s="547" t="n"/>
      <c r="G51" s="547" t="n"/>
      <c r="H51" s="547" t="n"/>
      <c r="I51" s="547" t="n"/>
      <c r="J51" s="547" t="n"/>
      <c r="K51" s="547" t="n"/>
      <c r="L51" s="547" t="n"/>
    </row>
    <row r="52">
      <c r="B52" s="547" t="n"/>
      <c r="C52" s="547" t="n"/>
      <c r="D52" s="547" t="n"/>
      <c r="E52" s="547" t="n"/>
      <c r="F52" s="547" t="n"/>
      <c r="G52" s="547" t="n"/>
      <c r="H52" s="547" t="n"/>
      <c r="I52" s="547" t="n"/>
      <c r="J52" s="547" t="n"/>
      <c r="K52" s="547" t="n"/>
      <c r="L52" s="547" t="n"/>
    </row>
    <row r="53">
      <c r="B53" s="547" t="n"/>
      <c r="C53" s="547" t="n"/>
      <c r="D53" s="547" t="n"/>
      <c r="E53" s="547" t="n"/>
      <c r="F53" s="547" t="n"/>
      <c r="G53" s="547" t="n"/>
      <c r="H53" s="547" t="n"/>
      <c r="I53" s="547" t="n"/>
      <c r="J53" s="547" t="n"/>
      <c r="K53" s="547" t="n"/>
      <c r="L53" s="547" t="n"/>
    </row>
    <row r="54">
      <c r="B54" s="547" t="n"/>
      <c r="C54" s="547" t="n"/>
      <c r="D54" s="547" t="n"/>
      <c r="E54" s="547" t="n"/>
      <c r="F54" s="547" t="n"/>
      <c r="G54" s="547" t="n"/>
      <c r="H54" s="547" t="n"/>
      <c r="I54" s="547" t="n"/>
      <c r="J54" s="547" t="n"/>
      <c r="K54" s="547" t="n"/>
      <c r="L54" s="547" t="n"/>
    </row>
  </sheetData>
  <dataValidations count="1">
    <dataValidation sqref="H21 H22 H23 H24 H25 H26 H27 H28 H29 H30 H31 H32 H33 H34 H35 H36 H37 H38 H39 H40 H41 H42 H43 H44" showDropDown="0" showInputMessage="0" showErrorMessage="0" allowBlank="1" type="list">
      <formula1>"Onshore,Offshore"</formula1>
    </dataValidation>
  </dataValidations>
  <pageMargins left="0.75" right="0.75" top="1" bottom="1" header="0.5" footer="0.5"/>
</worksheet>
</file>

<file path=xl/worksheets/sheet20.xml><?xml version="1.0" encoding="utf-8"?>
<worksheet xmlns="http://schemas.openxmlformats.org/spreadsheetml/2006/main">
  <sheetPr>
    <tabColor rgb="FF1F4E79"/>
    <outlinePr summaryBelow="1" summaryRight="1"/>
    <pageSetUpPr/>
  </sheetPr>
  <dimension ref="B2:T60"/>
  <sheetViews>
    <sheetView showGridLines="0" workbookViewId="0">
      <selection activeCell="A1" sqref="A1"/>
    </sheetView>
  </sheetViews>
  <sheetFormatPr baseColWidth="8" defaultRowHeight="14.5"/>
  <cols>
    <col width="3" customWidth="1" style="849" min="1" max="1"/>
    <col width="60.453125" bestFit="1" customWidth="1" style="849" min="2" max="2"/>
    <col width="42" customWidth="1" style="849" min="3" max="3"/>
    <col width="26" customWidth="1" style="849" min="4" max="4"/>
    <col width="10" customWidth="1" style="849" min="5" max="5"/>
    <col width="16.1796875" bestFit="1" customWidth="1" style="849" min="6" max="6"/>
    <col width="20" customWidth="1" style="849" min="7" max="7"/>
    <col width="11" customWidth="1" style="849" min="8" max="8"/>
    <col width="13.81640625" bestFit="1" customWidth="1" style="849" min="9" max="9"/>
    <col width="13.26953125" bestFit="1" customWidth="1" style="849" min="10" max="10"/>
    <col width="46" customWidth="1" style="849" min="11" max="11"/>
    <col hidden="1" width="13" customWidth="1" style="849" min="20" max="20"/>
  </cols>
  <sheetData>
    <row r="2" ht="21" customHeight="1" s="849">
      <c r="B2" s="423" t="inlineStr">
        <is>
          <t>Strategy, Architecture &amp; Data - roles and funding</t>
        </is>
      </c>
    </row>
    <row r="4">
      <c r="B4" s="548" t="inlineStr">
        <is>
          <t>Summary</t>
        </is>
      </c>
      <c r="C4" s="547" t="n"/>
      <c r="D4" s="547" t="n"/>
      <c r="E4" s="547" t="n"/>
      <c r="F4" s="547" t="n"/>
      <c r="G4" s="547" t="n"/>
      <c r="H4" s="547" t="n"/>
      <c r="I4" s="547" t="n"/>
      <c r="J4" s="547" t="n"/>
      <c r="K4" s="547" t="n"/>
      <c r="L4" s="547" t="n"/>
    </row>
    <row r="5" ht="43.5" customHeight="1" s="849">
      <c r="B5" s="549" t="inlineStr">
        <is>
          <t>Grouping</t>
        </is>
      </c>
      <c r="C5" s="549" t="inlineStr">
        <is>
          <t>Roles</t>
        </is>
      </c>
      <c r="D5" s="549" t="inlineStr">
        <is>
          <t>Filled</t>
        </is>
      </c>
      <c r="E5" s="549" t="inlineStr">
        <is>
          <t>Vacant</t>
        </is>
      </c>
      <c r="F5" s="549" t="inlineStr">
        <is>
          <t>Paused</t>
        </is>
      </c>
      <c r="G5" s="549" t="inlineStr">
        <is>
          <t>Planned spend ($m)</t>
        </is>
      </c>
      <c r="H5" s="549" t="inlineStr">
        <is>
          <t>Budget to draw down ($m)</t>
        </is>
      </c>
      <c r="I5" s="549" t="inlineStr">
        <is>
          <t>Left to fund ($m)</t>
        </is>
      </c>
      <c r="J5" s="549" t="inlineStr">
        <is>
          <t>Cost - AU ($m)</t>
        </is>
      </c>
      <c r="K5" s="549" t="inlineStr">
        <is>
          <t>Cost - NZ ($m)</t>
        </is>
      </c>
      <c r="L5" s="547" t="n"/>
    </row>
    <row r="6">
      <c r="B6" s="550" t="inlineStr">
        <is>
          <t>Strategy &amp; Architecture</t>
        </is>
      </c>
      <c r="C6" s="600">
        <f>COUNTA($B$22:$B$50)-COUNTIFS($D$22:$D$50,"Group Data")</f>
        <v>20.0</v>
      </c>
      <c r="D6" s="600">
        <f>COUNTIFS($F$22:$F$50,"Filled")-COUNTIFS($D$22:$D$50,"Group Data",$F$22:$F$50,"Filled")</f>
        <v>7.0</v>
      </c>
      <c r="E6" s="600">
        <f>COUNTIFS($F$22:$F$50,"Vacant")-COUNTIFS($D$22:$D$50,"Group Data",$F$22:$F$50,"Vacant")</f>
        <v>11.0</v>
      </c>
      <c r="F6" s="600">
        <f>COUNTIFS($F$22:$F$50,"Paused")-COUNTIFS($D$22:$D$50,"Group Data",$F$22:$F$50,"Paused")</f>
        <v>2.0</v>
      </c>
      <c r="G6" s="551">
        <f>SUM($T$22:$T$50)-SUMIFS($T$22:$T$50,$D$22:$D$50,"Group Data")-C13</f>
        <v>2.920560995999999</v>
      </c>
      <c r="H6" s="551">
        <f>C15</f>
        <v>2.0</v>
      </c>
      <c r="I6" s="898">
        <f>G6-H6</f>
        <v>0.920560995999999</v>
      </c>
      <c r="J6" s="551">
        <f>SUMIFS($T$22:$T$50,$E$22:$E$50,"&lt;&gt;NZ")-SUMIFS($T$22:$T$50,$D$22:$D$50,"Group Data",$E$22:$E$50,"&lt;&gt;NZ")</f>
        <v>3.4409158999999994</v>
      </c>
      <c r="K6" s="551">
        <f>SUMIFS($T$22:$T$50,$E$22:$E$50,"NZ")-SUMIFS($T$22:$T$50,$D$22:$D$50,"Group Data",$E$22:$E$50,"NZ")</f>
        <v>0.879645096</v>
      </c>
      <c r="L6" s="547" t="n"/>
    </row>
    <row r="7">
      <c r="B7" s="550" t="inlineStr">
        <is>
          <t>Data</t>
        </is>
      </c>
      <c r="C7" s="600">
        <f>COUNTIFS($D$22:$D$50,"Group Data")</f>
        <v>9.0</v>
      </c>
      <c r="D7" s="600">
        <f>COUNTIFS($D$22:$D$50,"Group Data",$F$22:$F$50,"Filled")</f>
        <v>7.0</v>
      </c>
      <c r="E7" s="600">
        <f>COUNTIFS($D$22:$D$50,"Group Data",$F$22:$F$50,"Vacant")</f>
        <v>1.0</v>
      </c>
      <c r="F7" s="600">
        <f>COUNTIFS($D$22:$D$50,"Group Data",$F$22:$F$50,"Paused")</f>
        <v>1.0</v>
      </c>
      <c r="G7" s="551">
        <f>SUMIFS($T$22:$T$50,$D$22:$D$50,"Group Data")</f>
        <v>2.232736616</v>
      </c>
      <c r="H7" s="551">
        <f>C16</f>
        <v>2.0</v>
      </c>
      <c r="I7" s="898">
        <f>G7-H7</f>
        <v>0.23273661599999995</v>
      </c>
      <c r="J7" s="551">
        <f>SUMIFS($T$22:$T$50,$D$22:$D$50,"Group Data",$E$22:$E$50,"&lt;&gt;NZ")</f>
        <v>2.0829902000000002</v>
      </c>
      <c r="K7" s="551">
        <f>SUMIFS($T$22:$T$50,$D$22:$D$50,"Group Data",$E$22:$E$50,"NZ")</f>
        <v>0.149746416</v>
      </c>
      <c r="L7" s="547" t="n"/>
    </row>
    <row r="8">
      <c r="B8" s="561" t="inlineStr">
        <is>
          <t>Total</t>
        </is>
      </c>
      <c r="C8" s="562">
        <f>SUM(C6:C7)</f>
        <v>29.0</v>
      </c>
      <c r="D8" s="562">
        <f>SUM(D6:D7)</f>
        <v>14.0</v>
      </c>
      <c r="E8" s="562">
        <f>SUM(E6:E7)</f>
        <v>12.0</v>
      </c>
      <c r="F8" s="562">
        <f>SUM(F6:F7)</f>
        <v>3.0</v>
      </c>
      <c r="G8" s="553">
        <f>SUM(G6:G7)</f>
        <v>5.153297611999999</v>
      </c>
      <c r="H8" s="553">
        <f>SUM(H6:H7)</f>
        <v>4.0</v>
      </c>
      <c r="I8" s="553">
        <f>SUM(I6:I7)</f>
        <v>1.153297611999999</v>
      </c>
      <c r="J8" s="553">
        <f>SUM(J6:J7)</f>
        <v>5.5239061</v>
      </c>
      <c r="K8" s="553">
        <f>SUM(K6:K7)</f>
        <v>1.029391512</v>
      </c>
      <c r="L8" s="547" t="n"/>
    </row>
    <row r="9">
      <c r="B9" s="981" t="inlineStr">
        <is>
          <t>Planned spend is net of the Domain Architect FTEs funded inside portfolio overheads (row 13); the COE draws down its own allocation only.</t>
        </is>
      </c>
      <c r="C9" s="547" t="n"/>
      <c r="D9" s="547" t="n"/>
      <c r="E9" s="547" t="n"/>
      <c r="F9" s="547" t="n"/>
      <c r="G9" s="547" t="n"/>
      <c r="H9" s="547" t="n"/>
      <c r="I9" s="547" t="n"/>
      <c r="J9" s="547" t="n"/>
      <c r="K9" s="547" t="n"/>
      <c r="L9" s="547" t="n"/>
    </row>
    <row r="10">
      <c r="B10" s="563" t="inlineStr">
        <is>
          <t>Portfolios funded (2.0 Group Summary)</t>
        </is>
      </c>
      <c r="C10" s="564">
        <f>COUNTA('3.1 Group Summary'!$B$6:$B$15)</f>
        <v>10.0</v>
      </c>
      <c r="D10" s="547" t="n"/>
      <c r="E10" s="547" t="n"/>
      <c r="F10" s="547" t="n"/>
      <c r="G10" s="547" t="n"/>
      <c r="H10" s="547" t="n"/>
      <c r="I10" s="547" t="n"/>
      <c r="J10" s="547" t="n"/>
      <c r="K10" s="547" t="n"/>
      <c r="L10" s="547" t="n"/>
    </row>
    <row r="11">
      <c r="B11" s="563" t="inlineStr">
        <is>
          <t>Domain Architect allocation per portfolio (FTE - 0.2 Data Config)</t>
        </is>
      </c>
      <c r="C11" s="899">
        <f>'0.2 Data Config'!$K$8</f>
        <v>0.5</v>
      </c>
      <c r="D11" s="547" t="n"/>
      <c r="E11" s="547" t="n"/>
      <c r="F11" s="547" t="n"/>
      <c r="G11" s="547" t="n"/>
      <c r="H11" s="547" t="n"/>
      <c r="I11" s="547" t="n"/>
      <c r="J11" s="547" t="n"/>
      <c r="K11" s="547" t="n"/>
      <c r="L11" s="547" t="n"/>
    </row>
    <row r="12">
      <c r="B12" s="628" t="inlineStr">
        <is>
          <t>Number of Domain Architects funded by Portfolios</t>
        </is>
      </c>
      <c r="C12" s="899">
        <f>C10*C11</f>
        <v>5.0</v>
      </c>
      <c r="D12" s="547" t="n"/>
      <c r="E12" s="547" t="n"/>
      <c r="F12" s="547" t="n"/>
      <c r="G12" s="547" t="n"/>
      <c r="H12" s="547" t="n"/>
      <c r="I12" s="547" t="n"/>
      <c r="J12" s="547" t="n"/>
      <c r="K12" s="547" t="n"/>
      <c r="L12" s="547" t="n"/>
    </row>
    <row r="13">
      <c r="B13" s="563" t="inlineStr">
        <is>
          <t>Domain Architect funding from portfolio overheads ($m)</t>
        </is>
      </c>
      <c r="C13" s="901">
        <f>COUNTA('3.1 Group Summary'!$B$6:$B$15)*'0.2 Data Config'!$L$8</f>
        <v>1.4000000000000001</v>
      </c>
      <c r="D13" s="547" t="n"/>
      <c r="E13" s="547" t="n"/>
      <c r="F13" s="547" t="n"/>
      <c r="G13" s="547" t="n"/>
      <c r="H13" s="547" t="n"/>
      <c r="I13" s="547" t="n"/>
      <c r="J13" s="547" t="n"/>
      <c r="K13" s="547" t="n"/>
      <c r="L13" s="547" t="n"/>
    </row>
    <row r="14">
      <c r="B14" s="563" t="inlineStr">
        <is>
          <t>COE - Strategy Architecture allocation ($m) - 0.2 Data Config</t>
        </is>
      </c>
      <c r="C14" s="551">
        <f>'0.2 Data Config'!$E$6</f>
        <v>2.0</v>
      </c>
      <c r="D14" s="547" t="n"/>
      <c r="E14" s="547" t="n"/>
      <c r="F14" s="547" t="n"/>
      <c r="G14" s="547" t="n"/>
      <c r="H14" s="547" t="n"/>
      <c r="I14" s="547" t="n"/>
      <c r="J14" s="547" t="n"/>
      <c r="K14" s="547" t="n"/>
      <c r="L14" s="547" t="n"/>
    </row>
    <row r="15">
      <c r="B15" s="550" t="inlineStr">
        <is>
          <t>Total Strategy &amp; Architecture budget ($m)</t>
        </is>
      </c>
      <c r="C15" s="566">
        <f>C14</f>
        <v>2.0</v>
      </c>
      <c r="D15" s="547" t="n"/>
      <c r="E15" s="547" t="n"/>
      <c r="F15" s="547" t="n"/>
      <c r="G15" s="547" t="n"/>
      <c r="H15" s="547" t="n"/>
      <c r="I15" s="547" t="n"/>
      <c r="J15" s="547" t="n"/>
      <c r="K15" s="547" t="n"/>
      <c r="L15" s="547" t="n"/>
    </row>
    <row r="16">
      <c r="B16" s="563" t="inlineStr">
        <is>
          <t>COE - Data allocation ($m) - 0.2 Data Config</t>
        </is>
      </c>
      <c r="C16" s="551">
        <f>'0.2 Data Config'!$E$10</f>
        <v>2.0</v>
      </c>
      <c r="D16" s="547" t="n"/>
      <c r="E16" s="547" t="n"/>
      <c r="F16" s="547" t="n"/>
      <c r="G16" s="547" t="n"/>
      <c r="H16" s="547" t="n"/>
      <c r="I16" s="547" t="n"/>
      <c r="J16" s="547" t="n"/>
      <c r="K16" s="547" t="n"/>
      <c r="L16" s="547" t="n"/>
    </row>
    <row r="17">
      <c r="B17" s="550" t="inlineStr">
        <is>
          <t>Total budget to draw down ($m)</t>
        </is>
      </c>
      <c r="C17" s="566">
        <f>C15+C16</f>
        <v>4.0</v>
      </c>
      <c r="D17" s="547" t="n"/>
      <c r="E17" s="547" t="n"/>
      <c r="F17" s="547" t="n"/>
      <c r="G17" s="547" t="n"/>
      <c r="H17" s="547" t="n"/>
      <c r="I17" s="547" t="n"/>
      <c r="J17" s="547" t="n"/>
      <c r="K17" s="547" t="n"/>
      <c r="L17" s="547" t="n"/>
    </row>
    <row r="18">
      <c r="B18" s="563" t="inlineStr">
        <is>
          <t>Paused roles - cost if released ($m)</t>
        </is>
      </c>
      <c r="C18" s="551">
        <f>SUMIFS($G$22:$G$50,$F$22:$F$50,"Paused")/1000000</f>
        <v>0.75447375</v>
      </c>
      <c r="D18" s="559" t="n"/>
      <c r="E18" s="559" t="n"/>
      <c r="F18" s="559" t="n"/>
      <c r="G18" s="559" t="n"/>
      <c r="H18" s="559" t="n"/>
      <c r="I18" s="559" t="n"/>
      <c r="J18" s="559" t="n"/>
      <c r="K18" s="547" t="n"/>
      <c r="L18" s="547" t="n"/>
    </row>
    <row r="19">
      <c r="B19" s="554" t="n"/>
      <c r="C19" s="554" t="n"/>
      <c r="D19" s="554" t="n"/>
      <c r="E19" s="554" t="n"/>
      <c r="F19" s="559" t="n"/>
      <c r="G19" s="554" t="n"/>
      <c r="H19" s="559" t="n"/>
      <c r="I19" s="900" t="n"/>
      <c r="J19" s="555" t="n"/>
      <c r="K19" s="547" t="n"/>
      <c r="L19" s="547" t="n"/>
    </row>
    <row r="20">
      <c r="B20" s="548" t="inlineStr">
        <is>
          <t>Roles</t>
        </is>
      </c>
      <c r="C20" s="554" t="n"/>
      <c r="D20" s="554" t="n"/>
      <c r="E20" s="554" t="n"/>
      <c r="F20" s="559" t="n"/>
      <c r="G20" s="554" t="n"/>
      <c r="H20" s="559" t="n"/>
      <c r="I20" s="900" t="n"/>
      <c r="J20" s="555" t="n"/>
      <c r="K20" s="547" t="n"/>
      <c r="L20" s="547" t="n"/>
    </row>
    <row r="21">
      <c r="B21" s="549" t="inlineStr">
        <is>
          <t>Name</t>
        </is>
      </c>
      <c r="C21" s="549" t="inlineStr">
        <is>
          <t>Position Title</t>
        </is>
      </c>
      <c r="D21" s="549" t="inlineStr">
        <is>
          <t>Department</t>
        </is>
      </c>
      <c r="E21" s="549" t="inlineStr">
        <is>
          <t>Country</t>
        </is>
      </c>
      <c r="F21" s="549" t="inlineStr">
        <is>
          <t>Status</t>
        </is>
      </c>
      <c r="G21" s="549" t="inlineStr">
        <is>
          <t>Cost if hired ($)</t>
        </is>
      </c>
      <c r="H21" s="549" t="inlineStr">
        <is>
          <t>On/Off</t>
        </is>
      </c>
      <c r="I21" s="900" t="n"/>
      <c r="J21" s="555" t="n"/>
      <c r="K21" s="547" t="n"/>
      <c r="L21" s="547" t="n"/>
    </row>
    <row r="22">
      <c r="B22" s="563" t="str">
        <f>Sheet2!$B$97</f>
        <v>Craig Ambrose</v>
      </c>
      <c r="C22" s="567" t="str">
        <f>SUBSTITUTE(SUBSTITUTE(Sheet2!$C$97,"–","-"),"—","-")</f>
        <v>Domain Architect - Group Functions</v>
      </c>
      <c r="D22" s="563" t="str">
        <f>Sheet2!$G$97</f>
        <v>Architecture</v>
      </c>
      <c r="E22" s="563" t="str">
        <f>Sheet2!$M$97</f>
        <v>NZ</v>
      </c>
      <c r="F22" s="552" t="str">
        <f>IF(LOWER(Sheet2!$Q$97)="v","Vacant",IF(LOWER(Sheet2!$Q$97)="pause","Paused",IF(LOWER(Sheet2!$Q$97)="cxc","Contractor","Filled")))</f>
        <v>Filled</v>
      </c>
      <c r="G22" s="554" t="n"/>
      <c r="H22" s="590" t="inlineStr">
        <is>
          <t>Onshore</t>
        </is>
      </c>
      <c r="I22" s="900" t="n"/>
      <c r="J22" s="555" t="n"/>
      <c r="K22" s="547" t="n"/>
      <c r="L22" s="547" t="n"/>
      <c r="T22" s="568">
        <f>(IF($F22="Paused",0,Sheet2!$AA$97/1000000))*IF($H22="Offshore",0.4,1)</f>
        <v>0.24274130399999996</v>
      </c>
    </row>
    <row r="23">
      <c r="B23" s="563" t="str">
        <f>Sheet2!$B$100</f>
        <v>James Holgate</v>
      </c>
      <c r="C23" s="567" t="str">
        <f>SUBSTITUTE(SUBSTITUTE(Sheet2!$C$100,"–","-"),"—","-")</f>
        <v>Head of Technology,  Group Data</v>
      </c>
      <c r="D23" s="563" t="str">
        <f>Sheet2!$G$100</f>
        <v>Group Data</v>
      </c>
      <c r="E23" s="563" t="str">
        <f>Sheet2!$M$100</f>
        <v>Australia</v>
      </c>
      <c r="F23" s="552" t="str">
        <f>IF(LOWER(Sheet2!$Q$100)="v","Vacant",IF(LOWER(Sheet2!$Q$100)="pause","Paused",IF(LOWER(Sheet2!$Q$100)="cxc","Contractor","Filled")))</f>
        <v>Filled</v>
      </c>
      <c r="G23" s="554" t="n"/>
      <c r="H23" s="590" t="inlineStr">
        <is>
          <t>Onshore</t>
        </is>
      </c>
      <c r="I23" s="900" t="n"/>
      <c r="J23" s="555" t="n"/>
      <c r="K23" s="547" t="n"/>
      <c r="L23" s="547" t="n"/>
      <c r="T23" s="568">
        <f>(IF($F23="Paused",0,Sheet2!$AA$100/1000000))*IF($H23="Offshore",0.4,1)</f>
        <v>0.4097557</v>
      </c>
    </row>
    <row r="24">
      <c r="B24" s="563" t="str">
        <f>Sheet2!$B$102</f>
        <v>Joel Vijayakumar</v>
      </c>
      <c r="C24" s="567" t="str">
        <f>SUBSTITUTE(SUBSTITUTE(Sheet2!$C$102,"–","-"),"—","-")</f>
        <v>Delivery Manager, Strategy, Architecture &amp; Data</v>
      </c>
      <c r="D24" s="563" t="str">
        <f>Sheet2!$G$102</f>
        <v>Delivery, SADA</v>
      </c>
      <c r="E24" s="563" t="str">
        <f>Sheet2!$M$102</f>
        <v>Australia</v>
      </c>
      <c r="F24" s="552" t="str">
        <f>IF(LOWER(Sheet2!$Q$102)="v","Vacant",IF(LOWER(Sheet2!$Q$102)="pause","Paused",IF(LOWER(Sheet2!$Q$102)="cxc","Contractor","Filled")))</f>
        <v>Filled</v>
      </c>
      <c r="G24" s="554" t="n"/>
      <c r="H24" s="590" t="inlineStr">
        <is>
          <t>Onshore</t>
        </is>
      </c>
      <c r="I24" s="900" t="n"/>
      <c r="J24" s="555" t="n"/>
      <c r="K24" s="547" t="n"/>
      <c r="L24" s="547" t="n"/>
      <c r="T24" s="568">
        <f>(IF($F24="Paused",0,Sheet2!$AA$102/1000000))*IF($H24="Offshore",0.4,1)</f>
        <v>0.36908860000000004</v>
      </c>
    </row>
    <row r="25">
      <c r="B25" s="563" t="str">
        <f>Sheet2!$B$103</f>
        <v>John Forde</v>
      </c>
      <c r="C25" s="567" t="str">
        <f>SUBSTITUTE(SUBSTITUTE(Sheet2!$C$103,"–","-"),"—","-")</f>
        <v>Enterprise Architect</v>
      </c>
      <c r="D25" s="563" t="str">
        <f>Sheet2!$G$103</f>
        <v>Architecture</v>
      </c>
      <c r="E25" s="563" t="str">
        <f>Sheet2!$M$103</f>
        <v>NZ</v>
      </c>
      <c r="F25" s="552" t="str">
        <f>IF(LOWER(Sheet2!$Q$103)="v","Vacant",IF(LOWER(Sheet2!$Q$103)="pause","Paused",IF(LOWER(Sheet2!$Q$103)="cxc","Contractor","Filled")))</f>
        <v>Filled</v>
      </c>
      <c r="G25" s="554" t="n"/>
      <c r="H25" s="590" t="inlineStr">
        <is>
          <t>Onshore</t>
        </is>
      </c>
      <c r="I25" s="900" t="n"/>
      <c r="J25" s="555" t="n"/>
      <c r="K25" s="547" t="n"/>
      <c r="L25" s="547" t="n"/>
      <c r="T25" s="568">
        <f>(IF($F25="Paused",0,Sheet2!$AA$103/1000000))*IF($H25="Offshore",0.4,1)</f>
        <v>0.214270248</v>
      </c>
    </row>
    <row r="26">
      <c r="B26" s="563" t="str">
        <f>Sheet2!$B$106</f>
        <v>Lynn Yiew</v>
      </c>
      <c r="C26" s="567" t="str">
        <f>SUBSTITUTE(SUBSTITUTE(Sheet2!$C$106,"–","-"),"—","-")</f>
        <v>Data Governance Specialist</v>
      </c>
      <c r="D26" s="563" t="str">
        <f>Sheet2!$G$106</f>
        <v>Group Data</v>
      </c>
      <c r="E26" s="563" t="str">
        <f>Sheet2!$M$106</f>
        <v>NZ</v>
      </c>
      <c r="F26" s="552" t="str">
        <f>IF(LOWER(Sheet2!$Q$106)="v","Vacant",IF(LOWER(Sheet2!$Q$106)="pause","Paused",IF(LOWER(Sheet2!$Q$106)="cxc","Contractor","Filled")))</f>
        <v>Filled</v>
      </c>
      <c r="G26" s="554" t="n"/>
      <c r="H26" s="590" t="inlineStr">
        <is>
          <t>Onshore</t>
        </is>
      </c>
      <c r="I26" s="900" t="n"/>
      <c r="J26" s="555" t="n"/>
      <c r="K26" s="547" t="n"/>
      <c r="L26" s="547" t="n"/>
      <c r="T26" s="568">
        <f>(IF($F26="Paused",0,Sheet2!$AA$106/1000000))*IF($H26="Offshore",0.4,1)</f>
        <v>0.149746416</v>
      </c>
    </row>
    <row r="27">
      <c r="B27" s="563" t="str">
        <f>Sheet2!$B$107</f>
        <v>Mike Gilbert</v>
      </c>
      <c r="C27" s="567" t="str">
        <f>SUBSTITUTE(SUBSTITUTE(Sheet2!$C$107,"–","-"),"—","-")</f>
        <v>Domain Architect - CFE &amp; Infrastructure </v>
      </c>
      <c r="D27" s="563" t="str">
        <f>Sheet2!$G$107</f>
        <v>Architecture</v>
      </c>
      <c r="E27" s="563" t="str">
        <f>Sheet2!$M$107</f>
        <v>NZ</v>
      </c>
      <c r="F27" s="552" t="str">
        <f>IF(LOWER(Sheet2!$Q$107)="v","Vacant",IF(LOWER(Sheet2!$Q$107)="pause","Paused",IF(LOWER(Sheet2!$Q$107)="cxc","Contractor","Filled")))</f>
        <v>Filled</v>
      </c>
      <c r="G27" s="554" t="n"/>
      <c r="H27" s="590" t="inlineStr">
        <is>
          <t>Onshore</t>
        </is>
      </c>
      <c r="I27" s="900" t="n"/>
      <c r="J27" s="555" t="n"/>
      <c r="K27" s="547" t="n"/>
      <c r="L27" s="547" t="n"/>
      <c r="T27" s="568">
        <f>(IF($F27="Paused",0,Sheet2!$AA$107/1000000))*IF($H27="Offshore",0.4,1)</f>
        <v>0.236856984</v>
      </c>
    </row>
    <row r="28">
      <c r="B28" s="563" t="str">
        <f>Sheet2!$B$108</f>
        <v>Milan Patel</v>
      </c>
      <c r="C28" s="567" t="str">
        <f>SUBSTITUTE(SUBSTITUTE(Sheet2!$C$108,"–","-"),"—","-")</f>
        <v>Platform Architect</v>
      </c>
      <c r="D28" s="563" t="str">
        <f>Sheet2!$G$108</f>
        <v>Group Data</v>
      </c>
      <c r="E28" s="563" t="str">
        <f>Sheet2!$M$108</f>
        <v>Australia</v>
      </c>
      <c r="F28" s="552" t="str">
        <f>IF(LOWER(Sheet2!$Q$108)="v","Vacant",IF(LOWER(Sheet2!$Q$108)="pause","Paused",IF(LOWER(Sheet2!$Q$108)="cxc","Contractor","Filled")))</f>
        <v>Filled</v>
      </c>
      <c r="G28" s="554" t="n"/>
      <c r="H28" s="590" t="inlineStr">
        <is>
          <t>Onshore</t>
        </is>
      </c>
      <c r="I28" s="900" t="n"/>
      <c r="J28" s="555" t="n"/>
      <c r="K28" s="547" t="n"/>
      <c r="L28" s="547" t="n"/>
      <c r="T28" s="568">
        <f>(IF($F28="Paused",0,Sheet2!$AA$108/1000000))*IF($H28="Offshore",0.4,1)</f>
        <v>0.26558489999999996</v>
      </c>
    </row>
    <row r="29">
      <c r="B29" s="563" t="str">
        <f>Sheet2!$B$109</f>
        <v>Mitchell Clarke</v>
      </c>
      <c r="C29" s="567" t="str">
        <f>SUBSTITUTE(SUBSTITUTE(Sheet2!$C$109,"–","-"),"—","-")</f>
        <v>Snr Data Governance Specialist</v>
      </c>
      <c r="D29" s="563" t="str">
        <f>Sheet2!$G$109</f>
        <v>Group Data</v>
      </c>
      <c r="E29" s="563" t="str">
        <f>Sheet2!$M$109</f>
        <v>Australia</v>
      </c>
      <c r="F29" s="552" t="str">
        <f>IF(LOWER(Sheet2!$Q$109)="v","Vacant",IF(LOWER(Sheet2!$Q$109)="pause","Paused",IF(LOWER(Sheet2!$Q$109)="cxc","Contractor","Filled")))</f>
        <v>Filled</v>
      </c>
      <c r="G29" s="554" t="n"/>
      <c r="H29" s="590" t="inlineStr">
        <is>
          <t>Onshore</t>
        </is>
      </c>
      <c r="I29" s="900" t="n"/>
      <c r="J29" s="555" t="n"/>
      <c r="K29" s="547" t="n"/>
      <c r="L29" s="547" t="n"/>
      <c r="T29" s="568">
        <f>(IF($F29="Paused",0,Sheet2!$AA$109/1000000))*IF($H29="Offshore",0.4,1)</f>
        <v>0.2259888</v>
      </c>
    </row>
    <row r="30">
      <c r="B30" s="563" t="str">
        <f>Sheet2!$B$114</f>
        <v>Raymond Bai</v>
      </c>
      <c r="C30" s="567" t="str">
        <f>SUBSTITUTE(SUBSTITUTE(Sheet2!$C$114,"–","-"),"—","-")</f>
        <v>Data Adoption Specialist</v>
      </c>
      <c r="D30" s="563" t="str">
        <f>Sheet2!$G$114</f>
        <v>Group Data</v>
      </c>
      <c r="E30" s="563" t="str">
        <f>Sheet2!$M$114</f>
        <v>Australia</v>
      </c>
      <c r="F30" s="552" t="str">
        <f>IF(LOWER(Sheet2!$Q$114)="v","Vacant",IF(LOWER(Sheet2!$Q$114)="pause","Paused",IF(LOWER(Sheet2!$Q$114)="cxc","Contractor","Filled")))</f>
        <v>Filled</v>
      </c>
      <c r="G30" s="547" t="n"/>
      <c r="H30" s="590" t="inlineStr">
        <is>
          <t>Onshore</t>
        </is>
      </c>
      <c r="I30" s="547" t="n"/>
      <c r="J30" s="547" t="n"/>
      <c r="K30" s="547" t="n"/>
      <c r="L30" s="547" t="n"/>
      <c r="T30" s="568">
        <f>(IF($F30="Paused",0,Sheet2!$AA$114/1000000))*IF($H30="Offshore",0.4,1)</f>
        <v>0.1758729</v>
      </c>
    </row>
    <row r="31">
      <c r="B31" s="563" t="str">
        <f>Sheet2!$B$115</f>
        <v>Renosh Matthew Thomas</v>
      </c>
      <c r="C31" s="567" t="str">
        <f>SUBSTITUTE(SUBSTITUTE(Sheet2!$C$115,"–","-"),"—","-")</f>
        <v>Data Enablement Lead</v>
      </c>
      <c r="D31" s="563" t="str">
        <f>Sheet2!$G$115</f>
        <v>Group Data</v>
      </c>
      <c r="E31" s="563" t="str">
        <f>Sheet2!$M$115</f>
        <v>Australia</v>
      </c>
      <c r="F31" s="552" t="str">
        <f>IF(LOWER(Sheet2!$Q$115)="v","Vacant",IF(LOWER(Sheet2!$Q$115)="pause","Paused",IF(LOWER(Sheet2!$Q$115)="cxc","Contractor","Filled")))</f>
        <v>Filled</v>
      </c>
      <c r="G31" s="547" t="n"/>
      <c r="H31" s="590" t="inlineStr">
        <is>
          <t>Onshore</t>
        </is>
      </c>
      <c r="I31" s="547" t="n"/>
      <c r="J31" s="547" t="n"/>
      <c r="K31" s="547" t="n"/>
      <c r="L31" s="547" t="n"/>
      <c r="T31" s="568">
        <f>(IF($F31="Paused",0,Sheet2!$AA$115/1000000))*IF($H31="Offshore",0.4,1)</f>
        <v>0.22705679999999998</v>
      </c>
    </row>
    <row r="32">
      <c r="B32" s="563" t="str">
        <f>Sheet2!$B$116</f>
        <v>Rihan Schalkwyk</v>
      </c>
      <c r="C32" s="567" t="str">
        <f>SUBSTITUTE(SUBSTITUTE(Sheet2!$C$116,"–","-"),"—","-")</f>
        <v>Senior Business Analyst</v>
      </c>
      <c r="D32" s="563" t="str">
        <f>Sheet2!$G$116</f>
        <v>Delivery, SADA</v>
      </c>
      <c r="E32" s="563" t="str">
        <f>Sheet2!$M$116</f>
        <v>Australia</v>
      </c>
      <c r="F32" s="552" t="str">
        <f>IF(LOWER(Sheet2!$Q$116)="v","Vacant",IF(LOWER(Sheet2!$Q$116)="pause","Paused",IF(LOWER(Sheet2!$Q$116)="cxc","Contractor","Filled")))</f>
        <v>Filled</v>
      </c>
      <c r="G32" s="547" t="n"/>
      <c r="H32" s="590" t="inlineStr">
        <is>
          <t>Onshore</t>
        </is>
      </c>
      <c r="I32" s="547" t="n"/>
      <c r="J32" s="547" t="n"/>
      <c r="K32" s="547" t="n"/>
      <c r="L32" s="547" t="n"/>
      <c r="T32" s="568">
        <f>(IF($F32="Paused",0,Sheet2!$AA$116/1000000))*IF($H32="Offshore",0.4,1)</f>
        <v>0.24912435</v>
      </c>
    </row>
    <row r="33">
      <c r="B33" s="563" t="str">
        <f>Sheet2!$B$117</f>
        <v>ring fenced</v>
      </c>
      <c r="C33" s="567" t="str">
        <f>SUBSTITUTE(SUBSTITUTE(Sheet2!$C$117,"–","-"),"—","-")</f>
        <v>Enterprise Architect</v>
      </c>
      <c r="D33" s="563" t="str">
        <f>Sheet2!$G$117</f>
        <v>Architecture</v>
      </c>
      <c r="E33" s="563" t="str">
        <f>Sheet2!$M$117</f>
        <v>Australia</v>
      </c>
      <c r="F33" s="552" t="str">
        <f>IF(LOWER(Sheet2!$Q$117)="v","Vacant",IF(LOWER(Sheet2!$Q$117)="pause","Paused",IF(LOWER(Sheet2!$Q$117)="cxc","Contractor","Filled")))</f>
        <v>Paused</v>
      </c>
      <c r="G33" s="569">
        <f>(Sheet2!$AA$117)*IF($H33="Offshore",0.4,1)</f>
        <v>275810.25</v>
      </c>
      <c r="H33" s="590" t="inlineStr">
        <is>
          <t>Onshore</t>
        </is>
      </c>
      <c r="I33" s="547" t="n"/>
      <c r="J33" s="547" t="n"/>
      <c r="K33" s="547" t="n"/>
      <c r="L33" s="547" t="n"/>
      <c r="T33" s="568">
        <f>(IF($F33="Paused",0,Sheet2!$AA$117/1000000))*IF($H33="Offshore",0.4,1)</f>
        <v>0.0</v>
      </c>
    </row>
    <row r="34">
      <c r="B34" s="563" t="str">
        <f>Sheet2!$B$118</f>
        <v>ring fenced</v>
      </c>
      <c r="C34" s="567" t="str">
        <f>SUBSTITUTE(SUBSTITUTE(Sheet2!$C$118,"–","-"),"—","-")</f>
        <v>Domain Architect - Customer &amp; Digital Tech</v>
      </c>
      <c r="D34" s="563" t="str">
        <f>Sheet2!$G$118</f>
        <v>Architecture</v>
      </c>
      <c r="E34" s="563" t="str">
        <f>Sheet2!$M$118</f>
        <v>Australia</v>
      </c>
      <c r="F34" s="552" t="str">
        <f>IF(LOWER(Sheet2!$Q$118)="v","Vacant",IF(LOWER(Sheet2!$Q$118)="pause","Paused",IF(LOWER(Sheet2!$Q$118)="cxc","Contractor","Filled")))</f>
        <v>Vacant</v>
      </c>
      <c r="G34" s="569">
        <f>(Sheet2!$AA$118)*IF($H34="Offshore",0.4,1)</f>
        <v>231689.25</v>
      </c>
      <c r="H34" s="590" t="inlineStr">
        <is>
          <t>Onshore</t>
        </is>
      </c>
      <c r="I34" s="547" t="n"/>
      <c r="J34" s="547" t="n"/>
      <c r="K34" s="547" t="n"/>
      <c r="L34" s="547" t="n"/>
      <c r="T34" s="568">
        <f>(IF($F34="Paused",0,Sheet2!$AA$118/1000000))*IF($H34="Offshore",0.4,1)</f>
        <v>0.23168925</v>
      </c>
    </row>
    <row r="35">
      <c r="B35" s="563" t="str">
        <f>Sheet2!$B$119</f>
        <v>ring fenced</v>
      </c>
      <c r="C35" s="567" t="str">
        <f>SUBSTITUTE(SUBSTITUTE(Sheet2!$C$119,"–","-"),"—","-")</f>
        <v>Domain Architect - Retail &amp; Z</v>
      </c>
      <c r="D35" s="563" t="str">
        <f>Sheet2!$G$119</f>
        <v>Architecture</v>
      </c>
      <c r="E35" s="563" t="str">
        <f>Sheet2!$M$119</f>
        <v>Australia</v>
      </c>
      <c r="F35" s="552" t="str">
        <f>IF(LOWER(Sheet2!$Q$119)="v","Vacant",IF(LOWER(Sheet2!$Q$119)="pause","Paused",IF(LOWER(Sheet2!$Q$119)="cxc","Contractor","Filled")))</f>
        <v>Vacant</v>
      </c>
      <c r="G35" s="569">
        <f>(Sheet2!$AA$119)*IF($H35="Offshore",0.4,1)</f>
        <v>231689.25</v>
      </c>
      <c r="H35" s="590" t="inlineStr">
        <is>
          <t>Onshore</t>
        </is>
      </c>
      <c r="I35" s="547" t="n"/>
      <c r="J35" s="547" t="n"/>
      <c r="K35" s="547" t="n"/>
      <c r="L35" s="547" t="n"/>
      <c r="T35" s="568">
        <f>(IF($F35="Paused",0,Sheet2!$AA$119/1000000))*IF($H35="Offshore",0.4,1)</f>
        <v>0.23168925</v>
      </c>
    </row>
    <row r="36">
      <c r="B36" s="563" t="str">
        <f>Sheet2!$B$120</f>
        <v>ring fenced</v>
      </c>
      <c r="C36" s="567" t="str">
        <f>SUBSTITUTE(SUBSTITUTE(Sheet2!$C$120,"–","-"),"—","-")</f>
        <v>Domain Architect - TDD</v>
      </c>
      <c r="D36" s="563" t="str">
        <f>Sheet2!$G$120</f>
        <v>Architecture</v>
      </c>
      <c r="E36" s="563" t="str">
        <f>Sheet2!$M$120</f>
        <v>Australia</v>
      </c>
      <c r="F36" s="552" t="str">
        <f>IF(LOWER(Sheet2!$Q$120)="v","Vacant",IF(LOWER(Sheet2!$Q$120)="pause","Paused",IF(LOWER(Sheet2!$Q$120)="cxc","Contractor","Filled")))</f>
        <v>Vacant</v>
      </c>
      <c r="G36" s="569">
        <f>(Sheet2!$AA$120)*IF($H36="Offshore",0.4,1)</f>
        <v>231689.25</v>
      </c>
      <c r="H36" s="590" t="inlineStr">
        <is>
          <t>Onshore</t>
        </is>
      </c>
      <c r="I36" s="547" t="n"/>
      <c r="J36" s="547" t="n"/>
      <c r="K36" s="547" t="n"/>
      <c r="L36" s="547" t="n"/>
      <c r="T36" s="568">
        <f>(IF($F36="Paused",0,Sheet2!$AA$120/1000000))*IF($H36="Offshore",0.4,1)</f>
        <v>0.23168925</v>
      </c>
    </row>
    <row r="37">
      <c r="B37" s="563" t="str">
        <f>Sheet2!$B$121</f>
        <v>Roger Blazey</v>
      </c>
      <c r="C37" s="567" t="str">
        <f>SUBSTITUTE(SUBSTITUTE(Sheet2!$C$121,"–","-"),"—","-")</f>
        <v>Architect (AI Innovation)</v>
      </c>
      <c r="D37" s="563" t="str">
        <f>Sheet2!$G$121</f>
        <v>Technology Strategy &amp; AI Capability</v>
      </c>
      <c r="E37" s="563" t="str">
        <f>Sheet2!$M$121</f>
        <v>Australia</v>
      </c>
      <c r="F37" s="552" t="str">
        <f>IF(LOWER(Sheet2!$Q$121)="v","Vacant",IF(LOWER(Sheet2!$Q$121)="pause","Paused",IF(LOWER(Sheet2!$Q$121)="cxc","Contractor","Filled")))</f>
        <v>Filled</v>
      </c>
      <c r="G37" s="547" t="n"/>
      <c r="H37" s="590" t="inlineStr">
        <is>
          <t>Onshore</t>
        </is>
      </c>
      <c r="I37" s="547" t="n"/>
      <c r="J37" s="547" t="n"/>
      <c r="K37" s="547" t="n"/>
      <c r="L37" s="547" t="n"/>
      <c r="T37" s="568">
        <f>(IF($F37="Paused",0,Sheet2!$AA$121/1000000))*IF($H37="Offshore",0.4,1)</f>
        <v>0.25024575</v>
      </c>
    </row>
    <row r="38">
      <c r="B38" s="563" t="str">
        <f>Sheet2!$B$124</f>
        <v>Sanjay Tikoo</v>
      </c>
      <c r="C38" s="567" t="str">
        <f>SUBSTITUTE(SUBSTITUTE(Sheet2!$C$124,"–","-"),"—","-")</f>
        <v>Principal, Data Architecture &amp; Governance</v>
      </c>
      <c r="D38" s="563" t="str">
        <f>Sheet2!$G$124</f>
        <v>Group Data</v>
      </c>
      <c r="E38" s="563" t="str">
        <f>Sheet2!$M$124</f>
        <v>Australia</v>
      </c>
      <c r="F38" s="552" t="str">
        <f>IF(LOWER(Sheet2!$Q$124)="v","Vacant",IF(LOWER(Sheet2!$Q$124)="pause","Paused",IF(LOWER(Sheet2!$Q$124)="cxc","Contractor","Filled")))</f>
        <v>Filled</v>
      </c>
      <c r="G38" s="547" t="n"/>
      <c r="H38" s="590" t="inlineStr">
        <is>
          <t>Onshore</t>
        </is>
      </c>
      <c r="I38" s="547" t="n"/>
      <c r="J38" s="547" t="n"/>
      <c r="K38" s="547" t="n"/>
      <c r="L38" s="547" t="n"/>
      <c r="T38" s="568">
        <f>(IF($F38="Paused",0,Sheet2!$AA$124/1000000))*IF($H38="Offshore",0.4,1)</f>
        <v>0.389125</v>
      </c>
    </row>
    <row r="39">
      <c r="B39" s="563" t="str">
        <f>Sheet2!$B$127</f>
        <v>Tim Snedden</v>
      </c>
      <c r="C39" s="567" t="str">
        <f>SUBSTITUTE(SUBSTITUTE(Sheet2!$C$127,"–","-"),"—","-")</f>
        <v>Delivery Lead</v>
      </c>
      <c r="D39" s="563" t="str">
        <f>Sheet2!$G$127</f>
        <v>Delivery, SADA</v>
      </c>
      <c r="E39" s="563" t="str">
        <f>Sheet2!$M$127</f>
        <v>NZ</v>
      </c>
      <c r="F39" s="552" t="str">
        <f>IF(LOWER(Sheet2!$Q$127)="v","Vacant",IF(LOWER(Sheet2!$Q$127)="pause","Paused",IF(LOWER(Sheet2!$Q$127)="cxc","Contractor","Filled")))</f>
        <v>Filled</v>
      </c>
      <c r="H39" s="590" t="inlineStr">
        <is>
          <t>Onshore</t>
        </is>
      </c>
      <c r="T39" s="568">
        <f>(IF($F39="Paused",0,Sheet2!$AA$127/1000000))*IF($H39="Offshore",0.4,1)</f>
        <v>0.18577656</v>
      </c>
    </row>
    <row r="40">
      <c r="B40" s="563" t="str">
        <f>Sheet2!$B$133</f>
        <v>Vacant</v>
      </c>
      <c r="C40" s="567" t="str">
        <f>SUBSTITUTE(SUBSTITUTE(Sheet2!$C$133,"–","-"),"—","-")</f>
        <v>Business Analyst</v>
      </c>
      <c r="D40" s="563" t="str">
        <f>Sheet2!$G$133</f>
        <v>Delivery, SADA</v>
      </c>
      <c r="E40" s="563" t="str">
        <f>Sheet2!$M$133</f>
        <v>Australia</v>
      </c>
      <c r="F40" s="552" t="str">
        <f>IF(LOWER(Sheet2!$Q$133)="v","Vacant",IF(LOWER(Sheet2!$Q$133)="pause","Paused",IF(LOWER(Sheet2!$Q$133)="cxc","Contractor","Filled")))</f>
        <v>Vacant</v>
      </c>
      <c r="G40" s="569">
        <f>(Sheet2!$AA$133)*IF($H40="Offshore",0.4,1)</f>
        <v>202853.25</v>
      </c>
      <c r="H40" s="590" t="inlineStr">
        <is>
          <t>Onshore</t>
        </is>
      </c>
      <c r="T40" s="568">
        <f>(IF($F40="Paused",0,Sheet2!$AA$133/1000000))*IF($H40="Offshore",0.4,1)</f>
        <v>0.20285325</v>
      </c>
    </row>
    <row r="41">
      <c r="B41" s="563" t="str">
        <f>Sheet2!$B$134</f>
        <v>Vacant</v>
      </c>
      <c r="C41" s="567" t="str">
        <f>SUBSTITUTE(SUBSTITUTE(Sheet2!$C$134,"–","-"),"—","-")</f>
        <v>Business Analyst</v>
      </c>
      <c r="D41" s="563" t="str">
        <f>Sheet2!$G$134</f>
        <v>Delivery, SADA</v>
      </c>
      <c r="E41" s="563" t="str">
        <f>Sheet2!$M$134</f>
        <v>Australia</v>
      </c>
      <c r="F41" s="552" t="str">
        <f>IF(LOWER(Sheet2!$Q$134)="v","Vacant",IF(LOWER(Sheet2!$Q$134)="pause","Paused",IF(LOWER(Sheet2!$Q$134)="cxc","Contractor","Filled")))</f>
        <v>Paused</v>
      </c>
      <c r="G41" s="569">
        <f>(Sheet2!$AA$134)*IF($H41="Offshore",0.4,1)</f>
        <v>202853.25</v>
      </c>
      <c r="H41" s="590" t="inlineStr">
        <is>
          <t>Onshore</t>
        </is>
      </c>
      <c r="T41" s="568">
        <f>(IF($F41="Paused",0,Sheet2!$AA$134/1000000))*IF($H41="Offshore",0.4,1)</f>
        <v>0.0</v>
      </c>
    </row>
    <row r="42">
      <c r="B42" s="563" t="str">
        <f>Sheet2!$B$141</f>
        <v>Vacant</v>
      </c>
      <c r="C42" s="567" t="str">
        <f>SUBSTITUTE(SUBSTITUTE(Sheet2!$C$141,"–","-"),"—","-")</f>
        <v>Data Governance Lead</v>
      </c>
      <c r="D42" s="563" t="str">
        <f>Sheet2!$G$141</f>
        <v>Group Data</v>
      </c>
      <c r="E42" s="563" t="str">
        <f>Sheet2!$M$141</f>
        <v>australia</v>
      </c>
      <c r="F42" s="552" t="str">
        <f>IF(LOWER(Sheet2!$Q$141)="v","Vacant",IF(LOWER(Sheet2!$Q$141)="pause","Paused",IF(LOWER(Sheet2!$Q$141)="cxc","Contractor","Filled")))</f>
        <v>Vacant</v>
      </c>
      <c r="G42" s="569">
        <f>(Sheet2!$AA$141)*IF($H42="Offshore",0.4,1)</f>
        <v>389606.10000000003</v>
      </c>
      <c r="H42" s="590" t="inlineStr">
        <is>
          <t>Onshore</t>
        </is>
      </c>
      <c r="T42" s="568">
        <f>(IF($F42="Paused",0,Sheet2!$AA$141/1000000))*IF($H42="Offshore",0.4,1)</f>
        <v>0.3896061</v>
      </c>
    </row>
    <row r="43">
      <c r="B43" s="563" t="str">
        <f>Sheet2!$B$142</f>
        <v>Vacant</v>
      </c>
      <c r="C43" s="567" t="str">
        <f>SUBSTITUTE(SUBSTITUTE(Sheet2!$C$142,"–","-"),"—","-")</f>
        <v>Head of Architecture</v>
      </c>
      <c r="D43" s="563" t="str">
        <f>Sheet2!$G$142</f>
        <v>Architecture</v>
      </c>
      <c r="E43" s="563" t="str">
        <f>Sheet2!$M$142</f>
        <v>Australia</v>
      </c>
      <c r="F43" s="552" t="str">
        <f>IF(LOWER(Sheet2!$Q$142)="v","Vacant",IF(LOWER(Sheet2!$Q$142)="pause","Paused",IF(LOWER(Sheet2!$Q$142)="cxc","Contractor","Filled")))</f>
        <v>Vacant</v>
      </c>
      <c r="G43" s="569">
        <f>(Sheet2!$AA$142)*IF($H43="Offshore",0.4,1)</f>
        <v>334972.95</v>
      </c>
      <c r="H43" s="590" t="inlineStr">
        <is>
          <t>Onshore</t>
        </is>
      </c>
      <c r="T43" s="568">
        <f>(IF($F43="Paused",0,Sheet2!$AA$142/1000000))*IF($H43="Offshore",0.4,1)</f>
        <v>0.33497295</v>
      </c>
    </row>
    <row r="44">
      <c r="B44" s="563" t="str">
        <f>Sheet2!$B$143</f>
        <v>Vacant</v>
      </c>
      <c r="C44" s="567" t="str">
        <f>SUBSTITUTE(SUBSTITUTE(Sheet2!$C$143,"–","-"),"—","-")</f>
        <v>Head of Technology Strategy &amp; AI Capability</v>
      </c>
      <c r="D44" s="563" t="str">
        <f>Sheet2!$G$143</f>
        <v>Technology Strategy &amp; AI Capability</v>
      </c>
      <c r="E44" s="563" t="str">
        <f>Sheet2!$M$143</f>
        <v>Australia</v>
      </c>
      <c r="F44" s="552" t="str">
        <f>IF(LOWER(Sheet2!$Q$143)="v","Vacant",IF(LOWER(Sheet2!$Q$143)="pause","Paused",IF(LOWER(Sheet2!$Q$143)="cxc","Contractor","Filled")))</f>
        <v>Vacant</v>
      </c>
      <c r="G44" s="569">
        <f>(Sheet2!$AA$143)*IF($H44="Offshore",0.4,1)</f>
        <v>333020.25</v>
      </c>
      <c r="H44" s="590" t="inlineStr">
        <is>
          <t>Onshore</t>
        </is>
      </c>
      <c r="T44" s="568">
        <f>(IF($F44="Paused",0,Sheet2!$AA$143/1000000))*IF($H44="Offshore",0.4,1)</f>
        <v>0.33302025</v>
      </c>
    </row>
    <row r="45">
      <c r="B45" s="563" t="str">
        <f>Sheet2!$B$144</f>
        <v>Vacant</v>
      </c>
      <c r="C45" s="567" t="str">
        <f>SUBSTITUTE(SUBSTITUTE(Sheet2!$C$144,"–","-"),"—","-")</f>
        <v>Senior Communications Advisor</v>
      </c>
      <c r="D45" s="563" t="str">
        <f>Sheet2!$G$144</f>
        <v>na</v>
      </c>
      <c r="E45" s="563" t="str">
        <f>Sheet2!$M$144</f>
        <v>Australia</v>
      </c>
      <c r="F45" s="552" t="str">
        <f>IF(LOWER(Sheet2!$Q$144)="v","Vacant",IF(LOWER(Sheet2!$Q$144)="pause","Paused",IF(LOWER(Sheet2!$Q$144)="cxc","Contractor","Filled")))</f>
        <v>Vacant</v>
      </c>
      <c r="G45" s="569">
        <f>(Sheet2!$AA$144)*IF($H45="Offshore",0.4,1)</f>
        <v>186900.0</v>
      </c>
      <c r="H45" s="590" t="inlineStr">
        <is>
          <t>Onshore</t>
        </is>
      </c>
      <c r="T45" s="568">
        <f>(IF($F45="Paused",0,Sheet2!$AA$144/1000000))*IF($H45="Offshore",0.4,1)</f>
        <v>0.1869</v>
      </c>
    </row>
    <row r="46">
      <c r="B46" s="563" t="str">
        <f>Sheet2!$B$145</f>
        <v>Vacant</v>
      </c>
      <c r="C46" s="567" t="str">
        <f>SUBSTITUTE(SUBSTITUTE(Sheet2!$C$145,"–","-"),"—","-")</f>
        <v>Enterprise Data Architect</v>
      </c>
      <c r="D46" s="563" t="str">
        <f>Sheet2!$G$145</f>
        <v>Group Data</v>
      </c>
      <c r="E46" s="563" t="str">
        <f>Sheet2!$M$145</f>
        <v>Australia</v>
      </c>
      <c r="F46" s="552" t="str">
        <f>IF(LOWER(Sheet2!$Q$145)="v","Vacant",IF(LOWER(Sheet2!$Q$145)="pause","Paused",IF(LOWER(Sheet2!$Q$145)="cxc","Contractor","Filled")))</f>
        <v>Paused</v>
      </c>
      <c r="G46" s="569">
        <f>(Sheet2!$AA$145)*IF($H46="Offshore",0.4,1)</f>
        <v>275810.25</v>
      </c>
      <c r="H46" s="590" t="inlineStr">
        <is>
          <t>Onshore</t>
        </is>
      </c>
      <c r="T46" s="568">
        <f>(IF($F46="Paused",0,Sheet2!$AA$145/1000000))*IF($H46="Offshore",0.4,1)</f>
        <v>0.0</v>
      </c>
    </row>
    <row r="47">
      <c r="B47" s="563" t="str">
        <f>Sheet2!$B$146</f>
        <v>Vacant</v>
      </c>
      <c r="C47" s="567" t="str">
        <f>SUBSTITUTE(SUBSTITUTE(Sheet2!$C$146,"–","-"),"—","-")</f>
        <v>AI Capability Lead</v>
      </c>
      <c r="D47" s="563" t="str">
        <f>Sheet2!$G$146</f>
        <v>Technology Strategy &amp; AI Capability</v>
      </c>
      <c r="E47" s="563" t="str">
        <f>Sheet2!$M$146</f>
        <v>Australia</v>
      </c>
      <c r="F47" s="552" t="str">
        <f>IF(LOWER(Sheet2!$Q$146)="v","Vacant",IF(LOWER(Sheet2!$Q$146)="pause","Paused",IF(LOWER(Sheet2!$Q$146)="cxc","Contractor","Filled")))</f>
        <v>Vacant</v>
      </c>
      <c r="G47" s="569">
        <f>(Sheet2!$AA$146)*IF($H47="Offshore",0.4,1)</f>
        <v>275810.25</v>
      </c>
      <c r="H47" s="590" t="inlineStr">
        <is>
          <t>Onshore</t>
        </is>
      </c>
      <c r="T47" s="568">
        <f>(IF($F47="Paused",0,Sheet2!$AA$146/1000000))*IF($H47="Offshore",0.4,1)</f>
        <v>0.27581025</v>
      </c>
    </row>
    <row r="48">
      <c r="B48" s="563" t="str">
        <f>Sheet2!$B$147</f>
        <v>Vacant</v>
      </c>
      <c r="C48" s="567" t="str">
        <f>SUBSTITUTE(SUBSTITUTE(Sheet2!$C$147,"–","-"),"—","-")</f>
        <v>Enterprise Process Lead</v>
      </c>
      <c r="D48" s="563" t="str">
        <f>Sheet2!$G$147</f>
        <v>Technology Strategy &amp; AI Capability</v>
      </c>
      <c r="E48" s="563" t="str">
        <f>Sheet2!$M$147</f>
        <v>Australia</v>
      </c>
      <c r="F48" s="552" t="str">
        <f>IF(LOWER(Sheet2!$Q$147)="v","Vacant",IF(LOWER(Sheet2!$Q$147)="pause","Paused",IF(LOWER(Sheet2!$Q$147)="cxc","Contractor","Filled")))</f>
        <v>Vacant</v>
      </c>
      <c r="G48" s="569">
        <f>(Sheet2!$AA$147)*IF($H48="Offshore",0.4,1)</f>
        <v>202853.25</v>
      </c>
      <c r="H48" s="590" t="inlineStr">
        <is>
          <t>Onshore</t>
        </is>
      </c>
      <c r="T48" s="568">
        <f>(IF($F48="Paused",0,Sheet2!$AA$147/1000000))*IF($H48="Offshore",0.4,1)</f>
        <v>0.20285325</v>
      </c>
    </row>
    <row r="49">
      <c r="B49" s="563" t="str">
        <f>Sheet2!$B$148</f>
        <v>Vacant</v>
      </c>
      <c r="C49" s="567" t="str">
        <f>SUBSTITUTE(SUBSTITUTE(Sheet2!$C$148,"–","-"),"—","-")</f>
        <v>EnterpriseProcess Analyst</v>
      </c>
      <c r="D49" s="563" t="str">
        <f>Sheet2!$G$148</f>
        <v>Technology Strategy &amp; AI Capability</v>
      </c>
      <c r="E49" s="563" t="str">
        <f>Sheet2!$M$148</f>
        <v>Australia</v>
      </c>
      <c r="F49" s="552" t="str">
        <f>IF(LOWER(Sheet2!$Q$148)="v","Vacant",IF(LOWER(Sheet2!$Q$148)="pause","Paused",IF(LOWER(Sheet2!$Q$148)="cxc","Contractor","Filled")))</f>
        <v>Vacant</v>
      </c>
      <c r="G49" s="569">
        <f>(Sheet2!$AA$148)*IF($H49="Offshore",0.4,1)</f>
        <v>170489.75</v>
      </c>
      <c r="H49" s="590" t="inlineStr">
        <is>
          <t>Onshore</t>
        </is>
      </c>
      <c r="T49" s="568">
        <f>(IF($F49="Paused",0,Sheet2!$AA$148/1000000))*IF($H49="Offshore",0.4,1)</f>
        <v>0.17048975</v>
      </c>
    </row>
    <row r="50">
      <c r="B50" s="563" t="str">
        <f>Sheet2!$B$149</f>
        <v>Vacant</v>
      </c>
      <c r="C50" s="567" t="str">
        <f>SUBSTITUTE(SUBSTITUTE(Sheet2!$C$149,"–","-"),"—","-")</f>
        <v>Strategy Analyst</v>
      </c>
      <c r="D50" s="563" t="str">
        <f>Sheet2!$G$149</f>
        <v>Technology Strategy &amp; AI Capability</v>
      </c>
      <c r="E50" s="563" t="str">
        <f>Sheet2!$M$149</f>
        <v>Australia</v>
      </c>
      <c r="F50" s="552" t="str">
        <f>IF(LOWER(Sheet2!$Q$149)="v","Vacant",IF(LOWER(Sheet2!$Q$149)="pause","Paused",IF(LOWER(Sheet2!$Q$149)="cxc","Contractor","Filled")))</f>
        <v>Vacant</v>
      </c>
      <c r="G50" s="569">
        <f>(Sheet2!$AA$149)*IF($H50="Offshore",0.4,1)</f>
        <v>170489.75</v>
      </c>
      <c r="H50" s="590" t="inlineStr">
        <is>
          <t>Onshore</t>
        </is>
      </c>
      <c r="T50" s="568">
        <f>(IF($F50="Paused",0,Sheet2!$AA$149/1000000))*IF($H50="Offshore",0.4,1)</f>
        <v>0.17048975</v>
      </c>
    </row>
    <row r="51">
      <c r="B51" s="563" t="inlineStr">
        <is>
          <t>Check - roles listed vs counted (must be 0)</t>
        </is>
      </c>
      <c r="C51" s="600">
        <f>COUNTA(B22:B50)-C8</f>
        <v>0.0</v>
      </c>
    </row>
    <row r="53">
      <c r="B53" s="570" t="inlineStr">
        <is>
          <t>Squad-based SA&amp;D roles sit in their portfolio squads (1.3 / 4.3). Leadership roles sit on 3.3 FTE View. Planned spend excludes Paused roles - their cost is the memo line above.</t>
        </is>
      </c>
    </row>
    <row r="54">
      <c r="B54" s="547" t="n"/>
      <c r="C54" s="547" t="n"/>
      <c r="D54" s="547" t="n"/>
      <c r="E54" s="547" t="n"/>
      <c r="F54" s="547" t="n"/>
      <c r="G54" s="547" t="n"/>
      <c r="H54" s="547" t="n"/>
      <c r="I54" s="547" t="n"/>
      <c r="J54" s="547" t="n"/>
      <c r="K54" s="547" t="n"/>
      <c r="L54" s="547" t="n"/>
    </row>
    <row r="55" ht="29" customHeight="1" s="849">
      <c r="B55" s="579" t="inlineStr">
        <is>
          <t>On/Off: set a role to Offshore and it is priced at 40% of the onshore cost. The totals above and every summary follow.</t>
        </is>
      </c>
      <c r="C55" s="547" t="n"/>
      <c r="D55" s="547" t="n"/>
      <c r="E55" s="547" t="n"/>
      <c r="F55" s="547" t="n"/>
      <c r="G55" s="547" t="n"/>
      <c r="H55" s="547" t="n"/>
      <c r="I55" s="547" t="n"/>
      <c r="J55" s="547" t="n"/>
      <c r="K55" s="547" t="n"/>
      <c r="L55" s="547" t="n"/>
    </row>
    <row r="56">
      <c r="B56" s="547" t="n"/>
      <c r="C56" s="547" t="n"/>
      <c r="D56" s="547" t="n"/>
      <c r="E56" s="547" t="n"/>
      <c r="F56" s="547" t="n"/>
      <c r="G56" s="547" t="n"/>
      <c r="H56" s="547" t="n"/>
      <c r="I56" s="547" t="n"/>
      <c r="J56" s="547" t="n"/>
      <c r="K56" s="547" t="n"/>
      <c r="L56" s="547" t="n"/>
    </row>
    <row r="57">
      <c r="B57" s="547" t="n"/>
      <c r="C57" s="547" t="n"/>
      <c r="D57" s="547" t="n"/>
      <c r="E57" s="547" t="n"/>
      <c r="F57" s="547" t="n"/>
      <c r="G57" s="547" t="n"/>
      <c r="H57" s="547" t="n"/>
      <c r="I57" s="547" t="n"/>
      <c r="J57" s="547" t="n"/>
      <c r="K57" s="547" t="n"/>
      <c r="L57" s="547" t="n"/>
    </row>
    <row r="58">
      <c r="B58" s="547" t="n"/>
      <c r="C58" s="547" t="n"/>
      <c r="D58" s="547" t="n"/>
      <c r="E58" s="547" t="n"/>
      <c r="F58" s="547" t="n"/>
      <c r="G58" s="547" t="n"/>
      <c r="H58" s="547" t="n"/>
      <c r="I58" s="547" t="n"/>
      <c r="J58" s="547" t="n"/>
      <c r="K58" s="547" t="n"/>
      <c r="L58" s="547" t="n"/>
    </row>
    <row r="59">
      <c r="B59" s="547" t="n"/>
      <c r="C59" s="547" t="n"/>
      <c r="D59" s="547" t="n"/>
      <c r="E59" s="547" t="n"/>
      <c r="F59" s="547" t="n"/>
      <c r="G59" s="547" t="n"/>
      <c r="H59" s="547" t="n"/>
      <c r="I59" s="547" t="n"/>
      <c r="J59" s="547" t="n"/>
      <c r="K59" s="547" t="n"/>
      <c r="L59" s="547" t="n"/>
    </row>
    <row r="60">
      <c r="B60" s="547" t="n"/>
      <c r="C60" s="547" t="n"/>
      <c r="D60" s="547" t="n"/>
      <c r="E60" s="547" t="n"/>
      <c r="F60" s="547" t="n"/>
      <c r="G60" s="547" t="n"/>
      <c r="H60" s="547" t="n"/>
      <c r="I60" s="547" t="n"/>
      <c r="J60" s="547" t="n"/>
      <c r="K60" s="547" t="n"/>
      <c r="L60" s="547" t="n"/>
    </row>
  </sheetData>
  <dataValidations count="1">
    <dataValidation sqref="H22 H23 H24 H25 H26 H27 H28 H29 H30 H31 H32 H33 H34 H35 H36 H37 H38 H39 H40 H41 H42 H43 H44 H45 H46 H47 H48 H49 H50" showDropDown="0" showInputMessage="0" showErrorMessage="0" allowBlank="1" type="list">
      <formula1>"Onshore,Offshore"</formula1>
    </dataValidation>
  </dataValidations>
  <pageMargins left="0.75" right="0.75" top="1" bottom="1" header="0.5" footer="0.5"/>
</worksheet>
</file>

<file path=xl/worksheets/sheet21.xml><?xml version="1.0" encoding="utf-8"?>
<worksheet xmlns="http://schemas.openxmlformats.org/spreadsheetml/2006/main">
  <sheetPr>
    <tabColor rgb="FF1F4E79"/>
    <outlinePr summaryBelow="1" summaryRight="1"/>
    <pageSetUpPr/>
  </sheetPr>
  <dimension ref="B2:T80"/>
  <sheetViews>
    <sheetView showGridLines="0" zoomScale="60" zoomScaleNormal="60" workbookViewId="0">
      <selection activeCell="A1" sqref="A1"/>
    </sheetView>
  </sheetViews>
  <sheetFormatPr baseColWidth="8" defaultRowHeight="14.5"/>
  <cols>
    <col width="3" customWidth="1" style="849" min="1" max="1"/>
    <col width="62.90625" bestFit="1" customWidth="1" style="849" min="2" max="2"/>
    <col width="42" customWidth="1" style="849" min="3" max="3"/>
    <col width="26" customWidth="1" style="849" min="4" max="4"/>
    <col width="10" customWidth="1" style="849" min="5" max="5"/>
    <col width="9" customWidth="1" style="849" min="6" max="6"/>
    <col width="20" customWidth="1" style="849" min="7" max="7"/>
    <col width="11" customWidth="1" style="849" min="8" max="8"/>
    <col width="14" bestFit="1" customWidth="1" style="849" min="9" max="9"/>
    <col width="13.26953125" bestFit="1" customWidth="1" style="849" min="10" max="10"/>
    <col width="46" customWidth="1" style="849" min="11" max="11"/>
    <col hidden="1" width="13" customWidth="1" style="849" min="20" max="20"/>
  </cols>
  <sheetData>
    <row r="2" ht="21" customHeight="1" s="849">
      <c r="B2" s="482" t="inlineStr">
        <is>
          <t>Cyber, Risk &amp; Service Operations roles and funding</t>
        </is>
      </c>
    </row>
    <row r="4">
      <c r="B4" s="427" t="inlineStr">
        <is>
          <t>Summary</t>
        </is>
      </c>
      <c r="C4" s="428" t="n"/>
      <c r="D4" s="428" t="n"/>
      <c r="E4" s="428" t="n"/>
      <c r="F4" s="428" t="n"/>
      <c r="G4" s="428" t="n"/>
      <c r="H4" s="428" t="n"/>
      <c r="I4" s="428" t="n"/>
      <c r="J4" s="428" t="n"/>
    </row>
    <row r="5">
      <c r="B5" s="571" t="inlineStr">
        <is>
          <t>Grouping</t>
        </is>
      </c>
      <c r="C5" s="424" t="inlineStr">
        <is>
          <t>Roles</t>
        </is>
      </c>
      <c r="D5" s="424" t="inlineStr">
        <is>
          <t>Filled</t>
        </is>
      </c>
      <c r="E5" s="424" t="inlineStr">
        <is>
          <t>Vacant</t>
        </is>
      </c>
      <c r="F5" s="424" t="inlineStr">
        <is>
          <t>Planned spend ($m)</t>
        </is>
      </c>
      <c r="G5" s="424" t="inlineStr">
        <is>
          <t>Budget to draw down ($m)</t>
        </is>
      </c>
      <c r="H5" s="424" t="inlineStr">
        <is>
          <t>Left to fund ($m)</t>
        </is>
      </c>
      <c r="I5" s="549" t="inlineStr">
        <is>
          <t>Cost - AU ($m)</t>
        </is>
      </c>
      <c r="J5" s="549" t="inlineStr">
        <is>
          <t>Cost - NZ ($m)</t>
        </is>
      </c>
    </row>
    <row r="6">
      <c r="B6" s="550" t="inlineStr">
        <is>
          <t>Cyber &amp; Risk</t>
        </is>
      </c>
      <c r="C6" s="600">
        <f>COUNTA($B$19:$B$70)-COUNTIFS($D$19:$D$70,"Service Op &amp; Assurance")</f>
        <v>28.0</v>
      </c>
      <c r="D6" s="600">
        <f>COUNTIFS($F$19:$F$70,"Filled")-COUNTIFS($D$19:$D$70,"Service Op &amp; Assurance",$F$19:$F$70,"Filled")</f>
        <v>25.0</v>
      </c>
      <c r="E6" s="600">
        <f>COUNTIFS($F$19:$F$70,"Vacant")-COUNTIFS($D$19:$D$70,"Service Op &amp; Assurance",$F$19:$F$70,"Vacant")</f>
        <v>3.0</v>
      </c>
      <c r="F6" s="551">
        <f>SUM($T$19:$T$70)-SUMIFS($T$19:$T$70,$D$19:$D$70,"Service Op &amp; Assurance")</f>
        <v>6.528968414000001</v>
      </c>
      <c r="G6" s="418" t="n"/>
      <c r="H6" s="429" t="n"/>
      <c r="I6" s="551">
        <f>SUMIFS($T$19:$T$70,$E$19:$E$70,"&lt;&gt;NZ")-SUMIFS($T$19:$T$70,$D$19:$D$70,"Service Op &amp; Assurance",$E$19:$E$70,"&lt;&gt;NZ")</f>
        <v>5.84794175</v>
      </c>
      <c r="J6" s="551">
        <f>SUMIFS($T$19:$T$70,$E$19:$E$70,"NZ")-SUMIFS($T$19:$T$70,$D$19:$D$70,"Service Op &amp; Assurance",$E$19:$E$70,"NZ")</f>
        <v>0.681026664</v>
      </c>
    </row>
    <row r="7">
      <c r="B7" s="550" t="inlineStr">
        <is>
          <t>Service Operations</t>
        </is>
      </c>
      <c r="C7" s="600">
        <f>COUNTIFS($D$19:$D$70,"Service Op &amp; Assurance")</f>
        <v>24.0</v>
      </c>
      <c r="D7" s="600">
        <f>COUNTIFS($D$19:$D$70,"Service Op &amp; Assurance",$F$19:$F$70,"Filled")</f>
        <v>17.0</v>
      </c>
      <c r="E7" s="600">
        <f>COUNTIFS($D$19:$D$70,"Service Op &amp; Assurance",$F$19:$F$70,"Vacant")</f>
        <v>7.0</v>
      </c>
      <c r="F7" s="551">
        <f>SUMIFS($T$19:$T$70,$D$19:$D$70,"Service Op &amp; Assurance")</f>
        <v>4.38702063</v>
      </c>
      <c r="G7" s="418" t="n"/>
      <c r="H7" s="429" t="n"/>
      <c r="I7" s="551">
        <f>SUMIFS($T$19:$T$70,$D$19:$D$70,"Service Op &amp; Assurance",$E$19:$E$70,"&lt;&gt;NZ")</f>
        <v>4.01005005</v>
      </c>
      <c r="J7" s="551">
        <f>SUMIFS($T$19:$T$70,$D$19:$D$70,"Service Op &amp; Assurance",$E$19:$E$70,"NZ")</f>
        <v>0.37697058</v>
      </c>
    </row>
    <row r="8">
      <c r="B8" s="419" t="inlineStr">
        <is>
          <t>Total</t>
        </is>
      </c>
      <c r="C8" s="431">
        <f>SUM(C6:C7)</f>
        <v>52.0</v>
      </c>
      <c r="D8" s="431">
        <f>SUM(D6:D7)</f>
        <v>42.0</v>
      </c>
      <c r="E8" s="431">
        <f>SUM(E6:E7)</f>
        <v>10.0</v>
      </c>
      <c r="F8" s="420">
        <f>SUM(F6:F7)</f>
        <v>10.915989044000002</v>
      </c>
      <c r="G8" s="420">
        <f>C14</f>
        <v>4.0</v>
      </c>
      <c r="H8" s="895">
        <f>F8-G8</f>
        <v>6.915989044000002</v>
      </c>
      <c r="I8" s="553">
        <f>SUM(I6:I7)</f>
        <v>9.8579918</v>
      </c>
      <c r="J8" s="553">
        <f>SUM(J6:J7)</f>
        <v>1.057997244</v>
      </c>
    </row>
    <row r="10">
      <c r="B10" s="548" t="inlineStr">
        <is>
          <t>Funding buckets to draw down</t>
        </is>
      </c>
      <c r="C10" s="555" t="n"/>
      <c r="D10" s="547" t="n"/>
    </row>
    <row r="11">
      <c r="B11" s="563" t="inlineStr">
        <is>
          <t>COE - Cyber allocation ($m) - 0.2 Data Config</t>
        </is>
      </c>
      <c r="C11" s="551">
        <f>'0.2 Data Config'!$E$7</f>
        <v>0.0</v>
      </c>
      <c r="D11" s="547" t="n"/>
    </row>
    <row r="12">
      <c r="B12" s="563" t="inlineStr">
        <is>
          <t>TDD Cyber budget ($m) - 0.2 Data Config</t>
        </is>
      </c>
      <c r="C12" s="551">
        <f>'0.2 Data Config'!$E$23</f>
        <v>3.5</v>
      </c>
      <c r="D12" s="547" t="n"/>
    </row>
    <row r="13">
      <c r="B13" s="563" t="inlineStr">
        <is>
          <t>Cyber CapEx - Monitoring ($m) - input</t>
        </is>
      </c>
      <c r="C13" s="601" t="n">
        <v>0.5</v>
      </c>
      <c r="D13" s="547" t="n"/>
    </row>
    <row r="14">
      <c r="B14" s="550" t="inlineStr">
        <is>
          <t>Total budget to draw down ($m)</t>
        </is>
      </c>
      <c r="C14" s="566">
        <f>SUM(C11:C13)</f>
        <v>4.0</v>
      </c>
      <c r="D14" s="547" t="n"/>
    </row>
    <row r="15">
      <c r="B15" s="550" t="inlineStr">
        <is>
          <t>Left to fund ($m)</t>
        </is>
      </c>
      <c r="C15" s="893">
        <f>F8-C14</f>
        <v>6.915989044000002</v>
      </c>
      <c r="D15" s="547" t="n"/>
    </row>
    <row r="16">
      <c r="B16" s="547" t="n"/>
      <c r="C16" s="547" t="n"/>
      <c r="D16" s="547" t="n"/>
    </row>
    <row r="17">
      <c r="B17" s="427" t="inlineStr">
        <is>
          <t>Roles</t>
        </is>
      </c>
      <c r="C17" s="428" t="n"/>
      <c r="D17" s="428" t="n"/>
      <c r="E17" s="428" t="n"/>
      <c r="F17" s="428" t="n"/>
      <c r="G17" s="428" t="n"/>
      <c r="H17" s="428" t="n"/>
      <c r="I17" s="428" t="n"/>
      <c r="J17" s="428" t="n"/>
    </row>
    <row r="18">
      <c r="B18" s="549" t="inlineStr">
        <is>
          <t>Name</t>
        </is>
      </c>
      <c r="C18" s="549" t="inlineStr">
        <is>
          <t>Position Title</t>
        </is>
      </c>
      <c r="D18" s="549" t="inlineStr">
        <is>
          <t>Department</t>
        </is>
      </c>
      <c r="E18" s="549" t="inlineStr">
        <is>
          <t>Country</t>
        </is>
      </c>
      <c r="F18" s="549" t="inlineStr">
        <is>
          <t>Status</t>
        </is>
      </c>
      <c r="G18" s="549" t="inlineStr">
        <is>
          <t>Cost if hired ($)</t>
        </is>
      </c>
      <c r="H18" s="559" t="n"/>
      <c r="I18" s="559" t="n"/>
      <c r="J18" s="559" t="n"/>
    </row>
    <row r="19">
      <c r="B19" s="563" t="str">
        <f>Sheet2!$B$2</f>
        <v>Ashley Mueller</v>
      </c>
      <c r="C19" s="567" t="str">
        <f>SUBSTITUTE(SUBSTITUTE(Sheet2!$C$2,"–","-"),"—","-")</f>
        <v>Lead - Service Assurance</v>
      </c>
      <c r="D19" s="563" t="str">
        <f>Sheet2!$G$2</f>
        <v>Service Op &amp; Assurance</v>
      </c>
      <c r="E19" s="563" t="str">
        <f>Sheet2!$M$2</f>
        <v>NZ</v>
      </c>
      <c r="F19" s="552" t="str">
        <f>IF(LOWER(Sheet2!$Q$2)="v","Vacant",IF(LOWER(Sheet2!$Q$2)="pause","Paused",IF(LOWER(Sheet2!$Q$2)="cxc","Contractor","Filled")))</f>
        <v>Filled</v>
      </c>
      <c r="G19" s="554" t="n"/>
      <c r="H19" s="559" t="n"/>
      <c r="I19" s="900" t="n"/>
      <c r="J19" s="555" t="n"/>
      <c r="K19" s="547" t="n"/>
      <c r="L19" s="547" t="n"/>
      <c r="T19" s="568">
        <f>Sheet2!$AA$2/1000000</f>
        <v>0.189974796</v>
      </c>
    </row>
    <row r="20">
      <c r="B20" s="563" t="str">
        <f>Sheet2!$B$3</f>
        <v>Belinda Hoskens</v>
      </c>
      <c r="C20" s="567" t="str">
        <f>SUBSTITUTE(SUBSTITUTE(Sheet2!$C$3,"–","-"),"—","-")</f>
        <v>Technology Support Engineer</v>
      </c>
      <c r="D20" s="563" t="str">
        <f>Sheet2!$G$3</f>
        <v>Service Op &amp; Assurance</v>
      </c>
      <c r="E20" s="563" t="str">
        <f>Sheet2!$M$3</f>
        <v>Australia</v>
      </c>
      <c r="F20" s="552" t="str">
        <f>IF(LOWER(Sheet2!$Q$3)="v","Vacant",IF(LOWER(Sheet2!$Q$3)="pause","Paused",IF(LOWER(Sheet2!$Q$3)="cxc","Contractor","Filled")))</f>
        <v>Filled</v>
      </c>
      <c r="G20" s="554" t="n"/>
      <c r="H20" s="559" t="n"/>
      <c r="I20" s="900" t="n"/>
      <c r="J20" s="555" t="n"/>
      <c r="K20" s="547" t="n"/>
      <c r="L20" s="547" t="n"/>
      <c r="T20" s="568">
        <f>Sheet2!$AA$3/1000000</f>
        <v>0.1621395</v>
      </c>
    </row>
    <row r="21">
      <c r="B21" s="563" t="str">
        <f>Sheet2!$B$4</f>
        <v>Brian Gates</v>
      </c>
      <c r="C21" s="567" t="str">
        <f>SUBSTITUTE(SUBSTITUTE(Sheet2!$C$4,"–","-"),"—","-")</f>
        <v>Manager Risk &amp; Resilience</v>
      </c>
      <c r="D21" s="563" t="str">
        <f>Sheet2!$G$4</f>
        <v>Cyber Risk</v>
      </c>
      <c r="E21" s="563" t="str">
        <f>Sheet2!$M$4</f>
        <v>Australia</v>
      </c>
      <c r="F21" s="552" t="str">
        <f>IF(LOWER(Sheet2!$Q$4)="v","Vacant",IF(LOWER(Sheet2!$Q$4)="pause","Paused",IF(LOWER(Sheet2!$Q$4)="cxc","Contractor","Filled")))</f>
        <v>Filled</v>
      </c>
      <c r="G21" s="554" t="n"/>
      <c r="H21" s="559" t="n"/>
      <c r="I21" s="900" t="n"/>
      <c r="J21" s="555" t="n"/>
      <c r="K21" s="547" t="n"/>
      <c r="L21" s="547" t="n"/>
      <c r="T21" s="568">
        <f>Sheet2!$AA$4/1000000</f>
        <v>0.2870432</v>
      </c>
    </row>
    <row r="22">
      <c r="B22" s="563" t="str">
        <f>Sheet2!$B$5</f>
        <v>Cameron Watman</v>
      </c>
      <c r="C22" s="567" t="str">
        <f>SUBSTITUTE(SUBSTITUTE(Sheet2!$C$5,"–","-"),"—","-")</f>
        <v>Engineer - IDAM</v>
      </c>
      <c r="D22" s="563" t="str">
        <f>Sheet2!$G$5</f>
        <v>Cyber Strat &amp; Tech</v>
      </c>
      <c r="E22" s="563" t="str">
        <f>Sheet2!$M$5</f>
        <v>Australia</v>
      </c>
      <c r="F22" s="552" t="str">
        <f>IF(LOWER(Sheet2!$Q$5)="v","Vacant",IF(LOWER(Sheet2!$Q$5)="pause","Paused",IF(LOWER(Sheet2!$Q$5)="cxc","Contractor","Filled")))</f>
        <v>Filled</v>
      </c>
      <c r="G22" s="554" t="n"/>
      <c r="H22" s="559" t="n"/>
      <c r="I22" s="900" t="n"/>
      <c r="J22" s="555" t="n"/>
      <c r="K22" s="547" t="n"/>
      <c r="L22" s="547" t="n"/>
      <c r="T22" s="568">
        <f>Sheet2!$AA$5/1000000</f>
        <v>0.1731329</v>
      </c>
    </row>
    <row r="23">
      <c r="B23" s="563" t="str">
        <f>Sheet2!$B$6</f>
        <v>Catherine Gire</v>
      </c>
      <c r="C23" s="567" t="str">
        <f>SUBSTITUTE(SUBSTITUTE(Sheet2!$C$6,"–","-"),"—","-")</f>
        <v>Cyber Technical Business Analyst</v>
      </c>
      <c r="D23" s="563" t="str">
        <f>Sheet2!$G$6</f>
        <v>Cyber Strat &amp; Tech</v>
      </c>
      <c r="E23" s="563" t="str">
        <f>Sheet2!$M$6</f>
        <v>Australia</v>
      </c>
      <c r="F23" s="552" t="str">
        <f>IF(LOWER(Sheet2!$Q$6)="v","Vacant",IF(LOWER(Sheet2!$Q$6)="pause","Paused",IF(LOWER(Sheet2!$Q$6)="cxc","Contractor","Filled")))</f>
        <v>Filled</v>
      </c>
      <c r="G23" s="554" t="n"/>
      <c r="H23" s="559" t="n"/>
      <c r="I23" s="900" t="n"/>
      <c r="J23" s="555" t="n"/>
      <c r="K23" s="547" t="n"/>
      <c r="L23" s="547" t="n"/>
      <c r="T23" s="568">
        <f>Sheet2!$AA$6/1000000</f>
        <v>0.2271636</v>
      </c>
    </row>
    <row r="24">
      <c r="B24" s="563" t="str">
        <f>Sheet2!$B$7</f>
        <v>Chris Lyons</v>
      </c>
      <c r="C24" s="567" t="str">
        <f>SUBSTITUTE(SUBSTITUTE(Sheet2!$C$7,"–","-"),"—","-")</f>
        <v>Cyber Security Architect</v>
      </c>
      <c r="D24" s="563" t="str">
        <f>Sheet2!$G$7</f>
        <v>Cyber Strat &amp; Tech</v>
      </c>
      <c r="E24" s="563" t="str">
        <f>Sheet2!$M$7</f>
        <v>Australia</v>
      </c>
      <c r="F24" s="552" t="str">
        <f>IF(LOWER(Sheet2!$Q$7)="v","Vacant",IF(LOWER(Sheet2!$Q$7)="pause","Paused",IF(LOWER(Sheet2!$Q$7)="cxc","Contractor","Filled")))</f>
        <v>Filled</v>
      </c>
      <c r="G24" s="554" t="n"/>
      <c r="H24" s="559" t="n"/>
      <c r="I24" s="900" t="n"/>
      <c r="J24" s="555" t="n"/>
      <c r="K24" s="547" t="n"/>
      <c r="L24" s="547" t="n"/>
      <c r="T24" s="568">
        <f>Sheet2!$AA$7/1000000</f>
        <v>0.28335375</v>
      </c>
    </row>
    <row r="25">
      <c r="B25" s="563" t="str">
        <f>Sheet2!$B$8</f>
        <v>Chris Rojas</v>
      </c>
      <c r="C25" s="567" t="str">
        <f>SUBSTITUTE(SUBSTITUTE(Sheet2!$C$8,"–","-"),"—","-")</f>
        <v>Manager, Customer Support Operations</v>
      </c>
      <c r="D25" s="563" t="str">
        <f>Sheet2!$G$8</f>
        <v>Service Op &amp; Assurance</v>
      </c>
      <c r="E25" s="563" t="str">
        <f>Sheet2!$M$8</f>
        <v>Australia</v>
      </c>
      <c r="F25" s="552" t="str">
        <f>IF(LOWER(Sheet2!$Q$8)="v","Vacant",IF(LOWER(Sheet2!$Q$8)="pause","Paused",IF(LOWER(Sheet2!$Q$8)="cxc","Contractor","Filled")))</f>
        <v>Filled</v>
      </c>
      <c r="G25" s="554" t="n"/>
      <c r="H25" s="559" t="n"/>
      <c r="I25" s="900" t="n"/>
      <c r="J25" s="555" t="n"/>
      <c r="K25" s="547" t="n"/>
      <c r="L25" s="547" t="n"/>
      <c r="T25" s="568">
        <f>Sheet2!$AA$8/1000000</f>
        <v>0.24330375</v>
      </c>
    </row>
    <row r="26">
      <c r="B26" s="563" t="str">
        <f>Sheet2!$B$9</f>
        <v>Dan Balsamo</v>
      </c>
      <c r="C26" s="567" t="str">
        <f>SUBSTITUTE(SUBSTITUTE(Sheet2!$C$9,"–","-"),"—","-")</f>
        <v>Senior Cyber Project Manager</v>
      </c>
      <c r="D26" s="563" t="str">
        <f>Sheet2!$G$9</f>
        <v>Cyber Strat &amp; Tech</v>
      </c>
      <c r="E26" s="563" t="str">
        <f>Sheet2!$M$9</f>
        <v>Australia</v>
      </c>
      <c r="F26" s="552" t="str">
        <f>IF(LOWER(Sheet2!$Q$9)="v","Vacant",IF(LOWER(Sheet2!$Q$9)="pause","Paused",IF(LOWER(Sheet2!$Q$9)="cxc","Contractor","Filled")))</f>
        <v>Filled</v>
      </c>
      <c r="G26" s="554" t="n"/>
      <c r="H26" s="559" t="n"/>
      <c r="I26" s="900" t="n"/>
      <c r="J26" s="555" t="n"/>
      <c r="K26" s="547" t="n"/>
      <c r="L26" s="547" t="n"/>
      <c r="T26" s="568">
        <f>Sheet2!$AA$9/1000000</f>
        <v>0.25857615</v>
      </c>
    </row>
    <row r="27">
      <c r="B27" s="563" t="str">
        <f>Sheet2!$B$10</f>
        <v>Daniel Jolley</v>
      </c>
      <c r="C27" s="567" t="str">
        <f>SUBSTITUTE(SUBSTITUTE(Sheet2!$C$10,"–","-"),"—","-")</f>
        <v>Tech Support Technician</v>
      </c>
      <c r="D27" s="563" t="str">
        <f>Sheet2!$G$10</f>
        <v>Service Op &amp; Assurance</v>
      </c>
      <c r="E27" s="563" t="str">
        <f>Sheet2!$M$10</f>
        <v>Australia</v>
      </c>
      <c r="F27" s="552" t="str">
        <f>IF(LOWER(Sheet2!$Q$10)="v","Vacant",IF(LOWER(Sheet2!$Q$10)="pause","Paused",IF(LOWER(Sheet2!$Q$10)="cxc","Contractor","Filled")))</f>
        <v>Filled</v>
      </c>
      <c r="G27" s="554" t="n"/>
      <c r="H27" s="559" t="n"/>
      <c r="I27" s="900" t="n"/>
      <c r="J27" s="555" t="n"/>
      <c r="K27" s="547" t="n"/>
      <c r="L27" s="547" t="n"/>
      <c r="T27" s="568">
        <f>Sheet2!$AA$10/1000000</f>
        <v>0.1158515</v>
      </c>
    </row>
    <row r="28" ht="29" customHeight="1" s="849">
      <c r="B28" s="563" t="str">
        <f>Sheet2!$B$11</f>
        <v>Darren Koller</v>
      </c>
      <c r="C28" s="567" t="str">
        <f>SUBSTITUTE(SUBSTITUTE(Sheet2!$C$11,"–","-"),"—","-")</f>
        <v>Manager, Service Management &amp; Major Incident Mgmt Lead</v>
      </c>
      <c r="D28" s="563" t="str">
        <f>Sheet2!$G$11</f>
        <v>Service Op &amp; Assurance</v>
      </c>
      <c r="E28" s="563" t="str">
        <f>Sheet2!$M$11</f>
        <v>Australia</v>
      </c>
      <c r="F28" s="552" t="str">
        <f>IF(LOWER(Sheet2!$Q$11)="v","Vacant",IF(LOWER(Sheet2!$Q$11)="pause","Paused",IF(LOWER(Sheet2!$Q$11)="cxc","Contractor","Filled")))</f>
        <v>Filled</v>
      </c>
      <c r="G28" s="554" t="n"/>
      <c r="H28" s="559" t="n"/>
      <c r="I28" s="900" t="n"/>
      <c r="J28" s="555" t="n"/>
      <c r="K28" s="547" t="n"/>
      <c r="L28" s="547" t="n"/>
      <c r="T28" s="568">
        <f>Sheet2!$AA$11/1000000</f>
        <v>0.27494325</v>
      </c>
    </row>
    <row r="29">
      <c r="B29" s="563" t="str">
        <f>Sheet2!$B$12</f>
        <v>Darshan Suvama</v>
      </c>
      <c r="C29" s="567" t="str">
        <f>SUBSTITUTE(SUBSTITUTE(Sheet2!$C$12,"–","-"),"—","-")</f>
        <v>Cyber Offensive Security Lead</v>
      </c>
      <c r="D29" s="563" t="str">
        <f>Sheet2!$G$12</f>
        <v>Cyber Strat &amp; Tech</v>
      </c>
      <c r="E29" s="563" t="str">
        <f>Sheet2!$M$12</f>
        <v>Australia</v>
      </c>
      <c r="F29" s="552" t="str">
        <f>IF(LOWER(Sheet2!$Q$12)="v","Vacant",IF(LOWER(Sheet2!$Q$12)="pause","Paused",IF(LOWER(Sheet2!$Q$12)="cxc","Contractor","Filled")))</f>
        <v>Filled</v>
      </c>
      <c r="G29" s="554" t="n"/>
      <c r="H29" s="559" t="n"/>
      <c r="I29" s="900" t="n"/>
      <c r="J29" s="555" t="n"/>
      <c r="K29" s="547" t="n"/>
      <c r="L29" s="547" t="n"/>
      <c r="T29" s="568">
        <f>Sheet2!$AA$12/1000000</f>
        <v>0.28534289999999995</v>
      </c>
    </row>
    <row r="30">
      <c r="B30" s="563" t="str">
        <f>Sheet2!$B$13</f>
        <v>Diya Thomas</v>
      </c>
      <c r="C30" s="567" t="str">
        <f>SUBSTITUTE(SUBSTITUTE(Sheet2!$C$13,"–","-"),"—","-")</f>
        <v>Manager Cyber Security GRC</v>
      </c>
      <c r="D30" s="563" t="str">
        <f>Sheet2!$G$13</f>
        <v>Cyber GRC</v>
      </c>
      <c r="E30" s="563" t="str">
        <f>Sheet2!$M$13</f>
        <v>Australia</v>
      </c>
      <c r="F30" s="552" t="str">
        <f>IF(LOWER(Sheet2!$Q$13)="v","Vacant",IF(LOWER(Sheet2!$Q$13)="pause","Paused",IF(LOWER(Sheet2!$Q$13)="cxc","Contractor","Filled")))</f>
        <v>Filled</v>
      </c>
      <c r="G30" s="554" t="n"/>
      <c r="H30" s="559" t="n"/>
      <c r="I30" s="900" t="n"/>
      <c r="J30" s="555" t="n"/>
      <c r="K30" s="547" t="n"/>
      <c r="L30" s="547" t="n"/>
      <c r="T30" s="568">
        <f>Sheet2!$AA$13/1000000</f>
        <v>0.2870432</v>
      </c>
    </row>
    <row r="31">
      <c r="B31" s="563" t="str">
        <f>Sheet2!$B$14</f>
        <v>Ethan Lamhert (FT)</v>
      </c>
      <c r="C31" s="567" t="str">
        <f>SUBSTITUTE(SUBSTITUTE(Sheet2!$C$14,"–","-"),"—","-")</f>
        <v>Tech Support Technician</v>
      </c>
      <c r="D31" s="563" t="str">
        <f>Sheet2!$G$14</f>
        <v>Service Op &amp; Assurance</v>
      </c>
      <c r="E31" s="563" t="str">
        <f>Sheet2!$M$14</f>
        <v>NZ</v>
      </c>
      <c r="F31" s="552" t="str">
        <f>IF(LOWER(Sheet2!$Q$14)="v","Vacant",IF(LOWER(Sheet2!$Q$14)="pause","Paused",IF(LOWER(Sheet2!$Q$14)="cxc","Contractor","Filled")))</f>
        <v>Filled</v>
      </c>
      <c r="G31" s="554" t="n"/>
      <c r="H31" s="559" t="n"/>
      <c r="I31" s="900" t="n"/>
      <c r="J31" s="555" t="n"/>
      <c r="K31" s="547" t="n"/>
      <c r="L31" s="547" t="n"/>
      <c r="T31" s="568">
        <f>Sheet2!$AA$14/1000000</f>
        <v>0.08975800000000002</v>
      </c>
    </row>
    <row r="32">
      <c r="B32" s="563" t="str">
        <f>Sheet2!$B$15</f>
        <v>Iwan Wibisono</v>
      </c>
      <c r="C32" s="567" t="str">
        <f>SUBSTITUTE(SUBSTITUTE(Sheet2!$C$15,"–","-"),"—","-")</f>
        <v>Engineer - IDAM</v>
      </c>
      <c r="D32" s="563" t="str">
        <f>Sheet2!$G$15</f>
        <v>Cyber Strat &amp; Tech</v>
      </c>
      <c r="E32" s="563" t="str">
        <f>Sheet2!$M$15</f>
        <v>Australia</v>
      </c>
      <c r="F32" s="552" t="str">
        <f>IF(LOWER(Sheet2!$Q$15)="v","Vacant",IF(LOWER(Sheet2!$Q$15)="pause","Paused",IF(LOWER(Sheet2!$Q$15)="cxc","Contractor","Filled")))</f>
        <v>Filled</v>
      </c>
      <c r="G32" s="554" t="n"/>
      <c r="H32" s="559" t="n"/>
      <c r="I32" s="900" t="n"/>
      <c r="J32" s="555" t="n"/>
      <c r="K32" s="547" t="n"/>
      <c r="L32" s="547" t="n"/>
      <c r="T32" s="568">
        <f>Sheet2!$AA$15/1000000</f>
        <v>0.2156826</v>
      </c>
    </row>
    <row r="33">
      <c r="B33" s="563" t="str">
        <f>Sheet2!$B$16</f>
        <v>Jack Jenkins</v>
      </c>
      <c r="C33" s="567" t="str">
        <f>SUBSTITUTE(SUBSTITUTE(Sheet2!$C$16,"–","-"),"—","-")</f>
        <v>Asset Analyst</v>
      </c>
      <c r="D33" s="563" t="str">
        <f>Sheet2!$G$16</f>
        <v>Service Op &amp; Assurance</v>
      </c>
      <c r="E33" s="563" t="str">
        <f>Sheet2!$M$16</f>
        <v>Australia</v>
      </c>
      <c r="F33" s="552" t="str">
        <f>IF(LOWER(Sheet2!$Q$16)="v","Vacant",IF(LOWER(Sheet2!$Q$16)="pause","Paused",IF(LOWER(Sheet2!$Q$16)="cxc","Contractor","Filled")))</f>
        <v>Filled</v>
      </c>
      <c r="G33" s="554" t="n"/>
      <c r="H33" s="559" t="n"/>
      <c r="I33" s="900" t="n"/>
      <c r="J33" s="555" t="n"/>
      <c r="K33" s="547" t="n"/>
      <c r="L33" s="547" t="n"/>
      <c r="T33" s="568">
        <f>Sheet2!$AA$16/1000000</f>
        <v>0.13900864999999998</v>
      </c>
    </row>
    <row r="34">
      <c r="B34" s="563" t="str">
        <f>Sheet2!$B$17</f>
        <v>James Byrne</v>
      </c>
      <c r="C34" s="567" t="str">
        <f>SUBSTITUTE(SUBSTITUTE(Sheet2!$C$17,"–","-"),"—","-")</f>
        <v>Head of Cyber Strategy &amp; Technology</v>
      </c>
      <c r="D34" s="563" t="str">
        <f>Sheet2!$G$17</f>
        <v>Cyber Strat &amp; Tech</v>
      </c>
      <c r="E34" s="563" t="str">
        <f>Sheet2!$M$17</f>
        <v>Australia</v>
      </c>
      <c r="F34" s="552" t="str">
        <f>IF(LOWER(Sheet2!$Q$17)="v","Vacant",IF(LOWER(Sheet2!$Q$17)="pause","Paused",IF(LOWER(Sheet2!$Q$17)="cxc","Contractor","Filled")))</f>
        <v>Filled</v>
      </c>
      <c r="G34" s="554" t="n"/>
      <c r="H34" s="559" t="n"/>
      <c r="I34" s="900" t="n"/>
      <c r="J34" s="555" t="n"/>
      <c r="K34" s="547" t="n"/>
      <c r="L34" s="547" t="n"/>
      <c r="T34" s="568">
        <f>Sheet2!$AA$17/1000000</f>
        <v>0.38258770000000003</v>
      </c>
    </row>
    <row r="35">
      <c r="B35" s="563" t="str">
        <f>Sheet2!$B$18</f>
        <v>Jas Mann</v>
      </c>
      <c r="C35" s="567" t="str">
        <f>SUBSTITUTE(SUBSTITUTE(Sheet2!$C$18,"–","-"),"—","-")</f>
        <v>Technology Support Engineer</v>
      </c>
      <c r="D35" s="563" t="str">
        <f>Sheet2!$G$18</f>
        <v>Service Op &amp; Assurance</v>
      </c>
      <c r="E35" s="563" t="str">
        <f>Sheet2!$M$18</f>
        <v>Australia</v>
      </c>
      <c r="F35" s="552" t="str">
        <f>IF(LOWER(Sheet2!$Q$18)="v","Vacant",IF(LOWER(Sheet2!$Q$18)="pause","Paused",IF(LOWER(Sheet2!$Q$18)="cxc","Contractor","Filled")))</f>
        <v>Filled</v>
      </c>
      <c r="G35" s="554" t="n"/>
      <c r="H35" s="559" t="n"/>
      <c r="I35" s="900" t="n"/>
      <c r="J35" s="555" t="n"/>
      <c r="K35" s="547" t="n"/>
      <c r="L35" s="547" t="n"/>
      <c r="T35" s="568">
        <f>Sheet2!$AA$18/1000000</f>
        <v>0.1468855</v>
      </c>
    </row>
    <row r="36">
      <c r="B36" s="563" t="str">
        <f>Sheet2!$B$19</f>
        <v>Joe Nahma</v>
      </c>
      <c r="C36" s="567" t="str">
        <f>SUBSTITUTE(SUBSTITUTE(Sheet2!$C$19,"–","-"),"—","-")</f>
        <v>Manager Identity &amp; Access Management</v>
      </c>
      <c r="D36" s="563" t="str">
        <f>Sheet2!$G$19</f>
        <v>Cyber Strat &amp; Tech</v>
      </c>
      <c r="E36" s="563" t="str">
        <f>Sheet2!$M$19</f>
        <v>Australia</v>
      </c>
      <c r="F36" s="552" t="str">
        <f>IF(LOWER(Sheet2!$Q$19)="v","Vacant",IF(LOWER(Sheet2!$Q$19)="pause","Paused",IF(LOWER(Sheet2!$Q$19)="cxc","Contractor","Filled")))</f>
        <v>Filled</v>
      </c>
      <c r="G36" s="554" t="n"/>
      <c r="H36" s="559" t="n"/>
      <c r="I36" s="900" t="n"/>
      <c r="J36" s="555" t="n"/>
      <c r="K36" s="547" t="n"/>
      <c r="L36" s="547" t="n"/>
      <c r="T36" s="568">
        <f>Sheet2!$AA$19/1000000</f>
        <v>0.25870965</v>
      </c>
    </row>
    <row r="37">
      <c r="B37" s="563" t="str">
        <f>Sheet2!$B$20</f>
        <v>Kaaviya Salai Manimudian</v>
      </c>
      <c r="C37" s="567" t="str">
        <f>SUBSTITUTE(SUBSTITUTE(Sheet2!$C$20,"–","-"),"—","-")</f>
        <v>Graduate</v>
      </c>
      <c r="D37" s="563" t="str">
        <f>Sheet2!$G$20</f>
        <v>Service Op &amp; Assurance</v>
      </c>
      <c r="E37" s="563" t="str">
        <f>Sheet2!$M$20</f>
        <v>Australia</v>
      </c>
      <c r="F37" s="552" t="str">
        <f>IF(LOWER(Sheet2!$Q$20)="v","Vacant",IF(LOWER(Sheet2!$Q$20)="pause","Paused",IF(LOWER(Sheet2!$Q$20)="cxc","Contractor","Filled")))</f>
        <v>Filled</v>
      </c>
      <c r="G37" s="554" t="n"/>
      <c r="H37" s="559" t="n"/>
      <c r="I37" s="900" t="n"/>
      <c r="J37" s="555" t="n"/>
      <c r="K37" s="547" t="n"/>
      <c r="L37" s="547" t="n"/>
      <c r="T37" s="568">
        <f>Sheet2!$AA$20/1000000</f>
        <v>0.110075</v>
      </c>
    </row>
    <row r="38">
      <c r="B38" s="563" t="str">
        <f>Sheet2!$B$21</f>
        <v>Kevin Sheerin</v>
      </c>
      <c r="C38" s="567" t="str">
        <f>SUBSTITUTE(SUBSTITUTE(Sheet2!$C$21,"–","-"),"—","-")</f>
        <v>Cyber Architecture Lead</v>
      </c>
      <c r="D38" s="563" t="str">
        <f>Sheet2!$G$21</f>
        <v>Cyber Strat &amp; Tech</v>
      </c>
      <c r="E38" s="563" t="str">
        <f>Sheet2!$M$21</f>
        <v>Australia</v>
      </c>
      <c r="F38" s="552" t="str">
        <f>IF(LOWER(Sheet2!$Q$21)="v","Vacant",IF(LOWER(Sheet2!$Q$21)="pause","Paused",IF(LOWER(Sheet2!$Q$21)="cxc","Contractor","Filled")))</f>
        <v>Filled</v>
      </c>
      <c r="G38" s="554" t="n"/>
      <c r="H38" s="559" t="n"/>
      <c r="I38" s="900" t="n"/>
      <c r="J38" s="555" t="n"/>
      <c r="K38" s="547" t="n"/>
      <c r="L38" s="547" t="n"/>
      <c r="T38" s="568">
        <f>Sheet2!$AA$21/1000000</f>
        <v>0.28498245</v>
      </c>
    </row>
    <row r="39">
      <c r="B39" s="563" t="str">
        <f>Sheet2!$B$22</f>
        <v>Lisa Ng</v>
      </c>
      <c r="C39" s="567" t="str">
        <f>SUBSTITUTE(SUBSTITUTE(Sheet2!$C$22,"–","-"),"—","-")</f>
        <v>Cyber Security Analyst</v>
      </c>
      <c r="D39" s="563" t="str">
        <f>Sheet2!$G$22</f>
        <v>Cyber Sec Ops</v>
      </c>
      <c r="E39" s="563" t="str">
        <f>Sheet2!$M$22</f>
        <v>NZ</v>
      </c>
      <c r="F39" s="552" t="str">
        <f>IF(LOWER(Sheet2!$Q$22)="v","Vacant",IF(LOWER(Sheet2!$Q$22)="pause","Paused",IF(LOWER(Sheet2!$Q$22)="cxc","Contractor","Filled")))</f>
        <v>Filled</v>
      </c>
      <c r="G39" s="554" t="n"/>
      <c r="H39" s="559" t="n"/>
      <c r="I39" s="900" t="n"/>
      <c r="J39" s="555" t="n"/>
      <c r="K39" s="547" t="n"/>
      <c r="L39" s="547" t="n"/>
      <c r="T39" s="568">
        <f>Sheet2!$AA$22/1000000</f>
        <v>0.147800064</v>
      </c>
    </row>
    <row r="40">
      <c r="B40" s="563" t="str">
        <f>Sheet2!$B$23</f>
        <v>Lynda Niewidok</v>
      </c>
      <c r="C40" s="567" t="str">
        <f>SUBSTITUTE(SUBSTITUTE(Sheet2!$C$23,"–","-"),"—","-")</f>
        <v>Lead - Service Desk</v>
      </c>
      <c r="D40" s="563" t="str">
        <f>Sheet2!$G$23</f>
        <v>Service Op &amp; Assurance</v>
      </c>
      <c r="E40" s="563" t="str">
        <f>Sheet2!$M$23</f>
        <v>Australia</v>
      </c>
      <c r="F40" s="552" t="str">
        <f>IF(LOWER(Sheet2!$Q$23)="v","Vacant",IF(LOWER(Sheet2!$Q$23)="pause","Paused",IF(LOWER(Sheet2!$Q$23)="cxc","Contractor","Filled")))</f>
        <v>Filled</v>
      </c>
      <c r="G40" s="554" t="n"/>
      <c r="H40" s="559" t="n"/>
      <c r="I40" s="900" t="n"/>
      <c r="J40" s="555" t="n"/>
      <c r="K40" s="547" t="n"/>
      <c r="L40" s="547" t="n"/>
      <c r="T40" s="568">
        <f>Sheet2!$AA$23/1000000</f>
        <v>0.203988</v>
      </c>
    </row>
    <row r="41">
      <c r="B41" s="563" t="str">
        <f>Sheet2!$B$24</f>
        <v>Mark Pearson</v>
      </c>
      <c r="C41" s="567" t="str">
        <f>SUBSTITUTE(SUBSTITUTE(Sheet2!$C$24,"–","-"),"—","-")</f>
        <v>Lead - Technology Support</v>
      </c>
      <c r="D41" s="563" t="str">
        <f>Sheet2!$G$24</f>
        <v>Service Op &amp; Assurance</v>
      </c>
      <c r="E41" s="563" t="str">
        <f>Sheet2!$M$24</f>
        <v>Australia</v>
      </c>
      <c r="F41" s="552" t="str">
        <f>IF(LOWER(Sheet2!$Q$24)="v","Vacant",IF(LOWER(Sheet2!$Q$24)="pause","Paused",IF(LOWER(Sheet2!$Q$24)="cxc","Contractor","Filled")))</f>
        <v>Filled</v>
      </c>
      <c r="G41" s="554" t="n"/>
      <c r="H41" s="559" t="n"/>
      <c r="I41" s="900" t="n"/>
      <c r="J41" s="555" t="n"/>
      <c r="K41" s="547" t="n"/>
      <c r="L41" s="547" t="n"/>
      <c r="T41" s="568">
        <f>Sheet2!$AA$24/1000000</f>
        <v>0.20384115</v>
      </c>
    </row>
    <row r="42">
      <c r="B42" s="563" t="str">
        <f>Sheet2!$B$25</f>
        <v>Mary-Grace Rivera</v>
      </c>
      <c r="C42" s="567" t="str">
        <f>SUBSTITUTE(SUBSTITUTE(Sheet2!$C$25,"–","-"),"—","-")</f>
        <v>Lead, Service Management</v>
      </c>
      <c r="D42" s="563" t="str">
        <f>Sheet2!$G$25</f>
        <v>Service Op &amp; Assurance</v>
      </c>
      <c r="E42" s="563" t="str">
        <f>Sheet2!$M$25</f>
        <v>Australia</v>
      </c>
      <c r="F42" s="552" t="str">
        <f>IF(LOWER(Sheet2!$Q$25)="v","Vacant",IF(LOWER(Sheet2!$Q$25)="pause","Paused",IF(LOWER(Sheet2!$Q$25)="cxc","Contractor","Filled")))</f>
        <v>Filled</v>
      </c>
      <c r="G42" s="554" t="n"/>
      <c r="H42" s="559" t="n"/>
      <c r="I42" s="900" t="n"/>
      <c r="J42" s="555" t="n"/>
      <c r="K42" s="547" t="n"/>
      <c r="L42" s="547" t="n"/>
      <c r="T42" s="568">
        <f>Sheet2!$AA$25/1000000</f>
        <v>0.1809703</v>
      </c>
    </row>
    <row r="43">
      <c r="B43" s="563" t="str">
        <f>Sheet2!$B$26</f>
        <v>Mick Collins</v>
      </c>
      <c r="C43" s="567" t="str">
        <f>SUBSTITUTE(SUBSTITUTE(Sheet2!$C$26,"–","-"),"—","-")</f>
        <v>Manager, Service Performance &amp; Assurance</v>
      </c>
      <c r="D43" s="563" t="str">
        <f>Sheet2!$G$26</f>
        <v>Service Op &amp; Assurance</v>
      </c>
      <c r="E43" s="563" t="str">
        <f>Sheet2!$M$26</f>
        <v>Australia</v>
      </c>
      <c r="F43" s="552" t="str">
        <f>IF(LOWER(Sheet2!$Q$26)="v","Vacant",IF(LOWER(Sheet2!$Q$26)="pause","Paused",IF(LOWER(Sheet2!$Q$26)="cxc","Contractor","Filled")))</f>
        <v>Filled</v>
      </c>
      <c r="G43" s="554" t="n"/>
      <c r="H43" s="559" t="n"/>
      <c r="I43" s="900" t="n"/>
      <c r="J43" s="555" t="n"/>
      <c r="K43" s="547" t="n"/>
      <c r="L43" s="547" t="n"/>
      <c r="T43" s="568">
        <f>Sheet2!$AA$26/1000000</f>
        <v>0.27207045</v>
      </c>
    </row>
    <row r="44">
      <c r="B44" s="563" t="str">
        <f>Sheet2!$B$27</f>
        <v>Nischal Bhusal</v>
      </c>
      <c r="C44" s="567" t="str">
        <f>SUBSTITUTE(SUBSTITUTE(Sheet2!$C$27,"–","-"),"—","-")</f>
        <v>Cyber Security Analyst</v>
      </c>
      <c r="D44" s="563" t="str">
        <f>Sheet2!$G$27</f>
        <v>Cyber Sec Ops</v>
      </c>
      <c r="E44" s="563" t="str">
        <f>Sheet2!$M$27</f>
        <v>Australia</v>
      </c>
      <c r="F44" s="552" t="str">
        <f>IF(LOWER(Sheet2!$Q$27)="v","Vacant",IF(LOWER(Sheet2!$Q$27)="pause","Paused",IF(LOWER(Sheet2!$Q$27)="cxc","Contractor","Filled")))</f>
        <v>Filled</v>
      </c>
      <c r="G44" s="554" t="n"/>
      <c r="H44" s="559" t="n"/>
      <c r="I44" s="900" t="n"/>
      <c r="J44" s="555" t="n"/>
      <c r="K44" s="547" t="n"/>
      <c r="L44" s="547" t="n"/>
      <c r="T44" s="568">
        <f>Sheet2!$AA$27/1000000</f>
        <v>0.2156292</v>
      </c>
    </row>
    <row r="45">
      <c r="B45" s="563" t="str">
        <f>Sheet2!$B$28</f>
        <v>Pooja Kuperkar</v>
      </c>
      <c r="C45" s="567" t="str">
        <f>SUBSTITUTE(SUBSTITUTE(Sheet2!$C$28,"–","-"),"—","-")</f>
        <v>Cyber GRC Analyst</v>
      </c>
      <c r="D45" s="563" t="str">
        <f>Sheet2!$G$28</f>
        <v>Cyber GRC</v>
      </c>
      <c r="E45" s="563" t="str">
        <f>Sheet2!$M$28</f>
        <v>Australia</v>
      </c>
      <c r="F45" s="552" t="str">
        <f>IF(LOWER(Sheet2!$Q$28)="v","Vacant",IF(LOWER(Sheet2!$Q$28)="pause","Paused",IF(LOWER(Sheet2!$Q$28)="cxc","Contractor","Filled")))</f>
        <v>Filled</v>
      </c>
      <c r="G45" s="554" t="n"/>
      <c r="H45" s="559" t="n"/>
      <c r="I45" s="900" t="n"/>
      <c r="J45" s="555" t="n"/>
      <c r="K45" s="547" t="n"/>
      <c r="L45" s="547" t="n"/>
      <c r="T45" s="568">
        <f>Sheet2!$AA$28/1000000</f>
        <v>0.20344065</v>
      </c>
    </row>
    <row r="46">
      <c r="B46" s="563" t="str">
        <f>Sheet2!$B$29</f>
        <v>Prashanth Chandran</v>
      </c>
      <c r="C46" s="567" t="str">
        <f>SUBSTITUTE(SUBSTITUTE(Sheet2!$C$29,"–","-"),"—","-")</f>
        <v>Senior Cyber GRC Specialist</v>
      </c>
      <c r="D46" s="563" t="str">
        <f>Sheet2!$G$29</f>
        <v>Cyber GRC</v>
      </c>
      <c r="E46" s="563" t="str">
        <f>Sheet2!$M$29</f>
        <v>Australia</v>
      </c>
      <c r="F46" s="552" t="str">
        <f>IF(LOWER(Sheet2!$Q$29)="v","Vacant",IF(LOWER(Sheet2!$Q$29)="pause","Paused",IF(LOWER(Sheet2!$Q$29)="cxc","Contractor","Filled")))</f>
        <v>Filled</v>
      </c>
      <c r="G46" s="554" t="n"/>
      <c r="H46" s="559" t="n"/>
      <c r="I46" s="900" t="n"/>
      <c r="J46" s="555" t="n"/>
      <c r="K46" s="547" t="n"/>
      <c r="L46" s="547" t="n"/>
      <c r="T46" s="568">
        <f>Sheet2!$AA$29/1000000</f>
        <v>0.220275</v>
      </c>
    </row>
    <row r="47">
      <c r="B47" s="563" t="str">
        <f>Sheet2!$B$30</f>
        <v>Rahul Sahni</v>
      </c>
      <c r="C47" s="567" t="str">
        <f>SUBSTITUTE(SUBSTITUTE(Sheet2!$C$30,"–","-"),"—","-")</f>
        <v>Cyber Security Architect</v>
      </c>
      <c r="D47" s="563" t="str">
        <f>Sheet2!$G$30</f>
        <v>Cyber Strat &amp; Tech</v>
      </c>
      <c r="E47" s="563" t="str">
        <f>Sheet2!$M$30</f>
        <v>Australia</v>
      </c>
      <c r="F47" s="552" t="str">
        <f>IF(LOWER(Sheet2!$Q$30)="v","Vacant",IF(LOWER(Sheet2!$Q$30)="pause","Paused",IF(LOWER(Sheet2!$Q$30)="cxc","Contractor","Filled")))</f>
        <v>Filled</v>
      </c>
      <c r="G47" s="554" t="n"/>
      <c r="H47" s="559" t="n"/>
      <c r="I47" s="900" t="n"/>
      <c r="J47" s="555" t="n"/>
      <c r="K47" s="547" t="n"/>
      <c r="L47" s="547" t="n"/>
      <c r="T47" s="568">
        <f>Sheet2!$AA$30/1000000</f>
        <v>0.2262825</v>
      </c>
    </row>
    <row r="48">
      <c r="B48" s="563" t="str">
        <f>Sheet2!$B$31</f>
        <v>Rajini Onteddu Reddy</v>
      </c>
      <c r="C48" s="567" t="str">
        <f>SUBSTITUTE(SUBSTITUTE(Sheet2!$C$31,"–","-"),"—","-")</f>
        <v>Head of Service Operations &amp; Assurance</v>
      </c>
      <c r="D48" s="563" t="str">
        <f>Sheet2!$G$31</f>
        <v>Service Op &amp; Assurance</v>
      </c>
      <c r="E48" s="563" t="str">
        <f>Sheet2!$M$31</f>
        <v>Australia</v>
      </c>
      <c r="F48" s="552" t="str">
        <f>IF(LOWER(Sheet2!$Q$31)="v","Vacant",IF(LOWER(Sheet2!$Q$31)="pause","Paused",IF(LOWER(Sheet2!$Q$31)="cxc","Contractor","Filled")))</f>
        <v>Filled</v>
      </c>
      <c r="G48" s="554" t="n"/>
      <c r="H48" s="559" t="n"/>
      <c r="I48" s="900" t="n"/>
      <c r="J48" s="555" t="n"/>
      <c r="K48" s="547" t="n"/>
      <c r="L48" s="547" t="n"/>
      <c r="T48" s="568">
        <f>Sheet2!$AA$31/1000000</f>
        <v>0.4006714</v>
      </c>
    </row>
    <row r="49">
      <c r="B49" s="563" t="str">
        <f>Sheet2!$B$32</f>
        <v>Raymond Cheung</v>
      </c>
      <c r="C49" s="567" t="str">
        <f>SUBSTITUTE(SUBSTITUTE(Sheet2!$C$32,"–","-"),"—","-")</f>
        <v>Engineer - IDAM</v>
      </c>
      <c r="D49" s="563" t="str">
        <f>Sheet2!$G$32</f>
        <v>Cyber Strat &amp; Tech</v>
      </c>
      <c r="E49" s="563" t="str">
        <f>Sheet2!$M$32</f>
        <v>Australia</v>
      </c>
      <c r="F49" s="552" t="str">
        <f>IF(LOWER(Sheet2!$Q$32)="v","Vacant",IF(LOWER(Sheet2!$Q$32)="pause","Paused",IF(LOWER(Sheet2!$Q$32)="cxc","Contractor","Filled")))</f>
        <v>Filled</v>
      </c>
      <c r="G49" s="554" t="n"/>
      <c r="H49" s="559" t="n"/>
      <c r="I49" s="900" t="n"/>
      <c r="J49" s="555" t="n"/>
      <c r="K49" s="547" t="n"/>
      <c r="L49" s="547" t="n"/>
      <c r="T49" s="568">
        <f>Sheet2!$AA$32/1000000</f>
        <v>0.190675</v>
      </c>
    </row>
    <row r="50">
      <c r="B50" s="563" t="str">
        <f>Sheet2!$B$33</f>
        <v>Remya Pookat</v>
      </c>
      <c r="C50" s="567" t="str">
        <f>SUBSTITUTE(SUBSTITUTE(Sheet2!$C$33,"–","-"),"—","-")</f>
        <v>Lead - Change &amp; Release Management</v>
      </c>
      <c r="D50" s="563" t="str">
        <f>Sheet2!$G$33</f>
        <v>Service Op &amp; Assurance</v>
      </c>
      <c r="E50" s="563" t="str">
        <f>Sheet2!$M$33</f>
        <v>Australia</v>
      </c>
      <c r="F50" s="552" t="str">
        <f>IF(LOWER(Sheet2!$Q$33)="v","Vacant",IF(LOWER(Sheet2!$Q$33)="pause","Paused",IF(LOWER(Sheet2!$Q$33)="cxc","Contractor","Filled")))</f>
        <v>Filled</v>
      </c>
      <c r="G50" s="554" t="n"/>
      <c r="H50" s="559" t="n"/>
      <c r="I50" s="900" t="n"/>
      <c r="J50" s="555" t="n"/>
      <c r="K50" s="547" t="n"/>
      <c r="L50" s="547" t="n"/>
      <c r="T50" s="568">
        <f>Sheet2!$AA$33/1000000</f>
        <v>0.22087575</v>
      </c>
    </row>
    <row r="51">
      <c r="B51" s="563" t="str">
        <f>Sheet2!$B$34</f>
        <v>Ritika Salaria</v>
      </c>
      <c r="C51" s="567" t="str">
        <f>SUBSTITUTE(SUBSTITUTE(Sheet2!$C$34,"–","-"),"—","-")</f>
        <v>Configuration Analyst</v>
      </c>
      <c r="D51" s="563" t="str">
        <f>Sheet2!$G$34</f>
        <v>Service Op &amp; Assurance</v>
      </c>
      <c r="E51" s="563" t="str">
        <f>Sheet2!$M$34</f>
        <v>Australia</v>
      </c>
      <c r="F51" s="552" t="str">
        <f>IF(LOWER(Sheet2!$Q$34)="v","Vacant",IF(LOWER(Sheet2!$Q$34)="pause","Paused",IF(LOWER(Sheet2!$Q$34)="cxc","Contractor","Filled")))</f>
        <v>Filled</v>
      </c>
      <c r="G51" s="554" t="n"/>
      <c r="H51" s="559" t="n"/>
      <c r="I51" s="900" t="n"/>
      <c r="J51" s="555" t="n"/>
      <c r="K51" s="547" t="n"/>
      <c r="L51" s="547" t="n"/>
      <c r="T51" s="568">
        <f>Sheet2!$AA$34/1000000</f>
        <v>0.1731066</v>
      </c>
    </row>
    <row r="52">
      <c r="B52" s="563" t="str">
        <f>Sheet2!$B$35</f>
        <v>Sameer Pattanaik</v>
      </c>
      <c r="C52" s="567" t="str">
        <f>SUBSTITUTE(SUBSTITUTE(Sheet2!$C$35,"–","-"),"—","-")</f>
        <v>Cyber Security Operations Lead</v>
      </c>
      <c r="D52" s="563" t="str">
        <f>Sheet2!$G$35</f>
        <v>Cyber Sec Ops</v>
      </c>
      <c r="E52" s="563" t="str">
        <f>Sheet2!$M$35</f>
        <v>NZ</v>
      </c>
      <c r="F52" s="552" t="str">
        <f>IF(LOWER(Sheet2!$Q$35)="v","Vacant",IF(LOWER(Sheet2!$Q$35)="pause","Paused",IF(LOWER(Sheet2!$Q$35)="cxc","Contractor","Filled")))</f>
        <v>Filled</v>
      </c>
      <c r="G52" s="554" t="n"/>
      <c r="H52" s="559" t="n"/>
      <c r="I52" s="900" t="n"/>
      <c r="J52" s="555" t="n"/>
      <c r="K52" s="547" t="n"/>
      <c r="L52" s="547" t="n"/>
      <c r="T52" s="568">
        <f>Sheet2!$AA$35/1000000</f>
        <v>0.21287838</v>
      </c>
    </row>
    <row r="53">
      <c r="B53" s="563" t="str">
        <f>Sheet2!$B$36</f>
        <v>Shomiya Shayal</v>
      </c>
      <c r="C53" s="567" t="str">
        <f>SUBSTITUTE(SUBSTITUTE(Sheet2!$C$36,"–","-"),"—","-")</f>
        <v>Risk &amp; Resilience Lead</v>
      </c>
      <c r="D53" s="563" t="str">
        <f>Sheet2!$G$36</f>
        <v>Cyber Risk</v>
      </c>
      <c r="E53" s="563" t="str">
        <f>Sheet2!$M$36</f>
        <v>NZ</v>
      </c>
      <c r="F53" s="552" t="str">
        <f>IF(LOWER(Sheet2!$Q$36)="v","Vacant",IF(LOWER(Sheet2!$Q$36)="pause","Paused",IF(LOWER(Sheet2!$Q$36)="cxc","Contractor","Filled")))</f>
        <v>Filled</v>
      </c>
      <c r="G53" s="554" t="n"/>
      <c r="H53" s="559" t="n"/>
      <c r="I53" s="900" t="n"/>
      <c r="J53" s="555" t="n"/>
      <c r="K53" s="547" t="n"/>
      <c r="L53" s="547" t="n"/>
      <c r="T53" s="568">
        <f>Sheet2!$AA$36/1000000</f>
        <v>0.18851503199999997</v>
      </c>
    </row>
    <row r="54">
      <c r="B54" s="563" t="str">
        <f>Sheet2!$B$37</f>
        <v>Shruti Manchanda</v>
      </c>
      <c r="C54" s="567" t="str">
        <f>SUBSTITUTE(SUBSTITUTE(Sheet2!$C$37,"–","-"),"—","-")</f>
        <v>Cyber GRC Analyst</v>
      </c>
      <c r="D54" s="563" t="str">
        <f>Sheet2!$G$37</f>
        <v>Cyber GRC</v>
      </c>
      <c r="E54" s="563" t="str">
        <f>Sheet2!$M$37</f>
        <v>Australia</v>
      </c>
      <c r="F54" s="552" t="str">
        <f>IF(LOWER(Sheet2!$Q$37)="v","Vacant",IF(LOWER(Sheet2!$Q$37)="pause","Paused",IF(LOWER(Sheet2!$Q$37)="cxc","Contractor","Filled")))</f>
        <v>Filled</v>
      </c>
      <c r="G54" s="554" t="n"/>
      <c r="H54" s="559" t="n"/>
      <c r="I54" s="900" t="n"/>
      <c r="J54" s="555" t="n"/>
      <c r="K54" s="547" t="n"/>
      <c r="L54" s="547" t="n"/>
      <c r="T54" s="568">
        <f>Sheet2!$AA$37/1000000</f>
        <v>0.22888575</v>
      </c>
    </row>
    <row r="55">
      <c r="B55" s="563" t="str">
        <f>Sheet2!$B$38</f>
        <v>Spoilagi Bhutwala</v>
      </c>
      <c r="C55" s="567" t="str">
        <f>SUBSTITUTE(SUBSTITUTE(Sheet2!$C$38,"–","-"),"—","-")</f>
        <v>Tech Support Technician</v>
      </c>
      <c r="D55" s="563" t="str">
        <f>Sheet2!$G$38</f>
        <v>Service Op &amp; Assurance</v>
      </c>
      <c r="E55" s="563" t="str">
        <f>Sheet2!$M$38</f>
        <v>NZ</v>
      </c>
      <c r="F55" s="552" t="str">
        <f>IF(LOWER(Sheet2!$Q$38)="v","Vacant",IF(LOWER(Sheet2!$Q$38)="pause","Paused",IF(LOWER(Sheet2!$Q$38)="cxc","Contractor","Filled")))</f>
        <v>Filled</v>
      </c>
      <c r="G55" s="554" t="n"/>
      <c r="H55" s="559" t="n"/>
      <c r="I55" s="900" t="n"/>
      <c r="J55" s="555" t="n"/>
      <c r="K55" s="547" t="n"/>
      <c r="L55" s="547" t="n"/>
      <c r="T55" s="568">
        <f>Sheet2!$AA$38/1000000</f>
        <v>0.09723778400000001</v>
      </c>
    </row>
    <row r="56">
      <c r="B56" s="563" t="str">
        <f>Sheet2!$B$39</f>
        <v>Stafford Dowling</v>
      </c>
      <c r="C56" s="567" t="str">
        <f>SUBSTITUTE(SUBSTITUTE(Sheet2!$C$39,"–","-"),"—","-")</f>
        <v>Cyber Security Analyst</v>
      </c>
      <c r="D56" s="563" t="str">
        <f>Sheet2!$G$39</f>
        <v>Cyber Sec Ops</v>
      </c>
      <c r="E56" s="563" t="str">
        <f>Sheet2!$M$39</f>
        <v>Australia</v>
      </c>
      <c r="F56" s="552" t="str">
        <f>IF(LOWER(Sheet2!$Q$39)="v","Vacant",IF(LOWER(Sheet2!$Q$39)="pause","Paused",IF(LOWER(Sheet2!$Q$39)="cxc","Contractor","Filled")))</f>
        <v>Filled</v>
      </c>
      <c r="G56" s="554" t="n"/>
      <c r="H56" s="559" t="n"/>
      <c r="I56" s="900" t="n"/>
      <c r="J56" s="555" t="n"/>
      <c r="K56" s="547" t="n"/>
      <c r="L56" s="547" t="n"/>
      <c r="T56" s="568">
        <f>Sheet2!$AA$39/1000000</f>
        <v>0.21871305</v>
      </c>
    </row>
    <row r="57">
      <c r="B57" s="563" t="str">
        <f>Sheet2!$B$40</f>
        <v>Steven Atcheson</v>
      </c>
      <c r="C57" s="567" t="str">
        <f>SUBSTITUTE(SUBSTITUTE(Sheet2!$C$40,"–","-"),"—","-")</f>
        <v>Manager Cyber Security Operations</v>
      </c>
      <c r="D57" s="563" t="str">
        <f>Sheet2!$G$40</f>
        <v>Cyber Sec Ops</v>
      </c>
      <c r="E57" s="563" t="str">
        <f>Sheet2!$M$40</f>
        <v>Australia</v>
      </c>
      <c r="F57" s="552" t="str">
        <f>IF(LOWER(Sheet2!$Q$40)="v","Vacant",IF(LOWER(Sheet2!$Q$40)="pause","Paused",IF(LOWER(Sheet2!$Q$40)="cxc","Contractor","Filled")))</f>
        <v>Filled</v>
      </c>
      <c r="G57" s="554" t="n"/>
      <c r="H57" s="559" t="n"/>
      <c r="I57" s="900" t="n"/>
      <c r="J57" s="555" t="n"/>
      <c r="K57" s="547" t="n"/>
      <c r="L57" s="547" t="n"/>
      <c r="T57" s="568">
        <f>Sheet2!$AA$40/1000000</f>
        <v>0.31656865</v>
      </c>
    </row>
    <row r="58">
      <c r="B58" s="563" t="str">
        <f>Sheet2!$B$41</f>
        <v>Tony Keeler</v>
      </c>
      <c r="C58" s="567" t="str">
        <f>SUBSTITUTE(SUBSTITUTE(Sheet2!$C$41,"–","-"),"—","-")</f>
        <v>Cyber Business Analyst</v>
      </c>
      <c r="D58" s="563" t="str">
        <f>Sheet2!$G$41</f>
        <v>Cyber Strat &amp; Tech</v>
      </c>
      <c r="E58" s="563" t="str">
        <f>Sheet2!$M$41</f>
        <v>Australia</v>
      </c>
      <c r="F58" s="552" t="str">
        <f>IF(LOWER(Sheet2!$Q$41)="v","Vacant",IF(LOWER(Sheet2!$Q$41)="pause","Paused",IF(LOWER(Sheet2!$Q$41)="cxc","Contractor","Filled")))</f>
        <v>Filled</v>
      </c>
      <c r="G58" s="554" t="n"/>
      <c r="H58" s="559" t="n"/>
      <c r="I58" s="900" t="n"/>
      <c r="J58" s="555" t="n"/>
      <c r="K58" s="547" t="n"/>
      <c r="L58" s="547" t="n"/>
      <c r="T58" s="568">
        <f>Sheet2!$AA$41/1000000</f>
        <v>0.2136</v>
      </c>
    </row>
    <row r="59">
      <c r="B59" s="563" t="str">
        <f>Sheet2!$B$42</f>
        <v>Vacant</v>
      </c>
      <c r="C59" s="567" t="str">
        <f>SUBSTITUTE(SUBSTITUTE(Sheet2!$C$42,"–","-"),"—","-")</f>
        <v>Lead - Problem Management</v>
      </c>
      <c r="D59" s="563" t="str">
        <f>Sheet2!$G$42</f>
        <v>Service Op &amp; Assurance</v>
      </c>
      <c r="E59" s="563" t="str">
        <f>Sheet2!$M$42</f>
        <v>Australia</v>
      </c>
      <c r="F59" s="552" t="str">
        <f>IF(LOWER(Sheet2!$Q$42)="v","Vacant",IF(LOWER(Sheet2!$Q$42)="pause","Paused",IF(LOWER(Sheet2!$Q$42)="cxc","Contractor","Filled")))</f>
        <v>Vacant</v>
      </c>
      <c r="G59" s="569">
        <f>Sheet2!$AA$42</f>
        <v>170489.75</v>
      </c>
      <c r="H59" s="559" t="n"/>
      <c r="I59" s="900" t="n"/>
      <c r="J59" s="555" t="n"/>
      <c r="K59" s="547" t="n"/>
      <c r="L59" s="547" t="n"/>
      <c r="T59" s="568">
        <f>Sheet2!$AA$42/1000000</f>
        <v>0.17048975</v>
      </c>
    </row>
    <row r="60">
      <c r="B60" s="563" t="str">
        <f>Sheet2!$B$43</f>
        <v>Vacant</v>
      </c>
      <c r="C60" s="567" t="str">
        <f>SUBSTITUTE(SUBSTITUTE(Sheet2!$C$43,"–","-"),"—","-")</f>
        <v>Cyber Architect (backfill for EGI Secondment)</v>
      </c>
      <c r="D60" s="563" t="str">
        <f>Sheet2!$G$43</f>
        <v>Cyber Strat &amp; Tech</v>
      </c>
      <c r="E60" s="563" t="str">
        <f>Sheet2!$M$43</f>
        <v>Australia</v>
      </c>
      <c r="F60" s="552" t="str">
        <f>IF(LOWER(Sheet2!$Q$43)="v","Vacant",IF(LOWER(Sheet2!$Q$43)="pause","Paused",IF(LOWER(Sheet2!$Q$43)="cxc","Contractor","Filled")))</f>
        <v>Vacant</v>
      </c>
      <c r="G60" s="569">
        <f>Sheet2!$AA$43</f>
        <v>213600.0</v>
      </c>
      <c r="H60" s="559" t="n"/>
      <c r="I60" s="900" t="n"/>
      <c r="J60" s="555" t="n"/>
      <c r="K60" s="547" t="n"/>
      <c r="L60" s="547" t="n"/>
      <c r="T60" s="568">
        <f>Sheet2!$AA$43/1000000</f>
        <v>0.2136</v>
      </c>
    </row>
    <row r="61">
      <c r="B61" s="563" t="str">
        <f>Sheet2!$B$44</f>
        <v>Vacant</v>
      </c>
      <c r="C61" s="567" t="str">
        <f>SUBSTITUTE(SUBSTITUTE(Sheet2!$C$44,"–","-"),"—","-")</f>
        <v>Lead - Asset &amp; Configuration</v>
      </c>
      <c r="D61" s="563" t="str">
        <f>Sheet2!$G$44</f>
        <v>Service Op &amp; Assurance</v>
      </c>
      <c r="E61" s="563" t="str">
        <f>Sheet2!$M$44</f>
        <v>Australia</v>
      </c>
      <c r="F61" s="552" t="str">
        <f>IF(LOWER(Sheet2!$Q$44)="v","Vacant",IF(LOWER(Sheet2!$Q$44)="pause","Paused",IF(LOWER(Sheet2!$Q$44)="cxc","Contractor","Filled")))</f>
        <v>Vacant</v>
      </c>
      <c r="G61" s="569">
        <f>Sheet2!$AA$44</f>
        <v>202853.25</v>
      </c>
      <c r="H61" s="559" t="n"/>
      <c r="I61" s="900" t="n"/>
      <c r="J61" s="555" t="n"/>
      <c r="K61" s="547" t="n"/>
      <c r="L61" s="547" t="n"/>
      <c r="T61" s="568">
        <f>Sheet2!$AA$44/1000000</f>
        <v>0.20285325</v>
      </c>
    </row>
    <row r="62">
      <c r="B62" s="563" t="str">
        <f>Sheet2!$B$45</f>
        <v>Vacant</v>
      </c>
      <c r="C62" s="567" t="str">
        <f>SUBSTITUTE(SUBSTITUTE(Sheet2!$C$45,"–","-"),"—","-")</f>
        <v>Lead - Service Performance &amp; Insights</v>
      </c>
      <c r="D62" s="563" t="str">
        <f>Sheet2!$G$45</f>
        <v>Service Op &amp; Assurance</v>
      </c>
      <c r="E62" s="563" t="str">
        <f>Sheet2!$M$45</f>
        <v>Australia</v>
      </c>
      <c r="F62" s="552" t="str">
        <f>IF(LOWER(Sheet2!$Q$45)="v","Vacant",IF(LOWER(Sheet2!$Q$45)="pause","Paused",IF(LOWER(Sheet2!$Q$45)="cxc","Contractor","Filled")))</f>
        <v>Vacant</v>
      </c>
      <c r="G62" s="569">
        <f>Sheet2!$AA$45</f>
        <v>202853.25</v>
      </c>
      <c r="H62" s="559" t="n"/>
      <c r="I62" s="900" t="n"/>
      <c r="J62" s="555" t="n"/>
      <c r="K62" s="547" t="n"/>
      <c r="L62" s="547" t="n"/>
      <c r="T62" s="568">
        <f>Sheet2!$AA$45/1000000</f>
        <v>0.20285325</v>
      </c>
    </row>
    <row r="63">
      <c r="B63" s="563" t="str">
        <f>Sheet2!$B$46</f>
        <v>Vacant</v>
      </c>
      <c r="C63" s="567" t="str">
        <f>SUBSTITUTE(SUBSTITUTE(Sheet2!$C$46,"–","-"),"—","-")</f>
        <v>Operations Analyst</v>
      </c>
      <c r="D63" s="563" t="str">
        <f>Sheet2!$G$46</f>
        <v>Service Op &amp; Assurance</v>
      </c>
      <c r="E63" s="563" t="str">
        <f>Sheet2!$M$46</f>
        <v>Australia</v>
      </c>
      <c r="F63" s="552" t="str">
        <f>IF(LOWER(Sheet2!$Q$46)="v","Vacant",IF(LOWER(Sheet2!$Q$46)="pause","Paused",IF(LOWER(Sheet2!$Q$46)="cxc","Contractor","Filled")))</f>
        <v>Vacant</v>
      </c>
      <c r="G63" s="569">
        <f>Sheet2!$AA$46</f>
        <v>170489.75</v>
      </c>
      <c r="H63" s="559" t="n"/>
      <c r="I63" s="900" t="n"/>
      <c r="J63" s="555" t="n"/>
      <c r="K63" s="547" t="n"/>
      <c r="L63" s="547" t="n"/>
      <c r="T63" s="568">
        <f>Sheet2!$AA$46/1000000</f>
        <v>0.17048975</v>
      </c>
    </row>
    <row r="64">
      <c r="B64" s="563" t="str">
        <f>Sheet2!$B$47</f>
        <v>Vacant</v>
      </c>
      <c r="C64" s="567" t="str">
        <f>SUBSTITUTE(SUBSTITUTE(Sheet2!$C$47,"–","-"),"—","-")</f>
        <v>Operations Analyst</v>
      </c>
      <c r="D64" s="563" t="str">
        <f>Sheet2!$G$47</f>
        <v>Service Op &amp; Assurance</v>
      </c>
      <c r="E64" s="563" t="str">
        <f>Sheet2!$M$47</f>
        <v>Australia</v>
      </c>
      <c r="F64" s="552" t="str">
        <f>IF(LOWER(Sheet2!$Q$47)="v","Vacant",IF(LOWER(Sheet2!$Q$47)="pause","Paused",IF(LOWER(Sheet2!$Q$47)="cxc","Contractor","Filled")))</f>
        <v>Vacant</v>
      </c>
      <c r="G64" s="569">
        <f>Sheet2!$AA$47</f>
        <v>170489.75</v>
      </c>
      <c r="H64" s="559" t="n"/>
      <c r="I64" s="900" t="n"/>
      <c r="J64" s="555" t="n"/>
      <c r="K64" s="547" t="n"/>
      <c r="L64" s="547" t="n"/>
      <c r="T64" s="568">
        <f>Sheet2!$AA$47/1000000</f>
        <v>0.17048975</v>
      </c>
    </row>
    <row r="65">
      <c r="B65" s="563" t="str">
        <f>Sheet2!$B$48</f>
        <v>Vacant </v>
      </c>
      <c r="C65" s="567" t="str">
        <f>SUBSTITUTE(SUBSTITUTE(Sheet2!$C$48,"–","-"),"—","-")</f>
        <v>Data Risk Analyst</v>
      </c>
      <c r="D65" s="563" t="str">
        <f>Sheet2!$G$48</f>
        <v>Cyber Risk</v>
      </c>
      <c r="E65" s="563" t="str">
        <f>Sheet2!$M$48</f>
        <v>Australia</v>
      </c>
      <c r="F65" s="552" t="str">
        <f>IF(LOWER(Sheet2!$Q$48)="v","Vacant",IF(LOWER(Sheet2!$Q$48)="pause","Paused",IF(LOWER(Sheet2!$Q$48)="cxc","Contractor","Filled")))</f>
        <v>Vacant</v>
      </c>
      <c r="G65" s="569">
        <f>Sheet2!$AA$48</f>
        <v>170489.75</v>
      </c>
      <c r="H65" s="559" t="n"/>
      <c r="I65" s="900" t="n"/>
      <c r="J65" s="555" t="n"/>
      <c r="K65" s="547" t="n"/>
      <c r="L65" s="547" t="n"/>
      <c r="T65" s="568">
        <f>Sheet2!$AA$48/1000000</f>
        <v>0.17048975</v>
      </c>
    </row>
    <row r="66">
      <c r="B66" s="563" t="str">
        <f>Sheet2!$B$49</f>
        <v>Vacant </v>
      </c>
      <c r="C66" s="567" t="str">
        <f>SUBSTITUTE(SUBSTITUTE(Sheet2!$C$49,"–","-"),"—","-")</f>
        <v>Data Risk Analyst</v>
      </c>
      <c r="D66" s="563" t="str">
        <f>Sheet2!$G$49</f>
        <v>Cyber Risk</v>
      </c>
      <c r="E66" s="563" t="str">
        <f>Sheet2!$M$49</f>
        <v>Australia</v>
      </c>
      <c r="F66" s="552" t="str">
        <f>IF(LOWER(Sheet2!$Q$49)="v","Vacant",IF(LOWER(Sheet2!$Q$49)="pause","Paused",IF(LOWER(Sheet2!$Q$49)="cxc","Contractor","Filled")))</f>
        <v>Vacant</v>
      </c>
      <c r="G66" s="569">
        <f>Sheet2!$AA$49</f>
        <v>170489.75</v>
      </c>
      <c r="H66" s="559" t="n"/>
      <c r="I66" s="900" t="n"/>
      <c r="J66" s="555" t="n"/>
      <c r="K66" s="547" t="n"/>
      <c r="L66" s="547" t="n"/>
      <c r="T66" s="568">
        <f>Sheet2!$AA$49/1000000</f>
        <v>0.17048975</v>
      </c>
    </row>
    <row r="67">
      <c r="B67" s="563" t="str">
        <f>Sheet2!$B$50</f>
        <v>Vacant  (AKL )</v>
      </c>
      <c r="C67" s="567" t="str">
        <f>SUBSTITUTE(SUBSTITUTE(Sheet2!$C$50,"–","-"),"—","-")</f>
        <v>Tech Support Technician</v>
      </c>
      <c r="D67" s="563" t="str">
        <f>Sheet2!$G$50</f>
        <v>Service Op &amp; Assurance</v>
      </c>
      <c r="E67" s="563" t="str">
        <f>Sheet2!$M$50</f>
        <v>Australia</v>
      </c>
      <c r="F67" s="552" t="str">
        <f>IF(LOWER(Sheet2!$Q$50)="v","Vacant",IF(LOWER(Sheet2!$Q$50)="pause","Paused",IF(LOWER(Sheet2!$Q$50)="cxc","Contractor","Filled")))</f>
        <v>Vacant</v>
      </c>
      <c r="G67" s="569">
        <f>Sheet2!$AA$50</f>
        <v>122571.75</v>
      </c>
      <c r="H67" s="547" t="n"/>
      <c r="I67" s="547" t="n"/>
      <c r="J67" s="547" t="n"/>
      <c r="K67" s="547" t="n"/>
      <c r="L67" s="547" t="n"/>
      <c r="T67" s="568">
        <f>Sheet2!$AA$50/1000000</f>
        <v>0.12257175</v>
      </c>
    </row>
    <row r="68">
      <c r="B68" s="563" t="str">
        <f>Sheet2!$B$51</f>
        <v>Vacant (SYD)</v>
      </c>
      <c r="C68" s="567" t="str">
        <f>SUBSTITUTE(SUBSTITUTE(Sheet2!$C$51,"–","-"),"—","-")</f>
        <v>Tech Support Technician</v>
      </c>
      <c r="D68" s="563" t="str">
        <f>Sheet2!$G$51</f>
        <v>Service Op &amp; Assurance</v>
      </c>
      <c r="E68" s="563" t="str">
        <f>Sheet2!$M$51</f>
        <v>Australia</v>
      </c>
      <c r="F68" s="552" t="str">
        <f>IF(LOWER(Sheet2!$Q$51)="v","Vacant",IF(LOWER(Sheet2!$Q$51)="pause","Paused",IF(LOWER(Sheet2!$Q$51)="cxc","Contractor","Filled")))</f>
        <v>Vacant</v>
      </c>
      <c r="G68" s="569">
        <f>Sheet2!$AA$51</f>
        <v>122571.75</v>
      </c>
      <c r="H68" s="547" t="n"/>
      <c r="I68" s="547" t="n"/>
      <c r="J68" s="547" t="n"/>
      <c r="K68" s="547" t="n"/>
      <c r="L68" s="547" t="n"/>
      <c r="T68" s="568">
        <f>Sheet2!$AA$51/1000000</f>
        <v>0.12257175</v>
      </c>
    </row>
    <row r="69">
      <c r="B69" s="563" t="str">
        <f>Sheet2!$B$52</f>
        <v>Vanessa Castro</v>
      </c>
      <c r="C69" s="567" t="str">
        <f>SUBSTITUTE(SUBSTITUTE(Sheet2!$C$52,"–","-"),"—","-")</f>
        <v>Cyber GRC Analyst</v>
      </c>
      <c r="D69" s="563" t="str">
        <f>Sheet2!$G$52</f>
        <v>Cyber GRC</v>
      </c>
      <c r="E69" s="563" t="str">
        <f>Sheet2!$M$52</f>
        <v>NZ</v>
      </c>
      <c r="F69" s="552" t="str">
        <f>IF(LOWER(Sheet2!$Q$52)="v","Vacant",IF(LOWER(Sheet2!$Q$52)="pause","Paused",IF(LOWER(Sheet2!$Q$52)="cxc","Contractor","Filled")))</f>
        <v>Filled</v>
      </c>
      <c r="G69" s="547" t="n"/>
      <c r="H69" s="547" t="n"/>
      <c r="I69" s="547" t="n"/>
      <c r="J69" s="547" t="n"/>
      <c r="K69" s="547" t="n"/>
      <c r="L69" s="547" t="n"/>
      <c r="T69" s="568">
        <f>Sheet2!$AA$52/1000000</f>
        <v>0.13183318800000002</v>
      </c>
    </row>
    <row r="70">
      <c r="B70" s="563" t="str">
        <f>Sheet2!$B$53</f>
        <v>Vivienne Vasak</v>
      </c>
      <c r="C70" s="567" t="str">
        <f>SUBSTITUTE(SUBSTITUTE(Sheet2!$C$53,"–","-"),"—","-")</f>
        <v>Portfolio Manager Cyber Security</v>
      </c>
      <c r="D70" s="563" t="str">
        <f>Sheet2!$G$53</f>
        <v>Cyber Strat &amp; Tech</v>
      </c>
      <c r="E70" s="563" t="str">
        <f>Sheet2!$M$53</f>
        <v>Australia</v>
      </c>
      <c r="F70" s="552" t="str">
        <f>IF(LOWER(Sheet2!$Q$53)="v","Vacant",IF(LOWER(Sheet2!$Q$53)="pause","Paused",IF(LOWER(Sheet2!$Q$53)="cxc","Contractor","Filled")))</f>
        <v>Filled</v>
      </c>
      <c r="G70" s="547" t="n"/>
      <c r="H70" s="547" t="n"/>
      <c r="I70" s="547" t="n"/>
      <c r="J70" s="547" t="n"/>
      <c r="K70" s="547" t="n"/>
      <c r="L70" s="547" t="n"/>
      <c r="T70" s="568">
        <f>Sheet2!$AA$53/1000000</f>
        <v>0.31567435</v>
      </c>
    </row>
    <row r="71">
      <c r="B71" s="563" t="inlineStr">
        <is>
          <t>Check - roles listed vs counted (must be 0)</t>
        </is>
      </c>
      <c r="C71" s="600">
        <f>COUNTA(B19:B70)-C8</f>
        <v>0.0</v>
      </c>
      <c r="D71" s="547" t="n"/>
      <c r="E71" s="547" t="n"/>
      <c r="F71" s="547" t="n"/>
      <c r="G71" s="547" t="n"/>
      <c r="H71" s="547" t="n"/>
      <c r="I71" s="547" t="n"/>
      <c r="J71" s="547" t="n"/>
      <c r="K71" s="547" t="n"/>
      <c r="L71" s="547" t="n"/>
    </row>
    <row r="72">
      <c r="B72" s="547" t="n"/>
      <c r="C72" s="547" t="n"/>
      <c r="D72" s="547" t="n"/>
      <c r="E72" s="547" t="n"/>
      <c r="F72" s="547" t="n"/>
      <c r="G72" s="547" t="n"/>
      <c r="H72" s="547" t="n"/>
      <c r="I72" s="547" t="n"/>
      <c r="J72" s="547" t="n"/>
      <c r="K72" s="547" t="n"/>
      <c r="L72" s="547" t="n"/>
    </row>
    <row r="73">
      <c r="B73" s="556" t="inlineStr">
        <is>
          <t>Roles and costs come straight from Sheet2 (updated cyber, risk and operations FTE list).</t>
        </is>
      </c>
      <c r="C73" s="547" t="n"/>
      <c r="D73" s="547" t="n"/>
      <c r="E73" s="547" t="n"/>
      <c r="F73" s="547" t="n"/>
      <c r="G73" s="547" t="n"/>
      <c r="H73" s="547" t="n"/>
      <c r="I73" s="547" t="n"/>
      <c r="J73" s="547" t="n"/>
      <c r="K73" s="547" t="n"/>
      <c r="L73" s="547" t="n"/>
    </row>
    <row r="74">
      <c r="B74" s="547" t="n"/>
      <c r="C74" s="547" t="n"/>
      <c r="D74" s="547" t="n"/>
      <c r="E74" s="547" t="n"/>
      <c r="F74" s="547" t="n"/>
      <c r="G74" s="547" t="n"/>
      <c r="H74" s="547" t="n"/>
      <c r="I74" s="547" t="n"/>
      <c r="J74" s="547" t="n"/>
      <c r="K74" s="547" t="n"/>
      <c r="L74" s="547" t="n"/>
    </row>
    <row r="75">
      <c r="B75" s="547" t="n"/>
      <c r="C75" s="547" t="n"/>
      <c r="D75" s="547" t="n"/>
      <c r="E75" s="547" t="n"/>
      <c r="F75" s="547" t="n"/>
      <c r="G75" s="547" t="n"/>
      <c r="H75" s="547" t="n"/>
      <c r="I75" s="547" t="n"/>
      <c r="J75" s="547" t="n"/>
      <c r="K75" s="547" t="n"/>
      <c r="L75" s="547" t="n"/>
    </row>
    <row r="76">
      <c r="B76" s="547" t="n"/>
      <c r="C76" s="547" t="n"/>
      <c r="D76" s="547" t="n"/>
      <c r="E76" s="547" t="n"/>
      <c r="F76" s="547" t="n"/>
      <c r="G76" s="547" t="n"/>
      <c r="H76" s="547" t="n"/>
      <c r="I76" s="547" t="n"/>
      <c r="J76" s="547" t="n"/>
      <c r="K76" s="547" t="n"/>
      <c r="L76" s="547" t="n"/>
    </row>
    <row r="77">
      <c r="B77" s="547" t="n"/>
      <c r="C77" s="547" t="n"/>
      <c r="D77" s="547" t="n"/>
      <c r="E77" s="547" t="n"/>
      <c r="F77" s="547" t="n"/>
      <c r="G77" s="547" t="n"/>
      <c r="H77" s="547" t="n"/>
      <c r="I77" s="547" t="n"/>
      <c r="J77" s="547" t="n"/>
      <c r="K77" s="547" t="n"/>
      <c r="L77" s="547" t="n"/>
    </row>
    <row r="78">
      <c r="B78" s="547" t="n"/>
      <c r="C78" s="547" t="n"/>
      <c r="D78" s="547" t="n"/>
      <c r="E78" s="547" t="n"/>
      <c r="F78" s="547" t="n"/>
      <c r="G78" s="547" t="n"/>
      <c r="H78" s="547" t="n"/>
      <c r="I78" s="547" t="n"/>
      <c r="J78" s="547" t="n"/>
      <c r="K78" s="547" t="n"/>
      <c r="L78" s="547" t="n"/>
    </row>
    <row r="79">
      <c r="B79" s="547" t="n"/>
      <c r="C79" s="547" t="n"/>
      <c r="D79" s="547" t="n"/>
      <c r="E79" s="547" t="n"/>
      <c r="F79" s="547" t="n"/>
      <c r="G79" s="547" t="n"/>
      <c r="H79" s="547" t="n"/>
      <c r="I79" s="547" t="n"/>
      <c r="J79" s="547" t="n"/>
      <c r="K79" s="547" t="n"/>
      <c r="L79" s="547" t="n"/>
    </row>
    <row r="80">
      <c r="B80" s="547" t="n"/>
      <c r="C80" s="547" t="n"/>
      <c r="D80" s="547" t="n"/>
      <c r="E80" s="547" t="n"/>
      <c r="F80" s="547" t="n"/>
      <c r="G80" s="547" t="n"/>
      <c r="H80" s="547" t="n"/>
      <c r="I80" s="547" t="n"/>
      <c r="J80" s="547" t="n"/>
      <c r="K80" s="547" t="n"/>
      <c r="L80" s="547" t="n"/>
    </row>
  </sheetData>
  <pageMargins left="0.75" right="0.75" top="1" bottom="1" header="0.5" footer="0.5"/>
</worksheet>
</file>

<file path=xl/worksheets/sheet22.xml><?xml version="1.0" encoding="utf-8"?>
<worksheet xmlns="http://schemas.openxmlformats.org/spreadsheetml/2006/main">
  <sheetPr>
    <tabColor rgb="FFBF8F00"/>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02" t="inlineStr">
        <is>
          <t>DECISIONS  &gt;&gt;&gt;</t>
        </is>
      </c>
    </row>
  </sheetData>
  <pageMargins left="0.75" right="0.75" top="1" bottom="1" header="0.5" footer="0.5"/>
</worksheet>
</file>

<file path=xl/worksheets/sheet23.xml><?xml version="1.0" encoding="utf-8"?>
<worksheet xmlns="http://schemas.openxmlformats.org/spreadsheetml/2006/main">
  <sheetPr>
    <tabColor rgb="FFBF8F00"/>
    <outlinePr summaryBelow="1" summaryRight="1"/>
    <pageSetUpPr/>
  </sheetPr>
  <dimension ref="B2:O106"/>
  <sheetViews>
    <sheetView showGridLines="0" zoomScale="80" zoomScaleNormal="80" workbookViewId="0">
      <selection activeCell="A1" sqref="A1"/>
    </sheetView>
  </sheetViews>
  <sheetFormatPr baseColWidth="8" defaultRowHeight="14.5"/>
  <cols>
    <col width="3" customWidth="1" style="849" min="1" max="1"/>
    <col width="44" customWidth="1" style="849" min="2" max="2"/>
    <col width="46" customWidth="1" style="849" min="3" max="3"/>
    <col width="13" bestFit="1" customWidth="1" style="849" min="4" max="4"/>
    <col width="13" customWidth="1" style="849" min="5" max="5"/>
    <col width="14" customWidth="1" style="849" min="6" max="6"/>
    <col width="15" customWidth="1" style="849" min="7" max="7"/>
    <col width="17" customWidth="1" style="849" min="8" max="8"/>
    <col width="15" customWidth="1" style="849" min="9" max="9"/>
    <col width="19.54296875" customWidth="1" style="849" min="10" max="10"/>
    <col width="13" customWidth="1" style="849" min="11" max="12"/>
    <col width="20.54296875" customWidth="1" style="849" min="13" max="13"/>
    <col width="12" customWidth="1" style="849" min="14" max="14"/>
    <col width="11" customWidth="1" style="849" min="15" max="15"/>
  </cols>
  <sheetData>
    <row r="2" ht="21" customHeight="1" s="849">
      <c r="B2" s="423" t="str">
        <f>CONCATENATE('1.1 Ampol Retail'!$B$2," working copy")</f>
        <v>Ampol Retail working copy</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90" t="inlineStr">
        <is>
          <t>Vacancies remaining</t>
        </is>
      </c>
      <c r="I5" s="424" t="inlineStr">
        <is>
          <t>vs archetype</t>
        </is>
      </c>
      <c r="J5" s="424" t="inlineStr">
        <is>
          <t>Flag</t>
        </is>
      </c>
      <c r="K5" s="549" t="inlineStr">
        <is>
          <t>Archetype cost ($m)</t>
        </is>
      </c>
      <c r="L5" s="549" t="inlineStr">
        <is>
          <t>Actual cost ($m)</t>
        </is>
      </c>
      <c r="M5" s="549" t="inlineStr">
        <is>
          <t>Cost after decisions ($m)</t>
        </is>
      </c>
      <c r="N5" s="549" t="inlineStr">
        <is>
          <t>New Variance ($m)</t>
        </is>
      </c>
      <c r="O5" s="549" t="inlineStr">
        <is>
          <t>Archetype size</t>
        </is>
      </c>
    </row>
    <row r="6">
      <c r="B6" s="417" t="inlineStr">
        <is>
          <t>POS</t>
        </is>
      </c>
      <c r="C6" s="567" t="str">
        <f>'3.3 FTE View'!$E$7</f>
        <v>Configuration / Integration</v>
      </c>
      <c r="D6" s="902">
        <f>'3.3 FTE View'!$G$7</f>
        <v>9.0</v>
      </c>
      <c r="E6" s="425">
        <f>COUNTIFS(Squads!$N:$N,"Ampol Retail",Squads!$P:$P,"POS",Squads!$R:$R,"Filled")</f>
        <v>0.0</v>
      </c>
      <c r="F6" s="425">
        <f>COUNTIFS(Squads!$N:$N,"Ampol Retail",Squads!$P:$P,"POS",Squads!$R:$R,"Vacant")</f>
        <v>7.0</v>
      </c>
      <c r="G6" s="425">
        <f>COUNTIF(E24:E30,"Hire")</f>
        <v>1.0</v>
      </c>
      <c r="H6" s="442">
        <f>F6-G6-COUNTIF(E24:E30,"Offshore")</f>
        <v>6.0</v>
      </c>
      <c r="I6" s="902">
        <f>IFERROR(E6+G6-D6,"-")</f>
        <v>-8.0</v>
      </c>
      <c r="J6" s="417" t="str">
        <f>IF(ISNUMBER(D6),IF(E6&gt;D6,"Filled already over archetype",IF(E6+G6&gt;D6,"Over archetype after hire calls","")),"Outside the archetype model - no target set")</f>
        <v/>
      </c>
      <c r="K6" s="551">
        <f>'3.3 FTE View'!$M$7</f>
        <v>2.1</v>
      </c>
      <c r="L6" s="551">
        <f>'3.3 FTE View'!$N$7</f>
        <v>0.40219083499999997</v>
      </c>
      <c r="M6" s="551">
        <f>(SUMIFS('Added data'!$AA:$AA,'Added data'!$AC:$AC,'1.1 Ampol Retail'!$B$2,'Added data'!$AE:$AE,$B6,'Added data'!$AG:$AG,"Filled")+SUMIFS(F24:F30,E24:E30,"Hire")+0.4*SUMIFS(F24:F30,E24:E30,"Offshore"))/1000000</f>
        <v>0.20285325</v>
      </c>
      <c r="N6" s="551">
        <f>M6-K6</f>
        <v>-1.89714675</v>
      </c>
      <c r="O6" s="552" t="str">
        <f>'3.3 FTE View'!$F$7</f>
        <v>M</v>
      </c>
    </row>
    <row r="7">
      <c r="B7" s="417" t="inlineStr">
        <is>
          <t>Payments</t>
        </is>
      </c>
      <c r="C7" s="567" t="str">
        <f>'3.3 FTE View'!$E$8</f>
        <v>Configuration / Integration</v>
      </c>
      <c r="D7" s="902">
        <f>'3.3 FTE View'!$G$8</f>
        <v>6.0</v>
      </c>
      <c r="E7" s="425">
        <f>COUNTIFS(Squads!$N:$N,"Ampol Retail",Squads!$P:$P,"Payments",Squads!$R:$R,"Filled")</f>
        <v>3.0</v>
      </c>
      <c r="F7" s="425">
        <f>COUNTIFS(Squads!$N:$N,"Ampol Retail",Squads!$P:$P,"Payments",Squads!$R:$R,"Vacant")</f>
        <v>1.0</v>
      </c>
      <c r="G7" s="425">
        <f>COUNTIF(E32:E32,"Hire")</f>
        <v>0.0</v>
      </c>
      <c r="H7" s="442">
        <f>F7-G7-COUNTIF(E32:E32,"Offshore")</f>
        <v>1.0</v>
      </c>
      <c r="I7" s="902">
        <f>IFERROR(E7+G7-D7,"-")</f>
        <v>-3.0</v>
      </c>
      <c r="J7" s="417" t="str">
        <f>IF(ISNUMBER(D7),IF(E7&gt;D7,"Filled already over archetype",IF(E7+G7&gt;D7,"Over archetype after hire calls","")),"Outside the archetype model - no target set")</f>
        <v/>
      </c>
      <c r="K7" s="551">
        <f>'3.3 FTE View'!$M$8</f>
        <v>1.4</v>
      </c>
      <c r="L7" s="551">
        <f>'3.3 FTE View'!$N$8</f>
        <v>0.733398635</v>
      </c>
      <c r="M7" s="551">
        <f>(SUMIFS('Added data'!$AA:$AA,'Added data'!$AC:$AC,'1.1 Ampol Retail'!$B$2,'Added data'!$AE:$AE,$B7,'Added data'!$AG:$AG,"Filled")+SUMIFS(F32:F35,E32:E35,"Hire")+0.4*SUMIFS(F32:F35,E32:E35,"Offshore"))/1000000</f>
        <v>0.56289705</v>
      </c>
      <c r="N7" s="551">
        <f>M7-K7</f>
        <v>-0.8371029499999999</v>
      </c>
      <c r="O7" s="552" t="str">
        <f>'3.3 FTE View'!$F$8</f>
        <v>S</v>
      </c>
    </row>
    <row r="8">
      <c r="B8" s="417" t="inlineStr">
        <is>
          <t>Store Operations</t>
        </is>
      </c>
      <c r="C8" s="567" t="str">
        <f>'3.3 FTE View'!$E$9</f>
        <v>Operations</v>
      </c>
      <c r="D8" s="902">
        <f>'3.3 FTE View'!$G$9</f>
        <v>6.0</v>
      </c>
      <c r="E8" s="425">
        <f>COUNTIFS(Squads!$N:$N,"Ampol Retail",Squads!$P:$P,"Store Operations",Squads!$R:$R,"Filled")</f>
        <v>7.0</v>
      </c>
      <c r="F8" s="425">
        <f>COUNTIFS(Squads!$N:$N,"Ampol Retail",Squads!$P:$P,"Store Operations",Squads!$R:$R,"Vacant")</f>
        <v>1.0</v>
      </c>
      <c r="G8" s="425">
        <f>COUNTIF(E43:E43,"Hire")</f>
        <v>0.0</v>
      </c>
      <c r="H8" s="442">
        <f>F8-G8-COUNTIF(E43:E43,"Offshore")</f>
        <v>1.0</v>
      </c>
      <c r="I8" s="902">
        <f>IFERROR(E8+G8-D8,"-")</f>
        <v>1.0</v>
      </c>
      <c r="J8" s="417" t="str">
        <f>IF(ISNUMBER(D8),IF(E8&gt;D8,"Filled already over archetype",IF(E8+G8&gt;D8,"Over archetype after hire calls","")),"Outside the archetype model - no target set")</f>
        <v>Filled already over archetype</v>
      </c>
      <c r="K8" s="551">
        <f>'3.3 FTE View'!$M$9</f>
        <v>1.4</v>
      </c>
      <c r="L8" s="551">
        <f>'3.3 FTE View'!$N$9</f>
        <v>0.16403310000000002</v>
      </c>
      <c r="M8" s="551">
        <f>(SUMIFS('Added data'!$AA:$AA,'Added data'!$AC:$AC,'1.1 Ampol Retail'!$B$2,'Added data'!$AE:$AE,$B8,'Added data'!$AG:$AG,"Filled")+SUMIFS(F37:F44,E37:E44,"Hire")+0.4*SUMIFS(F37:F44,E37:E44,"Offshore"))/1000000</f>
        <v>0.16403310000000002</v>
      </c>
      <c r="N8" s="551">
        <f>M8-K8</f>
        <v>-1.2359669</v>
      </c>
      <c r="O8" s="552" t="str">
        <f>'3.3 FTE View'!$F$9</f>
        <v>M</v>
      </c>
    </row>
    <row r="9">
      <c r="B9" s="417" t="inlineStr">
        <is>
          <t>Deployment</t>
        </is>
      </c>
      <c r="C9" s="567" t="str">
        <f>'3.3 FTE View'!$E$10</f>
        <v>Operations</v>
      </c>
      <c r="D9" s="902">
        <f>'3.3 FTE View'!$G$10</f>
        <v>4.0</v>
      </c>
      <c r="E9" s="425">
        <f>COUNTIFS(Squads!$N:$N,"Ampol Retail",Squads!$P:$P,"Deployment",Squads!$R:$R,"Filled")</f>
        <v>5.0</v>
      </c>
      <c r="F9" s="425">
        <f>COUNTIFS(Squads!$N:$N,"Ampol Retail",Squads!$P:$P,"Deployment",Squads!$R:$R,"Vacant")</f>
        <v>0.0</v>
      </c>
      <c r="G9" s="603">
        <f>COUNTIF(E46:E50,"Hire")</f>
        <v>0.0</v>
      </c>
      <c r="H9" s="442">
        <f>F9-G9-COUNTIF(E46:E50,"Offshore")</f>
        <v>0.0</v>
      </c>
      <c r="I9" s="902">
        <f>IFERROR(E9+G9-D9,"-")</f>
        <v>1.0</v>
      </c>
      <c r="J9" s="417" t="str">
        <f>IF(ISNUMBER(D9),IF(E9&gt;D9,"Filled already over archetype",IF(E9+G9&gt;D9,"Over archetype after hire calls","")),"Outside the archetype model - no target set")</f>
        <v>Filled already over archetype</v>
      </c>
      <c r="K9" s="551">
        <f>'3.3 FTE View'!$M$10</f>
        <v>0.8</v>
      </c>
      <c r="L9" s="551">
        <f>'3.3 FTE View'!$N$10</f>
        <v>1.0045362</v>
      </c>
      <c r="M9" s="551">
        <f>(SUMIFS('Added data'!$AA:$AA,'Added data'!$AC:$AC,'1.1 Ampol Retail'!$B$2,'Added data'!$AE:$AE,$B9,'Added data'!$AG:$AG,"Filled")+SUMIFS(F46:F50,E46:E50,"Hire")+0.4*SUMIFS(F46:F50,E46:E50,"Offshore"))/1000000</f>
        <v>1.0045362</v>
      </c>
      <c r="N9" s="551">
        <f>M9-K9</f>
        <v>0.20453619999999995</v>
      </c>
      <c r="O9" s="552" t="str">
        <f>'3.3 FTE View'!$F$10</f>
        <v>S</v>
      </c>
    </row>
    <row r="10">
      <c r="B10" s="417" t="inlineStr">
        <is>
          <t>Above Store</t>
        </is>
      </c>
      <c r="C10" s="567" t="str">
        <f>'3.3 FTE View'!$E$12</f>
        <v>Configuration / Integration</v>
      </c>
      <c r="D10" s="902">
        <f>'3.3 FTE View'!$G$12</f>
        <v>9.0</v>
      </c>
      <c r="E10" s="425">
        <f>COUNTIFS(Squads!$N:$N,"Ampol Retail",Squads!$P:$P,"Above Store",Squads!$R:$R,"Filled")</f>
        <v>11.0</v>
      </c>
      <c r="F10" s="425">
        <f>COUNTIFS(Squads!$N:$N,"Ampol Retail",Squads!$P:$P,"Above Store",Squads!$R:$R,"Vacant")</f>
        <v>11.0</v>
      </c>
      <c r="G10" s="425">
        <f>COUNTIF(E54:E73,"Hire")</f>
        <v>0.0</v>
      </c>
      <c r="H10" s="442">
        <f>F10-G10-COUNTIF(E54:E73,"Offshore")</f>
        <v>11.0</v>
      </c>
      <c r="I10" s="902">
        <f>IFERROR(E10+G10-D10,"-")</f>
        <v>2.0</v>
      </c>
      <c r="J10" s="417" t="str">
        <f>IF(ISNUMBER(D10),IF(E10&gt;D10,"Filled already over archetype",IF(E10+G10&gt;D10,"Over archetype after hire calls","")),"Outside the archetype model - no target set")</f>
        <v>Filled already over archetype</v>
      </c>
      <c r="K10" s="551">
        <f>'3.3 FTE View'!$M$12</f>
        <v>2.1</v>
      </c>
      <c r="L10" s="551">
        <f>'3.3 FTE View'!$N$12</f>
        <v>2.50854367</v>
      </c>
      <c r="M10" s="551">
        <f>(SUMIFS('Added data'!$AA:$AA,'Added data'!$AC:$AC,'1.1 Ampol Retail'!$B$2,'Added data'!$AE:$AE,$B10,'Added data'!$AG:$AG,"Filled")+SUMIFS(F52:F73,E52:E73,"Hire")+0.4*SUMIFS(F52:F73,E52:E73,"Offshore"))/1000000</f>
        <v>1.3920184999999998</v>
      </c>
      <c r="N10" s="551">
        <f>M10-K10</f>
        <v>-0.7079815000000003</v>
      </c>
      <c r="O10" s="552" t="str">
        <f>'3.3 FTE View'!$F$12</f>
        <v>M</v>
      </c>
    </row>
    <row r="11">
      <c r="B11" s="417" t="inlineStr">
        <is>
          <t>AmPOS</t>
        </is>
      </c>
      <c r="C11" s="567" t="str">
        <f>'3.3 FTE View'!$E$14</f>
        <v>Strategic Programs</v>
      </c>
      <c r="D11" s="902" t="str">
        <f>'3.3 FTE View'!$G$14</f>
        <v>-</v>
      </c>
      <c r="E11" s="425">
        <f>COUNTIFS(Squads!$N:$N,"Ampol Retail",Squads!$P:$P,"AmPOS",Squads!$R:$R,"Filled")</f>
        <v>10.0</v>
      </c>
      <c r="F11" s="425">
        <f>COUNTIFS(Squads!$N:$N,"Ampol Retail",Squads!$P:$P,"AmPOS",Squads!$R:$R,"Vacant")</f>
        <v>0.0</v>
      </c>
      <c r="G11" s="603">
        <f>COUNTIF(E75:E84,"Hire")</f>
        <v>0.0</v>
      </c>
      <c r="H11" s="442">
        <f>F11-G11-COUNTIF(E75:E84,"Offshore")</f>
        <v>0.0</v>
      </c>
      <c r="I11" s="902" t="str">
        <f>IFERROR(E11+G11-D11,"-")</f>
        <v>-</v>
      </c>
      <c r="J11" s="417" t="str">
        <f>IF(ISNUMBER(D11),IF(E11&gt;D11,"Filled already over archetype",IF(E11+G11&gt;D11,"Over archetype after hire calls","")),"Outside the archetype model - no target set")</f>
        <v>Outside the archetype model - no target set</v>
      </c>
      <c r="K11" s="551">
        <f>'3.3 FTE View'!$M$14</f>
        <v>1.404089</v>
      </c>
      <c r="L11" s="551">
        <f>'3.3 FTE View'!$N$14</f>
        <v>2.66093203</v>
      </c>
      <c r="M11" s="551">
        <f>(SUMIFS('Added data'!$AA:$AA,'Added data'!$AC:$AC,'1.1 Ampol Retail'!$B$2,'Added data'!$AE:$AE,$B11,'Added data'!$AG:$AG,"Filled")+SUMIFS(F75:F84,E75:E84,"Hire")+0.4*SUMIFS(F75:F84,E75:E84,"Offshore"))/1000000</f>
        <v>1.9466095300000004</v>
      </c>
      <c r="N11" s="551">
        <f>M11-K11</f>
        <v>0.5425205300000004</v>
      </c>
      <c r="O11" s="552">
        <f>'3.3 FTE View'!$F$14</f>
        <v>0.0</v>
      </c>
    </row>
    <row r="12">
      <c r="B12" s="417" t="inlineStr">
        <is>
          <t>Network / QSR</t>
        </is>
      </c>
      <c r="C12" s="567" t="str">
        <f>'3.3 FTE View'!$E$16</f>
        <v>Configuration / Integration</v>
      </c>
      <c r="D12" s="902">
        <f>'3.3 FTE View'!$G$16</f>
        <v>6.0</v>
      </c>
      <c r="E12" s="425">
        <f>COUNTIFS(Squads!$N:$N,"Ampol Retail",Squads!$P:$P,"Network / QSR",Squads!$R:$R,"Filled")</f>
        <v>5.0</v>
      </c>
      <c r="F12" s="425">
        <f>COUNTIFS(Squads!$N:$N,"Ampol Retail",Squads!$P:$P,"Network / QSR",Squads!$R:$R,"Vacant")</f>
        <v>3.0</v>
      </c>
      <c r="G12" s="425">
        <f>COUNTIF(E86:E93,"Hire")</f>
        <v>0.0</v>
      </c>
      <c r="H12" s="442">
        <f>F12-G12-COUNTIF(E86:E93,"Offshore")</f>
        <v>3.0</v>
      </c>
      <c r="I12" s="902">
        <f>IFERROR(E12+G12-D12,"-")</f>
        <v>-1.0</v>
      </c>
      <c r="J12" s="417" t="str">
        <f>IF(ISNUMBER(D12),IF(E12&gt;D12,"Filled already over archetype",IF(E12+G12&gt;D12,"Over archetype after hire calls","")),"Outside the archetype model - no target set")</f>
        <v/>
      </c>
      <c r="K12" s="551">
        <f>'3.3 FTE View'!$M$16</f>
        <v>1.4</v>
      </c>
      <c r="L12" s="551">
        <f>'3.3 FTE View'!$N$16</f>
        <v>1.1131819849999998</v>
      </c>
      <c r="M12" s="551">
        <f>(SUMIFS('Added data'!$AA:$AA,'Added data'!$AC:$AC,'1.1 Ampol Retail'!$B$2,'Added data'!$AE:$AE,$B12,'Added data'!$AG:$AG,"Filled")+SUMIFS(F86:F93,E86:E93,"Hire")+0.4*SUMIFS(F86:F93,E86:E93,"Offshore"))/1000000</f>
        <v>0.7398271499999999</v>
      </c>
      <c r="N12" s="551">
        <f>M12-K12</f>
        <v>-0.66017285</v>
      </c>
      <c r="O12" s="552" t="str">
        <f>'3.3 FTE View'!$F$16</f>
        <v>S</v>
      </c>
    </row>
    <row r="13">
      <c r="B13" s="417" t="inlineStr">
        <is>
          <t>Data AU</t>
        </is>
      </c>
      <c r="C13" s="567" t="str">
        <f>'3.3 FTE View'!$E$18</f>
        <v>Enterprise Data and Insights</v>
      </c>
      <c r="D13" s="902">
        <f>'3.3 FTE View'!$G$18</f>
        <v>7.5</v>
      </c>
      <c r="E13" s="425">
        <f>COUNTIFS(Squads!$N:$N,"Ampol Retail",Squads!$P:$P,"Data AU",Squads!$R:$R,"Filled")</f>
        <v>0.0</v>
      </c>
      <c r="F13" s="425">
        <f>COUNTIFS(Squads!$N:$N,"Ampol Retail",Squads!$P:$P,"Data AU",Squads!$R:$R,"Vacant")</f>
        <v>5.0</v>
      </c>
      <c r="G13" s="425">
        <f>COUNTIF(E95:E99,"Hire")</f>
        <v>3.0</v>
      </c>
      <c r="H13" s="442">
        <f>F13-G13-COUNTIF(E95:E99,"Offshore")</f>
        <v>2.0</v>
      </c>
      <c r="I13" s="902">
        <f>IFERROR(E13+G13-D13,"-")</f>
        <v>-4.5</v>
      </c>
      <c r="J13" s="417" t="str">
        <f>IF(ISNUMBER(D13),IF(E13&gt;D13,"Filled already over archetype",IF(E13+G13&gt;D13,"Over archetype after hire calls","")),"Outside the archetype model - no target set")</f>
        <v/>
      </c>
      <c r="K13" s="551">
        <f>'3.3 FTE View'!$M$18</f>
        <v>0.68</v>
      </c>
      <c r="L13" s="551">
        <f>'3.3 FTE View'!$N$18</f>
        <v>1.243419</v>
      </c>
      <c r="M13" s="551">
        <f>(SUMIFS('Added data'!$AA:$AA,'Added data'!$AC:$AC,'1.1 Ampol Retail'!$B$2,'Added data'!$AE:$AE,$B13,'Added data'!$AG:$AG,"Filled")+SUMIFS(F95:F99,E95:E99,"Hire")+0.4*SUMIFS(F95:F99,E95:E99,"Offshore"))/1000000</f>
        <v>0.5394263340519481</v>
      </c>
      <c r="N13" s="551">
        <f>M13-K13</f>
        <v>-0.14057366594805198</v>
      </c>
      <c r="O13" s="552" t="str">
        <f>'3.3 FTE View'!$F$18</f>
        <v>M</v>
      </c>
    </row>
    <row r="14">
      <c r="B14" s="417" t="inlineStr">
        <is>
          <t>EGI Retail</t>
        </is>
      </c>
      <c r="C14" s="567" t="str">
        <f>'3.3 FTE View'!$E$20</f>
        <v>Strategic Programs</v>
      </c>
      <c r="D14" s="902" t="str">
        <f>'3.3 FTE View'!$G$20</f>
        <v>-</v>
      </c>
      <c r="E14" s="425">
        <f>COUNTIFS(Squads!$N:$N,"Ampol Retail",Squads!$P:$P,"EGI Retail",Squads!$R:$R,"Filled")</f>
        <v>6.0</v>
      </c>
      <c r="F14" s="425">
        <f>COUNTIFS(Squads!$N:$N,"Ampol Retail",Squads!$P:$P,"EGI Retail",Squads!$R:$R,"Vacant")</f>
        <v>0.0</v>
      </c>
      <c r="G14" s="603">
        <f>COUNTIF(E101:E106,"Hire")</f>
        <v>0.0</v>
      </c>
      <c r="H14" s="442">
        <f>F14-G14-COUNTIF(E101:E106,"Offshore")</f>
        <v>0.0</v>
      </c>
      <c r="I14" s="902" t="str">
        <f>IFERROR(E14+G14-D14,"-")</f>
        <v>-</v>
      </c>
      <c r="J14" s="417" t="str">
        <f>IF(ISNUMBER(D14),IF(E14&gt;D14,"Filled already over archetype",IF(E14+G14&gt;D14,"Over archetype after hire calls","")),"Outside the archetype model - no target set")</f>
        <v>Outside the archetype model - no target set</v>
      </c>
      <c r="K14" s="551">
        <f>'3.3 FTE View'!$M$20</f>
        <v>1.52</v>
      </c>
      <c r="L14" s="551">
        <f>'3.3 FTE View'!$N$20</f>
        <v>0.9696638999999999</v>
      </c>
      <c r="M14" s="551">
        <f>(SUMIFS('Added data'!$AA:$AA,'Added data'!$AC:$AC,'1.1 Ampol Retail'!$B$2,'Added data'!$AE:$AE,$B14,'Added data'!$AG:$AG,"Filled")+SUMIFS(F101:F106,E101:E106,"Hire")+0.4*SUMIFS(F101:F106,E101:E106,"Offshore"))/1000000</f>
        <v>0.9696638999999999</v>
      </c>
      <c r="N14" s="551">
        <f>M14-K14</f>
        <v>-0.5503361000000001</v>
      </c>
      <c r="O14" s="552">
        <f>'3.3 FTE View'!$F$20</f>
        <v>0.0</v>
      </c>
    </row>
    <row r="15">
      <c r="B15" s="419" t="inlineStr">
        <is>
          <t>Total</t>
        </is>
      </c>
      <c r="D15" s="903">
        <f>SUM(D6:D14)</f>
        <v>47.5</v>
      </c>
      <c r="E15" s="431">
        <f>SUM(E6:E14)</f>
        <v>47.0</v>
      </c>
      <c r="F15" s="431">
        <f>SUM(F6:F14)</f>
        <v>28.0</v>
      </c>
      <c r="G15" s="431">
        <f>SUM(G6:G14)</f>
        <v>4.0</v>
      </c>
      <c r="H15" s="431">
        <f>SUM(H6:H14)</f>
        <v>24.0</v>
      </c>
      <c r="I15" s="903">
        <f>IF(COUNT(I6:I14)=0,"-",SUM(I6:I14))</f>
        <v>-12.5</v>
      </c>
      <c r="K15" s="553">
        <f>SUM(K6:K14)</f>
        <v>12.804089000000001</v>
      </c>
      <c r="L15" s="553">
        <f>SUM(L6:L14)</f>
        <v>10.799899355</v>
      </c>
      <c r="M15" s="553">
        <f>SUM(M6:M14)</f>
        <v>7.521865014051948</v>
      </c>
      <c r="N15" s="553">
        <f>SUM(N6:N14)</f>
        <v>-5.282223985948051</v>
      </c>
      <c r="O15" s="604" t="str">
        <f>"-"</f>
        <v>-</v>
      </c>
    </row>
    <row r="16">
      <c r="B16" s="471" t="inlineStr">
        <is>
          <t>Cost to hire all vacancies ($m)</t>
        </is>
      </c>
      <c r="C16" s="474">
        <f>SUM(F23:F106)/1000000</f>
        <v>5.39487578423134</v>
      </c>
    </row>
    <row r="17">
      <c r="B17" s="471" t="inlineStr">
        <is>
          <t>Cost of roles marked Hire ($m)</t>
        </is>
      </c>
      <c r="C17" s="474">
        <f>SUMIF(E23:E106,"Hire",F23:F106)/1000000</f>
        <v>0.7422795840519482</v>
      </c>
    </row>
    <row r="18">
      <c r="B18" s="417" t="inlineStr">
        <is>
          <t>Vacant roles are priced at standard title rates - indicative until an offer is made.</t>
        </is>
      </c>
    </row>
    <row r="19">
      <c r="B19" s="417" t="inlineStr">
        <is>
          <t>Leadership roles are funded via the portfolio overheads and sit on 3.3 FTE View, not here.</t>
        </is>
      </c>
    </row>
    <row r="20">
      <c r="B20" s="570" t="inlineStr">
        <is>
          <t>vs archetype: positive = over the allowance, negative = under.</t>
        </is>
      </c>
    </row>
    <row r="21">
      <c r="B21" s="605" t="str">
        <f>CONCATENATE('1.1 Ampol Retail'!$B$2," FTE")</f>
        <v>Ampol Retail FTE</v>
      </c>
      <c r="C21" s="606" t="n"/>
      <c r="D21" s="606" t="n"/>
      <c r="E21" s="606" t="n"/>
      <c r="F21" s="606" t="n"/>
      <c r="G21" s="607" t="n"/>
      <c r="H21" s="607" t="n"/>
      <c r="I21" s="607" t="n"/>
      <c r="J21" s="607" t="n"/>
    </row>
    <row r="22">
      <c r="B22" s="424" t="inlineStr">
        <is>
          <t>Name</t>
        </is>
      </c>
      <c r="C22" s="424" t="inlineStr">
        <is>
          <t>Role</t>
        </is>
      </c>
      <c r="D22" s="424" t="inlineStr">
        <is>
          <t>Status</t>
        </is>
      </c>
      <c r="E22" s="490" t="inlineStr">
        <is>
          <t>Vacancy lever</t>
        </is>
      </c>
      <c r="F22" s="424" t="inlineStr">
        <is>
          <t>Cost if hired ($)</t>
        </is>
      </c>
    </row>
    <row r="23">
      <c r="B23" s="448" t="inlineStr">
        <is>
          <t>POS</t>
        </is>
      </c>
      <c r="C23" s="449" t="n"/>
      <c r="D23" s="449" t="n"/>
      <c r="E23" s="449" t="n"/>
    </row>
    <row r="24">
      <c r="B24" s="417" t="str">
        <f>Squads!$B$60</f>
        <v>Vacant</v>
      </c>
      <c r="C24" s="417" t="str">
        <f>SUBSTITUTE(SUBSTITUTE(Squads!$C$60,"–","-"),"—","-")</f>
        <v>Release &amp; Environments Manager</v>
      </c>
      <c r="D24" s="425" t="str">
        <f>Squads!$R$60</f>
        <v>Vacant</v>
      </c>
      <c r="E24" s="481" t="inlineStr">
        <is>
          <t>Hold</t>
        </is>
      </c>
      <c r="F24" s="904">
        <f>SUMIF('Added data'!$C$2:$C$549,Squads!$C$60,'Added data'!$AA$2:$AA$549)/COUNTIF('Added data'!$C$2:$C$549,Squads!$C$60)</f>
        <v>202853.25</v>
      </c>
    </row>
    <row r="25">
      <c r="B25" s="417" t="str">
        <f>Squads!$B$61</f>
        <v>Vacant</v>
      </c>
      <c r="C25" s="417" t="str">
        <f>SUBSTITUTE(SUBSTITUTE(Squads!$C$61,"–","-"),"—","-")</f>
        <v>Lead Quality Assurance</v>
      </c>
      <c r="D25" s="425" t="str">
        <f>Squads!$R$61</f>
        <v>Vacant</v>
      </c>
      <c r="E25" s="481" t="inlineStr">
        <is>
          <t>Hold</t>
        </is>
      </c>
      <c r="F25" s="904">
        <f>SUMIF('Added data'!$C$2:$C$549,Squads!$C$61,'Added data'!$AA$2:$AA$549)/COUNTIF('Added data'!$C$2:$C$549,Squads!$C$61)</f>
        <v>206951.05542857148</v>
      </c>
    </row>
    <row r="26">
      <c r="B26" s="417" t="str">
        <f>Squads!$B$63</f>
        <v>Vacant</v>
      </c>
      <c r="C26" s="417" t="str">
        <f>SUBSTITUTE(SUBSTITUTE(Squads!$C$63,"–","-"),"—","-")</f>
        <v>Systems Analyst</v>
      </c>
      <c r="D26" s="425" t="str">
        <f>Squads!$R$63</f>
        <v>Vacant</v>
      </c>
      <c r="E26" s="481" t="inlineStr">
        <is>
          <t>Hold</t>
        </is>
      </c>
      <c r="F26" s="904">
        <f>SUMIF('Added data'!$C$2:$C$549,Squads!$C$63,'Added data'!$AA$2:$AA$549)/COUNTIF('Added data'!$C$2:$C$549,Squads!$C$63)</f>
        <v>193260.22177777777</v>
      </c>
    </row>
    <row r="27">
      <c r="B27" s="417" t="str">
        <f>Squads!$B$83</f>
        <v>Vacant</v>
      </c>
      <c r="C27" s="417" t="str">
        <f>SUBSTITUTE(SUBSTITUTE(Squads!$C$83,"–","-"),"—","-")</f>
        <v>Quality Assurance</v>
      </c>
      <c r="D27" s="425" t="str">
        <f>Squads!$R$83</f>
        <v>Vacant</v>
      </c>
      <c r="E27" s="481" t="inlineStr">
        <is>
          <t>Hold</t>
        </is>
      </c>
      <c r="F27" s="904">
        <f>SUMIF('Added data'!$C$2:$C$549,Squads!$C$83,'Added data'!$AA$2:$AA$549)/COUNTIF('Added data'!$C$2:$C$549,Squads!$C$83)</f>
        <v>169798.89904347828</v>
      </c>
    </row>
    <row r="28">
      <c r="B28" s="417" t="str">
        <f>Squads!$B$88</f>
        <v>Vacant</v>
      </c>
      <c r="C28" s="417" t="str">
        <f>SUBSTITUTE(SUBSTITUTE(Squads!$C$88,"–","-"),"—","-")</f>
        <v>Quality Assurance</v>
      </c>
      <c r="D28" s="425" t="str">
        <f>Squads!$R$88</f>
        <v>Vacant</v>
      </c>
      <c r="E28" s="481" t="inlineStr">
        <is>
          <t>Hold</t>
        </is>
      </c>
      <c r="F28" s="904">
        <f>SUMIF('Added data'!$C$2:$C$549,Squads!$C$88,'Added data'!$AA$2:$AA$549)/COUNTIF('Added data'!$C$2:$C$549,Squads!$C$88)</f>
        <v>169798.89904347828</v>
      </c>
    </row>
    <row r="29">
      <c r="B29" s="417" t="str">
        <f>Squads!$B$89</f>
        <v>Vacant</v>
      </c>
      <c r="C29" s="417" t="str">
        <f>SUBSTITUTE(SUBSTITUTE(Squads!$C$89,"–","-"),"—","-")</f>
        <v>Quality Assurance</v>
      </c>
      <c r="D29" s="425" t="str">
        <f>Squads!$R$89</f>
        <v>Vacant</v>
      </c>
      <c r="E29" s="481" t="inlineStr">
        <is>
          <t>Hold</t>
        </is>
      </c>
      <c r="F29" s="904">
        <f>SUMIF('Added data'!$C$2:$C$549,Squads!$C$89,'Added data'!$AA$2:$AA$549)/COUNTIF('Added data'!$C$2:$C$549,Squads!$C$89)</f>
        <v>169798.89904347828</v>
      </c>
    </row>
    <row r="30">
      <c r="B30" s="417" t="str">
        <f>Squads!$B$93</f>
        <v>Vacant</v>
      </c>
      <c r="C30" s="417" t="str">
        <f>SUBSTITUTE(SUBSTITUTE(Squads!$C$93,"–","-"),"—","-")</f>
        <v>Engineer Integration</v>
      </c>
      <c r="D30" s="425" t="str">
        <f>Squads!$R$93</f>
        <v>Vacant</v>
      </c>
      <c r="E30" s="481" t="inlineStr">
        <is>
          <t>Hire</t>
        </is>
      </c>
      <c r="F30" s="904">
        <f>SUMIF('Added data'!$C$2:$C$549,Squads!$C$93,'Added data'!$AA$2:$AA$549)/COUNTIF('Added data'!$C$2:$C$549,Squads!$C$93)</f>
        <v>202853.25</v>
      </c>
    </row>
    <row r="31">
      <c r="B31" s="448" t="inlineStr">
        <is>
          <t>Payments</t>
        </is>
      </c>
      <c r="C31" s="449" t="n"/>
      <c r="D31" s="449" t="n"/>
      <c r="E31" s="449" t="n"/>
    </row>
    <row r="32">
      <c r="B32" s="417" t="str">
        <f>Squads!$B$58</f>
        <v>Vacant</v>
      </c>
      <c r="C32" s="417" t="str">
        <f>SUBSTITUTE(SUBSTITUTE(Squads!$C$58,"–","-"),"—","-")</f>
        <v>Systems Analyst</v>
      </c>
      <c r="D32" s="425" t="str">
        <f>Squads!$R$58</f>
        <v>Vacant</v>
      </c>
      <c r="E32" s="481" t="inlineStr">
        <is>
          <t>Hold</t>
        </is>
      </c>
      <c r="F32" s="904">
        <f>SUMIF('Added data'!$C$2:$C$549,Squads!$C$58,'Added data'!$AA$2:$AA$549)/COUNTIF('Added data'!$C$2:$C$549,Squads!$C$58)</f>
        <v>193260.22177777777</v>
      </c>
    </row>
    <row r="33">
      <c r="B33" s="417" t="str">
        <f>Squads!$B$69</f>
        <v>Beenu Murali</v>
      </c>
      <c r="C33" s="417" t="str">
        <f>SUBSTITUTE(SUBSTITUTE(Squads!$C$69,"–","-"),"—","-")</f>
        <v>Quality Assurance</v>
      </c>
      <c r="D33" s="425" t="str">
        <f>Squads!$R$69</f>
        <v>Filled</v>
      </c>
    </row>
    <row r="34">
      <c r="B34" s="417" t="str">
        <f>Squads!$B$95</f>
        <v>Sayan Kar</v>
      </c>
      <c r="C34" s="417" t="str">
        <f>SUBSTITUTE(SUBSTITUTE(Squads!$C$95,"–","-"),"—","-")</f>
        <v>Systems Analyst</v>
      </c>
      <c r="D34" s="425" t="str">
        <f>Squads!$R$95</f>
        <v>Filled</v>
      </c>
    </row>
    <row r="35">
      <c r="B35" s="417" t="str">
        <f>Squads!$B$108</f>
        <v>Venkat Kedharanathan</v>
      </c>
      <c r="C35" s="417" t="str">
        <f>SUBSTITUTE(SUBSTITUTE(Squads!$C$108,"–","-"),"—","-")</f>
        <v>Senior Business Analyst</v>
      </c>
      <c r="D35" s="425" t="str">
        <f>Squads!$R$108</f>
        <v>Filled</v>
      </c>
    </row>
    <row r="36">
      <c r="B36" s="448" t="inlineStr">
        <is>
          <t>Store Operations</t>
        </is>
      </c>
      <c r="C36" s="449" t="n"/>
      <c r="D36" s="449" t="n"/>
      <c r="E36" s="449" t="n"/>
    </row>
    <row r="37">
      <c r="B37" s="417" t="str">
        <f>Squads!$B$9</f>
        <v>Gerald Aguas</v>
      </c>
      <c r="C37" s="417" t="str">
        <f>SUBSTITUTE(SUBSTITUTE(Squads!$C$9,"–","-"),"—","-")</f>
        <v>Field Systems Operations Lead - NSW</v>
      </c>
      <c r="D37" s="425" t="str">
        <f>Squads!$R$9</f>
        <v>Filled</v>
      </c>
    </row>
    <row r="38">
      <c r="B38" s="417" t="str">
        <f>Squads!$B$10</f>
        <v>Tuan Edwards</v>
      </c>
      <c r="C38" s="417" t="str">
        <f>SUBSTITUTE(SUBSTITUTE(Squads!$C$10,"–","-"),"—","-")</f>
        <v>Field Systems Operations Lead - QLD</v>
      </c>
      <c r="D38" s="425" t="str">
        <f>Squads!$R$10</f>
        <v>Filled</v>
      </c>
    </row>
    <row r="39">
      <c r="B39" s="417" t="str">
        <f>Squads!$B$11</f>
        <v>Geoff Goddard</v>
      </c>
      <c r="C39" s="417" t="str">
        <f>SUBSTITUTE(SUBSTITUTE(Squads!$C$11,"–","-"),"—","-")</f>
        <v>Field Systems Operations Lead - VIC</v>
      </c>
      <c r="D39" s="425" t="str">
        <f>Squads!$R$11</f>
        <v>Filled</v>
      </c>
    </row>
    <row r="40">
      <c r="B40" s="417" t="str">
        <f>Squads!$B$12</f>
        <v>Patrick Ericson Nario</v>
      </c>
      <c r="C40" s="417" t="str">
        <f>SUBSTITUTE(SUBSTITUTE(Squads!$C$12,"–","-"),"—","-")</f>
        <v>Support Analyst - Field Operations</v>
      </c>
      <c r="D40" s="425" t="str">
        <f>Squads!$R$12</f>
        <v>Filled</v>
      </c>
    </row>
    <row r="41">
      <c r="B41" s="417" t="str">
        <f>Squads!$B$13</f>
        <v>Andrew Whitford</v>
      </c>
      <c r="C41" s="417" t="str">
        <f>SUBSTITUTE(SUBSTITUTE(Squads!$C$13,"–","-"),"—","-")</f>
        <v>Field Systems Operations Lead - WA</v>
      </c>
      <c r="D41" s="425" t="str">
        <f>Squads!$R$13</f>
        <v>Filled</v>
      </c>
    </row>
    <row r="42">
      <c r="B42" s="417" t="str">
        <f>Squads!$B$40</f>
        <v>Ephraim Adan</v>
      </c>
      <c r="C42" s="417" t="str">
        <f>SUBSTITUTE(SUBSTITUTE(Squads!$C$40,"–","-"),"—","-")</f>
        <v>Manager - AU Retail Operations</v>
      </c>
      <c r="D42" s="425" t="str">
        <f>Squads!$R$40</f>
        <v>Filled</v>
      </c>
    </row>
    <row r="43">
      <c r="B43" s="417" t="str">
        <f>Squads!$B$70</f>
        <v>Vacant</v>
      </c>
      <c r="C43" s="417" t="str">
        <f>SUBSTITUTE(SUBSTITUTE(Squads!$C$70,"–","-"),"—","-")</f>
        <v>Support Analyst -Retail</v>
      </c>
      <c r="D43" s="425" t="str">
        <f>Squads!$R$70</f>
        <v>Vacant</v>
      </c>
      <c r="E43" s="481" t="inlineStr">
        <is>
          <t>Hold</t>
        </is>
      </c>
      <c r="F43" s="904">
        <f>SUMIF('Added data'!$C$2:$C$549,Squads!$C$70,'Added data'!$AA$2:$AA$549)/COUNTIF('Added data'!$C$2:$C$549,Squads!$C$70)</f>
        <v>224493.6</v>
      </c>
    </row>
    <row r="44">
      <c r="B44" s="417" t="str">
        <f>Squads!$B$94</f>
        <v>Karthikeyan Kuppan</v>
      </c>
      <c r="C44" s="417" t="str">
        <f>SUBSTITUTE(SUBSTITUTE(Squads!$C$94,"–","-"),"—","-")</f>
        <v>Lead - AU Retail Operations</v>
      </c>
      <c r="D44" s="425" t="str">
        <f>Squads!$R$94</f>
        <v>Filled</v>
      </c>
    </row>
    <row r="45">
      <c r="B45" s="448" t="inlineStr">
        <is>
          <t>Deployment</t>
        </is>
      </c>
      <c r="C45" s="449" t="n"/>
      <c r="D45" s="449" t="n"/>
      <c r="E45" s="449" t="n"/>
    </row>
    <row r="46">
      <c r="B46" s="417" t="str">
        <f>Squads!$B$18</f>
        <v>Aniket Banerji</v>
      </c>
      <c r="C46" s="417" t="str">
        <f>SUBSTITUTE(SUBSTITUTE(Squads!$C$18,"–","-"),"—","-")</f>
        <v>Deployment Lead</v>
      </c>
      <c r="D46" s="425" t="str">
        <f>Squads!$R$18</f>
        <v>Filled</v>
      </c>
    </row>
    <row r="47">
      <c r="B47" s="417" t="str">
        <f>Squads!$B$19</f>
        <v>Deepak Kubendran</v>
      </c>
      <c r="C47" s="417" t="str">
        <f>SUBSTITUTE(SUBSTITUTE(Squads!$C$19,"–","-"),"—","-")</f>
        <v>Project Manager - Deployments</v>
      </c>
      <c r="D47" s="425" t="str">
        <f>Squads!$R$19</f>
        <v>Filled</v>
      </c>
    </row>
    <row r="48">
      <c r="B48" s="417" t="str">
        <f>Squads!$B$41</f>
        <v>Matthew Patane</v>
      </c>
      <c r="C48" s="417" t="str">
        <f>SUBSTITUTE(SUBSTITUTE(Squads!$C$41,"–","-"),"—","-")</f>
        <v>Release &amp; Deployment Manager</v>
      </c>
      <c r="D48" s="425" t="str">
        <f>Squads!$R$41</f>
        <v>Filled</v>
      </c>
    </row>
    <row r="49">
      <c r="B49" s="417" t="str">
        <f>Squads!$B$86</f>
        <v>Violeta Trajkovski</v>
      </c>
      <c r="C49" s="417" t="str">
        <f>SUBSTITUTE(SUBSTITUTE(Squads!$C$86,"–","-"),"—","-")</f>
        <v>Deployment Coordinator</v>
      </c>
      <c r="D49" s="425" t="str">
        <f>Squads!$R$86</f>
        <v>Filled</v>
      </c>
    </row>
    <row r="50">
      <c r="B50" s="417" t="str">
        <f>Squads!$B$111</f>
        <v>Anthony Dumbrell</v>
      </c>
      <c r="C50" s="417" t="str">
        <f>SUBSTITUTE(SUBSTITUTE(Squads!$C$111,"–","-"),"—","-")</f>
        <v>Technology &amp; Lab Specialist Stores</v>
      </c>
      <c r="D50" s="425" t="str">
        <f>Squads!$R$111</f>
        <v>Filled</v>
      </c>
    </row>
    <row r="51">
      <c r="B51" s="448" t="inlineStr">
        <is>
          <t>Above Store</t>
        </is>
      </c>
      <c r="C51" s="449" t="n"/>
      <c r="D51" s="449" t="n"/>
      <c r="E51" s="449" t="n"/>
    </row>
    <row r="52">
      <c r="B52" s="417" t="str">
        <f>Squads!$B$20</f>
        <v>Sao Keawprasit</v>
      </c>
      <c r="C52" s="417" t="str">
        <f>SUBSTITUTE(SUBSTITUTE(Squads!$C$20,"–","-"),"—","-")</f>
        <v>Systems Analyst</v>
      </c>
      <c r="D52" s="425" t="str">
        <f>Squads!$R$20</f>
        <v>Filled</v>
      </c>
    </row>
    <row r="53">
      <c r="B53" s="417" t="str">
        <f>Squads!$B$21</f>
        <v>Zuan Zheng</v>
      </c>
      <c r="C53" s="417" t="str">
        <f>SUBSTITUTE(SUBSTITUTE(Squads!$C$21,"–","-"),"—","-")</f>
        <v>Systems Analyst</v>
      </c>
      <c r="D53" s="425" t="str">
        <f>Squads!$R$21</f>
        <v>Filled</v>
      </c>
    </row>
    <row r="54">
      <c r="B54" s="417" t="str">
        <f>Squads!$B$22</f>
        <v>Vacant</v>
      </c>
      <c r="C54" s="417" t="str">
        <f>SUBSTITUTE(SUBSTITUTE(Squads!$C$22,"–","-"),"—","-")</f>
        <v>Systems Analyst</v>
      </c>
      <c r="D54" s="425" t="str">
        <f>Squads!$R$22</f>
        <v>Vacant</v>
      </c>
      <c r="E54" s="481" t="inlineStr">
        <is>
          <t>Hold</t>
        </is>
      </c>
      <c r="F54" s="904">
        <f>SUMIF('Added data'!$C$2:$C$549,Squads!$C$22,'Added data'!$AA$2:$AA$549)/COUNTIF('Added data'!$C$2:$C$549,Squads!$C$22)</f>
        <v>193260.22177777777</v>
      </c>
    </row>
    <row r="55">
      <c r="B55" s="417" t="str">
        <f>Squads!$B$23</f>
        <v>Pahul Oberoi</v>
      </c>
      <c r="C55" s="417" t="str">
        <f>SUBSTITUTE(SUBSTITUTE(Squads!$C$23,"–","-"),"—","-")</f>
        <v>Systems Analyst</v>
      </c>
      <c r="D55" s="425" t="str">
        <f>Squads!$R$23</f>
        <v>Filled</v>
      </c>
    </row>
    <row r="56">
      <c r="B56" s="417" t="str">
        <f>Squads!$B$24</f>
        <v>vacant</v>
      </c>
      <c r="C56" s="417" t="str">
        <f>SUBSTITUTE(SUBSTITUTE(Squads!$C$24,"–","-"),"—","-")</f>
        <v>Quality Assurance</v>
      </c>
      <c r="D56" s="425" t="str">
        <f>Squads!$R$24</f>
        <v>Vacant</v>
      </c>
      <c r="E56" s="481" t="inlineStr">
        <is>
          <t>Hold</t>
        </is>
      </c>
      <c r="F56" s="904">
        <f>SUMIF('Added data'!$C$2:$C$549,Squads!$C$24,'Added data'!$AA$2:$AA$549)/COUNTIF('Added data'!$C$2:$C$549,Squads!$C$24)</f>
        <v>169798.89904347828</v>
      </c>
    </row>
    <row r="57">
      <c r="B57" s="417" t="str">
        <f>Squads!$B$25</f>
        <v>Vacant</v>
      </c>
      <c r="C57" s="417" t="str">
        <f>SUBSTITUTE(SUBSTITUTE(Squads!$C$25,"–","-"),"—","-")</f>
        <v>Engineer - Integration</v>
      </c>
      <c r="D57" s="425" t="str">
        <f>Squads!$R$25</f>
        <v>Vacant</v>
      </c>
      <c r="E57" s="481" t="inlineStr">
        <is>
          <t>Hold</t>
        </is>
      </c>
      <c r="F57" s="904">
        <f>SUMIF('Added data'!$C$2:$C$549,Squads!$C$25,'Added data'!$AA$2:$AA$549)/COUNTIF('Added data'!$C$2:$C$549,Squads!$C$25)</f>
        <v>202853.25</v>
      </c>
    </row>
    <row r="58">
      <c r="B58" s="417" t="str">
        <f>Squads!$B$26</f>
        <v>Joseph Maroun</v>
      </c>
      <c r="C58" s="417" t="str">
        <f>SUBSTITUTE(SUBSTITUTE(Squads!$C$26,"–","-"),"—","-")</f>
        <v>Systems Analyst</v>
      </c>
      <c r="D58" s="425" t="str">
        <f>Squads!$R$26</f>
        <v>Filled</v>
      </c>
    </row>
    <row r="59">
      <c r="B59" s="417" t="str">
        <f>Squads!$B$27</f>
        <v>Vijay Patel</v>
      </c>
      <c r="C59" s="417" t="str">
        <f>SUBSTITUTE(SUBSTITUTE(Squads!$C$27,"–","-"),"—","-")</f>
        <v>Systems Analyst</v>
      </c>
      <c r="D59" s="425" t="str">
        <f>Squads!$R$27</f>
        <v>Filled</v>
      </c>
    </row>
    <row r="60">
      <c r="B60" s="417" t="str">
        <f>Squads!$B$28</f>
        <v>vacant</v>
      </c>
      <c r="C60" s="417" t="str">
        <f>SUBSTITUTE(SUBSTITUTE(Squads!$C$28,"–","-"),"—","-")</f>
        <v>Quality Assurance</v>
      </c>
      <c r="D60" s="425" t="str">
        <f>Squads!$R$28</f>
        <v>Vacant</v>
      </c>
      <c r="E60" s="481" t="inlineStr">
        <is>
          <t>Hold</t>
        </is>
      </c>
      <c r="F60" s="904">
        <f>SUMIF('Added data'!$C$2:$C$549,Squads!$C$28,'Added data'!$AA$2:$AA$549)/COUNTIF('Added data'!$C$2:$C$549,Squads!$C$28)</f>
        <v>169798.89904347828</v>
      </c>
    </row>
    <row r="61">
      <c r="B61" s="417" t="str">
        <f>Squads!$B$46</f>
        <v>Manjot Kaur Malli </v>
      </c>
      <c r="C61" s="417" t="str">
        <f>SUBSTITUTE(SUBSTITUTE(Squads!$C$46,"–","-"),"—","-")</f>
        <v>Technology Manager, Data</v>
      </c>
      <c r="D61" s="425" t="str">
        <f>Squads!$R$46</f>
        <v>Filled</v>
      </c>
    </row>
    <row r="62">
      <c r="B62" s="417" t="str">
        <f>Squads!$B$47</f>
        <v>Zhan Zhang</v>
      </c>
      <c r="C62" s="417" t="str">
        <f>SUBSTITUTE(SUBSTITUTE(Squads!$C$47,"–","-"),"—","-")</f>
        <v>Solution Architect</v>
      </c>
      <c r="D62" s="425" t="str">
        <f>Squads!$R$47</f>
        <v>Filled</v>
      </c>
    </row>
    <row r="63">
      <c r="B63" s="417" t="str">
        <f>Squads!$B$48</f>
        <v>Chris Wilson</v>
      </c>
      <c r="C63" s="417" t="str">
        <f>SUBSTITUTE(SUBSTITUTE(Squads!$C$48,"–","-"),"—","-")</f>
        <v>Solution Architect</v>
      </c>
      <c r="D63" s="425" t="str">
        <f>Squads!$R$48</f>
        <v>Filled</v>
      </c>
    </row>
    <row r="64">
      <c r="B64" s="417" t="str">
        <f>Squads!$B$49</f>
        <v>Lauren Lancaster</v>
      </c>
      <c r="C64" s="417" t="str">
        <f>SUBSTITUTE(SUBSTITUTE(Squads!$C$49,"–","-"),"—","-")</f>
        <v>Associate Engineer - Software</v>
      </c>
      <c r="D64" s="425" t="str">
        <f>Squads!$R$49</f>
        <v>Filled</v>
      </c>
    </row>
    <row r="65">
      <c r="B65" s="417" t="str">
        <f>Squads!$B$51</f>
        <v>Majdi Abedi</v>
      </c>
      <c r="C65" s="417" t="str">
        <f>SUBSTITUTE(SUBSTITUTE(Squads!$C$51,"–","-"),"—","-")</f>
        <v>Systems Analyst</v>
      </c>
      <c r="D65" s="425" t="str">
        <f>Squads!$R$51</f>
        <v>Filled</v>
      </c>
    </row>
    <row r="66">
      <c r="B66" s="417" t="str">
        <f>Squads!$B$53</f>
        <v>Vacant</v>
      </c>
      <c r="C66" s="417" t="str">
        <f>SUBSTITUTE(SUBSTITUTE(Squads!$C$53,"–","-"),"—","-")</f>
        <v>Data Analyst</v>
      </c>
      <c r="D66" s="425" t="str">
        <f>Squads!$R$53</f>
        <v>Vacant</v>
      </c>
      <c r="E66" s="481" t="inlineStr">
        <is>
          <t>Hold</t>
        </is>
      </c>
      <c r="F66" s="904">
        <f>SUMIF('Added data'!$C$2:$C$549,Squads!$C$53,'Added data'!$AA$2:$AA$549)/COUNTIF('Added data'!$C$2:$C$549,Squads!$C$53)</f>
        <v>178925.75290909092</v>
      </c>
    </row>
    <row r="67">
      <c r="B67" s="417" t="str">
        <f>Squads!$B$54</f>
        <v>Joe Kuttikkatt</v>
      </c>
      <c r="C67" s="417" t="str">
        <f>SUBSTITUTE(SUBSTITUTE(Squads!$C$54,"–","-"),"—","-")</f>
        <v>Senior Quality Assurance</v>
      </c>
      <c r="D67" s="425" t="str">
        <f>Squads!$R$54</f>
        <v>Filled</v>
      </c>
    </row>
    <row r="68">
      <c r="B68" s="417" t="str">
        <f>Squads!$B$55</f>
        <v>Vacant</v>
      </c>
      <c r="C68" s="417" t="str">
        <f>SUBSTITUTE(SUBSTITUTE(Squads!$C$55,"–","-"),"—","-")</f>
        <v>Engineer - Data</v>
      </c>
      <c r="D68" s="425" t="str">
        <f>Squads!$R$55</f>
        <v>Vacant</v>
      </c>
      <c r="E68" s="481" t="inlineStr">
        <is>
          <t>Hold</t>
        </is>
      </c>
      <c r="F68" s="904">
        <f>SUMIF('Added data'!$C$2:$C$549,Squads!$C$55,'Added data'!$AA$2:$AA$549)/COUNTIF('Added data'!$C$2:$C$549,Squads!$C$55)</f>
        <v>180250.29057142857</v>
      </c>
    </row>
    <row r="69">
      <c r="B69" s="417" t="str">
        <f>Squads!$B$62</f>
        <v>vacant</v>
      </c>
      <c r="C69" s="417" t="str">
        <f>SUBSTITUTE(SUBSTITUTE(Squads!$C$62,"–","-"),"—","-")</f>
        <v>Systems Analyst</v>
      </c>
      <c r="D69" s="425" t="str">
        <f>Squads!$R$62</f>
        <v>Vacant</v>
      </c>
      <c r="E69" s="481" t="inlineStr">
        <is>
          <t>Hold</t>
        </is>
      </c>
      <c r="F69" s="904">
        <f>SUMIF('Added data'!$C$2:$C$549,Squads!$C$62,'Added data'!$AA$2:$AA$549)/COUNTIF('Added data'!$C$2:$C$549,Squads!$C$62)</f>
        <v>193260.22177777777</v>
      </c>
    </row>
    <row r="70">
      <c r="B70" s="417" t="str">
        <f>Squads!$B$101</f>
        <v>Vacant</v>
      </c>
      <c r="C70" s="417" t="str">
        <f>SUBSTITUTE(SUBSTITUTE(Squads!$C$101,"–","-"),"—","-")</f>
        <v>Delivery Lead</v>
      </c>
      <c r="D70" s="425" t="str">
        <f>Squads!$R$101</f>
        <v>Vacant</v>
      </c>
      <c r="E70" s="481" t="inlineStr">
        <is>
          <t>Hold</t>
        </is>
      </c>
      <c r="F70" s="904">
        <f>SUMIF('Added data'!$C$2:$C$549,Squads!$C$101,'Added data'!$AA$2:$AA$549)/COUNTIF('Added data'!$C$2:$C$549,Squads!$C$101)</f>
        <v>231778.89629629627</v>
      </c>
    </row>
    <row r="71">
      <c r="B71" s="417" t="str">
        <f>Squads!$B$103</f>
        <v>Vacant</v>
      </c>
      <c r="C71" s="417" t="str">
        <f>SUBSTITUTE(SUBSTITUTE(Squads!$C$103,"–","-"),"—","-")</f>
        <v>Business Analyst</v>
      </c>
      <c r="D71" s="425" t="str">
        <f>Squads!$R$103</f>
        <v>Vacant</v>
      </c>
      <c r="E71" s="481" t="inlineStr">
        <is>
          <t>Hold</t>
        </is>
      </c>
      <c r="F71" s="904">
        <f>SUMIF('Added data'!$C$2:$C$549,Squads!$C$103,'Added data'!$AA$2:$AA$549)/COUNTIF('Added data'!$C$2:$C$549,Squads!$C$103)</f>
        <v>198578.016</v>
      </c>
    </row>
    <row r="72">
      <c r="B72" s="417" t="str">
        <f>Squads!$B$104</f>
        <v>Vacant</v>
      </c>
      <c r="C72" s="417" t="str">
        <f>SUBSTITUTE(SUBSTITUTE(Squads!$C$104,"–","-"),"—","-")</f>
        <v>Business Analyst</v>
      </c>
      <c r="D72" s="425" t="str">
        <f>Squads!$R$104</f>
        <v>Vacant</v>
      </c>
      <c r="E72" s="481" t="inlineStr">
        <is>
          <t>Hold</t>
        </is>
      </c>
      <c r="F72" s="904">
        <f>SUMIF('Added data'!$C$2:$C$549,Squads!$C$104,'Added data'!$AA$2:$AA$549)/COUNTIF('Added data'!$C$2:$C$549,Squads!$C$104)</f>
        <v>198578.016</v>
      </c>
    </row>
    <row r="73">
      <c r="B73" s="417" t="str">
        <f>Squads!$B$107</f>
        <v>Vacant</v>
      </c>
      <c r="C73" s="417" t="str">
        <f>SUBSTITUTE(SUBSTITUTE(Squads!$C$107,"–","-"),"—","-")</f>
        <v>Business Analyst</v>
      </c>
      <c r="D73" s="425" t="str">
        <f>Squads!$R$107</f>
        <v>Vacant</v>
      </c>
      <c r="E73" s="481" t="inlineStr">
        <is>
          <t>Hold</t>
        </is>
      </c>
      <c r="F73" s="904">
        <f>SUMIF('Added data'!$C$2:$C$549,Squads!$C$107,'Added data'!$AA$2:$AA$549)/COUNTIF('Added data'!$C$2:$C$549,Squads!$C$107)</f>
        <v>198578.016</v>
      </c>
    </row>
    <row r="74">
      <c r="B74" s="448" t="inlineStr">
        <is>
          <t>AmPOS</t>
        </is>
      </c>
      <c r="C74" s="449" t="n"/>
      <c r="D74" s="449" t="n"/>
      <c r="E74" s="449" t="n"/>
    </row>
    <row r="75">
      <c r="B75" s="417" t="str">
        <f>Squads!$B$29</f>
        <v>Karthick Sathiyamoorthy</v>
      </c>
      <c r="C75" s="417" t="str">
        <f>SUBSTITUTE(SUBSTITUTE(Squads!$C$29,"–","-"),"—","-")</f>
        <v>Quality Assurance</v>
      </c>
      <c r="D75" s="425" t="str">
        <f>Squads!$R$29</f>
        <v>Filled</v>
      </c>
    </row>
    <row r="76">
      <c r="B76" s="417" t="str">
        <f>Squads!$B$52</f>
        <v>Peter Nicolopoulos</v>
      </c>
      <c r="C76" s="417" t="str">
        <f>SUBSTITUTE(SUBSTITUTE(Squads!$C$52,"–","-"),"—","-")</f>
        <v>Systems Analyst</v>
      </c>
      <c r="D76" s="425" t="str">
        <f>Squads!$R$52</f>
        <v>Filled</v>
      </c>
    </row>
    <row r="77">
      <c r="B77" s="417" t="str">
        <f>Squads!$B$56</f>
        <v>Tabitha Raharadjo</v>
      </c>
      <c r="C77" s="417" t="str">
        <f>SUBSTITUTE(SUBSTITUTE(Squads!$C$56,"–","-"),"—","-")</f>
        <v>Project Coordinator</v>
      </c>
      <c r="D77" s="425" t="str">
        <f>Squads!$R$56</f>
        <v>Filled</v>
      </c>
    </row>
    <row r="78">
      <c r="B78" s="417" t="str">
        <f>Squads!$B$92</f>
        <v>Mick Standen</v>
      </c>
      <c r="C78" s="417" t="str">
        <f>SUBSTITUTE(SUBSTITUTE(Squads!$C$92,"–","-"),"—","-")</f>
        <v>Systems Analyst</v>
      </c>
      <c r="D78" s="425" t="str">
        <f>Squads!$R$92</f>
        <v>Filled</v>
      </c>
    </row>
    <row r="79">
      <c r="B79" s="417" t="str">
        <f>Squads!$B$96</f>
        <v>Kate Johnstone</v>
      </c>
      <c r="C79" s="417" t="str">
        <f>SUBSTITUTE(SUBSTITUTE(Squads!$C$96,"–","-"),"—","-")</f>
        <v>Program Manager POS</v>
      </c>
      <c r="D79" s="425" t="str">
        <f>Squads!$R$96</f>
        <v>Filled</v>
      </c>
    </row>
    <row r="80">
      <c r="B80" s="417" t="str">
        <f>Squads!$B$102</f>
        <v>Irfan Zavahir</v>
      </c>
      <c r="C80" s="417" t="str">
        <f>SUBSTITUTE(SUBSTITUTE(Squads!$C$102,"–","-"),"—","-")</f>
        <v>Delivery Lead</v>
      </c>
      <c r="D80" s="425" t="str">
        <f>Squads!$R$102</f>
        <v>Filled</v>
      </c>
    </row>
    <row r="81">
      <c r="B81" s="417" t="str">
        <f>Squads!$B$105</f>
        <v>Balaji Murugan</v>
      </c>
      <c r="C81" s="417" t="str">
        <f>SUBSTITUTE(SUBSTITUTE(Squads!$C$105,"–","-"),"—","-")</f>
        <v>Delivery Lead</v>
      </c>
      <c r="D81" s="425" t="str">
        <f>Squads!$R$105</f>
        <v>Filled</v>
      </c>
    </row>
    <row r="82">
      <c r="B82" s="417" t="str">
        <f>Squads!$B$387</f>
        <v>Victor Beuk</v>
      </c>
      <c r="C82" s="417" t="str">
        <f>SUBSTITUTE(SUBSTITUTE(Squads!$C$387,"–","-"),"—","-")</f>
        <v>Delivery Lead</v>
      </c>
      <c r="D82" s="425" t="str">
        <f>Squads!$R$387</f>
        <v>Filled</v>
      </c>
    </row>
    <row r="83">
      <c r="B83" s="417" t="str">
        <f>Squads!$B$435</f>
        <v>Kevin Nelson</v>
      </c>
      <c r="C83" s="417" t="str">
        <f>SUBSTITUTE(SUBSTITUTE(Squads!$C$435,"–","-"),"—","-")</f>
        <v>Delivery Lead</v>
      </c>
      <c r="D83" s="425" t="str">
        <f>Squads!$R$435</f>
        <v>Filled</v>
      </c>
    </row>
    <row r="84">
      <c r="B84" s="417" t="str">
        <f>Squads!$B$457</f>
        <v>Hardik Trivedi</v>
      </c>
      <c r="C84" s="417" t="str">
        <f>SUBSTITUTE(SUBSTITUTE(Squads!$C$457,"–","-"),"—","-")</f>
        <v>Snr Business Analyst</v>
      </c>
      <c r="D84" s="425" t="str">
        <f>Squads!$R$457</f>
        <v>Filled</v>
      </c>
    </row>
    <row r="85">
      <c r="B85" s="448" t="inlineStr">
        <is>
          <t>Network / QSR</t>
        </is>
      </c>
      <c r="C85" s="449" t="n"/>
      <c r="D85" s="449" t="n"/>
      <c r="E85" s="449" t="n"/>
    </row>
    <row r="86">
      <c r="B86" s="417" t="str">
        <f>Squads!$B$34</f>
        <v>Vacant</v>
      </c>
      <c r="C86" s="417" t="str">
        <f>SUBSTITUTE(SUBSTITUTE(Squads!$C$34,"–","-"),"—","-")</f>
        <v>Systems Analyst</v>
      </c>
      <c r="D86" s="425" t="str">
        <f>Squads!$R$34</f>
        <v>Vacant</v>
      </c>
      <c r="E86" s="481" t="inlineStr">
        <is>
          <t>Hold</t>
        </is>
      </c>
      <c r="F86" s="904">
        <f>SUMIF('Added data'!$C$2:$C$549,Squads!$C$34,'Added data'!$AA$2:$AA$549)/COUNTIF('Added data'!$C$2:$C$549,Squads!$C$34)</f>
        <v>193260.22177777777</v>
      </c>
    </row>
    <row r="87">
      <c r="B87" s="417" t="str">
        <f>Squads!$B$43</f>
        <v>Javier Aguirre Castellanos</v>
      </c>
      <c r="C87" s="417" t="str">
        <f>SUBSTITUTE(SUBSTITUTE(Squads!$C$43,"–","-"),"—","-")</f>
        <v>Solution Architect</v>
      </c>
      <c r="D87" s="425" t="str">
        <f>Squads!$R$43</f>
        <v>Filled</v>
      </c>
    </row>
    <row r="88">
      <c r="B88" s="417" t="str">
        <f>Squads!$B$50</f>
        <v>Adrian Lueng</v>
      </c>
      <c r="C88" s="417" t="str">
        <f>SUBSTITUTE(SUBSTITUTE(Squads!$C$50,"–","-"),"—","-")</f>
        <v>Quality Assurance</v>
      </c>
      <c r="D88" s="425" t="str">
        <f>Squads!$R$50</f>
        <v>Filled</v>
      </c>
    </row>
    <row r="89">
      <c r="B89" s="417" t="str">
        <f>Squads!$B$106</f>
        <v>Vacant</v>
      </c>
      <c r="C89" s="417" t="str">
        <f>SUBSTITUTE(SUBSTITUTE(Squads!$C$106,"–","-"),"—","-")</f>
        <v>Business Analyst</v>
      </c>
      <c r="D89" s="425" t="str">
        <f>Squads!$R$106</f>
        <v>Vacant</v>
      </c>
      <c r="E89" s="481" t="inlineStr">
        <is>
          <t>Hold</t>
        </is>
      </c>
      <c r="F89" s="904">
        <f>SUMIF('Added data'!$C$2:$C$549,Squads!$C$106,'Added data'!$AA$2:$AA$549)/COUNTIF('Added data'!$C$2:$C$549,Squads!$C$106)</f>
        <v>198578.016</v>
      </c>
    </row>
    <row r="90">
      <c r="B90" s="417" t="str">
        <f>Squads!$B$109</f>
        <v>Vanessa Trujillo Munoz</v>
      </c>
      <c r="C90" s="417" t="str">
        <f>SUBSTITUTE(SUBSTITUTE(Squads!$C$109,"–","-"),"—","-")</f>
        <v>Delivery Lead</v>
      </c>
      <c r="D90" s="425" t="str">
        <f>Squads!$R$109</f>
        <v>Filled</v>
      </c>
    </row>
    <row r="91">
      <c r="B91" s="417" t="str">
        <f>Squads!$B$110</f>
        <v>Marty O'Shea</v>
      </c>
      <c r="C91" s="417" t="str">
        <f>SUBSTITUTE(SUBSTITUTE(Squads!$C$110,"–","-"),"—","-")</f>
        <v>Systems Analyst</v>
      </c>
      <c r="D91" s="425" t="str">
        <f>Squads!$R$110</f>
        <v>Filled</v>
      </c>
    </row>
    <row r="92">
      <c r="B92" s="417" t="str">
        <f>Squads!$B$112</f>
        <v>Santiago Hernandez Arevalo</v>
      </c>
      <c r="C92" s="417" t="str">
        <f>SUBSTITUTE(SUBSTITUTE(Squads!$C$112,"–","-"),"—","-")</f>
        <v>Systems Analyst</v>
      </c>
      <c r="D92" s="425" t="str">
        <f>Squads!$R$112</f>
        <v>Filled</v>
      </c>
    </row>
    <row r="93">
      <c r="B93" s="417" t="str">
        <f>Squads!$B$114</f>
        <v>Vacant</v>
      </c>
      <c r="C93" s="417" t="str">
        <f>SUBSTITUTE(SUBSTITUTE(Squads!$C$114,"–","-"),"—","-")</f>
        <v>Engineer - Integration</v>
      </c>
      <c r="D93" s="425" t="str">
        <f>Squads!$R$114</f>
        <v>Vacant</v>
      </c>
      <c r="E93" s="481" t="inlineStr">
        <is>
          <t>Hold</t>
        </is>
      </c>
      <c r="F93" s="904">
        <f>SUMIF('Added data'!$C$2:$C$549,Squads!$C$114,'Added data'!$AA$2:$AA$549)/COUNTIF('Added data'!$C$2:$C$549,Squads!$C$114)</f>
        <v>202853.25</v>
      </c>
    </row>
    <row r="94">
      <c r="B94" s="448" t="inlineStr">
        <is>
          <t>Data AU</t>
        </is>
      </c>
      <c r="C94" s="449" t="n"/>
      <c r="D94" s="449" t="n"/>
      <c r="E94" s="449" t="n"/>
    </row>
    <row r="95">
      <c r="B95" s="417" t="str">
        <f>Squads!$B$44</f>
        <v>Vacant</v>
      </c>
      <c r="C95" s="417" t="str">
        <f>SUBSTITUTE(SUBSTITUTE(Squads!$C$44,"–","-"),"—","-")</f>
        <v>Data Analyst</v>
      </c>
      <c r="D95" s="425" t="str">
        <f>Squads!$R$44</f>
        <v>Vacant</v>
      </c>
      <c r="E95" s="481" t="inlineStr">
        <is>
          <t>Hire</t>
        </is>
      </c>
      <c r="F95" s="904">
        <f>SUMIF('Added data'!$C$2:$C$549,Squads!$C$44,'Added data'!$AA$2:$AA$549)/COUNTIF('Added data'!$C$2:$C$549,Squads!$C$44)</f>
        <v>178925.75290909092</v>
      </c>
    </row>
    <row r="96">
      <c r="B96" s="417" t="str">
        <f>Squads!$B$64</f>
        <v>Vacant</v>
      </c>
      <c r="C96" s="417" t="str">
        <f>SUBSTITUTE(SUBSTITUTE(Squads!$C$64,"–","-"),"—","-")</f>
        <v>Delivery Lead</v>
      </c>
      <c r="D96" s="425" t="str">
        <f>Squads!$R$64</f>
        <v>Vacant</v>
      </c>
      <c r="E96" s="481" t="inlineStr">
        <is>
          <t>Hold</t>
        </is>
      </c>
      <c r="F96" s="904">
        <f>SUMIF('Added data'!$C$2:$C$549,Squads!$C$64,'Added data'!$AA$2:$AA$549)/COUNTIF('Added data'!$C$2:$C$549,Squads!$C$64)</f>
        <v>231778.89629629627</v>
      </c>
    </row>
    <row r="97">
      <c r="B97" s="417" t="str">
        <f>Squads!$B$76</f>
        <v>Vacant</v>
      </c>
      <c r="C97" s="417" t="str">
        <f>SUBSTITUTE(SUBSTITUTE(Squads!$C$76,"–","-"),"—","-")</f>
        <v>Engineer - Data</v>
      </c>
      <c r="D97" s="425" t="str">
        <f>Squads!$R$76</f>
        <v>Vacant</v>
      </c>
      <c r="E97" s="481" t="inlineStr">
        <is>
          <t>Hire</t>
        </is>
      </c>
      <c r="F97" s="904">
        <f>SUMIF('Added data'!$C$2:$C$549,Squads!$C$76,'Added data'!$AA$2:$AA$549)/COUNTIF('Added data'!$C$2:$C$549,Squads!$C$76)</f>
        <v>180250.29057142857</v>
      </c>
    </row>
    <row r="98">
      <c r="B98" s="417" t="str">
        <f>Squads!$B$81</f>
        <v>Vacant</v>
      </c>
      <c r="C98" s="417" t="str">
        <f>SUBSTITUTE(SUBSTITUTE(Squads!$C$81,"–","-"),"—","-")</f>
        <v>Engineer - Data</v>
      </c>
      <c r="D98" s="425" t="str">
        <f>Squads!$R$81</f>
        <v>Vacant</v>
      </c>
      <c r="E98" s="481" t="inlineStr">
        <is>
          <t>Hold</t>
        </is>
      </c>
      <c r="F98" s="904">
        <f>SUMIF('Added data'!$C$2:$C$549,Squads!$C$81,'Added data'!$AA$2:$AA$549)/COUNTIF('Added data'!$C$2:$C$549,Squads!$C$81)</f>
        <v>180250.29057142857</v>
      </c>
    </row>
    <row r="99">
      <c r="B99" s="417" t="str">
        <f>Squads!$B$90</f>
        <v>Vacant</v>
      </c>
      <c r="C99" s="417" t="str">
        <f>SUBSTITUTE(SUBSTITUTE(Squads!$C$90,"–","-"),"—","-")</f>
        <v>Engineer - Data</v>
      </c>
      <c r="D99" s="425" t="str">
        <f>Squads!$R$90</f>
        <v>Vacant</v>
      </c>
      <c r="E99" s="481" t="inlineStr">
        <is>
          <t>Hire</t>
        </is>
      </c>
      <c r="F99" s="904">
        <f>SUMIF('Added data'!$C$2:$C$549,Squads!$C$90,'Added data'!$AA$2:$AA$549)/COUNTIF('Added data'!$C$2:$C$549,Squads!$C$90)</f>
        <v>180250.29057142857</v>
      </c>
    </row>
    <row r="100">
      <c r="B100" s="448" t="inlineStr">
        <is>
          <t>EGI Retail</t>
        </is>
      </c>
      <c r="C100" s="449" t="n"/>
      <c r="D100" s="449" t="n"/>
      <c r="E100" s="449" t="n"/>
    </row>
    <row r="101">
      <c r="B101" s="417" t="str">
        <f>Squads!$B$14</f>
        <v>Sjoerd Van Sluijs</v>
      </c>
      <c r="C101" s="417" t="str">
        <f>SUBSTITUTE(SUBSTITUTE(Squads!$C$14,"–","-"),"—","-")</f>
        <v>Senior PM PEP1, PEP18</v>
      </c>
      <c r="D101" s="425" t="str">
        <f>Squads!$R$14</f>
        <v>Filled</v>
      </c>
    </row>
    <row r="102">
      <c r="B102" s="417" t="str">
        <f>Squads!$B$36</f>
        <v>Sendhil Vinayagam (75% EGI)</v>
      </c>
      <c r="C102" s="417" t="str">
        <f>SUBSTITUTE(SUBSTITUTE(Squads!$C$36,"–","-"),"—","-")</f>
        <v>Solution Architect</v>
      </c>
      <c r="D102" s="425" t="str">
        <f>Squads!$R$36</f>
        <v>Filled</v>
      </c>
    </row>
    <row r="103">
      <c r="B103" s="417" t="str">
        <f>Squads!$B$99</f>
        <v>Alex Prakhiy</v>
      </c>
      <c r="C103" s="417" t="str">
        <f>SUBSTITUTE(SUBSTITUTE(Squads!$C$99,"–","-"),"—","-")</f>
        <v>Business Analyst</v>
      </c>
      <c r="D103" s="425" t="str">
        <f>Squads!$R$99</f>
        <v>Filled</v>
      </c>
    </row>
    <row r="104">
      <c r="B104" s="417" t="str">
        <f>Squads!$B$100</f>
        <v>Bhaskar Nandi</v>
      </c>
      <c r="C104" s="417" t="str">
        <f>SUBSTITUTE(SUBSTITUTE(Squads!$C$100,"–","-"),"—","-")</f>
        <v>Business Analyst</v>
      </c>
      <c r="D104" s="425" t="str">
        <f>Squads!$R$100</f>
        <v>Filled</v>
      </c>
    </row>
    <row r="105">
      <c r="B105" s="417" t="str">
        <f>Squads!$B$113</f>
        <v>Navneet Singh</v>
      </c>
      <c r="C105" s="417" t="str">
        <f>SUBSTITUTE(SUBSTITUTE(Squads!$C$113,"–","-"),"—","-")</f>
        <v>Solution Architect</v>
      </c>
      <c r="D105" s="425" t="str">
        <f>Squads!$R$113</f>
        <v>Filled</v>
      </c>
    </row>
    <row r="106">
      <c r="B106" s="417" t="str">
        <f>Squads!$B$212</f>
        <v>James Byrne</v>
      </c>
      <c r="C106" s="417" t="str">
        <f>SUBSTITUTE(SUBSTITUTE(Squads!$C$212,"–","-"),"—","-")</f>
        <v>Head of Cyber Strategy &amp; Technology</v>
      </c>
      <c r="D106" s="425" t="str">
        <f>Squads!$R$212</f>
        <v>Filled</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4.xml><?xml version="1.0" encoding="utf-8"?>
<worksheet xmlns="http://schemas.openxmlformats.org/spreadsheetml/2006/main">
  <sheetPr>
    <tabColor rgb="FFBF8F00"/>
    <outlinePr summaryBelow="1" summaryRight="1"/>
    <pageSetUpPr/>
  </sheetPr>
  <dimension ref="B2:O101"/>
  <sheetViews>
    <sheetView showGridLines="0" topLeftCell="A72"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82" t="str">
        <f>CONCATENATE('1.2 Customer'!$B$2," working copy")</f>
        <v>Customer working copy</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90"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Ampol App</t>
        </is>
      </c>
      <c r="C6" s="567" t="str">
        <f>'3.3 FTE View'!$E$23</f>
        <v>Product</v>
      </c>
      <c r="D6" s="902">
        <f>'3.3 FTE View'!$G$23</f>
        <v>12.0</v>
      </c>
      <c r="E6" s="425">
        <f>COUNTIFS(Squads!$N:$N,"Customer",Squads!$P:$P,"Ampol App",Squads!$R:$R,"Filled")</f>
        <v>13.0</v>
      </c>
      <c r="F6" s="425">
        <f>COUNTIFS(Squads!$N:$N,"Customer",Squads!$P:$P,"Ampol App",Squads!$R:$R,"Vacant")</f>
        <v>1.0</v>
      </c>
      <c r="G6" s="425">
        <f>COUNTIF(E33:E33,"Hire")</f>
        <v>1.0</v>
      </c>
      <c r="H6" s="442">
        <f>F6-G6-COUNTIF(E33:E33,"Offshore")</f>
        <v>0.0</v>
      </c>
      <c r="I6" s="902">
        <f>IFERROR(E6+G6-D6,"-")</f>
        <v>2.0</v>
      </c>
      <c r="J6" s="417" t="str">
        <f>IF(ISNUMBER(D6),IF(E6&gt;D6,"Filled already over archetype",IF(E6+G6&gt;D6,"Over archetype after hire calls","")),"Outside the archetype model - no target set")</f>
        <v>Filled already over archetype</v>
      </c>
      <c r="K6" s="551">
        <f>'3.3 FTE View'!$M$23</f>
        <v>2.8</v>
      </c>
      <c r="L6" s="551">
        <f>'3.3 FTE View'!$N$23</f>
        <v>3.12378992</v>
      </c>
      <c r="M6" s="551">
        <f>(SUMIFS('Added data'!$AA:$AA,'Added data'!$AC:$AC,'1.2 Customer'!$B$2,'Added data'!$AE:$AE,$B6,'Added data'!$AG:$AG,"Filled")+SUMIFS(F22:F35,E22:E35,"Hire")+0.4*SUMIFS(F22:F35,E22:E35,"Offshore"))/1000000</f>
        <v>3.33983297</v>
      </c>
      <c r="N6" s="551">
        <f>M6-K6</f>
        <v>0.53983297</v>
      </c>
      <c r="O6" s="552" t="str">
        <f>'3.3 FTE View'!$F$23</f>
        <v>L</v>
      </c>
    </row>
    <row r="7">
      <c r="B7" s="417" t="inlineStr">
        <is>
          <t>Ampol Web</t>
        </is>
      </c>
      <c r="C7" s="567" t="str">
        <f>'3.3 FTE View'!$E$24</f>
        <v>Product</v>
      </c>
      <c r="D7" s="902">
        <f>'3.3 FTE View'!$G$24</f>
        <v>8.5</v>
      </c>
      <c r="E7" s="425">
        <f>COUNTIFS(Squads!$N:$N,"Customer",Squads!$P:$P,"Ampol Web",Squads!$R:$R,"Filled")</f>
        <v>9.0</v>
      </c>
      <c r="F7" s="425">
        <f>COUNTIFS(Squads!$N:$N,"Customer",Squads!$P:$P,"Ampol Web",Squads!$R:$R,"Vacant")</f>
        <v>1.0</v>
      </c>
      <c r="G7" s="425">
        <f>COUNTIF(E42:E42,"Hire")</f>
        <v>1.0</v>
      </c>
      <c r="H7" s="442">
        <f>F7-G7-COUNTIF(E42:E42,"Offshore")</f>
        <v>0.0</v>
      </c>
      <c r="I7" s="902">
        <f>IFERROR(E7+G7-D7,"-")</f>
        <v>1.5</v>
      </c>
      <c r="J7" s="417" t="str">
        <f>IF(ISNUMBER(D7),IF(E7&gt;D7,"Filled already over archetype",IF(E7+G7&gt;D7,"Over archetype after hire calls","")),"Outside the archetype model - no target set")</f>
        <v>Filled already over archetype</v>
      </c>
      <c r="K7" s="551">
        <f>'3.3 FTE View'!$M$24</f>
        <v>1.9</v>
      </c>
      <c r="L7" s="551">
        <f>'3.3 FTE View'!$N$24</f>
        <v>2.21964425</v>
      </c>
      <c r="M7" s="551">
        <f>(SUMIFS('Added data'!$AA:$AA,'Added data'!$AC:$AC,'1.2 Customer'!$B$2,'Added data'!$AE:$AE,$B7,'Added data'!$AG:$AG,"Filled")+SUMIFS(F37:F46,E37:E46,"Hire")+0.4*SUMIFS(F37:F46,E37:E46,"Offshore"))/1000000</f>
        <v>2.234861375</v>
      </c>
      <c r="N7" s="551">
        <f>M7-K7</f>
        <v>0.334861375</v>
      </c>
      <c r="O7" s="552" t="str">
        <f>'3.3 FTE View'!$F$24</f>
        <v>M</v>
      </c>
    </row>
    <row r="8">
      <c r="B8" s="417" t="inlineStr">
        <is>
          <t>Digital Operations</t>
        </is>
      </c>
      <c r="C8" s="567" t="str">
        <f>'3.3 FTE View'!$E$25</f>
        <v>Operations</v>
      </c>
      <c r="D8" s="902">
        <f>'3.3 FTE View'!$G$25</f>
        <v>6.0</v>
      </c>
      <c r="E8" s="425">
        <f>COUNTIFS(Squads!$N:$N,"Customer",Squads!$P:$P,"Digital Operations",Squads!$R:$R,"Filled")</f>
        <v>4.0</v>
      </c>
      <c r="F8" s="425">
        <f>COUNTIFS(Squads!$N:$N,"Customer",Squads!$P:$P,"Digital Operations",Squads!$R:$R,"Vacant")</f>
        <v>3.0</v>
      </c>
      <c r="G8" s="425">
        <f>COUNTIF(E52:E54,"Hire")</f>
        <v>0.0</v>
      </c>
      <c r="H8" s="442">
        <f>F8-G8-COUNTIF(E52:E54,"Offshore")</f>
        <v>3.0</v>
      </c>
      <c r="I8" s="902">
        <f>IFERROR(E8+G8-D8,"-")</f>
        <v>-2.0</v>
      </c>
      <c r="J8" s="417" t="str">
        <f>IF(ISNUMBER(D8),IF(E8&gt;D8,"Filled already over archetype",IF(E8+G8&gt;D8,"Over archetype after hire calls","")),"Outside the archetype model - no target set")</f>
        <v/>
      </c>
      <c r="K8" s="551">
        <f>'3.3 FTE View'!$M$25</f>
        <v>1.4</v>
      </c>
      <c r="L8" s="551">
        <f>'3.3 FTE View'!$N$25</f>
        <v>1.4808336000000002</v>
      </c>
      <c r="M8" s="551">
        <f>(SUMIFS('Added data'!$AA:$AA,'Added data'!$AC:$AC,'1.2 Customer'!$B$2,'Added data'!$AE:$AE,$B8,'Added data'!$AG:$AG,"Filled")+SUMIFS(F48:F54,E48:E54,"Hire")+0.4*SUMIFS(F48:F54,E48:E54,"Offshore"))/1000000</f>
        <v>0.90463735</v>
      </c>
      <c r="N8" s="551">
        <f>M8-K8</f>
        <v>-0.4953626499999999</v>
      </c>
      <c r="O8" s="552" t="str">
        <f>'3.3 FTE View'!$F$25</f>
        <v>M</v>
      </c>
    </row>
    <row r="9">
      <c r="B9" s="417" t="inlineStr">
        <is>
          <t>Z Energy Apps</t>
        </is>
      </c>
      <c r="C9" s="567" t="str">
        <f>'3.3 FTE View'!$E$27</f>
        <v>Product</v>
      </c>
      <c r="D9" s="902">
        <f>'3.3 FTE View'!$G$27</f>
        <v>5.5</v>
      </c>
      <c r="E9" s="425">
        <f>COUNTIFS(Squads!$N:$N,"Customer",Squads!$P:$P,"Z Energy Apps",Squads!$R:$R,"Filled")</f>
        <v>5.0</v>
      </c>
      <c r="F9" s="425">
        <f>COUNTIFS(Squads!$N:$N,"Customer",Squads!$P:$P,"Z Energy Apps",Squads!$R:$R,"Vacant")</f>
        <v>0.0</v>
      </c>
      <c r="G9" s="603">
        <f>COUNTIF(E56:E60,"Hire")</f>
        <v>0.0</v>
      </c>
      <c r="H9" s="442">
        <f>F9-G9-COUNTIF(E56:E60,"Offshore")</f>
        <v>0.0</v>
      </c>
      <c r="I9" s="902">
        <f>IFERROR(E9+G9-D9,"-")</f>
        <v>-0.5</v>
      </c>
      <c r="J9" s="417" t="str">
        <f>IF(ISNUMBER(D9),IF(E9&gt;D9,"Filled already over archetype",IF(E9+G9&gt;D9,"Over archetype after hire calls","")),"Outside the archetype model - no target set")</f>
        <v/>
      </c>
      <c r="K9" s="551">
        <f>'3.3 FTE View'!$M$27</f>
        <v>1.3</v>
      </c>
      <c r="L9" s="551">
        <f>'3.3 FTE View'!$N$27</f>
        <v>0.8237571600000001</v>
      </c>
      <c r="M9" s="551">
        <f>(SUMIFS('Added data'!$AA:$AA,'Added data'!$AC:$AC,'1.2 Customer'!$B$2,'Added data'!$AE:$AE,$B9,'Added data'!$AG:$AG,"Filled")+SUMIFS(F56:F60,E56:E60,"Hire")+0.4*SUMIFS(F56:F60,E56:E60,"Offshore"))/1000000</f>
        <v>0.8237571600000001</v>
      </c>
      <c r="N9" s="551">
        <f>M9-K9</f>
        <v>-0.47624283999999995</v>
      </c>
      <c r="O9" s="552" t="str">
        <f>'3.3 FTE View'!$F$27</f>
        <v>S</v>
      </c>
    </row>
    <row r="10">
      <c r="B10" s="417" t="inlineStr">
        <is>
          <t>Z Energy Martech</t>
        </is>
      </c>
      <c r="C10" s="567" t="str">
        <f>'3.3 FTE View'!$E$28</f>
        <v>Product</v>
      </c>
      <c r="D10" s="902">
        <f>'3.3 FTE View'!$G$28</f>
        <v>12.0</v>
      </c>
      <c r="E10" s="425">
        <f>COUNTIFS(Squads!$N:$N,"Customer",Squads!$P:$P,"Z Energy Martech",Squads!$R:$R,"Filled")</f>
        <v>13.0</v>
      </c>
      <c r="F10" s="425">
        <f>COUNTIFS(Squads!$N:$N,"Customer",Squads!$P:$P,"Z Energy Martech",Squads!$R:$R,"Vacant")</f>
        <v>3.0</v>
      </c>
      <c r="G10" s="425">
        <f>COUNTIF(E64:E74,"Hire")</f>
        <v>1.0</v>
      </c>
      <c r="H10" s="442">
        <f>F10-G10-COUNTIF(E64:E74,"Offshore")</f>
        <v>2.0</v>
      </c>
      <c r="I10" s="902">
        <f>IFERROR(E10+G10-D10,"-")</f>
        <v>2.0</v>
      </c>
      <c r="J10" s="417" t="str">
        <f>IF(ISNUMBER(D10),IF(E10&gt;D10,"Filled already over archetype",IF(E10+G10&gt;D10,"Over archetype after hire calls","")),"Outside the archetype model - no target set")</f>
        <v>Filled already over archetype</v>
      </c>
      <c r="K10" s="551">
        <f>'3.3 FTE View'!$M$28</f>
        <v>2.8</v>
      </c>
      <c r="L10" s="551">
        <f>'3.3 FTE View'!$N$28</f>
        <v>2.5738363740000003</v>
      </c>
      <c r="M10" s="551">
        <f>(SUMIFS('Added data'!$AA:$AA,'Added data'!$AC:$AC,'1.2 Customer'!$B$2,'Added data'!$AE:$AE,$B10,'Added data'!$AG:$AG,"Filled")+SUMIFS(F62:F77,E62:E77,"Hire")+0.4*SUMIFS(F62:F77,E62:E77,"Offshore"))/1000000</f>
        <v>2.1769435210588233</v>
      </c>
      <c r="N10" s="551">
        <f>M10-K10</f>
        <v>-0.6230564789411766</v>
      </c>
      <c r="O10" s="552" t="str">
        <f>'3.3 FTE View'!$F$28</f>
        <v>L</v>
      </c>
    </row>
    <row r="11">
      <c r="B11" s="417" t="inlineStr">
        <is>
          <t>AU CRM &amp; Martech</t>
        </is>
      </c>
      <c r="C11" s="567" t="str">
        <f>'3.3 FTE View'!$E$31</f>
        <v>Product</v>
      </c>
      <c r="D11" s="902">
        <f>'3.3 FTE View'!$G$31</f>
        <v>8.5</v>
      </c>
      <c r="E11" s="425">
        <f>COUNTIFS(Squads!$N:$N,"Customer",Squads!$P:$P,"AU CRM &amp; Martech",Squads!$R:$R,"Filled")</f>
        <v>6.0</v>
      </c>
      <c r="F11" s="425">
        <f>COUNTIFS(Squads!$N:$N,"Customer",Squads!$P:$P,"AU CRM &amp; Martech",Squads!$R:$R,"Vacant")</f>
        <v>7.0</v>
      </c>
      <c r="G11" s="425">
        <f>COUNTIF(E79:E91,"Hire")</f>
        <v>0.0</v>
      </c>
      <c r="H11" s="442">
        <f>F11-G11-COUNTIF(E79:E91,"Offshore")</f>
        <v>7.0</v>
      </c>
      <c r="I11" s="902">
        <f>IFERROR(E11+G11-D11,"-")</f>
        <v>-2.5</v>
      </c>
      <c r="J11" s="417" t="str">
        <f>IF(ISNUMBER(D11),IF(E11&gt;D11,"Filled already over archetype",IF(E11+G11&gt;D11,"Over archetype after hire calls","")),"Outside the archetype model - no target set")</f>
        <v/>
      </c>
      <c r="K11" s="551">
        <f>'3.3 FTE View'!$M$31</f>
        <v>1.9</v>
      </c>
      <c r="L11" s="551">
        <f>'3.3 FTE View'!$N$31</f>
        <v>1.3212206359999998</v>
      </c>
      <c r="M11" s="551">
        <f>(SUMIFS('Added data'!$AA:$AA,'Added data'!$AC:$AC,'1.2 Customer'!$B$2,'Added data'!$AE:$AE,$B11,'Added data'!$AG:$AG,"Filled")+SUMIFS(F79:F91,E79:E91,"Hire")+0.4*SUMIFS(F79:F91,E79:E91,"Offshore"))/1000000</f>
        <v>0.543439386</v>
      </c>
      <c r="N11" s="551">
        <f>M11-K11</f>
        <v>-1.356560614</v>
      </c>
      <c r="O11" s="552" t="str">
        <f>'3.3 FTE View'!$F$31</f>
        <v>M</v>
      </c>
    </row>
    <row r="12">
      <c r="B12" s="417" t="inlineStr">
        <is>
          <t>EGI Customer</t>
        </is>
      </c>
      <c r="C12" s="567" t="str">
        <f>'3.3 FTE View'!$E$34</f>
        <v>Strategic Programs</v>
      </c>
      <c r="D12" s="902" t="str">
        <f>'3.3 FTE View'!$G$34</f>
        <v>-</v>
      </c>
      <c r="E12" s="425">
        <f>COUNTIFS(Squads!$N:$N,"Customer",Squads!$P:$P,"EGI Customer",Squads!$R:$R,"Filled")</f>
        <v>9.0</v>
      </c>
      <c r="F12" s="425">
        <f>COUNTIFS(Squads!$N:$N,"Customer",Squads!$P:$P,"EGI Customer",Squads!$R:$R,"Vacant")</f>
        <v>0.0</v>
      </c>
      <c r="G12" s="603">
        <f>COUNTIF(E93:E101,"Hire")</f>
        <v>0.0</v>
      </c>
      <c r="H12" s="442">
        <f>F12-G12-COUNTIF(E93:E101,"Offshore")</f>
        <v>0.0</v>
      </c>
      <c r="I12" s="902" t="str">
        <f>IFERROR(E12+G12-D12,"-")</f>
        <v>-</v>
      </c>
      <c r="J12" s="417" t="str">
        <f>IF(ISNUMBER(D12),IF(E12&gt;D12,"Filled already over archetype",IF(E12+G12&gt;D12,"Over archetype after hire calls","")),"Outside the archetype model - no target set")</f>
        <v>Outside the archetype model - no target set</v>
      </c>
      <c r="K12" s="551">
        <f>'3.3 FTE View'!$M$34</f>
        <v>0.0</v>
      </c>
      <c r="L12" s="551">
        <f>'3.3 FTE View'!$N$34</f>
        <v>2.25609783</v>
      </c>
      <c r="M12" s="551">
        <f>(SUMIFS('Added data'!$AA:$AA,'Added data'!$AC:$AC,'1.2 Customer'!$B$2,'Added data'!$AE:$AE,$B12,'Added data'!$AG:$AG,"Filled")+SUMIFS(F93:F101,E93:E101,"Hire")+0.4*SUMIFS(F93:F101,E93:E101,"Offshore"))/1000000</f>
        <v>2.25609783</v>
      </c>
      <c r="N12" s="551">
        <f>M12-K12</f>
        <v>2.25609783</v>
      </c>
      <c r="O12" s="552">
        <f>'3.3 FTE View'!$F$34</f>
        <v>0.0</v>
      </c>
    </row>
    <row r="13">
      <c r="B13" s="419" t="inlineStr">
        <is>
          <t>Total</t>
        </is>
      </c>
      <c r="D13" s="903">
        <f>SUM(D6:D12)</f>
        <v>52.5</v>
      </c>
      <c r="E13" s="431">
        <f>SUM(E6:E12)</f>
        <v>59.0</v>
      </c>
      <c r="F13" s="431">
        <f>SUM(F6:F12)</f>
        <v>15.0</v>
      </c>
      <c r="G13" s="431">
        <f>SUM(G6:G12)</f>
        <v>3.0</v>
      </c>
      <c r="H13" s="431">
        <f>SUM(H6:H12)</f>
        <v>12.0</v>
      </c>
      <c r="I13" s="903">
        <f>IF(COUNT(I6:I12)=0,"-",SUM(I6:I12))</f>
        <v>0.5</v>
      </c>
      <c r="K13" s="553">
        <f>SUM(K6:K12)</f>
        <v>12.1</v>
      </c>
      <c r="L13" s="553">
        <f>SUM(L6:L12)</f>
        <v>13.79917977</v>
      </c>
      <c r="M13" s="553">
        <f>SUM(M6:M12)</f>
        <v>12.279569592058822</v>
      </c>
      <c r="N13" s="553">
        <f>SUM(N6:N12)</f>
        <v>0.1795695920588236</v>
      </c>
      <c r="O13" s="604" t="str">
        <f>"-"</f>
        <v>-</v>
      </c>
    </row>
    <row r="14">
      <c r="B14" s="471" t="inlineStr">
        <is>
          <t>Cost to hire all vacancies ($m)</t>
        </is>
      </c>
      <c r="C14" s="474">
        <f>SUM(F21:F101)/1000000</f>
        <v>3.0248743212366893</v>
      </c>
    </row>
    <row r="15">
      <c r="B15" s="471" t="inlineStr">
        <is>
          <t>Cost of roles marked Hire ($m)</t>
        </is>
      </c>
      <c r="C15" s="474">
        <f>SUMIF(E21:E101,"Hire",F21:F101)/1000000</f>
        <v>0.6602554720588234</v>
      </c>
    </row>
    <row r="16">
      <c r="B16" s="417" t="n"/>
    </row>
    <row r="17">
      <c r="B17" s="417" t="inlineStr">
        <is>
          <t>Leadership roles are funded via the portfolio overheads and sit on 3.3 FTE View, not here.</t>
        </is>
      </c>
    </row>
    <row r="18">
      <c r="B18" s="570" t="inlineStr">
        <is>
          <t>vs archetype: positive = over the allowance, negative = under.</t>
        </is>
      </c>
    </row>
    <row r="19">
      <c r="B19" s="605" t="str">
        <f>CONCATENATE('1.2 Customer'!$B$2," FTE")</f>
        <v>Customer FTE</v>
      </c>
      <c r="C19" s="606" t="n"/>
      <c r="D19" s="606" t="n"/>
      <c r="E19" s="606" t="n"/>
      <c r="F19" s="606" t="n"/>
      <c r="G19" s="607" t="n"/>
      <c r="H19" s="607" t="n"/>
      <c r="I19" s="607" t="n"/>
      <c r="J19" s="607" t="n"/>
    </row>
    <row r="20">
      <c r="B20" s="424" t="inlineStr">
        <is>
          <t>Name</t>
        </is>
      </c>
      <c r="C20" s="424" t="inlineStr">
        <is>
          <t>Role</t>
        </is>
      </c>
      <c r="D20" s="424" t="inlineStr">
        <is>
          <t>Status</t>
        </is>
      </c>
      <c r="E20" s="424" t="inlineStr">
        <is>
          <t>Vacancy lever</t>
        </is>
      </c>
      <c r="F20" s="424" t="inlineStr">
        <is>
          <t>Cost if hired ($)</t>
        </is>
      </c>
    </row>
    <row r="21">
      <c r="B21" s="448" t="inlineStr">
        <is>
          <t>Ampol App</t>
        </is>
      </c>
      <c r="C21" s="449" t="n"/>
      <c r="D21" s="449" t="n"/>
      <c r="E21" s="449" t="n"/>
    </row>
    <row r="22">
      <c r="B22" s="417" t="str">
        <f>Squads!$B$118</f>
        <v>Ethan Laffan</v>
      </c>
      <c r="C22" s="417" t="str">
        <f>SUBSTITUTE(SUBSTITUTE(Squads!$C$118,"–","-"),"—","-")</f>
        <v>Associate Experience Designer</v>
      </c>
      <c r="D22" s="425" t="str">
        <f>Squads!$R$118</f>
        <v>Filled</v>
      </c>
    </row>
    <row r="23">
      <c r="B23" s="417" t="str">
        <f>Squads!$B$119</f>
        <v>Alisha Allport</v>
      </c>
      <c r="C23" s="417" t="str">
        <f>SUBSTITUTE(SUBSTITUTE(Squads!$C$119,"–","-"),"—","-")</f>
        <v>Principal Experience Designer</v>
      </c>
      <c r="D23" s="425" t="str">
        <f>Squads!$R$119</f>
        <v>Filled</v>
      </c>
    </row>
    <row r="24">
      <c r="B24" s="417" t="str">
        <f>Squads!$B$121</f>
        <v>Maria Salman</v>
      </c>
      <c r="C24" s="417" t="str">
        <f>SUBSTITUTE(SUBSTITUTE(Squads!$C$121,"–","-"),"—","-")</f>
        <v>Experience Designer</v>
      </c>
      <c r="D24" s="425" t="str">
        <f>Squads!$R$121</f>
        <v>Filled</v>
      </c>
    </row>
    <row r="25">
      <c r="B25" s="417" t="str">
        <f>Squads!$B$134</f>
        <v>Raj Ganesan</v>
      </c>
      <c r="C25" s="417" t="str">
        <f>SUBSTITUTE(SUBSTITUTE(Squads!$C$134,"–","-"),"—","-")</f>
        <v>Engineer - Mobile (ios)</v>
      </c>
      <c r="D25" s="425" t="str">
        <f>Squads!$R$134</f>
        <v>Filled</v>
      </c>
    </row>
    <row r="26">
      <c r="B26" s="417" t="str">
        <f>Squads!$B$138</f>
        <v>Annabel Phu</v>
      </c>
      <c r="C26" s="417" t="str">
        <f>SUBSTITUTE(SUBSTITUTE(Squads!$C$138,"–","-"),"—","-")</f>
        <v>Engineer - Mobile</v>
      </c>
      <c r="D26" s="425" t="str">
        <f>Squads!$R$138</f>
        <v>Filled</v>
      </c>
    </row>
    <row r="27">
      <c r="B27" s="417" t="str">
        <f>Squads!$B$139</f>
        <v>Binumon Mathai</v>
      </c>
      <c r="C27" s="417" t="str">
        <f>SUBSTITUTE(SUBSTITUTE(Squads!$C$139,"–","-"),"—","-")</f>
        <v>Senior Quality Assurance</v>
      </c>
      <c r="D27" s="425" t="str">
        <f>Squads!$R$139</f>
        <v>Filled</v>
      </c>
    </row>
    <row r="28">
      <c r="B28" s="417" t="str">
        <f>Squads!$B$140</f>
        <v>Sheetal Karkera</v>
      </c>
      <c r="C28" s="417" t="str">
        <f>SUBSTITUTE(SUBSTITUTE(Squads!$C$140,"–","-"),"—","-")</f>
        <v>Lead Engineer - Mobile</v>
      </c>
      <c r="D28" s="425" t="str">
        <f>Squads!$R$140</f>
        <v>Filled</v>
      </c>
    </row>
    <row r="29">
      <c r="B29" s="417" t="str">
        <f>Squads!$B$141</f>
        <v>Toby Clark</v>
      </c>
      <c r="C29" s="417" t="str">
        <f>SUBSTITUTE(SUBSTITUTE(Squads!$C$141,"–","-"),"—","-")</f>
        <v>Engineer - Mobile (iOS)</v>
      </c>
      <c r="D29" s="425" t="str">
        <f>Squads!$R$141</f>
        <v>Filled</v>
      </c>
    </row>
    <row r="30">
      <c r="B30" s="417" t="str">
        <f>Squads!$B$146</f>
        <v>Phillip Kewley</v>
      </c>
      <c r="C30" s="417" t="str">
        <f>SUBSTITUTE(SUBSTITUTE(Squads!$C$146,"–","-"),"—","-")</f>
        <v>Quality Assurance</v>
      </c>
      <c r="D30" s="425" t="str">
        <f>Squads!$R$146</f>
        <v>Filled</v>
      </c>
    </row>
    <row r="31">
      <c r="B31" s="417" t="str">
        <f>Squads!$B$169</f>
        <v>Khalid Mahmud</v>
      </c>
      <c r="C31" s="417" t="str">
        <f>SUBSTITUTE(SUBSTITUTE(Squads!$C$169,"–","-"),"—","-")</f>
        <v>Lead Engineer - BE</v>
      </c>
      <c r="D31" s="425" t="str">
        <f>Squads!$R$169</f>
        <v>Filled</v>
      </c>
    </row>
    <row r="32">
      <c r="B32" s="417" t="str">
        <f>Squads!$B$181</f>
        <v>Penny Pennisi</v>
      </c>
      <c r="C32" s="417" t="str">
        <f>SUBSTITUTE(SUBSTITUTE(Squads!$C$181,"–","-"),"—","-")</f>
        <v>Delivery Lead</v>
      </c>
      <c r="D32" s="425" t="str">
        <f>Squads!$R$181</f>
        <v>Filled</v>
      </c>
    </row>
    <row r="33">
      <c r="B33" s="417" t="str">
        <f>Squads!$B$198</f>
        <v>Vacant</v>
      </c>
      <c r="C33" s="417" t="str">
        <f>SUBSTITUTE(SUBSTITUTE(Squads!$C$198,"–","-"),"—","-")</f>
        <v>Senior Engineer - BE</v>
      </c>
      <c r="D33" s="425" t="str">
        <f>Squads!$R$198</f>
        <v>Vacant</v>
      </c>
      <c r="E33" s="481" t="inlineStr">
        <is>
          <t>Hire</t>
        </is>
      </c>
      <c r="F33" s="904">
        <f>SUMIF('Added data'!$C$2:$C$549,Squads!$C$198,'Added data'!$AA$2:$AA$549)/COUNTIF('Added data'!$C$2:$C$549,Squads!$C$198)</f>
        <v>216043.05</v>
      </c>
    </row>
    <row r="34">
      <c r="B34" s="417" t="str">
        <f>Squads!$B$199</f>
        <v>Anup Antony</v>
      </c>
      <c r="C34" s="417" t="str">
        <f>SUBSTITUTE(SUBSTITUTE(Squads!$C$199,"–","-"),"—","-")</f>
        <v>Engineer - BE</v>
      </c>
      <c r="D34" s="425" t="str">
        <f>Squads!$R$199</f>
        <v>Filled</v>
      </c>
    </row>
    <row r="35">
      <c r="B35" s="417" t="str">
        <f>Squads!$B$426</f>
        <v>Marcela Gonzalez</v>
      </c>
      <c r="C35" s="417" t="str">
        <f>SUBSTITUTE(SUBSTITUTE(Squads!$C$426,"–","-"),"—","-")</f>
        <v>Energy Platforms Lead</v>
      </c>
      <c r="D35" s="425" t="str">
        <f>Squads!$R$426</f>
        <v>Filled</v>
      </c>
    </row>
    <row r="36">
      <c r="B36" s="448" t="inlineStr">
        <is>
          <t>Ampol Web</t>
        </is>
      </c>
      <c r="C36" s="449" t="n"/>
      <c r="D36" s="449" t="n"/>
      <c r="E36" s="449" t="n"/>
    </row>
    <row r="37">
      <c r="B37" s="417" t="str">
        <f>Squads!$B$122</f>
        <v>Adam Anticaglia</v>
      </c>
      <c r="C37" s="417" t="str">
        <f>SUBSTITUTE(SUBSTITUTE(Squads!$C$122,"–","-"),"—","-")</f>
        <v>Experience Designer (CMS)</v>
      </c>
      <c r="D37" s="425" t="str">
        <f>Squads!$R$122</f>
        <v>Filled</v>
      </c>
    </row>
    <row r="38">
      <c r="B38" s="417" t="str">
        <f>Squads!$B$136</f>
        <v>Jordan Askwith</v>
      </c>
      <c r="C38" s="417" t="str">
        <f>SUBSTITUTE(SUBSTITUTE(Squads!$C$136,"–","-"),"—","-")</f>
        <v>Solution Architect</v>
      </c>
      <c r="D38" s="425" t="str">
        <f>Squads!$R$136</f>
        <v>Filled</v>
      </c>
    </row>
    <row r="39">
      <c r="B39" s="417" t="str">
        <f>Squads!$B$145</f>
        <v>Ashwini Gaikwad</v>
      </c>
      <c r="C39" s="417" t="str">
        <f>SUBSTITUTE(SUBSTITUTE(Squads!$C$145,"–","-"),"—","-")</f>
        <v>Quality Assurance</v>
      </c>
      <c r="D39" s="425" t="str">
        <f>Squads!$R$145</f>
        <v>Filled</v>
      </c>
    </row>
    <row r="40">
      <c r="B40" s="417" t="str">
        <f>Squads!$B$156</f>
        <v>Aaron Lu</v>
      </c>
      <c r="C40" s="417" t="str">
        <f>SUBSTITUTE(SUBSTITUTE(Squads!$C$156,"–","-"),"—","-")</f>
        <v>Engineer - BE</v>
      </c>
      <c r="D40" s="425" t="str">
        <f>Squads!$R$156</f>
        <v>Filled</v>
      </c>
    </row>
    <row r="41">
      <c r="B41" s="417" t="str">
        <f>Squads!$B$163</f>
        <v>Zohan Sim</v>
      </c>
      <c r="C41" s="417" t="str">
        <f>SUBSTITUTE(SUBSTITUTE(Squads!$C$163,"–","-"),"—","-")</f>
        <v>Engineer - BE</v>
      </c>
      <c r="D41" s="425" t="str">
        <f>Squads!$R$163</f>
        <v>Filled</v>
      </c>
    </row>
    <row r="42">
      <c r="B42" s="417" t="str">
        <f>Squads!$B$171</f>
        <v>Vacant</v>
      </c>
      <c r="C42" s="417" t="str">
        <f>SUBSTITUTE(SUBSTITUTE(Squads!$C$171,"–","-"),"—","-")</f>
        <v>Snr Engineer - BE</v>
      </c>
      <c r="D42" s="425" t="str">
        <f>Squads!$R$171</f>
        <v>Vacant</v>
      </c>
      <c r="E42" s="481" t="inlineStr">
        <is>
          <t>Hire</t>
        </is>
      </c>
      <c r="F42" s="904">
        <f>SUMIF('Added data'!$C$2:$C$549,Squads!$C$171,'Added data'!$AA$2:$AA$549)/COUNTIF('Added data'!$C$2:$C$549,Squads!$C$171)</f>
        <v>203709.525</v>
      </c>
    </row>
    <row r="43">
      <c r="B43" s="417" t="str">
        <f>Squads!$B$174</f>
        <v>Darwin Morales</v>
      </c>
      <c r="C43" s="417" t="str">
        <f>SUBSTITUTE(SUBSTITUTE(Squads!$C$174,"–","-"),"—","-")</f>
        <v>Snr Engineer - FE</v>
      </c>
      <c r="D43" s="425" t="str">
        <f>Squads!$R$174</f>
        <v>Filled</v>
      </c>
    </row>
    <row r="44">
      <c r="B44" s="417" t="str">
        <f>Squads!$B$182</f>
        <v>Saugata Acharya</v>
      </c>
      <c r="C44" s="417" t="str">
        <f>SUBSTITUTE(SUBSTITUTE(Squads!$C$182,"–","-"),"—","-")</f>
        <v>Delivery Lead</v>
      </c>
      <c r="D44" s="425" t="str">
        <f>Squads!$R$182</f>
        <v>Filled</v>
      </c>
    </row>
    <row r="45">
      <c r="B45" s="417" t="str">
        <f>Squads!$B$185</f>
        <v>Lily Fong</v>
      </c>
      <c r="C45" s="417" t="str">
        <f>SUBSTITUTE(SUBSTITUTE(Squads!$C$185,"–","-"),"—","-")</f>
        <v>Snr Business Analyst</v>
      </c>
      <c r="D45" s="425" t="str">
        <f>Squads!$R$185</f>
        <v>Filled</v>
      </c>
    </row>
    <row r="46">
      <c r="B46" s="417" t="str">
        <f>Squads!$B$192</f>
        <v>Jin Zhong</v>
      </c>
      <c r="C46" s="417" t="str">
        <f>SUBSTITUTE(SUBSTITUTE(Squads!$C$192,"–","-"),"—","-")</f>
        <v>Lead Engineer - BE</v>
      </c>
      <c r="D46" s="425" t="str">
        <f>Squads!$R$192</f>
        <v>Filled</v>
      </c>
    </row>
    <row r="47">
      <c r="B47" s="448" t="inlineStr">
        <is>
          <t>Digital Operations</t>
        </is>
      </c>
      <c r="C47" s="449" t="n"/>
      <c r="D47" s="449" t="n"/>
      <c r="E47" s="449" t="n"/>
    </row>
    <row r="48">
      <c r="B48" s="417" t="str">
        <f>Squads!$B$132</f>
        <v>Daniel Arban</v>
      </c>
      <c r="C48" s="417" t="str">
        <f>SUBSTITUTE(SUBSTITUTE(Squads!$C$132,"–","-"),"—","-")</f>
        <v>Service Delivery Lead</v>
      </c>
      <c r="D48" s="425" t="str">
        <f>Squads!$R$132</f>
        <v>Filled</v>
      </c>
    </row>
    <row r="49">
      <c r="B49" s="417" t="str">
        <f>Squads!$B$133</f>
        <v>Emile Violi</v>
      </c>
      <c r="C49" s="417" t="str">
        <f>SUBSTITUTE(SUBSTITUTE(Squads!$C$133,"–","-"),"—","-")</f>
        <v>Engineer - BE</v>
      </c>
      <c r="D49" s="425" t="str">
        <f>Squads!$R$133</f>
        <v>Filled</v>
      </c>
    </row>
    <row r="50">
      <c r="B50" s="417" t="str">
        <f>Squads!$B$135</f>
        <v>Shreema Das</v>
      </c>
      <c r="C50" s="417" t="str">
        <f>SUBSTITUTE(SUBSTITUTE(Squads!$C$135,"–","-"),"—","-")</f>
        <v>Solution Architect</v>
      </c>
      <c r="D50" s="425" t="str">
        <f>Squads!$R$135</f>
        <v>Filled</v>
      </c>
    </row>
    <row r="51">
      <c r="B51" s="417" t="str">
        <f>Squads!$B$162</f>
        <v>Mark Wilson</v>
      </c>
      <c r="C51" s="417" t="str">
        <f>SUBSTITUTE(SUBSTITUTE(Squads!$C$162,"–","-"),"—","-")</f>
        <v>Digital Support Manager (AU)</v>
      </c>
      <c r="D51" s="425" t="str">
        <f>Squads!$R$162</f>
        <v>Filled</v>
      </c>
    </row>
    <row r="52">
      <c r="B52" s="417" t="str">
        <f>Squads!$B$164</f>
        <v>Vacant</v>
      </c>
      <c r="C52" s="417" t="str">
        <f>SUBSTITUTE(SUBSTITUTE(Squads!$C$164,"–","-"),"—","-")</f>
        <v>Engineer - BE</v>
      </c>
      <c r="D52" s="425" t="str">
        <f>Squads!$R$164</f>
        <v>Vacant</v>
      </c>
      <c r="E52" s="481" t="inlineStr">
        <is>
          <t>Hold</t>
        </is>
      </c>
      <c r="F52" s="904">
        <f>SUMIF('Added data'!$C$2:$C$549,Squads!$C$164,'Added data'!$AA$2:$AA$549)/COUNTIF('Added data'!$C$2:$C$549,Squads!$C$164)</f>
        <v>221784.0790909091</v>
      </c>
    </row>
    <row r="53">
      <c r="B53" s="417" t="str">
        <f>Squads!$B$167</f>
        <v>Vacant</v>
      </c>
      <c r="C53" s="417" t="str">
        <f>SUBSTITUTE(SUBSTITUTE(Squads!$C$167,"–","-"),"—","-")</f>
        <v>Engineer - BE</v>
      </c>
      <c r="D53" s="425" t="str">
        <f>Squads!$R$167</f>
        <v>Vacant</v>
      </c>
      <c r="E53" s="481" t="inlineStr">
        <is>
          <t>Hold</t>
        </is>
      </c>
      <c r="F53" s="904">
        <f>SUMIF('Added data'!$C$2:$C$549,Squads!$C$167,'Added data'!$AA$2:$AA$549)/COUNTIF('Added data'!$C$2:$C$549,Squads!$C$167)</f>
        <v>221784.0790909091</v>
      </c>
    </row>
    <row r="54">
      <c r="B54" s="417" t="str">
        <f>Squads!$B$184</f>
        <v>Vacant</v>
      </c>
      <c r="C54" s="417" t="str">
        <f>SUBSTITUTE(SUBSTITUTE(Squads!$C$184,"–","-"),"—","-")</f>
        <v>Quality Assurance</v>
      </c>
      <c r="D54" s="425" t="str">
        <f>Squads!$R$184</f>
        <v>Vacant</v>
      </c>
      <c r="E54" s="481" t="inlineStr">
        <is>
          <t>Hold</t>
        </is>
      </c>
      <c r="F54" s="904">
        <f>SUMIF('Added data'!$C$2:$C$549,Squads!$C$184,'Added data'!$AA$2:$AA$549)/COUNTIF('Added data'!$C$2:$C$549,Squads!$C$184)</f>
        <v>169798.89904347828</v>
      </c>
    </row>
    <row r="55">
      <c r="B55" s="448" t="inlineStr">
        <is>
          <t>Z Energy Apps</t>
        </is>
      </c>
      <c r="C55" s="449" t="n"/>
      <c r="D55" s="449" t="n"/>
      <c r="E55" s="449" t="n"/>
    </row>
    <row r="56">
      <c r="B56" s="417" t="str">
        <f>Squads!$B$116</f>
        <v>Sam Turnball</v>
      </c>
      <c r="C56" s="417" t="str">
        <f>SUBSTITUTE(SUBSTITUTE(Squads!$C$116,"–","-"),"—","-")</f>
        <v>Associate Experience Designer</v>
      </c>
      <c r="D56" s="425" t="str">
        <f>Squads!$R$116</f>
        <v>Filled</v>
      </c>
    </row>
    <row r="57">
      <c r="B57" s="417" t="str">
        <f>Squads!$B$117</f>
        <v>Ants Jackson</v>
      </c>
      <c r="C57" s="417" t="str">
        <f>SUBSTITUTE(SUBSTITUTE(Squads!$C$117,"–","-"),"—","-")</f>
        <v>Experience Designer</v>
      </c>
      <c r="D57" s="425" t="str">
        <f>Squads!$R$117</f>
        <v>Filled</v>
      </c>
    </row>
    <row r="58">
      <c r="B58" s="417" t="str">
        <f>Squads!$B$120</f>
        <v>Tim Corin</v>
      </c>
      <c r="C58" s="417" t="str">
        <f>SUBSTITUTE(SUBSTITUTE(Squads!$C$120,"–","-"),"—","-")</f>
        <v>Experience Designer</v>
      </c>
      <c r="D58" s="425" t="str">
        <f>Squads!$R$120</f>
        <v>Filled</v>
      </c>
    </row>
    <row r="59">
      <c r="B59" s="417" t="str">
        <f>Squads!$B$161</f>
        <v>Shane Abrahams</v>
      </c>
      <c r="C59" s="417" t="str">
        <f>SUBSTITUTE(SUBSTITUTE(Squads!$C$161,"–","-"),"—","-")</f>
        <v>Digital Support Manager - NZ</v>
      </c>
      <c r="D59" s="425" t="str">
        <f>Squads!$R$161</f>
        <v>Filled</v>
      </c>
    </row>
    <row r="60">
      <c r="B60" s="417" t="str">
        <f>Squads!$B$193</f>
        <v>James Nicolle</v>
      </c>
      <c r="C60" s="417" t="str">
        <f>SUBSTITUTE(SUBSTITUTE(Squads!$C$193,"–","-"),"—","-")</f>
        <v>Delivery Lead</v>
      </c>
      <c r="D60" s="425" t="str">
        <f>Squads!$R$193</f>
        <v>Filled</v>
      </c>
    </row>
    <row r="61">
      <c r="B61" s="448" t="inlineStr">
        <is>
          <t>Z Energy Martech</t>
        </is>
      </c>
      <c r="C61" s="449" t="n"/>
      <c r="D61" s="449" t="n"/>
      <c r="E61" s="449" t="n"/>
    </row>
    <row r="62">
      <c r="B62" s="417" t="str">
        <f>Squads!$B$127</f>
        <v>Kaye Javier</v>
      </c>
      <c r="C62" s="417" t="str">
        <f>SUBSTITUTE(SUBSTITUTE(Squads!$C$127,"–","-"),"—","-")</f>
        <v>QA Analyst</v>
      </c>
      <c r="D62" s="425" t="str">
        <f>Squads!$R$127</f>
        <v>Filled</v>
      </c>
    </row>
    <row r="63">
      <c r="B63" s="417" t="str">
        <f>Squads!$B$128</f>
        <v>Bharat Talreja</v>
      </c>
      <c r="C63" s="417" t="str">
        <f>SUBSTITUTE(SUBSTITUTE(Squads!$C$128,"–","-"),"—","-")</f>
        <v>Marketing Technology Lead</v>
      </c>
      <c r="D63" s="425" t="str">
        <f>Squads!$R$128</f>
        <v>Filled</v>
      </c>
    </row>
    <row r="64">
      <c r="B64" s="417" t="str">
        <f>Squads!$B$129</f>
        <v>Vacant</v>
      </c>
      <c r="C64" s="417" t="str">
        <f>SUBSTITUTE(SUBSTITUTE(Squads!$C$129,"–","-"),"—","-")</f>
        <v>Solution Architect</v>
      </c>
      <c r="D64" s="425" t="str">
        <f>Squads!$R$129</f>
        <v>Vacant</v>
      </c>
      <c r="E64" s="481" t="inlineStr">
        <is>
          <t>Hire</t>
        </is>
      </c>
      <c r="F64" s="904">
        <f>SUMIF('Added data'!$C$2:$C$549,Squads!$C$129,'Added data'!$AA$2:$AA$549)/COUNTIF('Added data'!$C$2:$C$549,Squads!$C$129)</f>
        <v>240502.89705882352</v>
      </c>
    </row>
    <row r="65">
      <c r="B65" s="417" t="str">
        <f>Squads!$B$130</f>
        <v>Kishore Ganesan</v>
      </c>
      <c r="C65" s="417" t="str">
        <f>SUBSTITUTE(SUBSTITUTE(Squads!$C$130,"–","-"),"—","-")</f>
        <v>Intermediate Quality Assurance</v>
      </c>
      <c r="D65" s="425" t="str">
        <f>Squads!$R$130</f>
        <v>Filled</v>
      </c>
    </row>
    <row r="66">
      <c r="B66" s="417" t="str">
        <f>Squads!$B$131</f>
        <v>Carianne Monast</v>
      </c>
      <c r="C66" s="417" t="str">
        <f>SUBSTITUTE(SUBSTITUTE(Squads!$C$131,"–","-"),"—","-")</f>
        <v>Martech Specialist</v>
      </c>
      <c r="D66" s="425" t="str">
        <f>Squads!$R$131</f>
        <v>Filled</v>
      </c>
    </row>
    <row r="67">
      <c r="B67" s="417" t="str">
        <f>Squads!$B$147</f>
        <v>Celia Voysey</v>
      </c>
      <c r="C67" s="417" t="str">
        <f>SUBSTITUTE(SUBSTITUTE(Squads!$C$147,"–","-"),"—","-")</f>
        <v>Delivery Lead</v>
      </c>
      <c r="D67" s="425" t="str">
        <f>Squads!$R$147</f>
        <v>Filled</v>
      </c>
    </row>
    <row r="68">
      <c r="B68" s="417" t="str">
        <f>Squads!$B$150</f>
        <v>Denise Esguerra</v>
      </c>
      <c r="C68" s="417" t="str">
        <f>SUBSTITUTE(SUBSTITUTE(Squads!$C$150,"–","-"),"—","-")</f>
        <v>Martech Specialist</v>
      </c>
      <c r="D68" s="425" t="str">
        <f>Squads!$R$150</f>
        <v>Filled</v>
      </c>
    </row>
    <row r="69">
      <c r="B69" s="417" t="str">
        <f>Squads!$B$168</f>
        <v>Scott Cullen</v>
      </c>
      <c r="C69" s="417" t="str">
        <f>SUBSTITUTE(SUBSTITUTE(Squads!$C$168,"–","-"),"—","-")</f>
        <v>Engineer, Dev Ops</v>
      </c>
      <c r="D69" s="425" t="str">
        <f>Squads!$R$168</f>
        <v>Filled</v>
      </c>
    </row>
    <row r="70">
      <c r="B70" s="417" t="str">
        <f>Squads!$B$177</f>
        <v>anthonty gen</v>
      </c>
      <c r="C70" s="417" t="str">
        <f>SUBSTITUTE(SUBSTITUTE(Squads!$C$177,"–","-"),"—","-")</f>
        <v>Data Analyst</v>
      </c>
      <c r="D70" s="425" t="str">
        <f>Squads!$R$177</f>
        <v>Filled</v>
      </c>
    </row>
    <row r="71">
      <c r="B71" s="417" t="str">
        <f>Squads!$B$180</f>
        <v>Vacant</v>
      </c>
      <c r="C71" s="417" t="str">
        <f>SUBSTITUTE(SUBSTITUTE(Squads!$C$180,"–","-"),"—","-")</f>
        <v>Snr Engineer, Data</v>
      </c>
      <c r="D71" s="425" t="str">
        <f>Squads!$R$180</f>
        <v>Vacant</v>
      </c>
      <c r="E71" s="481" t="inlineStr">
        <is>
          <t>Hold</t>
        </is>
      </c>
      <c r="F71" s="904">
        <f>SUMIF('Added data'!$C$2:$C$549,Squads!$C$180,'Added data'!$AA$2:$AA$549)/COUNTIF('Added data'!$C$2:$C$549,Squads!$C$180)</f>
        <v>202853.25</v>
      </c>
    </row>
    <row r="72">
      <c r="B72" s="417" t="str">
        <f>Squads!$B$183</f>
        <v>Kellie Gathergood</v>
      </c>
      <c r="C72" s="417" t="str">
        <f>SUBSTITUTE(SUBSTITUTE(Squads!$C$183,"–","-"),"—","-")</f>
        <v>Lead Quality Assurance</v>
      </c>
      <c r="D72" s="425" t="str">
        <f>Squads!$R$183</f>
        <v>Filled</v>
      </c>
    </row>
    <row r="73">
      <c r="B73" s="417" t="str">
        <f>Squads!$B$191</f>
        <v>Nimi Rose</v>
      </c>
      <c r="C73" s="417" t="str">
        <f>SUBSTITUTE(SUBSTITUTE(Squads!$C$191,"–","-"),"—","-")</f>
        <v>Marketing Technology Lead</v>
      </c>
      <c r="D73" s="425" t="str">
        <f>Squads!$R$191</f>
        <v>Filled</v>
      </c>
    </row>
    <row r="74">
      <c r="B74" s="417" t="str">
        <f>Squads!$B$194</f>
        <v>Vacant</v>
      </c>
      <c r="C74" s="417" t="str">
        <f>SUBSTITUTE(SUBSTITUTE(Squads!$C$194,"–","-"),"—","-")</f>
        <v>Engineer, Software</v>
      </c>
      <c r="D74" s="425" t="str">
        <f>Squads!$R$194</f>
        <v>Vacant</v>
      </c>
      <c r="E74" s="481" t="inlineStr">
        <is>
          <t>Hold</t>
        </is>
      </c>
      <c r="F74" s="904">
        <f>SUMIF('Added data'!$C$2:$C$549,Squads!$C$194,'Added data'!$AA$2:$AA$549)/COUNTIF('Added data'!$C$2:$C$549,Squads!$C$194)</f>
        <v>202853.25</v>
      </c>
    </row>
    <row r="75">
      <c r="B75" s="417" t="str">
        <f>Squads!$B$195</f>
        <v>Megan Rodgers</v>
      </c>
      <c r="C75" s="417" t="str">
        <f>SUBSTITUTE(SUBSTITUTE(Squads!$C$195,"–","-"),"—","-")</f>
        <v>Business Analyst</v>
      </c>
      <c r="D75" s="425" t="str">
        <f>Squads!$R$195</f>
        <v>Filled</v>
      </c>
    </row>
    <row r="76">
      <c r="B76" s="417" t="str">
        <f>Squads!$B$196</f>
        <v>Yash Thakkar</v>
      </c>
      <c r="C76" s="417" t="str">
        <f>SUBSTITUTE(SUBSTITUTE(Squads!$C$196,"–","-"),"—","-")</f>
        <v>Martech Specialist</v>
      </c>
      <c r="D76" s="425" t="str">
        <f>Squads!$R$196</f>
        <v>Filled</v>
      </c>
    </row>
    <row r="77">
      <c r="B77" s="417" t="str">
        <f>Squads!$B$202</f>
        <v>Jordan Kettles</v>
      </c>
      <c r="C77" s="417" t="str">
        <f>SUBSTITUTE(SUBSTITUTE(Squads!$C$202,"–","-"),"—","-")</f>
        <v>Engineer, Sotware</v>
      </c>
      <c r="D77" s="425" t="str">
        <f>Squads!$R$202</f>
        <v>Filled</v>
      </c>
    </row>
    <row r="78">
      <c r="B78" s="448" t="inlineStr">
        <is>
          <t>AU CRM &amp; Martech</t>
        </is>
      </c>
      <c r="C78" s="449" t="n"/>
      <c r="D78" s="449" t="n"/>
      <c r="E78" s="449" t="n"/>
    </row>
    <row r="79">
      <c r="B79" s="417" t="str">
        <f>Squads!$B$148</f>
        <v>Vacant</v>
      </c>
      <c r="C79" s="417" t="str">
        <f>SUBSTITUTE(SUBSTITUTE(Squads!$C$148,"–","-"),"—","-")</f>
        <v>System Specialist</v>
      </c>
      <c r="D79" s="425" t="str">
        <f>Squads!$R$148</f>
        <v>Vacant</v>
      </c>
      <c r="E79" s="481" t="inlineStr">
        <is>
          <t>Hold</t>
        </is>
      </c>
      <c r="F79" s="904">
        <f>SUMIF('Added data'!$C$2:$C$549,Squads!$C$148,'Added data'!$AA$2:$AA$549)/COUNTIF('Added data'!$C$2:$C$549,Squads!$C$148)</f>
        <v>197904.0</v>
      </c>
    </row>
    <row r="80">
      <c r="B80" s="417" t="str">
        <f>Squads!$B$149</f>
        <v>Shinal Chamberlain</v>
      </c>
      <c r="C80" s="417" t="str">
        <f>SUBSTITUTE(SUBSTITUTE(Squads!$C$149,"–","-"),"—","-")</f>
        <v>Business Analyst</v>
      </c>
      <c r="D80" s="425" t="str">
        <f>Squads!$R$149</f>
        <v>Filled</v>
      </c>
    </row>
    <row r="81">
      <c r="B81" s="417" t="str">
        <f>Squads!$B$153</f>
        <v>Vacant</v>
      </c>
      <c r="C81" s="417" t="str">
        <f>SUBSTITUTE(SUBSTITUTE(Squads!$C$153,"–","-"),"—","-")</f>
        <v>Engineer Data (Snowflake)</v>
      </c>
      <c r="D81" s="425" t="str">
        <f>Squads!$R$153</f>
        <v>Vacant</v>
      </c>
      <c r="E81" s="481" t="inlineStr">
        <is>
          <t>Hold</t>
        </is>
      </c>
      <c r="F81" s="904">
        <f>SUMIF('Added data'!$C$2:$C$549,Squads!$C$153,'Added data'!$AA$2:$AA$549)/COUNTIF('Added data'!$C$2:$C$549,Squads!$C$153)</f>
        <v>202853.25</v>
      </c>
    </row>
    <row r="82">
      <c r="B82" s="417" t="str">
        <f>Squads!$B$172</f>
        <v>Vacant</v>
      </c>
      <c r="C82" s="417" t="str">
        <f>SUBSTITUTE(SUBSTITUTE(Squads!$C$172,"–","-"),"—","-")</f>
        <v>Data Analyst</v>
      </c>
      <c r="D82" s="425" t="str">
        <f>Squads!$R$172</f>
        <v>Vacant</v>
      </c>
      <c r="E82" s="481" t="inlineStr">
        <is>
          <t>Hold</t>
        </is>
      </c>
      <c r="F82" s="904">
        <f>SUMIF('Added data'!$C$2:$C$549,Squads!$C$172,'Added data'!$AA$2:$AA$549)/COUNTIF('Added data'!$C$2:$C$549,Squads!$C$172)</f>
        <v>178925.75290909092</v>
      </c>
    </row>
    <row r="83">
      <c r="B83" s="417" t="str">
        <f>Squads!$B$173</f>
        <v>Angela Gilbert</v>
      </c>
      <c r="C83" s="417" t="str">
        <f>SUBSTITUTE(SUBSTITUTE(Squads!$C$173,"–","-"),"—","-")</f>
        <v>Martech Lead - Dynamics</v>
      </c>
      <c r="D83" s="425" t="str">
        <f>Squads!$R$173</f>
        <v>Filled</v>
      </c>
    </row>
    <row r="84">
      <c r="B84" s="417" t="str">
        <f>Squads!$B$178</f>
        <v>Jeremy Xu</v>
      </c>
      <c r="C84" s="417" t="str">
        <f>SUBSTITUTE(SUBSTITUTE(Squads!$C$178,"–","-"),"—","-")</f>
        <v>Data Analyst</v>
      </c>
      <c r="D84" s="425" t="str">
        <f>Squads!$R$178</f>
        <v>Filled</v>
      </c>
    </row>
    <row r="85">
      <c r="B85" s="417" t="str">
        <f>Squads!$B$186</f>
        <v>Vacant</v>
      </c>
      <c r="C85" s="417" t="str">
        <f>SUBSTITUTE(SUBSTITUTE(Squads!$C$186,"–","-"),"—","-")</f>
        <v>Quality Assurance</v>
      </c>
      <c r="D85" s="425" t="str">
        <f>Squads!$R$186</f>
        <v>Vacant</v>
      </c>
      <c r="E85" s="481" t="inlineStr">
        <is>
          <t>Hold</t>
        </is>
      </c>
      <c r="F85" s="904">
        <f>SUMIF('Added data'!$C$2:$C$549,Squads!$C$186,'Added data'!$AA$2:$AA$549)/COUNTIF('Added data'!$C$2:$C$549,Squads!$C$186)</f>
        <v>169798.89904347828</v>
      </c>
    </row>
    <row r="86">
      <c r="B86" s="417" t="str">
        <f>Squads!$B$211</f>
        <v>Diya Thomas</v>
      </c>
      <c r="C86" s="417" t="str">
        <f>SUBSTITUTE(SUBSTITUTE(Squads!$C$211,"–","-"),"—","-")</f>
        <v>Manager Cyber Security GRC</v>
      </c>
      <c r="D86" s="425" t="str">
        <f>Squads!$R$211</f>
        <v>Filled</v>
      </c>
    </row>
    <row r="87">
      <c r="B87" s="417" t="str">
        <f>Squads!$B$228</f>
        <v>Vacant</v>
      </c>
      <c r="C87" s="417" t="str">
        <f>SUBSTITUTE(SUBSTITUTE(Squads!$C$228,"–","-"),"—","-")</f>
        <v>Operations Analyst</v>
      </c>
      <c r="D87" s="425" t="str">
        <f>Squads!$R$228</f>
        <v>Vacant</v>
      </c>
      <c r="E87" s="481" t="inlineStr">
        <is>
          <t>Hold</t>
        </is>
      </c>
      <c r="F87" s="904">
        <f>SUMIF('Added data'!$C$2:$C$549,Squads!$C$228,'Added data'!$AA$2:$AA$549)/COUNTIF('Added data'!$C$2:$C$549,Squads!$C$228)</f>
        <v>170489.75</v>
      </c>
    </row>
    <row r="88">
      <c r="B88" s="417" t="str">
        <f>Squads!$B$273</f>
        <v>Vacant</v>
      </c>
      <c r="C88" s="417" t="str">
        <f>SUBSTITUTE(SUBSTITUTE(Squads!$C$273,"–","-"),"—","-")</f>
        <v>Scrum Master</v>
      </c>
      <c r="D88" s="425" t="str">
        <f>Squads!$R$273</f>
        <v>Vacant</v>
      </c>
      <c r="E88" s="481" t="inlineStr">
        <is>
          <t>Hold</t>
        </is>
      </c>
      <c r="F88" s="904">
        <f>SUMIF('Added data'!$C$2:$C$549,Squads!$C$273,'Added data'!$AA$2:$AA$549)/COUNTIF('Added data'!$C$2:$C$549,Squads!$C$273)</f>
        <v>149763.39</v>
      </c>
    </row>
    <row r="89">
      <c r="B89" s="417" t="str">
        <f>Squads!$B$276</f>
        <v>Ruth Chou</v>
      </c>
      <c r="C89" s="417" t="str">
        <f>SUBSTITUTE(SUBSTITUTE(Squads!$C$276,"–","-"),"—","-")</f>
        <v>Portfolio Reporting Manager</v>
      </c>
      <c r="D89" s="425" t="str">
        <f>Squads!$R$276</f>
        <v>Filled</v>
      </c>
    </row>
    <row r="90">
      <c r="B90" s="417" t="str">
        <f>Squads!$B$374</f>
        <v>Hitesh Patel</v>
      </c>
      <c r="C90" s="417" t="str">
        <f>SUBSTITUTE(SUBSTITUTE(Squads!$C$374,"–","-"),"—","-")</f>
        <v>Technology Manager, Energy Solutions</v>
      </c>
      <c r="D90" s="425" t="str">
        <f>Squads!$R$374</f>
        <v>Filled</v>
      </c>
    </row>
    <row r="91">
      <c r="B91" s="417" t="str">
        <f>Squads!$B$376</f>
        <v>Vacant</v>
      </c>
      <c r="C91" s="417" t="str">
        <f>SUBSTITUTE(SUBSTITUTE(Squads!$C$376,"–","-"),"—","-")</f>
        <v>Technology Manager, Engineering</v>
      </c>
      <c r="D91" s="425" t="str">
        <f>Squads!$R$376</f>
        <v>Vacant</v>
      </c>
      <c r="E91" s="481" t="inlineStr">
        <is>
          <t>Hold</t>
        </is>
      </c>
      <c r="F91" s="904">
        <f>SUMIF('Added data'!$C$2:$C$549,Squads!$C$376,'Added data'!$AA$2:$AA$549)/COUNTIF('Added data'!$C$2:$C$549,Squads!$C$376)</f>
        <v>275810.25</v>
      </c>
    </row>
    <row r="92">
      <c r="B92" s="448" t="inlineStr">
        <is>
          <t>EGI Customer</t>
        </is>
      </c>
      <c r="C92" s="449" t="n"/>
      <c r="D92" s="449" t="n"/>
      <c r="E92" s="449" t="n"/>
    </row>
    <row r="93">
      <c r="B93" s="417" t="str">
        <f>Squads!$B$126</f>
        <v>Angie Ng</v>
      </c>
      <c r="C93" s="417" t="str">
        <f>SUBSTITUTE(SUBSTITUTE(Squads!$C$126,"–","-"),"—","-")</f>
        <v>Snr Engineer - BE</v>
      </c>
      <c r="D93" s="425" t="str">
        <f>Squads!$R$126</f>
        <v>Filled</v>
      </c>
    </row>
    <row r="94">
      <c r="B94" s="417" t="str">
        <f>Squads!$B$137</f>
        <v>Ramez Haider</v>
      </c>
      <c r="C94" s="417" t="str">
        <f>SUBSTITUTE(SUBSTITUTE(Squads!$C$137,"–","-"),"—","-")</f>
        <v>Solution Architect</v>
      </c>
      <c r="D94" s="425" t="str">
        <f>Squads!$R$137</f>
        <v>Filled</v>
      </c>
    </row>
    <row r="95">
      <c r="B95" s="417" t="str">
        <f>Squads!$B$151</f>
        <v>Waheed Malek</v>
      </c>
      <c r="C95" s="417" t="str">
        <f>SUBSTITUTE(SUBSTITUTE(Squads!$C$151,"–","-"),"—","-")</f>
        <v>Quality Assurance</v>
      </c>
      <c r="D95" s="425" t="str">
        <f>Squads!$R$151</f>
        <v>Filled</v>
      </c>
    </row>
    <row r="96">
      <c r="B96" s="417" t="str">
        <f>Squads!$B$157</f>
        <v>Safiq Iqbal</v>
      </c>
      <c r="C96" s="417" t="str">
        <f>SUBSTITUTE(SUBSTITUTE(Squads!$C$157,"–","-"),"—","-")</f>
        <v>Principal Engineer</v>
      </c>
      <c r="D96" s="425" t="str">
        <f>Squads!$R$157</f>
        <v>Filled</v>
      </c>
    </row>
    <row r="97">
      <c r="B97" s="417" t="str">
        <f>Squads!$B$166</f>
        <v>Rishabh Bhatia</v>
      </c>
      <c r="C97" s="417" t="str">
        <f>SUBSTITUTE(SUBSTITUTE(Squads!$C$166,"–","-"),"—","-")</f>
        <v>Engineer - Mobile (Android)</v>
      </c>
      <c r="D97" s="425" t="str">
        <f>Squads!$R$166</f>
        <v>Filled</v>
      </c>
    </row>
    <row r="98">
      <c r="B98" s="417" t="str">
        <f>Squads!$B$179</f>
        <v>Sri Balan Raj</v>
      </c>
      <c r="C98" s="417" t="str">
        <f>SUBSTITUTE(SUBSTITUTE(Squads!$C$179,"–","-"),"—","-")</f>
        <v>Business Analyst</v>
      </c>
      <c r="D98" s="425" t="str">
        <f>Squads!$R$179</f>
        <v>Filled</v>
      </c>
    </row>
    <row r="99">
      <c r="B99" s="417" t="str">
        <f>Squads!$B$189</f>
        <v>Rob Jadrjevic</v>
      </c>
      <c r="C99" s="417" t="str">
        <f>SUBSTITUTE(SUBSTITUTE(Squads!$C$189,"–","-"),"—","-")</f>
        <v>Engineer - BE</v>
      </c>
      <c r="D99" s="425" t="str">
        <f>Squads!$R$189</f>
        <v>Filled</v>
      </c>
    </row>
    <row r="100">
      <c r="B100" s="417" t="str">
        <f>Squads!$B$197</f>
        <v>Alan Peng</v>
      </c>
      <c r="C100" s="417" t="str">
        <f>SUBSTITUTE(SUBSTITUTE(Squads!$C$197,"–","-"),"—","-")</f>
        <v>Delivery Lead</v>
      </c>
      <c r="D100" s="425" t="str">
        <f>Squads!$R$197</f>
        <v>Filled</v>
      </c>
    </row>
    <row r="101">
      <c r="B101" s="417" t="str">
        <f>Squads!$B$200</f>
        <v>Dasha Fothergill</v>
      </c>
      <c r="C101" s="417" t="str">
        <f>SUBSTITUTE(SUBSTITUTE(Squads!$C$200,"–","-"),"—","-")</f>
        <v>Data Analyst</v>
      </c>
      <c r="D101" s="425" t="str">
        <f>Squads!$R$200</f>
        <v>Filled</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5.xml><?xml version="1.0" encoding="utf-8"?>
<worksheet xmlns="http://schemas.openxmlformats.org/spreadsheetml/2006/main">
  <sheetPr>
    <tabColor rgb="FFBF8F00"/>
    <outlinePr summaryBelow="1" summaryRight="1"/>
    <pageSetUpPr/>
  </sheetPr>
  <dimension ref="B2:O54"/>
  <sheetViews>
    <sheetView showGridLines="0" topLeftCell="A24"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t="str">
        <f>CONCATENATE('1.3 Enterprise Data'!$B$2," working copy")</f>
        <v>Enterprise Data working copy</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Data Science</t>
        </is>
      </c>
      <c r="C6" s="567" t="str">
        <f>'3.3 FTE View'!$E$37</f>
        <v>Enterprise Data and Insights</v>
      </c>
      <c r="D6" s="902">
        <f>'3.3 FTE View'!$G$37</f>
        <v>7.5</v>
      </c>
      <c r="E6" s="425">
        <f>COUNTIFS(Squads!$N:$N,"Enterprise Data",Squads!$P:$P,"Data Science",Squads!$R:$R,"Filled")</f>
        <v>3.0</v>
      </c>
      <c r="F6" s="425">
        <f>COUNTIFS(Squads!$N:$N,"Enterprise Data",Squads!$P:$P,"Data Science",Squads!$R:$R,"Vacant")</f>
        <v>4.0</v>
      </c>
      <c r="G6" s="425">
        <f>COUNTIF(E20:E25,"Hire")</f>
        <v>0.0</v>
      </c>
      <c r="H6" s="442">
        <f>F6-G6-COUNTIF(E20:E25,"Offshore")</f>
        <v>4.0</v>
      </c>
      <c r="I6" s="902">
        <f>IFERROR(E6+G6-D6,"-")</f>
        <v>-4.5</v>
      </c>
      <c r="J6" s="417" t="str">
        <f>IF(ISNUMBER(D6),IF(E6&gt;D6,"Filled already over archetype",IF(E6+G6&gt;D6,"Over archetype after hire calls","")),"Outside the archetype model - no target set")</f>
        <v/>
      </c>
      <c r="K6" s="551">
        <f>'3.3 FTE View'!$M$37</f>
        <v>1.7</v>
      </c>
      <c r="L6" s="551">
        <f>'3.3 FTE View'!$N$37</f>
        <v>1.4124205799999998</v>
      </c>
      <c r="M6" s="551">
        <f>(SUMIFS('Added data'!$AA:$AA,'Added data'!$AC:$AC,'1.3 Enterprise Data'!$B$2,'Added data'!$AE:$AE,$B6,'Added data'!$AG:$AG,"Filled")+SUMIFS(F19:F25,E19:E25,"Hire")+0.4*SUMIFS(F19:F25,E19:E25,"Offshore"))/1000000</f>
        <v>0.8063973299999999</v>
      </c>
      <c r="N6" s="551">
        <f>M6-K6</f>
        <v>-0.89360267</v>
      </c>
      <c r="O6" s="552" t="str">
        <f>'3.3 FTE View'!$F$37</f>
        <v>M</v>
      </c>
    </row>
    <row r="7">
      <c r="B7" s="417" t="inlineStr">
        <is>
          <t>Operations</t>
        </is>
      </c>
      <c r="C7" s="567" t="str">
        <f>'3.3 FTE View'!$E$38</f>
        <v>Operations</v>
      </c>
      <c r="D7" s="902">
        <f>'3.3 FTE View'!$G$38</f>
        <v>10.0</v>
      </c>
      <c r="E7" s="425">
        <f>COUNTIFS(Squads!$N:$N,"Enterprise Data",Squads!$P:$P,"Operations",Squads!$R:$R,"Filled")</f>
        <v>1.0</v>
      </c>
      <c r="F7" s="425">
        <f>COUNTIFS(Squads!$N:$N,"Enterprise Data",Squads!$P:$P,"Operations",Squads!$R:$R,"Vacant")</f>
        <v>1.0</v>
      </c>
      <c r="G7" s="425">
        <f>COUNTIF(E27:E27,"Hire")</f>
        <v>0.0</v>
      </c>
      <c r="H7" s="442">
        <f>F7-G7-COUNTIF(E27:E27,"Offshore")</f>
        <v>1.0</v>
      </c>
      <c r="I7" s="902">
        <f>IFERROR(E7+G7-D7,"-")</f>
        <v>-9.0</v>
      </c>
      <c r="J7" s="417" t="str">
        <f>IF(ISNUMBER(D7),IF(E7&gt;D7,"Filled already over archetype",IF(E7+G7&gt;D7,"Over archetype after hire calls","")),"Outside the archetype model - no target set")</f>
        <v/>
      </c>
      <c r="K7" s="551">
        <f>'3.3 FTE View'!$M$38</f>
        <v>0.9199999999999999</v>
      </c>
      <c r="L7" s="551">
        <f>'3.3 FTE View'!$N$38</f>
        <v>0.0</v>
      </c>
      <c r="M7" s="551">
        <f>(SUMIFS('Added data'!$AA:$AA,'Added data'!$AC:$AC,'1.3 Enterprise Data'!$B$2,'Added data'!$AE:$AE,$B7,'Added data'!$AG:$AG,"Filled")+SUMIFS(F27:F28,E27:E28,"Hire")+0.4*SUMIFS(F27:F28,E27:E28,"Offshore"))/1000000</f>
        <v>0.0</v>
      </c>
      <c r="N7" s="551">
        <f>M7-K7</f>
        <v>-0.9199999999999999</v>
      </c>
      <c r="O7" s="552" t="str">
        <f>'3.3 FTE View'!$F$38</f>
        <v>L</v>
      </c>
    </row>
    <row r="8">
      <c r="B8" s="417" t="inlineStr">
        <is>
          <t>Reporting &amp; Analytics</t>
        </is>
      </c>
      <c r="C8" s="567" t="str">
        <f>'3.3 FTE View'!$E$39</f>
        <v>Enterprise Data and Insights</v>
      </c>
      <c r="D8" s="902">
        <f>'3.3 FTE View'!$G$39</f>
        <v>4.0</v>
      </c>
      <c r="E8" s="425">
        <f>COUNTIFS(Squads!$N:$N,"Enterprise Data",Squads!$P:$P,"Reporting &amp; Analytics",Squads!$R:$R,"Filled")</f>
        <v>10.0</v>
      </c>
      <c r="F8" s="425">
        <f>COUNTIFS(Squads!$N:$N,"Enterprise Data",Squads!$P:$P,"Reporting &amp; Analytics",Squads!$R:$R,"Vacant")</f>
        <v>3.0</v>
      </c>
      <c r="G8" s="425">
        <f>COUNTIF(E30:E40,"Hire")</f>
        <v>0.0</v>
      </c>
      <c r="H8" s="442">
        <f>F8-G8-COUNTIF(E30:E40,"Offshore")</f>
        <v>3.0</v>
      </c>
      <c r="I8" s="902">
        <f>IFERROR(E8+G8-D8,"-")</f>
        <v>6.0</v>
      </c>
      <c r="J8" s="417" t="str">
        <f>IF(ISNUMBER(D8),IF(E8&gt;D8,"Filled already over archetype",IF(E8+G8&gt;D8,"Over archetype after hire calls","")),"Outside the archetype model - no target set")</f>
        <v>Filled already over archetype</v>
      </c>
      <c r="K8" s="551">
        <f>'3.3 FTE View'!$M$39</f>
        <v>0.9</v>
      </c>
      <c r="L8" s="551">
        <f>'3.3 FTE View'!$N$39</f>
        <v>2.9676649499999996</v>
      </c>
      <c r="M8" s="551">
        <f>(SUMIFS('Added data'!$AA:$AA,'Added data'!$AC:$AC,'1.3 Enterprise Data'!$B$2,'Added data'!$AE:$AE,$B8,'Added data'!$AG:$AG,"Filled")+SUMIFS(F30:F43,E30:E43,"Hire")+0.4*SUMIFS(F30:F43,E30:E43,"Offshore"))/1000000</f>
        <v>2.5619584499999997</v>
      </c>
      <c r="N8" s="551">
        <f>M8-K8</f>
        <v>1.6619584499999998</v>
      </c>
      <c r="O8" s="552" t="str">
        <f>'3.3 FTE View'!$F$39</f>
        <v>S</v>
      </c>
    </row>
    <row r="9">
      <c r="B9" s="417" t="inlineStr">
        <is>
          <t>Data Platforms</t>
        </is>
      </c>
      <c r="C9" s="567" t="str">
        <f>'3.3 FTE View'!$E$40</f>
        <v>Enterprise Data and Insights</v>
      </c>
      <c r="D9" s="902">
        <f>'3.3 FTE View'!$G$40</f>
        <v>4.0</v>
      </c>
      <c r="E9" s="425">
        <f>COUNTIFS(Squads!$N:$N,"Enterprise Data",Squads!$P:$P,"Data Platforms",Squads!$R:$R,"Filled")</f>
        <v>2.0</v>
      </c>
      <c r="F9" s="425">
        <f>COUNTIFS(Squads!$N:$N,"Enterprise Data",Squads!$P:$P,"Data Platforms",Squads!$R:$R,"Vacant")</f>
        <v>6.0</v>
      </c>
      <c r="G9" s="425">
        <f>COUNTIF(E45:E53,"Hire")</f>
        <v>0.0</v>
      </c>
      <c r="H9" s="442">
        <f>F9-G9-COUNTIF(E45:E53,"Offshore")</f>
        <v>6.0</v>
      </c>
      <c r="I9" s="902">
        <f>IFERROR(E9+G9-D9,"-")</f>
        <v>-2.0</v>
      </c>
      <c r="J9" s="417" t="str">
        <f>IF(ISNUMBER(D9),IF(E9&gt;D9,"Filled already over archetype",IF(E9+G9&gt;D9,"Over archetype after hire calls","")),"Outside the archetype model - no target set")</f>
        <v/>
      </c>
      <c r="K9" s="551">
        <f>'3.3 FTE View'!$M$40</f>
        <v>0.9</v>
      </c>
      <c r="L9" s="551">
        <f>'3.3 FTE View'!$N$40</f>
        <v>1.397530486</v>
      </c>
      <c r="M9" s="551">
        <f>(SUMIFS('Added data'!$AA:$AA,'Added data'!$AC:$AC,'1.3 Enterprise Data'!$B$2,'Added data'!$AE:$AE,$B9,'Added data'!$AG:$AG,"Filled")+SUMIFS(F45:F54,E45:E54,"Hire")+0.4*SUMIFS(F45:F54,E45:E54,"Offshore"))/1000000</f>
        <v>0.447991236</v>
      </c>
      <c r="N9" s="551">
        <f>M9-K9</f>
        <v>-0.452008764</v>
      </c>
      <c r="O9" s="552" t="str">
        <f>'3.3 FTE View'!$F$40</f>
        <v>S</v>
      </c>
    </row>
    <row r="10">
      <c r="B10" s="419" t="inlineStr">
        <is>
          <t>Total</t>
        </is>
      </c>
      <c r="D10" s="903">
        <f>SUM(D6:D9)</f>
        <v>25.5</v>
      </c>
      <c r="E10" s="431">
        <f>SUM(E6:E9)</f>
        <v>16.0</v>
      </c>
      <c r="F10" s="431">
        <f>SUM(F6:F9)</f>
        <v>14.0</v>
      </c>
      <c r="G10" s="431">
        <f>SUM(G6:G9)</f>
        <v>0.0</v>
      </c>
      <c r="H10" s="431">
        <f>SUM(H6:H9)</f>
        <v>14.0</v>
      </c>
      <c r="I10" s="903">
        <f>IF(COUNT(I6:I9)=0,"-",SUM(I6:I9))</f>
        <v>-9.5</v>
      </c>
      <c r="K10" s="553">
        <f>SUM(K6:K9)</f>
        <v>4.42</v>
      </c>
      <c r="L10" s="553">
        <f>SUM(L6:L9)</f>
        <v>5.777616016</v>
      </c>
      <c r="M10" s="553">
        <f>SUM(M6:M9)</f>
        <v>3.8163470159999995</v>
      </c>
      <c r="N10" s="553">
        <f>SUM(N6:N9)</f>
        <v>-0.6036529840000001</v>
      </c>
      <c r="O10" s="604" t="str">
        <f>"-"</f>
        <v>-</v>
      </c>
    </row>
    <row r="11">
      <c r="B11" s="471" t="inlineStr">
        <is>
          <t>Cost to hire all vacancies ($m)</t>
        </is>
      </c>
      <c r="C11" s="474">
        <f>SUM(F18:F54)/1000000</f>
        <v>2.8563597011061956</v>
      </c>
    </row>
    <row r="12">
      <c r="B12" s="471" t="inlineStr">
        <is>
          <t>Cost of roles marked Hire ($m)</t>
        </is>
      </c>
      <c r="C12" s="474">
        <f>SUMIF(E18:E54,"Hire",F18:F54)/1000000</f>
        <v>0.0</v>
      </c>
    </row>
    <row r="13">
      <c r="B13" s="417" t="inlineStr">
        <is>
          <t>Vacant roles are priced at standard title rates - indicative until an offer is made.</t>
        </is>
      </c>
    </row>
    <row r="14">
      <c r="B14" s="417" t="inlineStr">
        <is>
          <t>Leadership roles are funded via the portfolio overheads and sit on 3.3 FTE View, not here.</t>
        </is>
      </c>
    </row>
    <row r="15">
      <c r="B15" s="570" t="inlineStr">
        <is>
          <t>vs archetype: positive = over the allowance, negative = under.</t>
        </is>
      </c>
    </row>
    <row r="16">
      <c r="B16" s="605" t="str">
        <f>CONCATENATE('1.3 Enterprise Data'!$B$2," FTE")</f>
        <v>Enterprise Data FTE</v>
      </c>
      <c r="C16" s="606" t="n"/>
      <c r="D16" s="606" t="n"/>
      <c r="E16" s="606" t="n"/>
      <c r="F16" s="606" t="n"/>
      <c r="G16" s="607" t="n"/>
      <c r="H16" s="607" t="n"/>
      <c r="I16" s="607" t="n"/>
      <c r="J16" s="607" t="n"/>
    </row>
    <row r="17">
      <c r="B17" s="424" t="inlineStr">
        <is>
          <t>Name</t>
        </is>
      </c>
      <c r="C17" s="424" t="inlineStr">
        <is>
          <t>Role</t>
        </is>
      </c>
      <c r="D17" s="424" t="inlineStr">
        <is>
          <t>Status</t>
        </is>
      </c>
      <c r="E17" s="424" t="inlineStr">
        <is>
          <t>Vacancy lever</t>
        </is>
      </c>
      <c r="F17" s="424" t="inlineStr">
        <is>
          <t>Cost if hired ($)</t>
        </is>
      </c>
    </row>
    <row r="18">
      <c r="B18" s="448" t="inlineStr">
        <is>
          <t>Data Science</t>
        </is>
      </c>
      <c r="C18" s="449" t="n"/>
      <c r="D18" s="449" t="n"/>
      <c r="E18" s="449" t="n"/>
    </row>
    <row r="19">
      <c r="B19" s="417" t="str">
        <f>Squads!$B$301</f>
        <v>Yu Chen</v>
      </c>
      <c r="C19" s="417" t="str">
        <f>SUBSTITUTE(SUBSTITUTE(Squads!$C$301,"–","-"),"—","-")</f>
        <v>Senior Data Scientist</v>
      </c>
      <c r="D19" s="425" t="str">
        <f>Squads!$R$301</f>
        <v>Filled</v>
      </c>
    </row>
    <row r="20">
      <c r="B20" s="417" t="str">
        <f>Squads!$B$302</f>
        <v>vacant</v>
      </c>
      <c r="C20" s="417" t="str">
        <f>SUBSTITUTE(SUBSTITUTE(Squads!$C$302,"–","-"),"—","-")</f>
        <v>Data Analyst</v>
      </c>
      <c r="D20" s="425" t="str">
        <f>Squads!$R$302</f>
        <v>Vacant</v>
      </c>
      <c r="E20" s="481" t="inlineStr">
        <is>
          <t>Hold</t>
        </is>
      </c>
      <c r="F20" s="904">
        <f>SUMIF('Added data'!$C$2:$C$549,Squads!$C$302,'Added data'!$AA$2:$AA$549)/COUNTIF('Added data'!$C$2:$C$549,Squads!$C$302)</f>
        <v>178925.75290909092</v>
      </c>
    </row>
    <row r="21">
      <c r="B21" s="417" t="str">
        <f>Squads!$B$303</f>
        <v>Om Singh</v>
      </c>
      <c r="C21" s="417" t="str">
        <f>SUBSTITUTE(SUBSTITUTE(Squads!$C$303,"–","-"),"—","-")</f>
        <v>Data Scientist</v>
      </c>
      <c r="D21" s="425" t="str">
        <f>Squads!$R$303</f>
        <v>Filled</v>
      </c>
    </row>
    <row r="22">
      <c r="B22" s="417" t="str">
        <f>Squads!$B$304</f>
        <v>vacant</v>
      </c>
      <c r="C22" s="417" t="str">
        <f>SUBSTITUTE(SUBSTITUTE(Squads!$C$304,"–","-"),"—","-")</f>
        <v>Data Scientist</v>
      </c>
      <c r="D22" s="425" t="str">
        <f>Squads!$R$304</f>
        <v>Vacant</v>
      </c>
      <c r="E22" s="481" t="inlineStr">
        <is>
          <t>Hold</t>
        </is>
      </c>
      <c r="F22" s="904">
        <f>SUMIF('Added data'!$C$2:$C$549,Squads!$C$304,'Added data'!$AA$2:$AA$549)/COUNTIF('Added data'!$C$2:$C$549,Squads!$C$304)</f>
        <v>197598.94999999998</v>
      </c>
    </row>
    <row r="23">
      <c r="B23" s="417" t="str">
        <f>Squads!$B$305</f>
        <v>Vacant</v>
      </c>
      <c r="C23" s="417" t="str">
        <f>SUBSTITUTE(SUBSTITUTE(Squads!$C$305,"–","-"),"—","-")</f>
        <v>Senior Data Scientist</v>
      </c>
      <c r="D23" s="425" t="str">
        <f>Squads!$R$305</f>
        <v>Vacant</v>
      </c>
      <c r="E23" s="481" t="inlineStr">
        <is>
          <t>Hold</t>
        </is>
      </c>
      <c r="F23" s="904">
        <f>SUMIF('Added data'!$C$2:$C$549,Squads!$C$305,'Added data'!$AA$2:$AA$549)/COUNTIF('Added data'!$C$2:$C$549,Squads!$C$305)</f>
        <v>208226.865</v>
      </c>
    </row>
    <row r="24">
      <c r="B24" s="417" t="str">
        <f>Squads!$B$325</f>
        <v>Prashant Tataskar</v>
      </c>
      <c r="C24" s="417" t="str">
        <f>SUBSTITUTE(SUBSTITUTE(Squads!$C$325,"–","-"),"—","-")</f>
        <v>Data Scientist</v>
      </c>
      <c r="D24" s="425" t="str">
        <f>Squads!$R$325</f>
        <v>Filled</v>
      </c>
    </row>
    <row r="25">
      <c r="B25" s="417" t="str">
        <f>Squads!$B$336</f>
        <v>Vacant</v>
      </c>
      <c r="C25" s="417" t="str">
        <f>SUBSTITUTE(SUBSTITUTE(Squads!$C$336,"–","-"),"—","-")</f>
        <v>Data Analyst</v>
      </c>
      <c r="D25" s="425" t="str">
        <f>Squads!$R$336</f>
        <v>Vacant</v>
      </c>
      <c r="E25" s="481" t="inlineStr">
        <is>
          <t>Hold</t>
        </is>
      </c>
      <c r="F25" s="904">
        <f>SUMIF('Added data'!$C$2:$C$549,Squads!$C$336,'Added data'!$AA$2:$AA$549)/COUNTIF('Added data'!$C$2:$C$549,Squads!$C$336)</f>
        <v>178925.75290909092</v>
      </c>
    </row>
    <row r="26">
      <c r="B26" s="448" t="inlineStr">
        <is>
          <t>Operations</t>
        </is>
      </c>
      <c r="C26" s="449" t="n"/>
      <c r="D26" s="449" t="n"/>
      <c r="E26" s="449" t="n"/>
    </row>
    <row r="27">
      <c r="B27" s="417" t="str">
        <f>Squads!$B$283</f>
        <v>Vacant</v>
      </c>
      <c r="C27" s="417" t="str">
        <f>SUBSTITUTE(SUBSTITUTE(Squads!$C$283,"–","-"),"—","-")</f>
        <v>Service Transition Lead</v>
      </c>
      <c r="D27" s="425" t="str">
        <f>Squads!$R$283</f>
        <v>Vacant</v>
      </c>
      <c r="E27" s="481" t="inlineStr">
        <is>
          <t>Hold</t>
        </is>
      </c>
      <c r="F27" s="904">
        <f>SUMIF('Added data'!$C$2:$C$549,Squads!$C$283,'Added data'!$AA$2:$AA$549)/COUNTIF('Added data'!$C$2:$C$549,Squads!$C$283)</f>
        <v>202853.25</v>
      </c>
    </row>
    <row r="28">
      <c r="B28" s="417" t="str">
        <f>Squads!$B$292</f>
        <v>Deepali Mahajan</v>
      </c>
      <c r="C28" s="417" t="str">
        <f>SUBSTITUTE(SUBSTITUTE(Squads!$C$292,"–","-"),"—","-")</f>
        <v>Data Operations Manager</v>
      </c>
      <c r="D28" s="425" t="str">
        <f>Squads!$R$292</f>
        <v>Filled</v>
      </c>
    </row>
    <row r="29">
      <c r="B29" s="448" t="inlineStr">
        <is>
          <t>Reporting &amp; Analytics</t>
        </is>
      </c>
      <c r="C29" s="449" t="n"/>
      <c r="D29" s="449" t="n"/>
      <c r="E29" s="449" t="n"/>
    </row>
    <row r="30">
      <c r="B30" s="417" t="str">
        <f>Squads!$B$284</f>
        <v>Vacant</v>
      </c>
      <c r="C30" s="417" t="str">
        <f>SUBSTITUTE(SUBSTITUTE(Squads!$C$284,"–","-"),"—","-")</f>
        <v>Engineer Data - Reporting</v>
      </c>
      <c r="D30" s="425" t="str">
        <f>Squads!$R$284</f>
        <v>Vacant</v>
      </c>
      <c r="E30" s="481" t="inlineStr">
        <is>
          <t>Hold</t>
        </is>
      </c>
      <c r="F30" s="904">
        <f>SUMIF('Added data'!$C$2:$C$549,Squads!$C$284,'Added data'!$AA$2:$AA$549)/COUNTIF('Added data'!$C$2:$C$549,Squads!$C$284)</f>
        <v>202853.25</v>
      </c>
    </row>
    <row r="31">
      <c r="B31" s="417" t="str">
        <f>Squads!$B$294</f>
        <v>Sumathi Manikkampichai</v>
      </c>
      <c r="C31" s="417" t="str">
        <f>SUBSTITUTE(SUBSTITUTE(Squads!$C$294,"–","-"),"—","-")</f>
        <v>Data Architect</v>
      </c>
      <c r="D31" s="425" t="str">
        <f>Squads!$R$294</f>
        <v>Filled</v>
      </c>
    </row>
    <row r="32">
      <c r="B32" s="417" t="str">
        <f>Squads!$B$296</f>
        <v>Vacant</v>
      </c>
      <c r="C32" s="417" t="str">
        <f>SUBSTITUTE(SUBSTITUTE(Squads!$C$296,"–","-"),"—","-")</f>
        <v>Business Analyst</v>
      </c>
      <c r="D32" s="425" t="str">
        <f>Squads!$R$296</f>
        <v>Vacant</v>
      </c>
      <c r="E32" s="481" t="inlineStr">
        <is>
          <t>Hold</t>
        </is>
      </c>
      <c r="F32" s="904">
        <f>SUMIF('Added data'!$C$2:$C$549,Squads!$C$296,'Added data'!$AA$2:$AA$549)/COUNTIF('Added data'!$C$2:$C$549,Squads!$C$296)</f>
        <v>198578.016</v>
      </c>
    </row>
    <row r="33">
      <c r="B33" s="417" t="str">
        <f>Squads!$B$297</f>
        <v>Vacant</v>
      </c>
      <c r="C33" s="417" t="str">
        <f>SUBSTITUTE(SUBSTITUTE(Squads!$C$297,"–","-"),"—","-")</f>
        <v>Delivery Lead</v>
      </c>
      <c r="D33" s="425" t="str">
        <f>Squads!$R$297</f>
        <v>Vacant</v>
      </c>
      <c r="E33" s="481" t="inlineStr">
        <is>
          <t>Hold</t>
        </is>
      </c>
      <c r="F33" s="904">
        <f>SUMIF('Added data'!$C$2:$C$549,Squads!$C$297,'Added data'!$AA$2:$AA$549)/COUNTIF('Added data'!$C$2:$C$549,Squads!$C$297)</f>
        <v>231778.89629629627</v>
      </c>
    </row>
    <row r="34">
      <c r="B34" s="417" t="str">
        <f>Squads!$B$310</f>
        <v>Vacant (contract)</v>
      </c>
      <c r="C34" s="417" t="str">
        <f>SUBSTITUTE(SUBSTITUTE(Squads!$C$310,"–","-"),"—","-")</f>
        <v>Reporting analysts - Strategic Programs</v>
      </c>
      <c r="D34" s="425" t="str">
        <f>Squads!$R$310</f>
        <v>Filled</v>
      </c>
    </row>
    <row r="35">
      <c r="B35" s="417" t="str">
        <f>Squads!$B$311</f>
        <v>Vincent Lu</v>
      </c>
      <c r="C35" s="417" t="str">
        <f>SUBSTITUTE(SUBSTITUTE(Squads!$C$311,"–","-"),"—","-")</f>
        <v>Reporting Analyst</v>
      </c>
      <c r="D35" s="425" t="str">
        <f>Squads!$R$311</f>
        <v>Filled</v>
      </c>
    </row>
    <row r="36">
      <c r="B36" s="417" t="str">
        <f>Squads!$B$312</f>
        <v>vacant  (Contract)</v>
      </c>
      <c r="C36" s="417" t="str">
        <f>SUBSTITUTE(SUBSTITUTE(Squads!$C$312,"–","-"),"—","-")</f>
        <v>Applications Specialist - Strategic Programs</v>
      </c>
      <c r="D36" s="425" t="str">
        <f>Squads!$R$312</f>
        <v>Filled</v>
      </c>
    </row>
    <row r="37">
      <c r="B37" s="417" t="str">
        <f>Squads!$B$313</f>
        <v>Abdul Ghaffar</v>
      </c>
      <c r="C37" s="417" t="str">
        <f>SUBSTITUTE(SUBSTITUTE(Squads!$C$313,"–","-"),"—","-")</f>
        <v>Applications Specialist - Demand Planning</v>
      </c>
      <c r="D37" s="425" t="str">
        <f>Squads!$R$313</f>
        <v>Filled</v>
      </c>
    </row>
    <row r="38">
      <c r="B38" s="417" t="str">
        <f>Squads!$B$314</f>
        <v>Steve Murray</v>
      </c>
      <c r="C38" s="417" t="str">
        <f>SUBSTITUTE(SUBSTITUTE(Squads!$C$314,"–","-"),"—","-")</f>
        <v>Applications Specialist</v>
      </c>
      <c r="D38" s="425" t="str">
        <f>Squads!$R$314</f>
        <v>Filled</v>
      </c>
    </row>
    <row r="39">
      <c r="B39" s="417" t="str">
        <f>Squads!$B$315</f>
        <v>Rakshit Kaul</v>
      </c>
      <c r="C39" s="417" t="str">
        <f>SUBSTITUTE(SUBSTITUTE(Squads!$C$315,"–","-"),"—","-")</f>
        <v>Applications Specialist</v>
      </c>
      <c r="D39" s="425" t="str">
        <f>Squads!$R$315</f>
        <v>Filled</v>
      </c>
    </row>
    <row r="40">
      <c r="B40" s="417" t="str">
        <f>Squads!$B$324</f>
        <v>Vacant</v>
      </c>
      <c r="C40" s="417" t="str">
        <f>SUBSTITUTE(SUBSTITUTE(Squads!$C$324,"–","-"),"—","-")</f>
        <v>Reporting Lead </v>
      </c>
      <c r="D40" s="425" t="str">
        <f>Squads!$R$324</f>
        <v>Vacant</v>
      </c>
      <c r="E40" s="481" t="inlineStr">
        <is>
          <t>Hold</t>
        </is>
      </c>
      <c r="F40" s="904">
        <f>SUMIF('Added data'!$C$2:$C$549,Squads!$C$324,'Added data'!$AA$2:$AA$549)/COUNTIF('Added data'!$C$2:$C$549,Squads!$C$324)</f>
        <v>202853.25</v>
      </c>
    </row>
    <row r="41">
      <c r="B41" s="417" t="str">
        <f>Squads!$B$328</f>
        <v>Sai Konka</v>
      </c>
      <c r="C41" s="417" t="str">
        <f>SUBSTITUTE(SUBSTITUTE(Squads!$C$328,"–","-"),"—","-")</f>
        <v>Application &amp; Analytics Manager</v>
      </c>
      <c r="D41" s="425" t="str">
        <f>Squads!$R$328</f>
        <v>Filled</v>
      </c>
    </row>
    <row r="42">
      <c r="B42" s="417" t="str">
        <f>Squads!$B$335</f>
        <v>Bobby Mason</v>
      </c>
      <c r="C42" s="417" t="str">
        <f>SUBSTITUTE(SUBSTITUTE(Squads!$C$335,"–","-"),"—","-")</f>
        <v>Reporting Analyst</v>
      </c>
      <c r="D42" s="425" t="str">
        <f>Squads!$R$335</f>
        <v>Filled</v>
      </c>
    </row>
    <row r="43">
      <c r="B43" s="417" t="str">
        <f>Squads!$B$338</f>
        <v>Prashanth Krishnankutty</v>
      </c>
      <c r="C43" s="417" t="str">
        <f>SUBSTITUTE(SUBSTITUTE(Squads!$C$338,"–","-"),"—","-")</f>
        <v>Lead Reporting &amp; Insights</v>
      </c>
      <c r="D43" s="425" t="str">
        <f>Squads!$R$338</f>
        <v>Filled</v>
      </c>
    </row>
    <row r="44">
      <c r="B44" s="448" t="inlineStr">
        <is>
          <t>Data Platforms</t>
        </is>
      </c>
      <c r="C44" s="449" t="n"/>
      <c r="D44" s="449" t="n"/>
      <c r="E44" s="449" t="n"/>
    </row>
    <row r="45">
      <c r="B45" s="417" t="str">
        <f>Squads!$B$285</f>
        <v>Vacant</v>
      </c>
      <c r="C45" s="417" t="str">
        <f>SUBSTITUTE(SUBSTITUTE(Squads!$C$285,"–","-"),"—","-")</f>
        <v>Engineer Data  </v>
      </c>
      <c r="D45" s="425" t="str">
        <f>Squads!$R$285</f>
        <v>Vacant</v>
      </c>
      <c r="E45" s="481" t="inlineStr">
        <is>
          <t>Hold</t>
        </is>
      </c>
      <c r="F45" s="904">
        <f>SUMIF('Added data'!$C$2:$C$549,Squads!$C$285,'Added data'!$AA$2:$AA$549)/COUNTIF('Added data'!$C$2:$C$549,Squads!$C$285)</f>
        <v>202853.25</v>
      </c>
    </row>
    <row r="46">
      <c r="B46" s="417" t="str">
        <f>Squads!$B$293</f>
        <v>Vacant</v>
      </c>
      <c r="C46" s="417" t="str">
        <f>SUBSTITUTE(SUBSTITUTE(Squads!$C$293,"–","-"),"—","-")</f>
        <v>Engineer - DevOps</v>
      </c>
      <c r="D46" s="425" t="str">
        <f>Squads!$R$293</f>
        <v>Vacant</v>
      </c>
      <c r="E46" s="481" t="inlineStr">
        <is>
          <t>Hold</t>
        </is>
      </c>
      <c r="F46" s="904">
        <f>SUMIF('Added data'!$C$2:$C$549,Squads!$C$293,'Added data'!$AA$2:$AA$549)/COUNTIF('Added data'!$C$2:$C$549,Squads!$C$293)</f>
        <v>132486.36333333334</v>
      </c>
    </row>
    <row r="47">
      <c r="B47" s="417" t="str">
        <f>Squads!$B$295</f>
        <v>Roozbeh Shahbazirad</v>
      </c>
      <c r="C47" s="417" t="str">
        <f>SUBSTITUTE(SUBSTITUTE(Squads!$C$295,"–","-"),"—","-")</f>
        <v>Lead Engineer</v>
      </c>
      <c r="D47" s="425" t="str">
        <f>Squads!$R$295</f>
        <v>Filled</v>
      </c>
    </row>
    <row r="48">
      <c r="B48" s="417" t="str">
        <f>Squads!$B$299</f>
        <v>Vacant</v>
      </c>
      <c r="C48" s="417" t="str">
        <f>SUBSTITUTE(SUBSTITUTE(Squads!$C$299,"–","-"),"—","-")</f>
        <v>Business Analyst</v>
      </c>
      <c r="D48" s="425" t="str">
        <f>Squads!$R$299</f>
        <v>Vacant</v>
      </c>
      <c r="E48" s="481" t="inlineStr">
        <is>
          <t>Hold</t>
        </is>
      </c>
      <c r="F48" s="904">
        <f>SUMIF('Added data'!$C$2:$C$549,Squads!$C$299,'Added data'!$AA$2:$AA$549)/COUNTIF('Added data'!$C$2:$C$549,Squads!$C$299)</f>
        <v>198578.016</v>
      </c>
    </row>
    <row r="49">
      <c r="B49" s="417" t="str">
        <f>Squads!$B$300</f>
        <v>Tim Snedden</v>
      </c>
      <c r="C49" s="417" t="str">
        <f>SUBSTITUTE(SUBSTITUTE(Squads!$C$300,"–","-"),"—","-")</f>
        <v>Delivery Lead</v>
      </c>
      <c r="D49" s="425" t="str">
        <f>Squads!$R$300</f>
        <v>Filled</v>
      </c>
    </row>
    <row r="50">
      <c r="B50" s="417" t="str">
        <f>Squads!$B$321</f>
        <v>Milan Patel</v>
      </c>
      <c r="C50" s="417" t="str">
        <f>SUBSTITUTE(SUBSTITUTE(Squads!$C$321,"–","-"),"—","-")</f>
        <v>Platform Architect</v>
      </c>
      <c r="D50" s="425" t="str">
        <f>Squads!$R$321</f>
        <v>Filled</v>
      </c>
    </row>
    <row r="51">
      <c r="B51" s="417" t="str">
        <f>Squads!$B$329</f>
        <v>Vacant</v>
      </c>
      <c r="C51" s="417" t="str">
        <f>SUBSTITUTE(SUBSTITUTE(Squads!$C$329,"–","-"),"—","-")</f>
        <v>Quality Assurance</v>
      </c>
      <c r="D51" s="425" t="str">
        <f>Squads!$R$329</f>
        <v>Vacant</v>
      </c>
      <c r="E51" s="481" t="inlineStr">
        <is>
          <t>Hold</t>
        </is>
      </c>
      <c r="F51" s="904">
        <f>SUMIF('Added data'!$C$2:$C$549,Squads!$C$329,'Added data'!$AA$2:$AA$549)/COUNTIF('Added data'!$C$2:$C$549,Squads!$C$329)</f>
        <v>169798.89904347828</v>
      </c>
    </row>
    <row r="52">
      <c r="B52" s="417" t="str">
        <f>Squads!$B$330</f>
        <v>vacant</v>
      </c>
      <c r="C52" s="417" t="str">
        <f>SUBSTITUTE(SUBSTITUTE(Squads!$C$330,"–","-"),"—","-")</f>
        <v>Quality Assurance</v>
      </c>
      <c r="D52" s="425" t="str">
        <f>Squads!$R$330</f>
        <v>Vacant</v>
      </c>
      <c r="E52" s="481" t="inlineStr">
        <is>
          <t>Hold</t>
        </is>
      </c>
      <c r="F52" s="904">
        <f>SUMIF('Added data'!$C$2:$C$549,Squads!$C$330,'Added data'!$AA$2:$AA$549)/COUNTIF('Added data'!$C$2:$C$549,Squads!$C$330)</f>
        <v>169798.89904347828</v>
      </c>
    </row>
    <row r="53">
      <c r="B53" s="417" t="str">
        <f>Squads!$B$332</f>
        <v>vacant</v>
      </c>
      <c r="C53" s="417" t="str">
        <f>SUBSTITUTE(SUBSTITUTE(Squads!$C$332,"–","-"),"—","-")</f>
        <v>Engineer - Data</v>
      </c>
      <c r="D53" s="425" t="str">
        <f>Squads!$R$332</f>
        <v>Vacant</v>
      </c>
      <c r="E53" s="481" t="inlineStr">
        <is>
          <t>Hold</t>
        </is>
      </c>
      <c r="F53" s="904">
        <f>SUMIF('Added data'!$C$2:$C$549,Squads!$C$332,'Added data'!$AA$2:$AA$549)/COUNTIF('Added data'!$C$2:$C$549,Squads!$C$332)</f>
        <v>180250.29057142857</v>
      </c>
    </row>
    <row r="54">
      <c r="B54" s="417" t="str">
        <f>Squads!$B$337</f>
        <v>Dinesh Chandrasekaran</v>
      </c>
      <c r="C54" s="417" t="str">
        <f>SUBSTITUTE(SUBSTITUTE(Squads!$C$337,"–","-"),"—","-")</f>
        <v>Lead Engineer (Snowflake)</v>
      </c>
      <c r="D54" s="425" t="str">
        <f>Squads!$R$337</f>
        <v>Filled</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6.xml><?xml version="1.0" encoding="utf-8"?>
<worksheet xmlns="http://schemas.openxmlformats.org/spreadsheetml/2006/main">
  <sheetPr>
    <tabColor rgb="FFBF8F00"/>
    <outlinePr summaryBelow="1" summaryRight="1"/>
    <pageSetUpPr/>
  </sheetPr>
  <dimension ref="B2:O61"/>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t="str">
        <f>CONCATENATE('1.4 TDD Group Functions'!$B$2," working copy")</f>
        <v>TDD Group Functions working copy</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Workplace &amp; Enterprise Tooling</t>
        </is>
      </c>
      <c r="C6" s="567" t="str">
        <f>'3.3 FTE View'!$E$44</f>
        <v>Configuration / Integration</v>
      </c>
      <c r="D6" s="902">
        <f>'3.3 FTE View'!$G$44</f>
        <v>6.0</v>
      </c>
      <c r="E6" s="425">
        <f>COUNTIFS(Squads!$N:$N,"TDD Group Functions",Squads!$P:$P,"Workplace &amp; Enterprise Tooling",Squads!$R:$R,"Filled")</f>
        <v>4.0</v>
      </c>
      <c r="F6" s="425">
        <f>COUNTIFS(Squads!$N:$N,"TDD Group Functions",Squads!$P:$P,"Workplace &amp; Enterprise Tooling",Squads!$R:$R,"Vacant")</f>
        <v>2.0</v>
      </c>
      <c r="G6" s="425">
        <f>COUNTIF(E22:E25,"Hire")</f>
        <v>0.0</v>
      </c>
      <c r="H6" s="442">
        <f>F6-G6-COUNTIF(E22:E25,"Offshore")</f>
        <v>2.0</v>
      </c>
      <c r="I6" s="902">
        <f>IFERROR(E6+G6-D6,"-")</f>
        <v>-2.0</v>
      </c>
      <c r="J6" s="417" t="str">
        <f>IF(ISNUMBER(D6),IF(E6&gt;D6,"Filled already over archetype",IF(E6+G6&gt;D6,"Over archetype after hire calls","")),"Outside the archetype model - no target set")</f>
        <v/>
      </c>
      <c r="K6" s="551">
        <f>'3.3 FTE View'!$M$44</f>
        <v>1.4</v>
      </c>
      <c r="L6" s="551">
        <f>'3.3 FTE View'!$N$44</f>
        <v>1.1173292219999997</v>
      </c>
      <c r="M6" s="551">
        <f>(SUMIFS('Added data'!$AA:$AA,'Added data'!$AC:$AC,'1.4 TDD Group Functions'!$B$2,'Added data'!$AE:$AE,$B6,'Added data'!$AG:$AG,"Filled")+SUMIFS(F20:F25,E20:E25,"Hire")+0.4*SUMIFS(F20:F25,E20:E25,"Offshore"))/1000000</f>
        <v>0.7128909719999998</v>
      </c>
      <c r="N6" s="551">
        <f>M6-K6</f>
        <v>-0.6871090280000001</v>
      </c>
      <c r="O6" s="552" t="str">
        <f>'3.3 FTE View'!$F$44</f>
        <v>S</v>
      </c>
    </row>
    <row r="7">
      <c r="B7" s="417" t="inlineStr">
        <is>
          <t>Network &amp; Infrastructure</t>
        </is>
      </c>
      <c r="C7" s="567" t="str">
        <f>'3.3 FTE View'!$E$45</f>
        <v>Operations</v>
      </c>
      <c r="D7" s="902">
        <f>'3.3 FTE View'!$G$45</f>
        <v>10.0</v>
      </c>
      <c r="E7" s="425">
        <f>COUNTIFS(Squads!$N:$N,"TDD Group Functions",Squads!$P:$P,"Network &amp; Infrastructure",Squads!$R:$R,"Filled")</f>
        <v>10.0</v>
      </c>
      <c r="F7" s="425">
        <f>COUNTIFS(Squads!$N:$N,"TDD Group Functions",Squads!$P:$P,"Network &amp; Infrastructure",Squads!$R:$R,"Vacant")</f>
        <v>1.0</v>
      </c>
      <c r="G7" s="425">
        <f>COUNTIF(E29:E29,"Hire")</f>
        <v>0.0</v>
      </c>
      <c r="H7" s="442">
        <f>F7-G7-COUNTIF(E29:E29,"Offshore")</f>
        <v>1.0</v>
      </c>
      <c r="I7" s="902">
        <f>IFERROR(E7+G7-D7,"-")</f>
        <v>0.0</v>
      </c>
      <c r="J7" s="417" t="str">
        <f>IF(ISNUMBER(D7),IF(E7&gt;D7,"Filled already over archetype",IF(E7+G7&gt;D7,"Over archetype after hire calls","")),"Outside the archetype model - no target set")</f>
        <v/>
      </c>
      <c r="K7" s="551">
        <f>'3.3 FTE View'!$M$45</f>
        <v>2.3</v>
      </c>
      <c r="L7" s="551">
        <f>'3.3 FTE View'!$N$45</f>
        <v>2.8267209564</v>
      </c>
      <c r="M7" s="551">
        <f>(SUMIFS('Added data'!$AA:$AA,'Added data'!$AC:$AC,'1.4 TDD Group Functions'!$B$2,'Added data'!$AE:$AE,$B7,'Added data'!$AG:$AG,"Filled")+SUMIFS(F27:F37,E27:E37,"Hire")+0.4*SUMIFS(F27:F37,E27:E37,"Offshore"))/1000000</f>
        <v>2.6238677064</v>
      </c>
      <c r="N7" s="551">
        <f>M7-K7</f>
        <v>0.3238677064000002</v>
      </c>
      <c r="O7" s="552" t="str">
        <f>'3.3 FTE View'!$F$45</f>
        <v>L</v>
      </c>
    </row>
    <row r="8">
      <c r="B8" s="417" t="inlineStr">
        <is>
          <t>DevOps &amp; Engineering</t>
        </is>
      </c>
      <c r="C8" s="567" t="str">
        <f>'3.3 FTE View'!$E$46</f>
        <v>Engineering</v>
      </c>
      <c r="D8" s="902">
        <f>'3.3 FTE View'!$G$46</f>
        <v>4.5</v>
      </c>
      <c r="E8" s="425">
        <f>COUNTIFS(Squads!$N:$N,"TDD Group Functions",Squads!$P:$P,"DevOps &amp; Engineering",Squads!$R:$R,"Filled")</f>
        <v>4.0</v>
      </c>
      <c r="F8" s="425">
        <f>COUNTIFS(Squads!$N:$N,"TDD Group Functions",Squads!$P:$P,"DevOps &amp; Engineering",Squads!$R:$R,"Vacant")</f>
        <v>4.0</v>
      </c>
      <c r="G8" s="425">
        <f>COUNTIF(E39:E44,"Hire")</f>
        <v>0.0</v>
      </c>
      <c r="H8" s="442">
        <f>F8-G8-COUNTIF(E39:E44,"Offshore")</f>
        <v>4.0</v>
      </c>
      <c r="I8" s="902">
        <f>IFERROR(E8+G8-D8,"-")</f>
        <v>-0.5</v>
      </c>
      <c r="J8" s="417" t="str">
        <f>IF(ISNUMBER(D8),IF(E8&gt;D8,"Filled already over archetype",IF(E8+G8&gt;D8,"Over archetype after hire calls","")),"Outside the archetype model - no target set")</f>
        <v/>
      </c>
      <c r="K8" s="551">
        <f>'3.3 FTE View'!$M$46</f>
        <v>0.8</v>
      </c>
      <c r="L8" s="551">
        <f>'3.3 FTE View'!$N$46</f>
        <v>1.581591798</v>
      </c>
      <c r="M8" s="551">
        <f>(SUMIFS('Added data'!$AA:$AA,'Added data'!$AC:$AC,'1.4 TDD Group Functions'!$B$2,'Added data'!$AE:$AE,$B8,'Added data'!$AG:$AG,"Filled")+SUMIFS(F39:F46,E39:E46,"Hire")+0.4*SUMIFS(F39:F46,E39:E46,"Offshore"))/1000000</f>
        <v>0.7125067979999999</v>
      </c>
      <c r="N8" s="551">
        <f>M8-K8</f>
        <v>-0.0874932020000001</v>
      </c>
      <c r="O8" s="552" t="str">
        <f>'3.3 FTE View'!$F$46</f>
        <v>S</v>
      </c>
    </row>
    <row r="9">
      <c r="B9" s="417" t="inlineStr">
        <is>
          <t>Integration</t>
        </is>
      </c>
      <c r="C9" s="567" t="str">
        <f>'3.3 FTE View'!$E$47</f>
        <v>Configuration / Integration</v>
      </c>
      <c r="D9" s="902">
        <f>'3.3 FTE View'!$G$47</f>
        <v>6.0</v>
      </c>
      <c r="E9" s="425">
        <f>COUNTIFS(Squads!$N:$N,"TDD Group Functions",Squads!$P:$P,"Integration",Squads!$R:$R,"Filled")</f>
        <v>6.0</v>
      </c>
      <c r="F9" s="425">
        <f>COUNTIFS(Squads!$N:$N,"TDD Group Functions",Squads!$P:$P,"Integration",Squads!$R:$R,"Vacant")</f>
        <v>2.0</v>
      </c>
      <c r="G9" s="425">
        <f>COUNTIF(E49:E53,"Hire")</f>
        <v>0.0</v>
      </c>
      <c r="H9" s="442">
        <f>F9-G9-COUNTIF(E49:E53,"Offshore")</f>
        <v>2.0</v>
      </c>
      <c r="I9" s="902">
        <f>IFERROR(E9+G9-D9,"-")</f>
        <v>0.0</v>
      </c>
      <c r="J9" s="417" t="str">
        <f>IF(ISNUMBER(D9),IF(E9&gt;D9,"Filled already over archetype",IF(E9+G9&gt;D9,"Over archetype after hire calls","")),"Outside the archetype model - no target set")</f>
        <v/>
      </c>
      <c r="K9" s="551">
        <f>'3.3 FTE View'!$M$47</f>
        <v>1.4</v>
      </c>
      <c r="L9" s="551">
        <f>'3.3 FTE View'!$N$47</f>
        <v>2.044477746</v>
      </c>
      <c r="M9" s="551">
        <f>(SUMIFS('Added data'!$AA:$AA,'Added data'!$AC:$AC,'1.4 TDD Group Functions'!$B$2,'Added data'!$AE:$AE,$B9,'Added data'!$AG:$AG,"Filled")+SUMIFS(F48:F55,E48:E55,"Hire")+0.4*SUMIFS(F48:F55,E48:E55,"Offshore"))/1000000</f>
        <v>1.6112034960000001</v>
      </c>
      <c r="N9" s="551">
        <f>M9-K9</f>
        <v>0.2112034960000002</v>
      </c>
      <c r="O9" s="552" t="str">
        <f>'3.3 FTE View'!$F$47</f>
        <v>S</v>
      </c>
    </row>
    <row r="10">
      <c r="B10" s="417" t="inlineStr">
        <is>
          <t>EGI TDD</t>
        </is>
      </c>
      <c r="C10" s="567" t="str">
        <f>'3.3 FTE View'!$E$49</f>
        <v>Strategic Programs</v>
      </c>
      <c r="D10" s="902" t="str">
        <f>'3.3 FTE View'!$G$49</f>
        <v>-</v>
      </c>
      <c r="E10" s="425">
        <f>COUNTIFS(Squads!$N:$N,"TDD Group Functions",Squads!$P:$P,"EGI TDD",Squads!$R:$R,"Filled")</f>
        <v>5.0</v>
      </c>
      <c r="F10" s="425">
        <f>COUNTIFS(Squads!$N:$N,"TDD Group Functions",Squads!$P:$P,"EGI TDD",Squads!$R:$R,"Vacant")</f>
        <v>0.0</v>
      </c>
      <c r="G10" s="603">
        <f>COUNTIF(E57:E61,"Hire")</f>
        <v>0.0</v>
      </c>
      <c r="H10" s="442">
        <f>F10-G10-COUNTIF(E57:E61,"Offshore")</f>
        <v>0.0</v>
      </c>
      <c r="I10" s="902" t="str">
        <f>IFERROR(E10+G10-D10,"-")</f>
        <v>-</v>
      </c>
      <c r="J10" s="417" t="str">
        <f>IF(ISNUMBER(D10),IF(E10&gt;D10,"Filled already over archetype",IF(E10+G10&gt;D10,"Over archetype after hire calls","")),"Outside the archetype model - no target set")</f>
        <v>Outside the archetype model - no target set</v>
      </c>
      <c r="K10" s="551">
        <f>'3.3 FTE View'!$M$49</f>
        <v>0.0</v>
      </c>
      <c r="L10" s="551">
        <f>'3.3 FTE View'!$N$49</f>
        <v>1.32454851</v>
      </c>
      <c r="M10" s="551">
        <f>(SUMIFS('Added data'!$AA:$AA,'Added data'!$AC:$AC,'1.4 TDD Group Functions'!$B$2,'Added data'!$AE:$AE,$B10,'Added data'!$AG:$AG,"Filled")+SUMIFS(F57:F61,E57:E61,"Hire")+0.4*SUMIFS(F57:F61,E57:E61,"Offshore"))/1000000</f>
        <v>1.32454851</v>
      </c>
      <c r="N10" s="551">
        <f>M10-K10</f>
        <v>1.32454851</v>
      </c>
      <c r="O10" s="552">
        <f>'3.3 FTE View'!$F$49</f>
        <v>0.0</v>
      </c>
    </row>
    <row r="11">
      <c r="B11" s="419" t="inlineStr">
        <is>
          <t>Total</t>
        </is>
      </c>
      <c r="D11" s="903">
        <f>SUM(D6:D10)</f>
        <v>26.5</v>
      </c>
      <c r="E11" s="431">
        <f>SUM(E6:E10)</f>
        <v>29.0</v>
      </c>
      <c r="F11" s="431">
        <f>SUM(F6:F10)</f>
        <v>9.0</v>
      </c>
      <c r="G11" s="431">
        <f>SUM(G6:G10)</f>
        <v>0.0</v>
      </c>
      <c r="H11" s="431">
        <f>SUM(H6:H10)</f>
        <v>9.0</v>
      </c>
      <c r="I11" s="903">
        <f>IF(COUNT(I6:I10)=0,"-",SUM(I6:I10))</f>
        <v>-2.5</v>
      </c>
      <c r="K11" s="553">
        <f>SUM(K6:K10)</f>
        <v>5.9</v>
      </c>
      <c r="L11" s="553">
        <f>SUM(L6:L10)</f>
        <v>8.894668232399999</v>
      </c>
      <c r="M11" s="553">
        <f>SUM(M6:M10)</f>
        <v>6.9850174824</v>
      </c>
      <c r="N11" s="553">
        <f>SUM(N6:N10)</f>
        <v>1.0850174824000003</v>
      </c>
      <c r="O11" s="604" t="str">
        <f>"-"</f>
        <v>-</v>
      </c>
    </row>
    <row r="12">
      <c r="B12" s="471" t="inlineStr">
        <is>
          <t>Cost to hire all vacancies ($m)</t>
        </is>
      </c>
      <c r="C12" s="474">
        <f>SUM(F19:F61)/1000000</f>
        <v>1.8716309775</v>
      </c>
    </row>
    <row r="13">
      <c r="B13" s="471" t="inlineStr">
        <is>
          <t>Cost of roles marked Hire ($m)</t>
        </is>
      </c>
      <c r="C13" s="474">
        <f>SUMIF(E19:E61,"Hire",F19:F61)/1000000</f>
        <v>0.0</v>
      </c>
    </row>
    <row r="14">
      <c r="B14" s="417" t="inlineStr">
        <is>
          <t>Vacant roles are priced at standard title rates - indicative until an offer is made.</t>
        </is>
      </c>
    </row>
    <row r="15">
      <c r="B15" s="417" t="inlineStr">
        <is>
          <t>Leadership roles are funded via the portfolio overheads and sit on 3.3 FTE View, not here.</t>
        </is>
      </c>
    </row>
    <row r="16">
      <c r="B16" s="570" t="inlineStr">
        <is>
          <t>vs archetype: positive = over the allowance, negative = under.</t>
        </is>
      </c>
    </row>
    <row r="17">
      <c r="B17" s="605" t="str">
        <f>CONCATENATE('1.4 TDD Group Functions'!$B$2," FTE")</f>
        <v>TDD Group Functions FTE</v>
      </c>
      <c r="C17" s="606" t="n"/>
      <c r="D17" s="606" t="n"/>
      <c r="E17" s="606" t="n"/>
      <c r="F17" s="606" t="n"/>
      <c r="G17" s="607" t="n"/>
      <c r="H17" s="607" t="n"/>
      <c r="I17" s="607" t="n"/>
      <c r="J17" s="607" t="n"/>
    </row>
    <row r="18">
      <c r="B18" s="424" t="inlineStr">
        <is>
          <t>Name</t>
        </is>
      </c>
      <c r="C18" s="424" t="inlineStr">
        <is>
          <t>Role</t>
        </is>
      </c>
      <c r="D18" s="424" t="inlineStr">
        <is>
          <t>Status</t>
        </is>
      </c>
      <c r="E18" s="424" t="inlineStr">
        <is>
          <t>Vacancy lever</t>
        </is>
      </c>
      <c r="F18" s="424" t="inlineStr">
        <is>
          <t>Cost if hired ($)</t>
        </is>
      </c>
    </row>
    <row r="19">
      <c r="B19" s="448" t="inlineStr">
        <is>
          <t>Workplace &amp; Enterprise Tooling</t>
        </is>
      </c>
      <c r="C19" s="449" t="n"/>
      <c r="D19" s="449" t="n"/>
      <c r="E19" s="449" t="n"/>
    </row>
    <row r="20">
      <c r="B20" s="417" t="str">
        <f>Squads!$B$532</f>
        <v>Rob Struthers</v>
      </c>
      <c r="C20" s="417" t="str">
        <f>SUBSTITUTE(SUBSTITUTE(Squads!$C$532,"–","-"),"—","-")</f>
        <v>Engineer - Modern Workplaces</v>
      </c>
      <c r="D20" s="425" t="str">
        <f>Squads!$R$532</f>
        <v>Filled</v>
      </c>
    </row>
    <row r="21">
      <c r="B21" s="417" t="str">
        <f>Squads!$B$533</f>
        <v>Billie Connolly</v>
      </c>
      <c r="C21" s="417" t="str">
        <f>SUBSTITUTE(SUBSTITUTE(Squads!$C$533,"–","-"),"—","-")</f>
        <v>Engineer - Modern Workplaces</v>
      </c>
      <c r="D21" s="425" t="str">
        <f>Squads!$R$533</f>
        <v>Filled</v>
      </c>
    </row>
    <row r="22">
      <c r="B22" s="417" t="str">
        <f>Squads!$B$534</f>
        <v>Vacant</v>
      </c>
      <c r="C22" s="417" t="str">
        <f>SUBSTITUTE(SUBSTITUTE(Squads!$C$534,"–","-"),"—","-")</f>
        <v>Business Analyst (Workplace &amp; Enterprise Tooling)</v>
      </c>
      <c r="D22" s="425" t="str">
        <f>Squads!$R$534</f>
        <v>Vacant</v>
      </c>
      <c r="E22" s="481" t="inlineStr">
        <is>
          <t>Hold</t>
        </is>
      </c>
      <c r="F22" s="904">
        <f>SUMIF('Added data'!$C$2:$C$549,Squads!$C$534,'Added data'!$AA$2:$AA$549)/COUNTIF('Added data'!$C$2:$C$549,Squads!$C$534)</f>
        <v>201585.0</v>
      </c>
    </row>
    <row r="23">
      <c r="B23" s="417" t="str">
        <f>Squads!$B$535</f>
        <v>Ken Thomson</v>
      </c>
      <c r="C23" s="417" t="str">
        <f>SUBSTITUTE(SUBSTITUTE(Squads!$C$535,"–","-"),"—","-")</f>
        <v>Servicenow Platform Specialist</v>
      </c>
      <c r="D23" s="425" t="str">
        <f>Squads!$R$535</f>
        <v>Filled</v>
      </c>
    </row>
    <row r="24">
      <c r="B24" s="417" t="str">
        <f>Squads!$B$536</f>
        <v>Nicholas McKay</v>
      </c>
      <c r="C24" s="417" t="str">
        <f>SUBSTITUTE(SUBSTITUTE(Squads!$C$536,"–","-"),"—","-")</f>
        <v>Workplace Tooling Specialist</v>
      </c>
      <c r="D24" s="425" t="str">
        <f>Squads!$R$536</f>
        <v>Filled</v>
      </c>
    </row>
    <row r="25">
      <c r="B25" s="417" t="str">
        <f>Squads!$B$537</f>
        <v>Vacant</v>
      </c>
      <c r="C25" s="417" t="str">
        <f>SUBSTITUTE(SUBSTITUTE(Squads!$C$537,"–","-"),"—","-")</f>
        <v>Enterprise Systems Specialist</v>
      </c>
      <c r="D25" s="425" t="str">
        <f>Squads!$R$537</f>
        <v>Vacant</v>
      </c>
      <c r="E25" s="481" t="inlineStr">
        <is>
          <t>Hold</t>
        </is>
      </c>
      <c r="F25" s="904">
        <f>SUMIF('Added data'!$C$2:$C$549,Squads!$C$537,'Added data'!$AA$2:$AA$549)/COUNTIF('Added data'!$C$2:$C$549,Squads!$C$537)</f>
        <v>202853.25</v>
      </c>
    </row>
    <row r="26">
      <c r="B26" s="448" t="inlineStr">
        <is>
          <t>Network &amp; Infrastructure</t>
        </is>
      </c>
      <c r="C26" s="449" t="n"/>
      <c r="D26" s="449" t="n"/>
      <c r="E26" s="449" t="n"/>
    </row>
    <row r="27">
      <c r="B27" s="417" t="str">
        <f>Squads!$B$458</f>
        <v>C K Lau</v>
      </c>
      <c r="C27" s="417" t="str">
        <f>SUBSTITUTE(SUBSTITUTE(Squads!$C$458,"–","-"),"—","-")</f>
        <v>Delivery Lead (Cloud &amp; Network)</v>
      </c>
      <c r="D27" s="425" t="str">
        <f>Squads!$R$458</f>
        <v>Filled</v>
      </c>
    </row>
    <row r="28">
      <c r="B28" s="417" t="str">
        <f>Squads!$B$459</f>
        <v>Fan Zhang</v>
      </c>
      <c r="C28" s="417" t="str">
        <f>SUBSTITUTE(SUBSTITUTE(Squads!$C$459,"–","-"),"—","-")</f>
        <v>Infrastructure Engineer</v>
      </c>
      <c r="D28" s="425" t="str">
        <f>Squads!$R$459</f>
        <v>Filled</v>
      </c>
    </row>
    <row r="29">
      <c r="B29" s="417" t="str">
        <f>Squads!$B$460</f>
        <v>Vacant</v>
      </c>
      <c r="C29" s="417" t="str">
        <f>SUBSTITUTE(SUBSTITUTE(Squads!$C$460,"–","-"),"—","-")</f>
        <v>Infrastructure Operations Lead</v>
      </c>
      <c r="D29" s="425" t="str">
        <f>Squads!$R$460</f>
        <v>Vacant</v>
      </c>
      <c r="E29" s="481" t="inlineStr">
        <is>
          <t>Hold</t>
        </is>
      </c>
      <c r="F29" s="904">
        <f>SUMIF('Added data'!$C$2:$C$549,Squads!$C$460,'Added data'!$AA$2:$AA$549)/COUNTIF('Added data'!$C$2:$C$549,Squads!$C$460)</f>
        <v>202853.25</v>
      </c>
    </row>
    <row r="30">
      <c r="B30" s="417" t="str">
        <f>Squads!$B$461</f>
        <v>Johnny Li</v>
      </c>
      <c r="C30" s="417" t="str">
        <f>SUBSTITUTE(SUBSTITUTE(Squads!$C$461,"–","-"),"—","-")</f>
        <v>Cloud Solutions Architect</v>
      </c>
      <c r="D30" s="425" t="str">
        <f>Squads!$R$461</f>
        <v>Filled</v>
      </c>
    </row>
    <row r="31">
      <c r="B31" s="417" t="str">
        <f>Squads!$B$462</f>
        <v>Steven Yong</v>
      </c>
      <c r="C31" s="417" t="str">
        <f>SUBSTITUTE(SUBSTITUTE(Squads!$C$462,"–","-"),"—","-")</f>
        <v>Nework Architect</v>
      </c>
      <c r="D31" s="425" t="str">
        <f>Squads!$R$462</f>
        <v>Filled</v>
      </c>
    </row>
    <row r="32">
      <c r="B32" s="417" t="str">
        <f>Squads!$B$463</f>
        <v>Satish Chowdhary</v>
      </c>
      <c r="C32" s="417" t="str">
        <f>SUBSTITUTE(SUBSTITUTE(Squads!$C$463,"–","-"),"—","-")</f>
        <v>Nework Architect</v>
      </c>
      <c r="D32" s="425" t="str">
        <f>Squads!$R$463</f>
        <v>Filled</v>
      </c>
    </row>
    <row r="33">
      <c r="B33" s="417" t="str">
        <f>Squads!$B$464</f>
        <v>Muhammad Abubaker</v>
      </c>
      <c r="C33" s="417" t="str">
        <f>SUBSTITUTE(SUBSTITUTE(Squads!$C$464,"–","-"),"—","-")</f>
        <v>Network Operations Engineer</v>
      </c>
      <c r="D33" s="425" t="str">
        <f>Squads!$R$464</f>
        <v>Filled</v>
      </c>
    </row>
    <row r="34">
      <c r="B34" s="417" t="str">
        <f>Squads!$B$465</f>
        <v>Axel Soh</v>
      </c>
      <c r="C34" s="417" t="str">
        <f>SUBSTITUTE(SUBSTITUTE(Squads!$C$465,"–","-"),"—","-")</f>
        <v>Cloud Solutions Architect</v>
      </c>
      <c r="D34" s="425" t="str">
        <f>Squads!$R$465</f>
        <v>Filled</v>
      </c>
    </row>
    <row r="35">
      <c r="B35" s="417" t="str">
        <f>Squads!$B$466</f>
        <v>John McCormack</v>
      </c>
      <c r="C35" s="417" t="str">
        <f>SUBSTITUTE(SUBSTITUTE(Squads!$C$466,"–","-"),"—","-")</f>
        <v>Manager - Infrastructure Operations</v>
      </c>
      <c r="D35" s="425" t="str">
        <f>Squads!$R$466</f>
        <v>Filled</v>
      </c>
    </row>
    <row r="36">
      <c r="B36" s="417" t="str">
        <f>Squads!$B$467</f>
        <v>Pierre Spee</v>
      </c>
      <c r="C36" s="417" t="str">
        <f>SUBSTITUTE(SUBSTITUTE(Squads!$C$467,"–","-"),"—","-")</f>
        <v>Cloud Solutions Architect</v>
      </c>
      <c r="D36" s="425" t="str">
        <f>Squads!$R$467</f>
        <v>Filled</v>
      </c>
    </row>
    <row r="37">
      <c r="B37" s="417" t="str">
        <f>Squads!$B$468</f>
        <v>John Badia</v>
      </c>
      <c r="C37" s="417" t="str">
        <f>SUBSTITUTE(SUBSTITUTE(Squads!$C$468,"–","-"),"—","-")</f>
        <v>Cloud Solutions Architect</v>
      </c>
      <c r="D37" s="425" t="str">
        <f>Squads!$R$468</f>
        <v>Filled</v>
      </c>
    </row>
    <row r="38">
      <c r="B38" s="448" t="inlineStr">
        <is>
          <t>DevOps &amp; Engineering</t>
        </is>
      </c>
      <c r="C38" s="449" t="n"/>
      <c r="D38" s="449" t="n"/>
      <c r="E38" s="449" t="n"/>
    </row>
    <row r="39">
      <c r="B39" s="417" t="str">
        <f>Squads!$B$469</f>
        <v>vacant</v>
      </c>
      <c r="C39" s="417" t="str">
        <f>SUBSTITUTE(SUBSTITUTE(Squads!$C$469,"–","-"),"—","-")</f>
        <v>Lead Engineer Software</v>
      </c>
      <c r="D39" s="425" t="str">
        <f>Squads!$R$469</f>
        <v>Vacant</v>
      </c>
      <c r="E39" s="481" t="inlineStr">
        <is>
          <t>Hold</t>
        </is>
      </c>
      <c r="F39" s="904">
        <f>SUMIF('Added data'!$C$2:$C$549,Squads!$C$469,'Added data'!$AA$2:$AA$549)/COUNTIF('Added data'!$C$2:$C$549,Squads!$C$469)</f>
        <v>197834.6775</v>
      </c>
    </row>
    <row r="40">
      <c r="B40" s="417" t="str">
        <f>Squads!$B$470</f>
        <v>Vacant</v>
      </c>
      <c r="C40" s="417" t="str">
        <f>SUBSTITUTE(SUBSTITUTE(Squads!$C$470,"–","-"),"—","-")</f>
        <v>Senior Engineer (Automation Test)</v>
      </c>
      <c r="D40" s="425" t="str">
        <f>Squads!$R$470</f>
        <v>Vacant</v>
      </c>
      <c r="E40" s="481" t="inlineStr">
        <is>
          <t>Hold</t>
        </is>
      </c>
      <c r="F40" s="904">
        <f>SUMIF('Added data'!$C$2:$C$549,Squads!$C$470,'Added data'!$AA$2:$AA$549)/COUNTIF('Added data'!$C$2:$C$549,Squads!$C$470)</f>
        <v>198688.05</v>
      </c>
    </row>
    <row r="41">
      <c r="B41" s="417" t="str">
        <f>Squads!$B$471</f>
        <v>Vacant</v>
      </c>
      <c r="C41" s="417" t="str">
        <f>SUBSTITUTE(SUBSTITUTE(Squads!$C$471,"–","-"),"—","-")</f>
        <v>Lead Engineer (Automation Test)</v>
      </c>
      <c r="D41" s="425" t="str">
        <f>Squads!$R$471</f>
        <v>Vacant</v>
      </c>
      <c r="E41" s="481" t="inlineStr">
        <is>
          <t>Hold</t>
        </is>
      </c>
      <c r="F41" s="904">
        <f>SUMIF('Added data'!$C$2:$C$549,Squads!$C$471,'Added data'!$AA$2:$AA$549)/COUNTIF('Added data'!$C$2:$C$549,Squads!$C$471)</f>
        <v>231689.25</v>
      </c>
    </row>
    <row r="42">
      <c r="B42" s="417" t="str">
        <f>Squads!$B$472</f>
        <v>Luke Hamer</v>
      </c>
      <c r="C42" s="417" t="str">
        <f>SUBSTITUTE(SUBSTITUTE(Squads!$C$472,"–","-"),"—","-")</f>
        <v>Lead Engineer - Devops</v>
      </c>
      <c r="D42" s="425" t="str">
        <f>Squads!$R$472</f>
        <v>Filled</v>
      </c>
    </row>
    <row r="43">
      <c r="B43" s="417" t="str">
        <f>Squads!$B$473</f>
        <v>Lucas Wang</v>
      </c>
      <c r="C43" s="417" t="str">
        <f>SUBSTITUTE(SUBSTITUTE(Squads!$C$473,"–","-"),"—","-")</f>
        <v>Senior Engineer (Automation Test)</v>
      </c>
      <c r="D43" s="425" t="str">
        <f>Squads!$R$473</f>
        <v>Filled</v>
      </c>
    </row>
    <row r="44">
      <c r="B44" s="417" t="str">
        <f>Squads!$B$474</f>
        <v>vacant</v>
      </c>
      <c r="C44" s="417" t="str">
        <f>SUBSTITUTE(SUBSTITUTE(Squads!$C$474,"–","-"),"—","-")</f>
        <v>Environments and Test Data Manager</v>
      </c>
      <c r="D44" s="425" t="str">
        <f>Squads!$R$474</f>
        <v>Vacant</v>
      </c>
      <c r="E44" s="481" t="inlineStr">
        <is>
          <t>Hold</t>
        </is>
      </c>
      <c r="F44" s="904">
        <f>SUMIF('Added data'!$C$2:$C$549,Squads!$C$474,'Added data'!$AA$2:$AA$549)/COUNTIF('Added data'!$C$2:$C$549,Squads!$C$474)</f>
        <v>202853.25</v>
      </c>
    </row>
    <row r="45">
      <c r="B45" s="417" t="str">
        <f>Squads!$B$475</f>
        <v>Mike Lealamanu</v>
      </c>
      <c r="C45" s="417" t="str">
        <f>SUBSTITUTE(SUBSTITUTE(Squads!$C$475,"–","-"),"—","-")</f>
        <v>Quality Assurance</v>
      </c>
      <c r="D45" s="425" t="str">
        <f>Squads!$R$475</f>
        <v>Filled</v>
      </c>
    </row>
    <row r="46">
      <c r="B46" s="417" t="str">
        <f>Squads!$B$476</f>
        <v>Sunny Arya</v>
      </c>
      <c r="C46" s="417" t="str">
        <f>SUBSTITUTE(SUBSTITUTE(Squads!$C$476,"–","-"),"—","-")</f>
        <v>Lead Engineer, Devops</v>
      </c>
      <c r="D46" s="425" t="str">
        <f>Squads!$R$476</f>
        <v>Filled</v>
      </c>
    </row>
    <row r="47">
      <c r="B47" s="448" t="inlineStr">
        <is>
          <t>Integration</t>
        </is>
      </c>
      <c r="C47" s="449" t="n"/>
      <c r="D47" s="449" t="n"/>
      <c r="E47" s="449" t="n"/>
    </row>
    <row r="48">
      <c r="B48" s="417" t="str">
        <f>Squads!$B$484</f>
        <v>Bala Thiruvadi</v>
      </c>
      <c r="C48" s="417" t="str">
        <f>SUBSTITUTE(SUBSTITUTE(Squads!$C$484,"–","-"),"—","-")</f>
        <v>Integration Architect - Boomi</v>
      </c>
      <c r="D48" s="425" t="str">
        <f>Squads!$R$484</f>
        <v>Filled</v>
      </c>
    </row>
    <row r="49">
      <c r="B49" s="417" t="str">
        <f>Squads!$B$485</f>
        <v>Vacant</v>
      </c>
      <c r="C49" s="417" t="str">
        <f>SUBSTITUTE(SUBSTITUTE(Squads!$C$485,"–","-"),"—","-")</f>
        <v>RPA Lead</v>
      </c>
      <c r="D49" s="425" t="str">
        <f>Squads!$R$485</f>
        <v>Vacant</v>
      </c>
      <c r="E49" s="481" t="inlineStr">
        <is>
          <t>Hold</t>
        </is>
      </c>
      <c r="F49" s="904">
        <f>SUMIF('Added data'!$C$2:$C$549,Squads!$C$485,'Added data'!$AA$2:$AA$549)/COUNTIF('Added data'!$C$2:$C$549,Squads!$C$485)</f>
        <v>231689.25</v>
      </c>
    </row>
    <row r="50">
      <c r="B50" s="417" t="str">
        <f>Squads!$B$486</f>
        <v>Lisa Rademakers</v>
      </c>
      <c r="C50" s="417" t="str">
        <f>SUBSTITUTE(SUBSTITUTE(Squads!$C$486,"–","-"),"—","-")</f>
        <v>Delivery Lead (Integrations)</v>
      </c>
      <c r="D50" s="425" t="str">
        <f>Squads!$R$486</f>
        <v>Filled</v>
      </c>
    </row>
    <row r="51">
      <c r="B51" s="417" t="str">
        <f>Squads!$B$487</f>
        <v>Michael Weng</v>
      </c>
      <c r="C51" s="417" t="str">
        <f>SUBSTITUTE(SUBSTITUTE(Squads!$C$487,"–","-"),"—","-")</f>
        <v>Solution Architect</v>
      </c>
      <c r="D51" s="425" t="str">
        <f>Squads!$R$487</f>
        <v>Filled</v>
      </c>
    </row>
    <row r="52">
      <c r="B52" s="417" t="str">
        <f>Squads!$B$488</f>
        <v>Thandava Krishna Kakarala</v>
      </c>
      <c r="C52" s="417" t="str">
        <f>SUBSTITUTE(SUBSTITUTE(Squads!$C$488,"–","-"),"—","-")</f>
        <v>Snr Engineer - Boomi</v>
      </c>
      <c r="D52" s="425" t="str">
        <f>Squads!$R$488</f>
        <v>Filled</v>
      </c>
    </row>
    <row r="53">
      <c r="B53" s="417" t="str">
        <f>Squads!$B$489</f>
        <v>Vacant</v>
      </c>
      <c r="C53" s="417" t="str">
        <f>SUBSTITUTE(SUBSTITUTE(Squads!$C$489,"–","-"),"—","-")</f>
        <v>Business Analyst (Integrations)</v>
      </c>
      <c r="D53" s="425" t="str">
        <f>Squads!$R$489</f>
        <v>Vacant</v>
      </c>
      <c r="E53" s="481" t="inlineStr">
        <is>
          <t>Hold</t>
        </is>
      </c>
      <c r="F53" s="904">
        <f>SUMIF('Added data'!$C$2:$C$549,Squads!$C$489,'Added data'!$AA$2:$AA$549)/COUNTIF('Added data'!$C$2:$C$549,Squads!$C$489)</f>
        <v>201585.0</v>
      </c>
    </row>
    <row r="54">
      <c r="B54" s="417" t="str">
        <f>Squads!$B$490</f>
        <v>Mike Seales</v>
      </c>
      <c r="C54" s="417" t="str">
        <f>SUBSTITUTE(SUBSTITUTE(Squads!$C$490,"–","-"),"—","-")</f>
        <v>Technology Manager, Integration &amp; Process Automation</v>
      </c>
      <c r="D54" s="425" t="str">
        <f>Squads!$R$490</f>
        <v>Filled</v>
      </c>
    </row>
    <row r="55">
      <c r="B55" s="417" t="str">
        <f>Squads!$B$491</f>
        <v>Lisa Rademakers</v>
      </c>
      <c r="C55" s="417" t="str">
        <f>SUBSTITUTE(SUBSTITUTE(Squads!$C$491,"–","-"),"—","-")</f>
        <v>Delivery Lead- Integrations</v>
      </c>
      <c r="D55" s="425" t="str">
        <f>Squads!$R$491</f>
        <v>Filled</v>
      </c>
    </row>
    <row r="56">
      <c r="B56" s="448" t="inlineStr">
        <is>
          <t>EGI TDD</t>
        </is>
      </c>
      <c r="C56" s="449" t="n"/>
      <c r="D56" s="449" t="n"/>
      <c r="E56" s="449" t="n"/>
    </row>
    <row r="57">
      <c r="B57" s="417" t="str">
        <f>Squads!$B$91</f>
        <v>Viren Khatri</v>
      </c>
      <c r="C57" s="417" t="str">
        <f>SUBSTITUTE(SUBSTITUTE(Squads!$C$91,"–","-"),"—","-")</f>
        <v>Data Migration Lead</v>
      </c>
      <c r="D57" s="425" t="str">
        <f>Squads!$R$91</f>
        <v>Filled</v>
      </c>
    </row>
    <row r="58">
      <c r="B58" s="417" t="str">
        <f>Squads!$B$479</f>
        <v>Arun Tahlan</v>
      </c>
      <c r="C58" s="417" t="str">
        <f>SUBSTITUTE(SUBSTITUTE(Squads!$C$479,"–","-"),"—","-")</f>
        <v>Integration Architect (C) - Boomi</v>
      </c>
      <c r="D58" s="425" t="str">
        <f>Squads!$R$479</f>
        <v>Filled</v>
      </c>
    </row>
    <row r="59">
      <c r="B59" s="417" t="str">
        <f>Squads!$B$480</f>
        <v>Kris Thornley</v>
      </c>
      <c r="C59" s="417" t="str">
        <f>SUBSTITUTE(SUBSTITUTE(Squads!$C$480,"–","-"),"—","-")</f>
        <v>Integration Architect (C)</v>
      </c>
      <c r="D59" s="425" t="str">
        <f>Squads!$R$480</f>
        <v>Filled</v>
      </c>
    </row>
    <row r="60">
      <c r="B60" s="417" t="str">
        <f>Squads!$B$481</f>
        <v>Shobhit Mittal</v>
      </c>
      <c r="C60" s="417" t="str">
        <f>SUBSTITUTE(SUBSTITUTE(Squads!$C$481,"–","-"),"—","-")</f>
        <v>Lead Engineer - Automation Test</v>
      </c>
      <c r="D60" s="425" t="str">
        <f>Squads!$R$481</f>
        <v>Filled</v>
      </c>
    </row>
    <row r="61">
      <c r="B61" s="417" t="str">
        <f>Squads!$B$482</f>
        <v>Anjali Patra</v>
      </c>
      <c r="C61" s="417" t="str">
        <f>SUBSTITUTE(SUBSTITUTE(Squads!$C$482,"–","-"),"—","-")</f>
        <v>Delivery Lead - EGI</v>
      </c>
      <c r="D61" s="425" t="str">
        <f>Squads!$R$482</f>
        <v>Filled</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7.xml><?xml version="1.0" encoding="utf-8"?>
<worksheet xmlns="http://schemas.openxmlformats.org/spreadsheetml/2006/main">
  <sheetPr>
    <tabColor rgb="FFBF8F00"/>
    <outlinePr summaryBelow="1" summaryRight="1"/>
    <pageSetUpPr/>
  </sheetPr>
  <dimension ref="B2:O34"/>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t="str">
        <f>CONCATENATE('1.5 P&amp;C'!$B$2," working copy")</f>
        <v>P&amp;C working copy</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P&amp;C</t>
        </is>
      </c>
      <c r="C6" s="567" t="str">
        <f>'3.3 FTE View'!$E$52</f>
        <v>Configuration / Integration</v>
      </c>
      <c r="D6" s="902">
        <f>'3.3 FTE View'!$G$52</f>
        <v>9.0</v>
      </c>
      <c r="E6" s="425">
        <f>COUNTIFS(Squads!$N:$N,"P&amp;C",Squads!$P:$P,"P&amp;C",Squads!$R:$R,"Filled")</f>
        <v>5.0</v>
      </c>
      <c r="F6" s="425">
        <f>COUNTIFS(Squads!$N:$N,"P&amp;C",Squads!$P:$P,"P&amp;C",Squads!$R:$R,"Vacant")</f>
        <v>3.0</v>
      </c>
      <c r="G6" s="425">
        <f>COUNTIF(E19:E24,"Hire")</f>
        <v>0.0</v>
      </c>
      <c r="H6" s="442">
        <f>F6-G6-COUNTIF(E19:E24,"Offshore")</f>
        <v>3.0</v>
      </c>
      <c r="I6" s="902">
        <f>IFERROR(E6+G6-D6,"-")</f>
        <v>-4.0</v>
      </c>
      <c r="J6" s="417" t="str">
        <f>IF(ISNUMBER(D6),IF(E6&gt;D6,"Filled already over archetype",IF(E6+G6&gt;D6,"Over archetype after hire calls","")),"Outside the archetype model - no target set")</f>
        <v/>
      </c>
      <c r="K6" s="551">
        <f>'3.3 FTE View'!$M$52</f>
        <v>2.1</v>
      </c>
      <c r="L6" s="551">
        <f>'3.3 FTE View'!$N$52</f>
        <v>1.7655179300000001</v>
      </c>
      <c r="M6" s="551">
        <f>(SUMIFS('Added data'!$AA:$AA,'Added data'!$AC:$AC,'1.5 P&amp;C'!$B$2,'Added data'!$AE:$AE,$B6,'Added data'!$AG:$AG,"Filled")+SUMIFS(F18:F25,E18:E25,"Hire")+0.4*SUMIFS(F18:F25,E18:E25,"Offshore"))/1000000</f>
        <v>1.18932168</v>
      </c>
      <c r="N6" s="551">
        <f>M6-K6</f>
        <v>-0.9106783200000002</v>
      </c>
      <c r="O6" s="552" t="str">
        <f>'3.3 FTE View'!$F$52</f>
        <v>M</v>
      </c>
    </row>
    <row r="7">
      <c r="B7" s="417" t="inlineStr">
        <is>
          <t>P&amp;C - RTA</t>
        </is>
      </c>
      <c r="C7" s="567" t="str">
        <f>'3.3 FTE View'!$E$53</f>
        <v>Configuration / Integration</v>
      </c>
      <c r="D7" s="902">
        <f>'3.3 FTE View'!$G$53</f>
        <v>6.0</v>
      </c>
      <c r="E7" s="425">
        <f>COUNTIFS(Squads!$N:$N,"P&amp;C",Squads!$P:$P,"P&amp;C - RTA",Squads!$R:$R,"Filled")</f>
        <v>1.0</v>
      </c>
      <c r="F7" s="425">
        <f>COUNTIFS(Squads!$N:$N,"P&amp;C",Squads!$P:$P,"P&amp;C - RTA",Squads!$R:$R,"Vacant")</f>
        <v>5.0</v>
      </c>
      <c r="G7" s="425">
        <f>COUNTIF(E27:E32,"Hire")</f>
        <v>0.0</v>
      </c>
      <c r="H7" s="442">
        <f>F7-G7-COUNTIF(E27:E32,"Offshore")</f>
        <v>5.0</v>
      </c>
      <c r="I7" s="902">
        <f>IFERROR(E7+G7-D7,"-")</f>
        <v>-5.0</v>
      </c>
      <c r="J7" s="417" t="str">
        <f>IF(ISNUMBER(D7),IF(E7&gt;D7,"Filled already over archetype",IF(E7+G7&gt;D7,"Over archetype after hire calls","")),"Outside the archetype model - no target set")</f>
        <v/>
      </c>
      <c r="K7" s="551">
        <f>'3.3 FTE View'!$M$53</f>
        <v>1.4</v>
      </c>
      <c r="L7" s="551">
        <f>'3.3 FTE View'!$N$53</f>
        <v>1.2640881499999999</v>
      </c>
      <c r="M7" s="551">
        <f>(SUMIFS('Added data'!$AA:$AA,'Added data'!$AC:$AC,'1.5 P&amp;C'!$B$2,'Added data'!$AE:$AE,$B7,'Added data'!$AG:$AG,"Filled")+SUMIFS(F27:F32,E27:E32,"Hire")+0.4*SUMIFS(F27:F32,E27:E32,"Offshore"))/1000000</f>
        <v>0.2775</v>
      </c>
      <c r="N7" s="551">
        <f>M7-K7</f>
        <v>-1.1224999999999998</v>
      </c>
      <c r="O7" s="552" t="str">
        <f>'3.3 FTE View'!$F$53</f>
        <v>S</v>
      </c>
    </row>
    <row r="8">
      <c r="B8" s="417" t="inlineStr">
        <is>
          <t>EGI P&amp;C</t>
        </is>
      </c>
      <c r="C8" s="567" t="str">
        <f>'3.3 FTE View'!$E$55</f>
        <v>Strategic Programs</v>
      </c>
      <c r="D8" s="902" t="str">
        <f>'3.3 FTE View'!$G$55</f>
        <v>-</v>
      </c>
      <c r="E8" s="425">
        <f>COUNTIFS(Squads!$N:$N,"P&amp;C",Squads!$P:$P,"EGI P&amp;C",Squads!$R:$R,"Filled")</f>
        <v>1.0</v>
      </c>
      <c r="F8" s="425">
        <f>COUNTIFS(Squads!$N:$N,"P&amp;C",Squads!$P:$P,"EGI P&amp;C",Squads!$R:$R,"Vacant")</f>
        <v>0.0</v>
      </c>
      <c r="G8" s="603">
        <f>COUNTIF(E34:E34,"Hire")</f>
        <v>0.0</v>
      </c>
      <c r="H8" s="442">
        <f>F8-G8-COUNTIF(E34:E34,"Offshore")</f>
        <v>0.0</v>
      </c>
      <c r="I8" s="902" t="str">
        <f>IFERROR(E8+G8-D8,"-")</f>
        <v>-</v>
      </c>
      <c r="J8" s="417" t="str">
        <f>IF(ISNUMBER(D8),IF(E8&gt;D8,"Filled already over archetype",IF(E8+G8&gt;D8,"Over archetype after hire calls","")),"Outside the archetype model - no target set")</f>
        <v>Outside the archetype model - no target set</v>
      </c>
      <c r="K8" s="551">
        <f>'3.3 FTE View'!$M$55</f>
        <v>0.0</v>
      </c>
      <c r="L8" s="551">
        <f>'3.3 FTE View'!$N$55</f>
        <v>0.238965</v>
      </c>
      <c r="M8" s="551">
        <f>(SUMIFS('Added data'!$AA:$AA,'Added data'!$AC:$AC,'1.5 P&amp;C'!$B$2,'Added data'!$AE:$AE,$B8,'Added data'!$AG:$AG,"Filled")+SUMIFS(F34:F34,E34:E34,"Hire")+0.4*SUMIFS(F34:F34,E34:E34,"Offshore"))/1000000</f>
        <v>0.238965</v>
      </c>
      <c r="N8" s="551">
        <f>M8-K8</f>
        <v>0.238965</v>
      </c>
      <c r="O8" s="552">
        <f>'3.3 FTE View'!$F$55</f>
        <v>0.0</v>
      </c>
    </row>
    <row r="9">
      <c r="B9" s="419" t="inlineStr">
        <is>
          <t>Total</t>
        </is>
      </c>
      <c r="D9" s="903">
        <f>SUM(D6:D8)</f>
        <v>15.0</v>
      </c>
      <c r="E9" s="431">
        <f>SUM(E6:E8)</f>
        <v>7.0</v>
      </c>
      <c r="F9" s="431">
        <f>SUM(F6:F8)</f>
        <v>8.0</v>
      </c>
      <c r="G9" s="431">
        <f>SUM(G6:G8)</f>
        <v>0.0</v>
      </c>
      <c r="H9" s="431">
        <f>SUM(H6:H8)</f>
        <v>8.0</v>
      </c>
      <c r="I9" s="903">
        <f>IF(COUNT(I6:I8)=0,"-",SUM(I6:I8))</f>
        <v>-9.0</v>
      </c>
      <c r="K9" s="553">
        <f>SUM(K6:K8)</f>
        <v>3.5</v>
      </c>
      <c r="L9" s="553">
        <f>SUM(L6:L8)</f>
        <v>3.2685710799999996</v>
      </c>
      <c r="M9" s="553">
        <f>SUM(M6:M8)</f>
        <v>1.70578668</v>
      </c>
      <c r="N9" s="553">
        <f>SUM(N6:N8)</f>
        <v>-1.7942133200000001</v>
      </c>
      <c r="O9" s="604" t="str">
        <f>"-"</f>
        <v>-</v>
      </c>
    </row>
    <row r="10">
      <c r="B10" s="471" t="inlineStr">
        <is>
          <t>Cost to hire all vacancies ($m)</t>
        </is>
      </c>
      <c r="C10" s="474">
        <f>SUM(F17:F34)/1000000</f>
        <v>1.5614026980869564</v>
      </c>
    </row>
    <row r="11">
      <c r="B11" s="471" t="inlineStr">
        <is>
          <t>Cost of roles marked Hire ($m)</t>
        </is>
      </c>
      <c r="C11" s="474">
        <f>SUMIF(E17:E34,"Hire",F17:F34)/1000000</f>
        <v>0.0</v>
      </c>
    </row>
    <row r="12">
      <c r="B12" s="417" t="inlineStr">
        <is>
          <t>Vacant roles are priced at standard title rates - indicative until an offer is made.</t>
        </is>
      </c>
    </row>
    <row r="13">
      <c r="B13" s="417" t="inlineStr">
        <is>
          <t>Leadership roles are funded via the portfolio overheads and sit on 3.3 FTE View, not here.</t>
        </is>
      </c>
    </row>
    <row r="14">
      <c r="B14" s="570" t="inlineStr">
        <is>
          <t>vs archetype: positive = over the allowance, negative = under.</t>
        </is>
      </c>
    </row>
    <row r="15">
      <c r="B15" s="605" t="str">
        <f>CONCATENATE('1.5 P&amp;C'!$B$2," FTE")</f>
        <v>P&amp;C FTE</v>
      </c>
      <c r="C15" s="606" t="n"/>
      <c r="D15" s="606" t="n"/>
      <c r="E15" s="606" t="n"/>
      <c r="F15" s="606" t="n"/>
      <c r="G15" s="607" t="n"/>
      <c r="H15" s="607" t="n"/>
      <c r="I15" s="607" t="n"/>
      <c r="J15" s="607" t="n"/>
    </row>
    <row r="16">
      <c r="B16" s="424" t="inlineStr">
        <is>
          <t>Name</t>
        </is>
      </c>
      <c r="C16" s="424" t="inlineStr">
        <is>
          <t>Role</t>
        </is>
      </c>
      <c r="D16" s="424" t="inlineStr">
        <is>
          <t>Status</t>
        </is>
      </c>
      <c r="E16" s="424" t="inlineStr">
        <is>
          <t>Vacancy lever</t>
        </is>
      </c>
      <c r="F16" s="424" t="inlineStr">
        <is>
          <t>Cost if hired ($)</t>
        </is>
      </c>
    </row>
    <row r="17">
      <c r="B17" s="448" t="inlineStr">
        <is>
          <t>P&amp;C</t>
        </is>
      </c>
      <c r="C17" s="449" t="n"/>
      <c r="D17" s="449" t="n"/>
      <c r="E17" s="449" t="n"/>
    </row>
    <row r="18">
      <c r="B18" s="417" t="str">
        <f>Squads!$B$509</f>
        <v>Grace Hadiwijaya</v>
      </c>
      <c r="C18" s="417" t="str">
        <f>SUBSTITUTE(SUBSTITUTE(Squads!$C$509,"–","-"),"—","-")</f>
        <v>Lead P&amp;C Platforms</v>
      </c>
      <c r="D18" s="425" t="str">
        <f>Squads!$R$509</f>
        <v>Filled</v>
      </c>
    </row>
    <row r="19">
      <c r="B19" s="417" t="str">
        <f>Squads!$B$510</f>
        <v>Vacant</v>
      </c>
      <c r="C19" s="417" t="str">
        <f>SUBSTITUTE(SUBSTITUTE(Squads!$C$510,"–","-"),"—","-")</f>
        <v>Quality Assurance</v>
      </c>
      <c r="D19" s="425" t="str">
        <f>Squads!$R$510</f>
        <v>Vacant</v>
      </c>
      <c r="E19" s="481" t="inlineStr">
        <is>
          <t>Hold</t>
        </is>
      </c>
      <c r="F19" s="904">
        <f>SUMIF('Added data'!$C$2:$C$549,Squads!$C$510,'Added data'!$AA$2:$AA$549)/COUNTIF('Added data'!$C$2:$C$549,Squads!$C$510)</f>
        <v>169798.89904347828</v>
      </c>
    </row>
    <row r="20">
      <c r="B20" s="417" t="str">
        <f>Squads!$B$511</f>
        <v>Prerna Sharma</v>
      </c>
      <c r="C20" s="417" t="str">
        <f>SUBSTITUTE(SUBSTITUTE(Squads!$C$511,"–","-"),"—","-")</f>
        <v>SAP HR Specialist</v>
      </c>
      <c r="D20" s="425" t="str">
        <f>Squads!$R$511</f>
        <v>Filled</v>
      </c>
    </row>
    <row r="21">
      <c r="B21" s="417" t="str">
        <f>Squads!$B$512</f>
        <v>Vacant</v>
      </c>
      <c r="C21" s="417" t="str">
        <f>SUBSTITUTE(SUBSTITUTE(Squads!$C$512,"–","-"),"—","-")</f>
        <v>Engineer</v>
      </c>
      <c r="D21" s="425" t="str">
        <f>Squads!$R$512</f>
        <v>Vacant</v>
      </c>
      <c r="E21" s="481" t="inlineStr">
        <is>
          <t>Hold</t>
        </is>
      </c>
      <c r="F21" s="904">
        <f>SUMIF('Added data'!$C$2:$C$549,Squads!$C$512,'Added data'!$AA$2:$AA$549)/COUNTIF('Added data'!$C$2:$C$549,Squads!$C$512)</f>
        <v>202853.25</v>
      </c>
    </row>
    <row r="22">
      <c r="B22" s="417" t="str">
        <f>Squads!$B$513</f>
        <v>Maadhu Suresh</v>
      </c>
      <c r="C22" s="417" t="str">
        <f>SUBSTITUTE(SUBSTITUTE(Squads!$C$513,"–","-"),"—","-")</f>
        <v>Solution Architect</v>
      </c>
      <c r="D22" s="425" t="str">
        <f>Squads!$R$513</f>
        <v>Filled</v>
      </c>
    </row>
    <row r="23">
      <c r="B23" s="417" t="str">
        <f>Squads!$B$514</f>
        <v>Michael Pollock</v>
      </c>
      <c r="C23" s="417" t="str">
        <f>SUBSTITUTE(SUBSTITUTE(Squads!$C$514,"–","-"),"—","-")</f>
        <v>Lead Business Analyst</v>
      </c>
      <c r="D23" s="425" t="str">
        <f>Squads!$R$514</f>
        <v>Filled</v>
      </c>
    </row>
    <row r="24">
      <c r="B24" s="417" t="str">
        <f>Squads!$B$515</f>
        <v>Vacant</v>
      </c>
      <c r="C24" s="417" t="str">
        <f>SUBSTITUTE(SUBSTITUTE(Squads!$C$515,"–","-"),"—","-")</f>
        <v>Engineer</v>
      </c>
      <c r="D24" s="425" t="str">
        <f>Squads!$R$515</f>
        <v>Vacant</v>
      </c>
      <c r="E24" s="481" t="inlineStr">
        <is>
          <t>Hold</t>
        </is>
      </c>
      <c r="F24" s="904">
        <f>SUMIF('Added data'!$C$2:$C$549,Squads!$C$515,'Added data'!$AA$2:$AA$549)/COUNTIF('Added data'!$C$2:$C$549,Squads!$C$515)</f>
        <v>202853.25</v>
      </c>
    </row>
    <row r="25">
      <c r="B25" s="417" t="str">
        <f>Squads!$B$516</f>
        <v>Thai Pung</v>
      </c>
      <c r="C25" s="417" t="str">
        <f>SUBSTITUTE(SUBSTITUTE(Squads!$C$516,"–","-"),"—","-")</f>
        <v>Delivery Lead - (P&amp;C)</v>
      </c>
      <c r="D25" s="425" t="str">
        <f>Squads!$R$516</f>
        <v>Filled</v>
      </c>
    </row>
    <row r="26">
      <c r="B26" s="448" t="inlineStr">
        <is>
          <t>P&amp;C - RTA</t>
        </is>
      </c>
      <c r="C26" s="449" t="n"/>
      <c r="D26" s="449" t="n"/>
      <c r="E26" s="449" t="n"/>
    </row>
    <row r="27">
      <c r="B27" s="417" t="str">
        <f>Squads!$B$517</f>
        <v>Vacant</v>
      </c>
      <c r="C27" s="417" t="str">
        <f>SUBSTITUTE(SUBSTITUTE(Squads!$C$517,"–","-"),"—","-")</f>
        <v>Systems Specialist</v>
      </c>
      <c r="D27" s="425" t="str">
        <f>Squads!$R$517</f>
        <v>Vacant</v>
      </c>
      <c r="E27" s="481" t="inlineStr">
        <is>
          <t>Hold</t>
        </is>
      </c>
      <c r="F27" s="904">
        <f>SUMIF('Added data'!$C$2:$C$549,Squads!$C$517,'Added data'!$AA$2:$AA$549)/COUNTIF('Added data'!$C$2:$C$549,Squads!$C$517)</f>
        <v>179970.9</v>
      </c>
    </row>
    <row r="28">
      <c r="B28" s="417" t="str">
        <f>Squads!$B$518</f>
        <v>Kurniaty Widjaya</v>
      </c>
      <c r="C28" s="417" t="str">
        <f>SUBSTITUTE(SUBSTITUTE(Squads!$C$518,"–","-"),"—","-")</f>
        <v>ERP HR Pay Functional Lead</v>
      </c>
      <c r="D28" s="425" t="str">
        <f>Squads!$R$518</f>
        <v>Filled</v>
      </c>
    </row>
    <row r="29">
      <c r="B29" s="417" t="str">
        <f>Squads!$B$519</f>
        <v>Vacant</v>
      </c>
      <c r="C29" s="417" t="str">
        <f>SUBSTITUTE(SUBSTITUTE(Squads!$C$519,"–","-"),"—","-")</f>
        <v>Delivery Lead (RTA)</v>
      </c>
      <c r="D29" s="425" t="str">
        <f>Squads!$R$519</f>
        <v>Vacant</v>
      </c>
      <c r="E29" s="481" t="inlineStr">
        <is>
          <t>Hold</t>
        </is>
      </c>
      <c r="F29" s="904">
        <f>SUMIF('Added data'!$C$2:$C$549,Squads!$C$519,'Added data'!$AA$2:$AA$549)/COUNTIF('Added data'!$C$2:$C$549,Squads!$C$519)</f>
        <v>231689.25</v>
      </c>
    </row>
    <row r="30">
      <c r="B30" s="417" t="str">
        <f>Squads!$B$520</f>
        <v>Vacant</v>
      </c>
      <c r="C30" s="417" t="str">
        <f>SUBSTITUTE(SUBSTITUTE(Squads!$C$520,"–","-"),"—","-")</f>
        <v>Engineer</v>
      </c>
      <c r="D30" s="425" t="str">
        <f>Squads!$R$520</f>
        <v>Vacant</v>
      </c>
      <c r="E30" s="481" t="inlineStr">
        <is>
          <t>Hold</t>
        </is>
      </c>
      <c r="F30" s="904">
        <f>SUMIF('Added data'!$C$2:$C$549,Squads!$C$520,'Added data'!$AA$2:$AA$549)/COUNTIF('Added data'!$C$2:$C$549,Squads!$C$520)</f>
        <v>202853.25</v>
      </c>
    </row>
    <row r="31">
      <c r="B31" s="417" t="str">
        <f>Squads!$B$521</f>
        <v>Vacant</v>
      </c>
      <c r="C31" s="417" t="str">
        <f>SUBSTITUTE(SUBSTITUTE(Squads!$C$521,"–","-"),"—","-")</f>
        <v>Quality Assurance</v>
      </c>
      <c r="D31" s="425" t="str">
        <f>Squads!$R$521</f>
        <v>Vacant</v>
      </c>
      <c r="E31" s="481" t="inlineStr">
        <is>
          <t>Hold</t>
        </is>
      </c>
      <c r="F31" s="904">
        <f>SUMIF('Added data'!$C$2:$C$549,Squads!$C$521,'Added data'!$AA$2:$AA$549)/COUNTIF('Added data'!$C$2:$C$549,Squads!$C$521)</f>
        <v>169798.89904347828</v>
      </c>
    </row>
    <row r="32">
      <c r="B32" s="417" t="str">
        <f>Squads!$B$522</f>
        <v>Vacant</v>
      </c>
      <c r="C32" s="417" t="str">
        <f>SUBSTITUTE(SUBSTITUTE(Squads!$C$522,"–","-"),"—","-")</f>
        <v>Business Analyst (P&amp;C RTA)</v>
      </c>
      <c r="D32" s="425" t="str">
        <f>Squads!$R$522</f>
        <v>Vacant</v>
      </c>
      <c r="E32" s="481" t="inlineStr">
        <is>
          <t>Hold</t>
        </is>
      </c>
      <c r="F32" s="904">
        <f>SUMIF('Added data'!$C$2:$C$549,Squads!$C$522,'Added data'!$AA$2:$AA$549)/COUNTIF('Added data'!$C$2:$C$549,Squads!$C$522)</f>
        <v>201585.0</v>
      </c>
    </row>
    <row r="33">
      <c r="B33" s="448" t="inlineStr">
        <is>
          <t>EGI P&amp;C</t>
        </is>
      </c>
      <c r="C33" s="449" t="n"/>
      <c r="D33" s="449" t="n"/>
      <c r="E33" s="449" t="n"/>
    </row>
    <row r="34">
      <c r="B34" s="417" t="str">
        <f>Squads!$B$478</f>
        <v>Vikram Chhahira</v>
      </c>
      <c r="C34" s="417" t="str">
        <f>SUBSTITUTE(SUBSTITUTE(Squads!$C$478,"–","-"),"—","-")</f>
        <v>Delivery Lead, EGI</v>
      </c>
      <c r="D34" s="425" t="str">
        <f>Squads!$R$478</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8.xml><?xml version="1.0" encoding="utf-8"?>
<worksheet xmlns="http://schemas.openxmlformats.org/spreadsheetml/2006/main">
  <sheetPr>
    <tabColor rgb="FFBF8F00"/>
    <outlinePr summaryBelow="1" summaryRight="1"/>
    <pageSetUpPr/>
  </sheetPr>
  <dimension ref="B2:O34"/>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t="str">
        <f>CONCATENATE('1.6 Finance'!$B$2," working copy")</f>
        <v>Finance working copy</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AU Finance</t>
        </is>
      </c>
      <c r="C6" s="567" t="str">
        <f>'3.3 FTE View'!$E$58</f>
        <v>Configuration / Integration</v>
      </c>
      <c r="D6" s="902">
        <f>'3.3 FTE View'!$G$58</f>
        <v>14.0</v>
      </c>
      <c r="E6" s="425">
        <f>COUNTIFS(Squads!$N:$N,"Finance",Squads!$P:$P,"AU Finance",Squads!$R:$R,"Filled")</f>
        <v>2.0</v>
      </c>
      <c r="F6" s="425">
        <f>COUNTIFS(Squads!$N:$N,"Finance",Squads!$P:$P,"AU Finance",Squads!$R:$R,"Vacant")</f>
        <v>7.0</v>
      </c>
      <c r="G6" s="425">
        <f>COUNTIF(E18:E26,"Hire")</f>
        <v>0.0</v>
      </c>
      <c r="H6" s="442">
        <f>F6-G6-COUNTIF(E18:E26,"Offshore")</f>
        <v>7.0</v>
      </c>
      <c r="I6" s="902">
        <f>IFERROR(E6+G6-D6,"-")</f>
        <v>-12.0</v>
      </c>
      <c r="J6" s="417" t="str">
        <f>IF(ISNUMBER(D6),IF(E6&gt;D6,"Filled already over archetype",IF(E6+G6&gt;D6,"Over archetype after hire calls","")),"Outside the archetype model - no target set")</f>
        <v/>
      </c>
      <c r="K6" s="551">
        <f>'3.3 FTE View'!$M$58</f>
        <v>3.2</v>
      </c>
      <c r="L6" s="551">
        <f>'3.3 FTE View'!$N$58</f>
        <v>2.01898557</v>
      </c>
      <c r="M6" s="551">
        <f>(SUMIFS('Added data'!$AA:$AA,'Added data'!$AC:$AC,'1.6 Finance'!$B$2,'Added data'!$AE:$AE,$B6,'Added data'!$AG:$AG,"Filled")+SUMIFS(F18:F26,E18:E26,"Hire")+0.4*SUMIFS(F18:F26,E18:E26,"Offshore"))/1000000</f>
        <v>0.45399344999999997</v>
      </c>
      <c r="N6" s="551">
        <f>M6-K6</f>
        <v>-2.74600655</v>
      </c>
      <c r="O6" s="552" t="str">
        <f>'3.3 FTE View'!$F$58</f>
        <v>L</v>
      </c>
    </row>
    <row r="7">
      <c r="B7" s="417" t="inlineStr">
        <is>
          <t>NZ Finance</t>
        </is>
      </c>
      <c r="C7" s="567" t="str">
        <f>'3.3 FTE View'!$E$59</f>
        <v>Configuration / Integration</v>
      </c>
      <c r="D7" s="902">
        <f>'3.3 FTE View'!$G$59</f>
        <v>6.0</v>
      </c>
      <c r="E7" s="425">
        <f>COUNTIFS(Squads!$N:$N,"Finance",Squads!$P:$P,"NZ Finance",Squads!$R:$R,"Filled")</f>
        <v>4.0</v>
      </c>
      <c r="F7" s="425">
        <f>COUNTIFS(Squads!$N:$N,"Finance",Squads!$P:$P,"NZ Finance",Squads!$R:$R,"Vacant")</f>
        <v>1.0</v>
      </c>
      <c r="G7" s="425">
        <f>COUNTIF(E32:E32,"Hire")</f>
        <v>0.0</v>
      </c>
      <c r="H7" s="442">
        <f>F7-G7-COUNTIF(E32:E32,"Offshore")</f>
        <v>1.0</v>
      </c>
      <c r="I7" s="902">
        <f>IFERROR(E7+G7-D7,"-")</f>
        <v>-2.0</v>
      </c>
      <c r="J7" s="417" t="str">
        <f>IF(ISNUMBER(D7),IF(E7&gt;D7,"Filled already over archetype",IF(E7+G7&gt;D7,"Over archetype after hire calls","")),"Outside the archetype model - no target set")</f>
        <v/>
      </c>
      <c r="K7" s="551">
        <f>'3.3 FTE View'!$M$59</f>
        <v>1.4</v>
      </c>
      <c r="L7" s="551">
        <f>'3.3 FTE View'!$N$59</f>
        <v>0.9051416459999999</v>
      </c>
      <c r="M7" s="551">
        <f>(SUMIFS('Added data'!$AA:$AA,'Added data'!$AC:$AC,'1.6 Finance'!$B$2,'Added data'!$AE:$AE,$B7,'Added data'!$AG:$AG,"Filled")+SUMIFS(F28:F32,E28:E32,"Hire")+0.4*SUMIFS(F28:F32,E28:E32,"Offshore"))/1000000</f>
        <v>0.673452396</v>
      </c>
      <c r="N7" s="551">
        <f>M7-K7</f>
        <v>-0.726547604</v>
      </c>
      <c r="O7" s="552" t="str">
        <f>'3.3 FTE View'!$F$59</f>
        <v>S</v>
      </c>
    </row>
    <row r="8">
      <c r="B8" s="417" t="inlineStr">
        <is>
          <t>EGI Finance</t>
        </is>
      </c>
      <c r="C8" s="567" t="str">
        <f>'3.3 FTE View'!$E$61</f>
        <v>Strategic Programs</v>
      </c>
      <c r="D8" s="902" t="str">
        <f>'3.3 FTE View'!$G$61</f>
        <v>-</v>
      </c>
      <c r="E8" s="425">
        <f>COUNTIFS(Squads!$N:$N,"Finance",Squads!$P:$P,"EGI Finance",Squads!$R:$R,"Filled")</f>
        <v>1.0</v>
      </c>
      <c r="F8" s="425">
        <f>COUNTIFS(Squads!$N:$N,"Finance",Squads!$P:$P,"EGI Finance",Squads!$R:$R,"Vacant")</f>
        <v>0.0</v>
      </c>
      <c r="G8" s="603">
        <f>COUNTIF(E34:E34,"Hire")</f>
        <v>0.0</v>
      </c>
      <c r="H8" s="442">
        <f>F8-G8-COUNTIF(E34:E34,"Offshore")</f>
        <v>0.0</v>
      </c>
      <c r="I8" s="902" t="str">
        <f>IFERROR(E8+G8-D8,"-")</f>
        <v>-</v>
      </c>
      <c r="J8" s="417" t="str">
        <f>IF(ISNUMBER(D8),IF(E8&gt;D8,"Filled already over archetype",IF(E8+G8&gt;D8,"Over archetype after hire calls","")),"Outside the archetype model - no target set")</f>
        <v>Outside the archetype model - no target set</v>
      </c>
      <c r="K8" s="551">
        <f>'3.3 FTE View'!$M$61</f>
        <v>0.0</v>
      </c>
      <c r="L8" s="551">
        <f>'3.3 FTE View'!$N$61</f>
        <v>0.24172844999999998</v>
      </c>
      <c r="M8" s="551">
        <f>(SUMIFS('Added data'!$AA:$AA,'Added data'!$AC:$AC,'1.6 Finance'!$B$2,'Added data'!$AE:$AE,$B8,'Added data'!$AG:$AG,"Filled")+SUMIFS(F34:F34,E34:E34,"Hire")+0.4*SUMIFS(F34:F34,E34:E34,"Offshore"))/1000000</f>
        <v>0.24172844999999998</v>
      </c>
      <c r="N8" s="551">
        <f>M8-K8</f>
        <v>0.24172844999999998</v>
      </c>
      <c r="O8" s="552">
        <f>'3.3 FTE View'!$F$61</f>
        <v>0.0</v>
      </c>
    </row>
    <row r="9">
      <c r="B9" s="419" t="inlineStr">
        <is>
          <t>Total</t>
        </is>
      </c>
      <c r="D9" s="903">
        <f>SUM(D6:D8)</f>
        <v>20.0</v>
      </c>
      <c r="E9" s="431">
        <f>SUM(E6:E8)</f>
        <v>7.0</v>
      </c>
      <c r="F9" s="431">
        <f>SUM(F6:F8)</f>
        <v>8.0</v>
      </c>
      <c r="G9" s="431">
        <f>SUM(G6:G8)</f>
        <v>0.0</v>
      </c>
      <c r="H9" s="431">
        <f>SUM(H6:H8)</f>
        <v>8.0</v>
      </c>
      <c r="I9" s="903">
        <f>IF(COUNT(I6:I8)=0,"-",SUM(I6:I8))</f>
        <v>-14.0</v>
      </c>
      <c r="K9" s="553">
        <f>SUM(K6:K8)</f>
        <v>4.6</v>
      </c>
      <c r="L9" s="553">
        <f>SUM(L6:L8)</f>
        <v>3.1658556659999997</v>
      </c>
      <c r="M9" s="553">
        <f>SUM(M6:M8)</f>
        <v>1.3691742959999997</v>
      </c>
      <c r="N9" s="553">
        <f>SUM(N6:N8)</f>
        <v>-3.230825704</v>
      </c>
      <c r="O9" s="604" t="str">
        <f>"-"</f>
        <v>-</v>
      </c>
    </row>
    <row r="10">
      <c r="B10" s="471" t="inlineStr">
        <is>
          <t>Cost to hire all vacancies ($m)</t>
        </is>
      </c>
      <c r="C10" s="474">
        <f>SUM(F17:F34)/1000000</f>
        <v>1.7966813700000002</v>
      </c>
    </row>
    <row r="11">
      <c r="B11" s="471" t="inlineStr">
        <is>
          <t>Cost of roles marked Hire ($m)</t>
        </is>
      </c>
      <c r="C11" s="474">
        <f>SUMIF(E17:E34,"Hire",F17:F34)/1000000</f>
        <v>0.0</v>
      </c>
    </row>
    <row r="12">
      <c r="B12" s="417" t="inlineStr">
        <is>
          <t>Vacant roles are priced at standard title rates - indicative until an offer is made.</t>
        </is>
      </c>
    </row>
    <row r="13">
      <c r="B13" s="417" t="inlineStr">
        <is>
          <t>Leadership roles are funded via the portfolio overheads and sit on 3.3 FTE View, not here.</t>
        </is>
      </c>
    </row>
    <row r="14">
      <c r="B14" s="570" t="inlineStr">
        <is>
          <t>vs archetype: positive = over the allowance, negative = under.</t>
        </is>
      </c>
    </row>
    <row r="15">
      <c r="B15" s="605" t="str">
        <f>CONCATENATE('1.6 Finance'!$B$2," FTE")</f>
        <v>Finance FTE</v>
      </c>
      <c r="C15" s="606" t="n"/>
      <c r="D15" s="606" t="n"/>
      <c r="E15" s="606" t="n"/>
      <c r="F15" s="606" t="n"/>
      <c r="G15" s="607" t="n"/>
      <c r="H15" s="607" t="n"/>
      <c r="I15" s="607" t="n"/>
      <c r="J15" s="607" t="n"/>
    </row>
    <row r="16">
      <c r="B16" s="424" t="inlineStr">
        <is>
          <t>Name</t>
        </is>
      </c>
      <c r="C16" s="424" t="inlineStr">
        <is>
          <t>Role</t>
        </is>
      </c>
      <c r="D16" s="424" t="inlineStr">
        <is>
          <t>Status</t>
        </is>
      </c>
      <c r="E16" s="424" t="inlineStr">
        <is>
          <t>Vacancy lever</t>
        </is>
      </c>
      <c r="F16" s="424" t="inlineStr">
        <is>
          <t>Cost if hired ($)</t>
        </is>
      </c>
    </row>
    <row r="17">
      <c r="B17" s="448" t="inlineStr">
        <is>
          <t>AU Finance</t>
        </is>
      </c>
      <c r="C17" s="449" t="n"/>
      <c r="D17" s="449" t="n"/>
      <c r="E17" s="449" t="n"/>
    </row>
    <row r="18">
      <c r="B18" s="417" t="str">
        <f>Squads!$B$523</f>
        <v>Vacant</v>
      </c>
      <c r="C18" s="417" t="str">
        <f>SUBSTITUTE(SUBSTITUTE(Squads!$C$523,"–","-"),"—","-")</f>
        <v>SAP Functional Specialist</v>
      </c>
      <c r="D18" s="425" t="str">
        <f>Squads!$R$523</f>
        <v>Vacant</v>
      </c>
      <c r="E18" s="481" t="inlineStr">
        <is>
          <t>Hold</t>
        </is>
      </c>
      <c r="F18" s="904">
        <f>SUMIF('Added data'!$C$2:$C$549,Squads!$C$523,'Added data'!$AA$2:$AA$549)/COUNTIF('Added data'!$C$2:$C$549,Squads!$C$523)</f>
        <v>231689.25</v>
      </c>
    </row>
    <row r="19">
      <c r="B19" s="417" t="str">
        <f>Squads!$B$524</f>
        <v>Vacant</v>
      </c>
      <c r="C19" s="417" t="str">
        <f>SUBSTITUTE(SUBSTITUTE(Squads!$C$524,"–","-"),"—","-")</f>
        <v>SAP Functional Specialist</v>
      </c>
      <c r="D19" s="425" t="str">
        <f>Squads!$R$524</f>
        <v>Vacant</v>
      </c>
      <c r="E19" s="481" t="inlineStr">
        <is>
          <t>Hold</t>
        </is>
      </c>
      <c r="F19" s="904">
        <f>SUMIF('Added data'!$C$2:$C$549,Squads!$C$524,'Added data'!$AA$2:$AA$549)/COUNTIF('Added data'!$C$2:$C$549,Squads!$C$524)</f>
        <v>231689.25</v>
      </c>
    </row>
    <row r="20">
      <c r="B20" s="417" t="str">
        <f>Squads!$B$525</f>
        <v>Vacant</v>
      </c>
      <c r="C20" s="417" t="str">
        <f>SUBSTITUTE(SUBSTITUTE(Squads!$C$525,"–","-"),"—","-")</f>
        <v>SAP Functional Specialist</v>
      </c>
      <c r="D20" s="425" t="str">
        <f>Squads!$R$525</f>
        <v>Vacant</v>
      </c>
      <c r="E20" s="481" t="inlineStr">
        <is>
          <t>Hold</t>
        </is>
      </c>
      <c r="F20" s="904">
        <f>SUMIF('Added data'!$C$2:$C$549,Squads!$C$525,'Added data'!$AA$2:$AA$549)/COUNTIF('Added data'!$C$2:$C$549,Squads!$C$525)</f>
        <v>231689.25</v>
      </c>
    </row>
    <row r="21">
      <c r="B21" s="417" t="str">
        <f>Squads!$B$526</f>
        <v>Maudud Chaudhury</v>
      </c>
      <c r="C21" s="417" t="str">
        <f>SUBSTITUTE(SUBSTITUTE(Squads!$C$526,"–","-"),"—","-")</f>
        <v>SAP ERP Application Lead</v>
      </c>
      <c r="D21" s="425" t="str">
        <f>Squads!$R$526</f>
        <v>Filled</v>
      </c>
    </row>
    <row r="22">
      <c r="B22" s="417" t="str">
        <f>Squads!$B$527</f>
        <v>Vacant</v>
      </c>
      <c r="C22" s="417" t="str">
        <f>SUBSTITUTE(SUBSTITUTE(Squads!$C$527,"–","-"),"—","-")</f>
        <v>Solution Architect - Finance</v>
      </c>
      <c r="D22" s="425" t="str">
        <f>Squads!$R$527</f>
        <v>Vacant</v>
      </c>
      <c r="E22" s="481" t="inlineStr">
        <is>
          <t>Hold</t>
        </is>
      </c>
      <c r="F22" s="904">
        <f>SUMIF('Added data'!$C$2:$C$549,Squads!$C$527,'Added data'!$AA$2:$AA$549)/COUNTIF('Added data'!$C$2:$C$549,Squads!$C$527)</f>
        <v>231689.25</v>
      </c>
    </row>
    <row r="23">
      <c r="B23" s="417" t="str">
        <f>Squads!$B$528</f>
        <v>Julma Bhagwani</v>
      </c>
      <c r="C23" s="417" t="str">
        <f>SUBSTITUTE(SUBSTITUTE(Squads!$C$528,"–","-"),"—","-")</f>
        <v>SAP ERP Application Lead</v>
      </c>
      <c r="D23" s="425" t="str">
        <f>Squads!$R$528</f>
        <v>Filled</v>
      </c>
    </row>
    <row r="24">
      <c r="B24" s="417" t="str">
        <f>Squads!$B$529</f>
        <v>Vacant </v>
      </c>
      <c r="C24" s="417" t="str">
        <f>SUBSTITUTE(SUBSTITUTE(Squads!$C$529,"–","-"),"—","-")</f>
        <v>Integration Specialist (ASAPIO CTRM)</v>
      </c>
      <c r="D24" s="425" t="str">
        <f>Squads!$R$529</f>
        <v>Vacant</v>
      </c>
      <c r="E24" s="481" t="inlineStr">
        <is>
          <t>Hold</t>
        </is>
      </c>
      <c r="F24" s="904">
        <f>SUMIF('Added data'!$C$2:$C$549,Squads!$C$529,'Added data'!$AA$2:$AA$549)/COUNTIF('Added data'!$C$2:$C$549,Squads!$C$529)</f>
        <v>174856.62</v>
      </c>
    </row>
    <row r="25">
      <c r="B25" s="417" t="str">
        <f>Squads!$B$530</f>
        <v>Vacant</v>
      </c>
      <c r="C25" s="417" t="str">
        <f>SUBSTITUTE(SUBSTITUTE(Squads!$C$530,"–","-"),"—","-")</f>
        <v>SAP Functional Specialist</v>
      </c>
      <c r="D25" s="425" t="str">
        <f>Squads!$R$530</f>
        <v>Vacant</v>
      </c>
      <c r="E25" s="481" t="inlineStr">
        <is>
          <t>Hold</t>
        </is>
      </c>
      <c r="F25" s="904">
        <f>SUMIF('Added data'!$C$2:$C$549,Squads!$C$530,'Added data'!$AA$2:$AA$549)/COUNTIF('Added data'!$C$2:$C$549,Squads!$C$530)</f>
        <v>231689.25</v>
      </c>
    </row>
    <row r="26">
      <c r="B26" s="417" t="str">
        <f>Squads!$B$531</f>
        <v>Vacant</v>
      </c>
      <c r="C26" s="417" t="str">
        <f>SUBSTITUTE(SUBSTITUTE(Squads!$C$531,"–","-"),"—","-")</f>
        <v>Delivery Lead (SAP)</v>
      </c>
      <c r="D26" s="425" t="str">
        <f>Squads!$R$531</f>
        <v>Vacant</v>
      </c>
      <c r="E26" s="481" t="inlineStr">
        <is>
          <t>Hold</t>
        </is>
      </c>
      <c r="F26" s="904">
        <f>SUMIF('Added data'!$C$2:$C$549,Squads!$C$531,'Added data'!$AA$2:$AA$549)/COUNTIF('Added data'!$C$2:$C$549,Squads!$C$531)</f>
        <v>231689.25</v>
      </c>
    </row>
    <row r="27">
      <c r="B27" s="448" t="inlineStr">
        <is>
          <t>NZ Finance</t>
        </is>
      </c>
      <c r="C27" s="449" t="n"/>
      <c r="D27" s="449" t="n"/>
      <c r="E27" s="449" t="n"/>
    </row>
    <row r="28">
      <c r="B28" s="417" t="str">
        <f>Squads!$B$504</f>
        <v>Leilanie Avilla</v>
      </c>
      <c r="C28" s="417" t="str">
        <f>SUBSTITUTE(SUBSTITUTE(Squads!$C$504,"–","-"),"—","-")</f>
        <v>JDE Systems Specialist</v>
      </c>
      <c r="D28" s="425" t="str">
        <f>Squads!$R$504</f>
        <v>Filled</v>
      </c>
    </row>
    <row r="29">
      <c r="B29" s="417" t="str">
        <f>Squads!$B$505</f>
        <v>Kamal Patel</v>
      </c>
      <c r="C29" s="417" t="str">
        <f>SUBSTITUTE(SUBSTITUTE(Squads!$C$505,"–","-"),"—","-")</f>
        <v>JDE Senior Systems Specialist</v>
      </c>
      <c r="D29" s="425" t="str">
        <f>Squads!$R$505</f>
        <v>Filled</v>
      </c>
    </row>
    <row r="30">
      <c r="B30" s="417" t="str">
        <f>Squads!$B$506</f>
        <v>Martyn Rudduck</v>
      </c>
      <c r="C30" s="417" t="str">
        <f>SUBSTITUTE(SUBSTITUTE(Squads!$C$506,"–","-"),"—","-")</f>
        <v>JDE Senior Systems Specialist</v>
      </c>
      <c r="D30" s="425" t="str">
        <f>Squads!$R$506</f>
        <v>Filled</v>
      </c>
    </row>
    <row r="31">
      <c r="B31" s="417" t="str">
        <f>Squads!$B$507</f>
        <v>Lydia Pritchard</v>
      </c>
      <c r="C31" s="417" t="str">
        <f>SUBSTITUTE(SUBSTITUTE(Squads!$C$507,"–","-"),"—","-")</f>
        <v>Lead JDE Systems Specialist</v>
      </c>
      <c r="D31" s="425" t="str">
        <f>Squads!$R$507</f>
        <v>Filled</v>
      </c>
    </row>
    <row r="32">
      <c r="B32" s="417" t="str">
        <f>Squads!$B$508</f>
        <v>Vacant</v>
      </c>
      <c r="C32" s="417" t="str">
        <f>SUBSTITUTE(SUBSTITUTE(Squads!$C$508,"–","-"),"—","-")</f>
        <v>Delivery Lead (JDE)</v>
      </c>
      <c r="D32" s="425" t="str">
        <f>Squads!$R$508</f>
        <v>Vacant</v>
      </c>
      <c r="E32" s="481" t="inlineStr">
        <is>
          <t>Hold</t>
        </is>
      </c>
      <c r="F32" s="904">
        <f>SUMIF('Added data'!$C$2:$C$549,Squads!$C$508,'Added data'!$AA$2:$AA$549)/COUNTIF('Added data'!$C$2:$C$549,Squads!$C$508)</f>
        <v>231689.25</v>
      </c>
    </row>
    <row r="33">
      <c r="B33" s="448" t="inlineStr">
        <is>
          <t>EGI Finance</t>
        </is>
      </c>
      <c r="C33" s="449" t="n"/>
      <c r="D33" s="449" t="n"/>
      <c r="E33" s="449" t="n"/>
    </row>
    <row r="34">
      <c r="B34" s="417" t="str">
        <f>Squads!$B$477</f>
        <v>Ee Lynn Yap</v>
      </c>
      <c r="C34" s="417" t="str">
        <f>SUBSTITUTE(SUBSTITUTE(Squads!$C$477,"–","-"),"—","-")</f>
        <v>SAP ERP Application Lead</v>
      </c>
      <c r="D34" s="425" t="str">
        <f>Squads!$R$477</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9.xml><?xml version="1.0" encoding="utf-8"?>
<worksheet xmlns="http://schemas.openxmlformats.org/spreadsheetml/2006/main">
  <sheetPr>
    <tabColor rgb="FFBF8F00"/>
    <outlinePr summaryBelow="1" summaryRight="1"/>
    <pageSetUpPr/>
  </sheetPr>
  <dimension ref="B2:O51"/>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t="str">
        <f>CONCATENATE('1.7 Infrastructure'!$B$2," working copy")</f>
        <v>Infrastructure working copy</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Distribution, Sales &amp; Services</t>
        </is>
      </c>
      <c r="C6" s="567" t="str">
        <f>'3.3 FTE View'!$E$64</f>
        <v>Configuration / Integration</v>
      </c>
      <c r="D6" s="902">
        <f>'3.3 FTE View'!$G$64</f>
        <v>9.0</v>
      </c>
      <c r="E6" s="425">
        <f>COUNTIFS(Squads!$N:$N,"Infrastructure",Squads!$P:$P,"Distribution, Sales &amp; Services",Squads!$R:$R,"Filled")</f>
        <v>6.0</v>
      </c>
      <c r="F6" s="425">
        <f>COUNTIFS(Squads!$N:$N,"Infrastructure",Squads!$P:$P,"Distribution, Sales &amp; Services",Squads!$R:$R,"Vacant")</f>
        <v>4.0</v>
      </c>
      <c r="G6" s="425">
        <f>COUNTIF(E23:E28,"Hire")</f>
        <v>0.0</v>
      </c>
      <c r="H6" s="442">
        <f>F6-G6-COUNTIF(E23:E28,"Offshore")</f>
        <v>4.0</v>
      </c>
      <c r="I6" s="902">
        <f>IFERROR(E6+G6-D6,"-")</f>
        <v>-3.0</v>
      </c>
      <c r="J6" s="417" t="str">
        <f>IF(ISNUMBER(D6),IF(E6&gt;D6,"Filled already over archetype",IF(E6+G6&gt;D6,"Over archetype after hire calls","")),"Outside the archetype model - no target set")</f>
        <v/>
      </c>
      <c r="K6" s="551">
        <f>'3.3 FTE View'!$M$64</f>
        <v>2.1</v>
      </c>
      <c r="L6" s="551">
        <f>'3.3 FTE View'!$N$64</f>
        <v>1.9244203999999998</v>
      </c>
      <c r="M6" s="551">
        <f>(SUMIFS('Added data'!$AA:$AA,'Added data'!$AC:$AC,'1.7 Infrastructure'!$B$2,'Added data'!$AE:$AE,$B6,'Added data'!$AG:$AG,"Filled")+SUMIFS(F19:F28,E19:E28,"Hire")+0.4*SUMIFS(F19:F28,E19:E28,"Offshore"))/1000000</f>
        <v>1.7539306499999998</v>
      </c>
      <c r="N6" s="551">
        <f>M6-K6</f>
        <v>-0.3460693500000003</v>
      </c>
      <c r="O6" s="552" t="str">
        <f>'3.3 FTE View'!$F$64</f>
        <v>M</v>
      </c>
    </row>
    <row r="7">
      <c r="B7" s="417" t="inlineStr">
        <is>
          <t>Manufacturing &amp; Group Projects</t>
        </is>
      </c>
      <c r="C7" s="567" t="str">
        <f>'3.3 FTE View'!$E$66</f>
        <v>Configuration / Integration</v>
      </c>
      <c r="D7" s="902">
        <f>'3.3 FTE View'!$G$66</f>
        <v>9.0</v>
      </c>
      <c r="E7" s="425">
        <f>COUNTIFS(Squads!$N:$N,"Infrastructure",Squads!$P:$P,"Manufacturing &amp; Group Projects",Squads!$R:$R,"Filled")</f>
        <v>6.0</v>
      </c>
      <c r="F7" s="425">
        <f>COUNTIFS(Squads!$N:$N,"Infrastructure",Squads!$P:$P,"Manufacturing &amp; Group Projects",Squads!$R:$R,"Vacant")</f>
        <v>3.0</v>
      </c>
      <c r="G7" s="425">
        <f>COUNTIF(E33:E38,"Hire")</f>
        <v>0.0</v>
      </c>
      <c r="H7" s="442">
        <f>F7-G7-COUNTIF(E33:E38,"Offshore")</f>
        <v>3.0</v>
      </c>
      <c r="I7" s="902">
        <f>IFERROR(E7+G7-D7,"-")</f>
        <v>-3.0</v>
      </c>
      <c r="J7" s="417" t="str">
        <f>IF(ISNUMBER(D7),IF(E7&gt;D7,"Filled already over archetype",IF(E7+G7&gt;D7,"Over archetype after hire calls","")),"Outside the archetype model - no target set")</f>
        <v/>
      </c>
      <c r="K7" s="551">
        <f>'3.3 FTE View'!$M$66</f>
        <v>2.1</v>
      </c>
      <c r="L7" s="551">
        <f>'3.3 FTE View'!$N$66</f>
        <v>1.9147733</v>
      </c>
      <c r="M7" s="551">
        <f>(SUMIFS('Added data'!$AA:$AA,'Added data'!$AC:$AC,'1.7 Infrastructure'!$B$2,'Added data'!$AE:$AE,$B7,'Added data'!$AG:$AG,"Filled")+SUMIFS(F30:F38,E30:E38,"Hire")+0.4*SUMIFS(F30:F38,E30:E38,"Offshore"))/1000000</f>
        <v>1.5125943</v>
      </c>
      <c r="N7" s="551">
        <f>M7-K7</f>
        <v>-0.5874057000000001</v>
      </c>
      <c r="O7" s="552" t="str">
        <f>'3.3 FTE View'!$F$66</f>
        <v>M</v>
      </c>
    </row>
    <row r="8">
      <c r="B8" s="417" t="inlineStr">
        <is>
          <t>Technology Support</t>
        </is>
      </c>
      <c r="C8" s="567" t="str">
        <f>'3.3 FTE View'!$E$67</f>
        <v>Operations</v>
      </c>
      <c r="D8" s="902">
        <f>'3.3 FTE View'!$G$67</f>
        <v>4.0</v>
      </c>
      <c r="E8" s="425">
        <f>COUNTIFS(Squads!$N:$N,"Infrastructure",Squads!$P:$P,"Technology Support",Squads!$R:$R,"Filled")</f>
        <v>3.0</v>
      </c>
      <c r="F8" s="425">
        <f>COUNTIFS(Squads!$N:$N,"Infrastructure",Squads!$P:$P,"Technology Support",Squads!$R:$R,"Vacant")</f>
        <v>1.0</v>
      </c>
      <c r="G8" s="425">
        <f>COUNTIF(E41:E41,"Hire")</f>
        <v>0.0</v>
      </c>
      <c r="H8" s="442">
        <f>F8-G8-COUNTIF(E41:E41,"Offshore")</f>
        <v>1.0</v>
      </c>
      <c r="I8" s="902">
        <f>IFERROR(E8+G8-D8,"-")</f>
        <v>-1.0</v>
      </c>
      <c r="J8" s="417" t="str">
        <f>IF(ISNUMBER(D8),IF(E8&gt;D8,"Filled already over archetype",IF(E8+G8&gt;D8,"Over archetype after hire calls","")),"Outside the archetype model - no target set")</f>
        <v/>
      </c>
      <c r="K8" s="551">
        <f>'3.3 FTE View'!$M$67</f>
        <v>0.8</v>
      </c>
      <c r="L8" s="551">
        <f>'3.3 FTE View'!$N$67</f>
        <v>0.7413352899999999</v>
      </c>
      <c r="M8" s="551">
        <f>(SUMIFS('Added data'!$AA:$AA,'Added data'!$AC:$AC,'1.7 Infrastructure'!$B$2,'Added data'!$AE:$AE,$B8,'Added data'!$AG:$AG,"Filled")+SUMIFS(F40:F43,E40:E43,"Hire")+0.4*SUMIFS(F40:F43,E40:E43,"Offshore"))/1000000</f>
        <v>0.7413352899999999</v>
      </c>
      <c r="N8" s="551">
        <f>M8-K8</f>
        <v>-0.058664710000000175</v>
      </c>
      <c r="O8" s="552" t="str">
        <f>'3.3 FTE View'!$F$67</f>
        <v>S</v>
      </c>
    </row>
    <row r="9">
      <c r="B9" s="417" t="inlineStr">
        <is>
          <t>Data &amp; Insights</t>
        </is>
      </c>
      <c r="C9" s="567" t="str">
        <f>'3.3 FTE View'!$E$69</f>
        <v>Configuration / Integration</v>
      </c>
      <c r="D9" s="902">
        <f>'3.3 FTE View'!$G$69</f>
        <v>6.0</v>
      </c>
      <c r="E9" s="425">
        <f>COUNTIFS(Squads!$N:$N,"Infrastructure",Squads!$P:$P,"Data &amp; Insights",Squads!$R:$R,"Filled")</f>
        <v>2.0</v>
      </c>
      <c r="F9" s="425">
        <f>COUNTIFS(Squads!$N:$N,"Infrastructure",Squads!$P:$P,"Data &amp; Insights",Squads!$R:$R,"Vacant")</f>
        <v>5.0</v>
      </c>
      <c r="G9" s="425">
        <f>COUNTIF(E46:E51,"Hire")</f>
        <v>0.0</v>
      </c>
      <c r="H9" s="442">
        <f>F9-G9-COUNTIF(E46:E51,"Offshore")</f>
        <v>5.0</v>
      </c>
      <c r="I9" s="902">
        <f>IFERROR(E9+G9-D9,"-")</f>
        <v>-4.0</v>
      </c>
      <c r="J9" s="417" t="str">
        <f>IF(ISNUMBER(D9),IF(E9&gt;D9,"Filled already over archetype",IF(E9+G9&gt;D9,"Over archetype after hire calls","")),"Outside the archetype model - no target set")</f>
        <v/>
      </c>
      <c r="K9" s="551">
        <f>'3.3 FTE View'!$M$69</f>
        <v>1.4</v>
      </c>
      <c r="L9" s="551">
        <f>'3.3 FTE View'!$N$69</f>
        <v>1.51725675</v>
      </c>
      <c r="M9" s="551">
        <f>(SUMIFS('Added data'!$AA:$AA,'Added data'!$AC:$AC,'1.7 Infrastructure'!$B$2,'Added data'!$AE:$AE,$B9,'Added data'!$AG:$AG,"Filled")+SUMIFS(F45:F51,E45:E51,"Hire")+0.4*SUMIFS(F45:F51,E45:E51,"Offshore"))/1000000</f>
        <v>0.47542275</v>
      </c>
      <c r="N9" s="551">
        <f>M9-K9</f>
        <v>-0.9245772499999999</v>
      </c>
      <c r="O9" s="552" t="str">
        <f>'3.3 FTE View'!$F$69</f>
        <v>S</v>
      </c>
    </row>
    <row r="10">
      <c r="B10" s="419" t="inlineStr">
        <is>
          <t>Total</t>
        </is>
      </c>
      <c r="D10" s="903">
        <f>SUM(D6:D9)</f>
        <v>28.0</v>
      </c>
      <c r="E10" s="431">
        <f>SUM(E6:E9)</f>
        <v>17.0</v>
      </c>
      <c r="F10" s="431">
        <f>SUM(F6:F9)</f>
        <v>13.0</v>
      </c>
      <c r="G10" s="431">
        <f>SUM(G6:G9)</f>
        <v>0.0</v>
      </c>
      <c r="H10" s="431">
        <f>SUM(H6:H9)</f>
        <v>13.0</v>
      </c>
      <c r="I10" s="903">
        <f>IF(COUNT(I6:I9)=0,"-",SUM(I6:I9))</f>
        <v>-11.0</v>
      </c>
      <c r="K10" s="553">
        <f>SUM(K6:K9)</f>
        <v>6.4</v>
      </c>
      <c r="L10" s="553">
        <f>SUM(L6:L9)</f>
        <v>6.097785739999999</v>
      </c>
      <c r="M10" s="553">
        <f>SUM(M6:M9)</f>
        <v>4.483282989999999</v>
      </c>
      <c r="N10" s="553">
        <f>SUM(N6:N9)</f>
        <v>-1.9167170100000006</v>
      </c>
      <c r="O10" s="604" t="str">
        <f>"-"</f>
        <v>-</v>
      </c>
    </row>
    <row r="11">
      <c r="B11" s="471" t="inlineStr">
        <is>
          <t>Cost to hire all vacancies ($m)</t>
        </is>
      </c>
      <c r="C11" s="474">
        <f>SUM(F18:F51)/1000000</f>
        <v>2.632608502332648</v>
      </c>
    </row>
    <row r="12">
      <c r="B12" s="471" t="inlineStr">
        <is>
          <t>Cost of roles marked Hire ($m)</t>
        </is>
      </c>
      <c r="C12" s="474">
        <f>SUMIF(E18:E51,"Hire",F18:F51)/1000000</f>
        <v>0.0</v>
      </c>
    </row>
    <row r="13">
      <c r="B13" s="417" t="inlineStr">
        <is>
          <t>Vacant roles are priced at standard title rates - indicative until an offer is made.</t>
        </is>
      </c>
    </row>
    <row r="14">
      <c r="B14" s="417" t="inlineStr">
        <is>
          <t>Leadership roles are funded via the portfolio overheads and sit on 3.3 FTE View, not here.</t>
        </is>
      </c>
    </row>
    <row r="15">
      <c r="B15" s="570" t="inlineStr">
        <is>
          <t>vs archetype: positive = over the allowance, negative = under.</t>
        </is>
      </c>
    </row>
    <row r="16">
      <c r="B16" s="605" t="str">
        <f>CONCATENATE('1.7 Infrastructure'!$B$2," FTE")</f>
        <v>Infrastructure FTE</v>
      </c>
      <c r="C16" s="606" t="n"/>
      <c r="D16" s="606" t="n"/>
      <c r="E16" s="606" t="n"/>
      <c r="F16" s="606" t="n"/>
      <c r="G16" s="607" t="n"/>
      <c r="H16" s="607" t="n"/>
      <c r="I16" s="607" t="n"/>
      <c r="J16" s="607" t="n"/>
    </row>
    <row r="17">
      <c r="B17" s="424" t="inlineStr">
        <is>
          <t>Name</t>
        </is>
      </c>
      <c r="C17" s="424" t="inlineStr">
        <is>
          <t>Role</t>
        </is>
      </c>
      <c r="D17" s="424" t="inlineStr">
        <is>
          <t>Status</t>
        </is>
      </c>
      <c r="E17" s="424" t="inlineStr">
        <is>
          <t>Vacancy lever</t>
        </is>
      </c>
      <c r="F17" s="424" t="inlineStr">
        <is>
          <t>Cost if hired ($)</t>
        </is>
      </c>
    </row>
    <row r="18">
      <c r="B18" s="448" t="inlineStr">
        <is>
          <t>Distribution, Sales &amp; Services</t>
        </is>
      </c>
      <c r="C18" s="449" t="n"/>
      <c r="D18" s="449" t="n"/>
      <c r="E18" s="449" t="n"/>
    </row>
    <row r="19">
      <c r="B19" s="417" t="str">
        <f>Squads!$B$368</f>
        <v>Anvitha Kurra</v>
      </c>
      <c r="C19" s="417" t="str">
        <f>SUBSTITUTE(SUBSTITUTE(Squads!$C$368,"–","-"),"—","-")</f>
        <v>Senior Systems Analyst</v>
      </c>
      <c r="D19" s="425" t="str">
        <f>Squads!$R$368</f>
        <v>Filled</v>
      </c>
    </row>
    <row r="20">
      <c r="B20" s="417" t="str">
        <f>Squads!$B$369</f>
        <v>Angus Gibson</v>
      </c>
      <c r="C20" s="417" t="str">
        <f>SUBSTITUTE(SUBSTITUTE(Squads!$C$369,"–","-"),"—","-")</f>
        <v>Senior Systems Analyst</v>
      </c>
      <c r="D20" s="425" t="str">
        <f>Squads!$R$369</f>
        <v>Filled</v>
      </c>
    </row>
    <row r="21">
      <c r="B21" s="417" t="str">
        <f>Squads!$B$370</f>
        <v>Rohan Patel</v>
      </c>
      <c r="C21" s="417" t="str">
        <f>SUBSTITUTE(SUBSTITUTE(Squads!$C$370,"–","-"),"—","-")</f>
        <v>Senior Systems Analyst</v>
      </c>
      <c r="D21" s="425" t="str">
        <f>Squads!$R$370</f>
        <v>Filled</v>
      </c>
    </row>
    <row r="22">
      <c r="B22" s="417" t="str">
        <f>Squads!$B$371</f>
        <v>Sriramani Deyyala</v>
      </c>
      <c r="C22" s="417" t="str">
        <f>SUBSTITUTE(SUBSTITUTE(Squads!$C$371,"–","-"),"—","-")</f>
        <v>Systems Analyst</v>
      </c>
      <c r="D22" s="425" t="str">
        <f>Squads!$R$371</f>
        <v>Filled</v>
      </c>
    </row>
    <row r="23">
      <c r="B23" s="417" t="str">
        <f>Squads!$B$372</f>
        <v>Vacant</v>
      </c>
      <c r="C23" s="417" t="str">
        <f>SUBSTITUTE(SUBSTITUTE(Squads!$C$372,"–","-"),"—","-")</f>
        <v>Systems Analyst</v>
      </c>
      <c r="D23" s="425" t="str">
        <f>Squads!$R$372</f>
        <v>Vacant</v>
      </c>
      <c r="E23" s="481" t="inlineStr">
        <is>
          <t>Hold</t>
        </is>
      </c>
      <c r="F23" s="904">
        <f>SUMIF('Added data'!$C$2:$C$549,Squads!$C$372,'Added data'!$AA$2:$AA$549)/COUNTIF('Added data'!$C$2:$C$549,Squads!$C$372)</f>
        <v>193260.22177777777</v>
      </c>
    </row>
    <row r="24">
      <c r="B24" s="417" t="str">
        <f>Squads!$B$385</f>
        <v>Siva Chimmani</v>
      </c>
      <c r="C24" s="417" t="str">
        <f>SUBSTITUTE(SUBSTITUTE(Squads!$C$385,"–","-"),"—","-")</f>
        <v>Senior Engineer</v>
      </c>
      <c r="D24" s="425" t="str">
        <f>Squads!$R$385</f>
        <v>Filled</v>
      </c>
    </row>
    <row r="25">
      <c r="B25" s="417" t="str">
        <f>Squads!$B$431</f>
        <v>Vacant</v>
      </c>
      <c r="C25" s="417" t="str">
        <f>SUBSTITUTE(SUBSTITUTE(Squads!$C$431,"–","-"),"—","-")</f>
        <v>Quality Assurance</v>
      </c>
      <c r="D25" s="425" t="str">
        <f>Squads!$R$431</f>
        <v>Vacant</v>
      </c>
      <c r="E25" s="481" t="inlineStr">
        <is>
          <t>Hold</t>
        </is>
      </c>
      <c r="F25" s="904">
        <f>SUMIF('Added data'!$C$2:$C$549,Squads!$C$431,'Added data'!$AA$2:$AA$549)/COUNTIF('Added data'!$C$2:$C$549,Squads!$C$431)</f>
        <v>169798.89904347828</v>
      </c>
    </row>
    <row r="26">
      <c r="B26" s="417" t="str">
        <f>Squads!$B$437</f>
        <v>Jodi Higgins</v>
      </c>
      <c r="C26" s="417" t="str">
        <f>SUBSTITUTE(SUBSTITUTE(Squads!$C$437,"–","-"),"—","-")</f>
        <v>Delivery Lead</v>
      </c>
      <c r="D26" s="425" t="str">
        <f>Squads!$R$437</f>
        <v>Filled</v>
      </c>
    </row>
    <row r="27">
      <c r="B27" s="417" t="str">
        <f>Squads!$B$447</f>
        <v>Vacant</v>
      </c>
      <c r="C27" s="417" t="str">
        <f>SUBSTITUTE(SUBSTITUTE(Squads!$C$447,"–","-"),"—","-")</f>
        <v>Snr Business Analyst</v>
      </c>
      <c r="D27" s="425" t="str">
        <f>Squads!$R$447</f>
        <v>Vacant</v>
      </c>
      <c r="E27" s="481" t="inlineStr">
        <is>
          <t>Hold</t>
        </is>
      </c>
      <c r="F27" s="904">
        <f>SUMIF('Added data'!$C$2:$C$549,Squads!$C$447,'Added data'!$AA$2:$AA$549)/COUNTIF('Added data'!$C$2:$C$549,Squads!$C$447)</f>
        <v>236102.16</v>
      </c>
    </row>
    <row r="28">
      <c r="B28" s="417" t="str">
        <f>Squads!$B$452</f>
        <v>Vacant</v>
      </c>
      <c r="C28" s="417" t="str">
        <f>SUBSTITUTE(SUBSTITUTE(Squads!$C$452,"–","-"),"—","-")</f>
        <v>Business Analyst</v>
      </c>
      <c r="D28" s="425" t="str">
        <f>Squads!$R$452</f>
        <v>Vacant</v>
      </c>
      <c r="E28" s="481" t="inlineStr">
        <is>
          <t>Hold</t>
        </is>
      </c>
      <c r="F28" s="904">
        <f>SUMIF('Added data'!$C$2:$C$549,Squads!$C$452,'Added data'!$AA$2:$AA$549)/COUNTIF('Added data'!$C$2:$C$549,Squads!$C$452)</f>
        <v>198578.016</v>
      </c>
    </row>
    <row r="29">
      <c r="B29" s="448" t="inlineStr">
        <is>
          <t>Manufacturing &amp; Group Projects</t>
        </is>
      </c>
      <c r="C29" s="449" t="n"/>
      <c r="D29" s="449" t="n"/>
      <c r="E29" s="449" t="n"/>
    </row>
    <row r="30">
      <c r="B30" s="417" t="str">
        <f>Squads!$B$352</f>
        <v>Jaya Ganasan</v>
      </c>
      <c r="C30" s="417" t="str">
        <f>SUBSTITUTE(SUBSTITUTE(Squads!$C$352,"–","-"),"—","-")</f>
        <v>B2B &amp; Energy+B452:I452</v>
      </c>
      <c r="D30" s="425" t="str">
        <f>Squads!$R$352</f>
        <v>Filled</v>
      </c>
    </row>
    <row r="31">
      <c r="B31" s="417" t="str">
        <f>Squads!$B$363</f>
        <v>Tyler Meggs</v>
      </c>
      <c r="C31" s="417" t="str">
        <f>SUBSTITUTE(SUBSTITUTE(Squads!$C$363,"–","-"),"—","-")</f>
        <v>System Analyst</v>
      </c>
      <c r="D31" s="425" t="str">
        <f>Squads!$R$363</f>
        <v>Filled</v>
      </c>
    </row>
    <row r="32">
      <c r="B32" s="417" t="str">
        <f>Squads!$B$364</f>
        <v>Victor Olasanoye</v>
      </c>
      <c r="C32" s="417" t="str">
        <f>SUBSTITUTE(SUBSTITUTE(Squads!$C$364,"–","-"),"—","-")</f>
        <v>Senior Systems Analyst</v>
      </c>
      <c r="D32" s="425" t="str">
        <f>Squads!$R$364</f>
        <v>Filled</v>
      </c>
    </row>
    <row r="33">
      <c r="B33" s="417" t="str">
        <f>Squads!$B$365</f>
        <v>Vacant </v>
      </c>
      <c r="C33" s="417" t="str">
        <f>SUBSTITUTE(SUBSTITUTE(Squads!$C$365,"–","-"),"—","-")</f>
        <v>Solution Architect</v>
      </c>
      <c r="D33" s="425" t="str">
        <f>Squads!$R$365</f>
        <v>Vacant</v>
      </c>
      <c r="E33" s="481" t="inlineStr">
        <is>
          <t>Hold</t>
        </is>
      </c>
      <c r="F33" s="904">
        <f>SUMIF('Added data'!$C$2:$C$549,Squads!$C$365,'Added data'!$AA$2:$AA$549)/COUNTIF('Added data'!$C$2:$C$549,Squads!$C$365)</f>
        <v>240502.89705882352</v>
      </c>
    </row>
    <row r="34">
      <c r="B34" s="417" t="str">
        <f>Squads!$B$366</f>
        <v>Chris Camacho</v>
      </c>
      <c r="C34" s="417" t="str">
        <f>SUBSTITUTE(SUBSTITUTE(Squads!$C$366,"–","-"),"—","-")</f>
        <v>Senior Systems Analyst</v>
      </c>
      <c r="D34" s="425" t="str">
        <f>Squads!$R$366</f>
        <v>Filled</v>
      </c>
    </row>
    <row r="35">
      <c r="B35" s="417" t="str">
        <f>Squads!$B$367</f>
        <v>Fabian Moreno Cortes</v>
      </c>
      <c r="C35" s="417" t="str">
        <f>SUBSTITUTE(SUBSTITUTE(Squads!$C$367,"–","-"),"—","-")</f>
        <v>Engineer - Software</v>
      </c>
      <c r="D35" s="425" t="str">
        <f>Squads!$R$367</f>
        <v>Filled</v>
      </c>
    </row>
    <row r="36">
      <c r="B36" s="417" t="str">
        <f>Squads!$B$436</f>
        <v>Vacant</v>
      </c>
      <c r="C36" s="417" t="str">
        <f>SUBSTITUTE(SUBSTITUTE(Squads!$C$436,"–","-"),"—","-")</f>
        <v>Quality Assurance</v>
      </c>
      <c r="D36" s="425" t="str">
        <f>Squads!$R$436</f>
        <v>Vacant</v>
      </c>
      <c r="E36" s="481" t="inlineStr">
        <is>
          <t>Hold</t>
        </is>
      </c>
      <c r="F36" s="904">
        <f>SUMIF('Added data'!$C$2:$C$549,Squads!$C$436,'Added data'!$AA$2:$AA$549)/COUNTIF('Added data'!$C$2:$C$549,Squads!$C$436)</f>
        <v>169798.89904347828</v>
      </c>
    </row>
    <row r="37">
      <c r="B37" s="417" t="str">
        <f>Squads!$B$443</f>
        <v>Louis Ballington</v>
      </c>
      <c r="C37" s="417" t="str">
        <f>SUBSTITUTE(SUBSTITUTE(Squads!$C$443,"–","-"),"—","-")</f>
        <v>Delivery Lead</v>
      </c>
      <c r="D37" s="425" t="str">
        <f>Squads!$R$443</f>
        <v>Filled</v>
      </c>
    </row>
    <row r="38">
      <c r="B38" s="417" t="str">
        <f>Squads!$B$448</f>
        <v>Vacant</v>
      </c>
      <c r="C38" s="417" t="str">
        <f>SUBSTITUTE(SUBSTITUTE(Squads!$C$448,"–","-"),"—","-")</f>
        <v>Snr Business Analyst</v>
      </c>
      <c r="D38" s="425" t="str">
        <f>Squads!$R$448</f>
        <v>Vacant</v>
      </c>
      <c r="E38" s="481" t="inlineStr">
        <is>
          <t>Hold</t>
        </is>
      </c>
      <c r="F38" s="904">
        <f>SUMIF('Added data'!$C$2:$C$549,Squads!$C$448,'Added data'!$AA$2:$AA$549)/COUNTIF('Added data'!$C$2:$C$549,Squads!$C$448)</f>
        <v>236102.16</v>
      </c>
    </row>
    <row r="39">
      <c r="B39" s="448" t="inlineStr">
        <is>
          <t>Technology Support</t>
        </is>
      </c>
      <c r="C39" s="449" t="n"/>
      <c r="D39" s="449" t="n"/>
      <c r="E39" s="449" t="n"/>
    </row>
    <row r="40">
      <c r="B40" s="417" t="str">
        <f>Squads!$B$361</f>
        <v>Scott Hasson</v>
      </c>
      <c r="C40" s="417" t="str">
        <f>SUBSTITUTE(SUBSTITUTE(Squads!$C$361,"–","-"),"—","-")</f>
        <v>Technology Support Engineer - Infrastructure</v>
      </c>
      <c r="D40" s="425" t="str">
        <f>Squads!$R$361</f>
        <v>Filled</v>
      </c>
    </row>
    <row r="41">
      <c r="B41" s="417" t="str">
        <f>Squads!$B$362</f>
        <v>Vacant</v>
      </c>
      <c r="C41" s="417" t="str">
        <f>SUBSTITUTE(SUBSTITUTE(Squads!$C$362,"–","-"),"—","-")</f>
        <v>Technology Support Engineer - Infrastructure</v>
      </c>
      <c r="D41" s="425" t="str">
        <f>Squads!$R$362</f>
        <v>Vacant</v>
      </c>
      <c r="E41" s="481" t="inlineStr">
        <is>
          <t>Hold</t>
        </is>
      </c>
      <c r="F41" s="904">
        <f>SUMIF('Added data'!$C$2:$C$549,Squads!$C$362,'Added data'!$AA$2:$AA$549)/COUNTIF('Added data'!$C$2:$C$549,Squads!$C$362)</f>
        <v>142510.84749999997</v>
      </c>
    </row>
    <row r="42">
      <c r="B42" s="417" t="str">
        <f>Squads!$B$403</f>
        <v>Tom Moore</v>
      </c>
      <c r="C42" s="417" t="str">
        <f>SUBSTITUTE(SUBSTITUTE(Squads!$C$403,"–","-"),"—","-")</f>
        <v>Technology Support Engineer - Infrastructure</v>
      </c>
      <c r="D42" s="425" t="str">
        <f>Squads!$R$403</f>
        <v>Filled</v>
      </c>
    </row>
    <row r="43">
      <c r="B43" s="417" t="str">
        <f>Squads!$B$415</f>
        <v>Glenn Earl</v>
      </c>
      <c r="C43" s="417" t="str">
        <f>SUBSTITUTE(SUBSTITUTE(Squads!$C$415,"–","-"),"—","-")</f>
        <v>Lead Technology Support - Infrastructure</v>
      </c>
      <c r="D43" s="425" t="str">
        <f>Squads!$R$415</f>
        <v>Filled</v>
      </c>
    </row>
    <row r="44">
      <c r="B44" s="448" t="inlineStr">
        <is>
          <t>Data &amp; Insights</t>
        </is>
      </c>
      <c r="C44" s="449" t="n"/>
      <c r="D44" s="449" t="n"/>
      <c r="E44" s="449" t="n"/>
    </row>
    <row r="45">
      <c r="B45" s="417" t="str">
        <f>Squads!$B$411</f>
        <v>Stevani Kho</v>
      </c>
      <c r="C45" s="417" t="str">
        <f>SUBSTITUTE(SUBSTITUTE(Squads!$C$411,"–","-"),"—","-")</f>
        <v>Delivery Lead</v>
      </c>
      <c r="D45" s="425" t="str">
        <f>Squads!$R$411</f>
        <v>Filled</v>
      </c>
    </row>
    <row r="46">
      <c r="B46" s="417" t="str">
        <f>Squads!$B$412</f>
        <v>vacant</v>
      </c>
      <c r="C46" s="417" t="str">
        <f>SUBSTITUTE(SUBSTITUTE(Squads!$C$412,"–","-"),"—","-")</f>
        <v>Senior Engineer Data</v>
      </c>
      <c r="D46" s="425" t="str">
        <f>Squads!$R$412</f>
        <v>Vacant</v>
      </c>
      <c r="E46" s="481" t="inlineStr">
        <is>
          <t>Hold</t>
        </is>
      </c>
      <c r="F46" s="904">
        <f>SUMIF('Added data'!$C$2:$C$549,Squads!$C$412,'Added data'!$AA$2:$AA$549)/COUNTIF('Added data'!$C$2:$C$549,Squads!$C$412)</f>
        <v>202853.25</v>
      </c>
    </row>
    <row r="47">
      <c r="B47" s="417" t="str">
        <f>Squads!$B$414</f>
        <v>Simrat Singh</v>
      </c>
      <c r="C47" s="417" t="str">
        <f>SUBSTITUTE(SUBSTITUTE(Squads!$C$414,"–","-"),"—","-")</f>
        <v>Reporting Analyst (Contractor)</v>
      </c>
      <c r="D47" s="425" t="str">
        <f>Squads!$R$414</f>
        <v>Filled</v>
      </c>
    </row>
    <row r="48">
      <c r="B48" s="417" t="str">
        <f>Squads!$B$416</f>
        <v>Vacant</v>
      </c>
      <c r="C48" s="417" t="str">
        <f>SUBSTITUTE(SUBSTITUTE(Squads!$C$416,"–","-"),"—","-")</f>
        <v>Lead Data Analyst</v>
      </c>
      <c r="D48" s="425" t="str">
        <f>Squads!$R$416</f>
        <v>Vacant</v>
      </c>
      <c r="E48" s="481" t="inlineStr">
        <is>
          <t>Hold</t>
        </is>
      </c>
      <c r="F48" s="904">
        <f>SUMIF('Added data'!$C$2:$C$549,Squads!$C$416,'Added data'!$AA$2:$AA$549)/COUNTIF('Added data'!$C$2:$C$549,Squads!$C$416)</f>
        <v>231689.25</v>
      </c>
    </row>
    <row r="49">
      <c r="B49" s="417" t="str">
        <f>Squads!$B$427</f>
        <v>Vacant</v>
      </c>
      <c r="C49" s="417" t="str">
        <f>SUBSTITUTE(SUBSTITUTE(Squads!$C$427,"–","-"),"—","-")</f>
        <v>Reporting Analyst</v>
      </c>
      <c r="D49" s="425" t="str">
        <f>Squads!$R$427</f>
        <v>Vacant</v>
      </c>
      <c r="E49" s="481" t="inlineStr">
        <is>
          <t>Hold</t>
        </is>
      </c>
      <c r="F49" s="904">
        <f>SUMIF('Added data'!$C$2:$C$549,Squads!$C$427,'Added data'!$AA$2:$AA$549)/COUNTIF('Added data'!$C$2:$C$549,Squads!$C$427)</f>
        <v>200603.775</v>
      </c>
    </row>
    <row r="50">
      <c r="B50" s="417" t="str">
        <f>Squads!$B$446</f>
        <v>Vacant</v>
      </c>
      <c r="C50" s="417" t="str">
        <f>SUBSTITUTE(SUBSTITUTE(Squads!$C$446,"–","-"),"—","-")</f>
        <v>Data Analyst</v>
      </c>
      <c r="D50" s="425" t="str">
        <f>Squads!$R$446</f>
        <v>Vacant</v>
      </c>
      <c r="E50" s="481" t="inlineStr">
        <is>
          <t>Hold</t>
        </is>
      </c>
      <c r="F50" s="904">
        <f>SUMIF('Added data'!$C$2:$C$549,Squads!$C$446,'Added data'!$AA$2:$AA$549)/COUNTIF('Added data'!$C$2:$C$549,Squads!$C$446)</f>
        <v>178925.75290909092</v>
      </c>
    </row>
    <row r="51">
      <c r="B51" s="417" t="str">
        <f>Squads!$B$450</f>
        <v>Vacant</v>
      </c>
      <c r="C51" s="417" t="str">
        <f>SUBSTITUTE(SUBSTITUTE(Squads!$C$450,"–","-"),"—","-")</f>
        <v>Engineer Data</v>
      </c>
      <c r="D51" s="425" t="str">
        <f>Squads!$R$450</f>
        <v>Vacant</v>
      </c>
      <c r="E51" s="481" t="inlineStr">
        <is>
          <t>Hold</t>
        </is>
      </c>
      <c r="F51" s="904">
        <f>SUMIF('Added data'!$C$2:$C$549,Squads!$C$450,'Added data'!$AA$2:$AA$549)/COUNTIF('Added data'!$C$2:$C$549,Squads!$C$450)</f>
        <v>231882.374</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0.xml><?xml version="1.0" encoding="utf-8"?>
<worksheet xmlns="http://schemas.openxmlformats.org/spreadsheetml/2006/main">
  <sheetPr>
    <tabColor rgb="FFBF8F00"/>
    <outlinePr summaryBelow="1" summaryRight="1"/>
    <pageSetUpPr/>
  </sheetPr>
  <dimension ref="B2:O52"/>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t="str">
        <f>CONCATENATE('1.8 Energy Solutions &amp; B2B'!$B$2," working copy")</f>
        <v>Energy Solutions &amp; B2B working copy</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Energy</t>
        </is>
      </c>
      <c r="C6" s="567" t="str">
        <f>'3.3 FTE View'!$E$72</f>
        <v>Engineering</v>
      </c>
      <c r="D6" s="902">
        <f>'3.3 FTE View'!$G$72</f>
        <v>9.0</v>
      </c>
      <c r="E6" s="425">
        <f>COUNTIFS(Squads!$N:$N,"Energy Solutions &amp; B2B",Squads!$P:$P,"Energy",Squads!$R:$R,"Filled")</f>
        <v>5.0</v>
      </c>
      <c r="F6" s="425">
        <f>COUNTIFS(Squads!$N:$N,"Energy Solutions &amp; B2B",Squads!$P:$P,"Energy",Squads!$R:$R,"Vacant")</f>
        <v>6.0</v>
      </c>
      <c r="G6" s="425">
        <f>COUNTIF(E18:E26,"Hire")</f>
        <v>0.0</v>
      </c>
      <c r="H6" s="442">
        <f>F6-G6-COUNTIF(E18:E26,"Offshore")</f>
        <v>6.0</v>
      </c>
      <c r="I6" s="902">
        <f>IFERROR(E6+G6-D6,"-")</f>
        <v>-4.0</v>
      </c>
      <c r="J6" s="417" t="str">
        <f>IF(ISNUMBER(D6),IF(E6&gt;D6,"Filled already over archetype",IF(E6+G6&gt;D6,"Over archetype after hire calls","")),"Outside the archetype model - no target set")</f>
        <v/>
      </c>
      <c r="K6" s="551">
        <f>'3.3 FTE View'!$M$72</f>
        <v>2.0</v>
      </c>
      <c r="L6" s="551">
        <f>'3.3 FTE View'!$N$72</f>
        <v>1.940323966</v>
      </c>
      <c r="M6" s="551">
        <f>(SUMIFS('Added data'!$AA:$AA,'Added data'!$AC:$AC,'1.8 Energy Solutions &amp; B2B'!$B$2,'Added data'!$AE:$AE,$B6,'Added data'!$AG:$AG,"Filled")+SUMIFS(F18:F28,E18:E28,"Hire")+0.4*SUMIFS(F18:F28,E18:E28,"Offshore"))/1000000</f>
        <v>1.100074966</v>
      </c>
      <c r="N6" s="551">
        <f>M6-K6</f>
        <v>-0.899925034</v>
      </c>
      <c r="O6" s="552" t="str">
        <f>'3.3 FTE View'!$F$72</f>
        <v>M</v>
      </c>
    </row>
    <row r="7">
      <c r="B7" s="417" t="inlineStr">
        <is>
          <t>EVCI</t>
        </is>
      </c>
      <c r="C7" s="567" t="str">
        <f>'3.3 FTE View'!$E$73</f>
        <v>Engineering</v>
      </c>
      <c r="D7" s="902">
        <f>'3.3 FTE View'!$G$73</f>
        <v>9.0</v>
      </c>
      <c r="E7" s="425">
        <f>COUNTIFS(Squads!$N:$N,"Energy Solutions &amp; B2B",Squads!$P:$P,"EVCI",Squads!$R:$R,"Filled")</f>
        <v>5.0</v>
      </c>
      <c r="F7" s="425">
        <f>COUNTIFS(Squads!$N:$N,"Energy Solutions &amp; B2B",Squads!$P:$P,"EVCI",Squads!$R:$R,"Vacant")</f>
        <v>1.0</v>
      </c>
      <c r="G7" s="425">
        <f>COUNTIF(E34:E34,"Hire")</f>
        <v>0.0</v>
      </c>
      <c r="H7" s="442">
        <f>F7-G7-COUNTIF(E34:E34,"Offshore")</f>
        <v>1.0</v>
      </c>
      <c r="I7" s="902">
        <f>IFERROR(E7+G7-D7,"-")</f>
        <v>-4.0</v>
      </c>
      <c r="J7" s="417" t="str">
        <f>IF(ISNUMBER(D7),IF(E7&gt;D7,"Filled already over archetype",IF(E7+G7&gt;D7,"Over archetype after hire calls","")),"Outside the archetype model - no target set")</f>
        <v/>
      </c>
      <c r="K7" s="551">
        <f>'3.3 FTE View'!$M$73</f>
        <v>2.0</v>
      </c>
      <c r="L7" s="551">
        <f>'3.3 FTE View'!$N$73</f>
        <v>0.9307992919999999</v>
      </c>
      <c r="M7" s="551">
        <f>(SUMIFS('Added data'!$AA:$AA,'Added data'!$AC:$AC,'1.8 Energy Solutions &amp; B2B'!$B$2,'Added data'!$AE:$AE,$B7,'Added data'!$AG:$AG,"Filled")+SUMIFS(F30:F35,E30:E35,"Hire")+0.4*SUMIFS(F30:F35,E30:E35,"Offshore"))/1000000</f>
        <v>0.9307992919999999</v>
      </c>
      <c r="N7" s="551">
        <f>M7-K7</f>
        <v>-1.069200708</v>
      </c>
      <c r="O7" s="552" t="str">
        <f>'3.3 FTE View'!$F$73</f>
        <v>M</v>
      </c>
    </row>
    <row r="8">
      <c r="B8" s="417" t="inlineStr">
        <is>
          <t>B2B</t>
        </is>
      </c>
      <c r="C8" s="567" t="str">
        <f>'3.3 FTE View'!$E$75</f>
        <v>Configuration / Integration</v>
      </c>
      <c r="D8" s="902">
        <f>'3.3 FTE View'!$G$75</f>
        <v>14.0</v>
      </c>
      <c r="E8" s="425">
        <f>COUNTIFS(Squads!$N:$N,"Energy Solutions &amp; B2B",Squads!$P:$P,"B2B",Squads!$R:$R,"Filled")</f>
        <v>13.0</v>
      </c>
      <c r="F8" s="425">
        <f>COUNTIFS(Squads!$N:$N,"Energy Solutions &amp; B2B",Squads!$P:$P,"B2B",Squads!$R:$R,"Vacant")</f>
        <v>3.0</v>
      </c>
      <c r="G8" s="425">
        <f>COUNTIF(E47:E51,"Hire")</f>
        <v>0.0</v>
      </c>
      <c r="H8" s="442">
        <f>F8-G8-COUNTIF(E47:E51,"Offshore")</f>
        <v>3.0</v>
      </c>
      <c r="I8" s="902">
        <f>IFERROR(E8+G8-D8,"-")</f>
        <v>-1.0</v>
      </c>
      <c r="J8" s="417" t="str">
        <f>IF(ISNUMBER(D8),IF(E8&gt;D8,"Filled already over archetype",IF(E8+G8&gt;D8,"Over archetype after hire calls","")),"Outside the archetype model - no target set")</f>
        <v/>
      </c>
      <c r="K8" s="551">
        <f>'3.3 FTE View'!$M$75</f>
        <v>3.2</v>
      </c>
      <c r="L8" s="551">
        <f>'3.3 FTE View'!$N$75</f>
        <v>2.79636432</v>
      </c>
      <c r="M8" s="551">
        <f>(SUMIFS('Added data'!$AA:$AA,'Added data'!$AC:$AC,'1.8 Energy Solutions &amp; B2B'!$B$2,'Added data'!$AE:$AE,$B8,'Added data'!$AG:$AG,"Filled")+SUMIFS(F37:F52,E37:E52,"Hire")+0.4*SUMIFS(F37:F52,E37:E52,"Offshore"))/1000000</f>
        <v>2.36182182</v>
      </c>
      <c r="N8" s="551">
        <f>M8-K8</f>
        <v>-0.8381781800000003</v>
      </c>
      <c r="O8" s="552" t="str">
        <f>'3.3 FTE View'!$F$75</f>
        <v>L</v>
      </c>
    </row>
    <row r="9">
      <c r="B9" s="419" t="inlineStr">
        <is>
          <t>Total</t>
        </is>
      </c>
      <c r="D9" s="903">
        <f>SUM(D6:D8)</f>
        <v>32.0</v>
      </c>
      <c r="E9" s="431">
        <f>SUM(E6:E8)</f>
        <v>23.0</v>
      </c>
      <c r="F9" s="431">
        <f>SUM(F6:F8)</f>
        <v>10.0</v>
      </c>
      <c r="G9" s="431">
        <f>SUM(G6:G8)</f>
        <v>0.0</v>
      </c>
      <c r="H9" s="431">
        <f>SUM(H6:H8)</f>
        <v>10.0</v>
      </c>
      <c r="I9" s="903">
        <f>IF(COUNT(I6:I8)=0,"-",SUM(I6:I8))</f>
        <v>-9.0</v>
      </c>
      <c r="K9" s="553">
        <f>SUM(K6:K8)</f>
        <v>7.2</v>
      </c>
      <c r="L9" s="553">
        <f>SUM(L6:L8)</f>
        <v>5.667487577999999</v>
      </c>
      <c r="M9" s="553">
        <f>SUM(M6:M8)</f>
        <v>4.392696078</v>
      </c>
      <c r="N9" s="553">
        <f>SUM(N6:N8)</f>
        <v>-2.8073039220000005</v>
      </c>
      <c r="O9" s="604" t="str">
        <f>"-"</f>
        <v>-</v>
      </c>
    </row>
    <row r="10">
      <c r="B10" s="471" t="inlineStr">
        <is>
          <t>Cost to hire all vacancies ($m)</t>
        </is>
      </c>
      <c r="C10" s="474">
        <f>SUM(F17:F52)/1000000</f>
        <v>1.9509985851497327</v>
      </c>
    </row>
    <row r="11">
      <c r="B11" s="471" t="inlineStr">
        <is>
          <t>Cost of roles marked Hire ($m)</t>
        </is>
      </c>
      <c r="C11" s="474">
        <f>SUMIF(E17:E52,"Hire",F17:F52)/1000000</f>
        <v>0.0</v>
      </c>
    </row>
    <row r="12">
      <c r="B12" s="417" t="inlineStr">
        <is>
          <t>Vacant roles are priced at standard title rates - indicative until an offer is made.</t>
        </is>
      </c>
    </row>
    <row r="13">
      <c r="B13" s="417" t="inlineStr">
        <is>
          <t>Leadership roles are funded via the portfolio overheads and sit on 3.3 FTE View, not here.</t>
        </is>
      </c>
    </row>
    <row r="14">
      <c r="B14" s="570" t="inlineStr">
        <is>
          <t>vs archetype: positive = over the allowance, negative = under.</t>
        </is>
      </c>
    </row>
    <row r="15">
      <c r="B15" s="605" t="str">
        <f>CONCATENATE('1.8 Energy Solutions &amp; B2B'!$B$2," FTE")</f>
        <v>Energy Solutions &amp; B2B FTE</v>
      </c>
      <c r="C15" s="606" t="n"/>
      <c r="D15" s="606" t="n"/>
      <c r="E15" s="606" t="n"/>
      <c r="F15" s="606" t="n"/>
      <c r="G15" s="607" t="n"/>
      <c r="H15" s="607" t="n"/>
      <c r="I15" s="607" t="n"/>
      <c r="J15" s="607" t="n"/>
    </row>
    <row r="16">
      <c r="B16" s="424" t="inlineStr">
        <is>
          <t>Name</t>
        </is>
      </c>
      <c r="C16" s="424" t="inlineStr">
        <is>
          <t>Role</t>
        </is>
      </c>
      <c r="D16" s="424" t="inlineStr">
        <is>
          <t>Status</t>
        </is>
      </c>
      <c r="E16" s="424" t="inlineStr">
        <is>
          <t>Vacancy lever</t>
        </is>
      </c>
      <c r="F16" s="424" t="inlineStr">
        <is>
          <t>Cost if hired ($)</t>
        </is>
      </c>
    </row>
    <row r="17">
      <c r="B17" s="448" t="inlineStr">
        <is>
          <t>Energy</t>
        </is>
      </c>
      <c r="C17" s="449" t="n"/>
      <c r="D17" s="449" t="n"/>
      <c r="E17" s="449" t="n"/>
    </row>
    <row r="18">
      <c r="B18" s="417" t="str">
        <f>Squads!$B$125</f>
        <v>vacant</v>
      </c>
      <c r="C18" s="417" t="str">
        <f>SUBSTITUTE(SUBSTITUTE(Squads!$C$125,"–","-"),"—","-")</f>
        <v>engineer - BE</v>
      </c>
      <c r="D18" s="425" t="str">
        <f>Squads!$R$125</f>
        <v>Vacant</v>
      </c>
      <c r="E18" s="481" t="inlineStr">
        <is>
          <t>Hold</t>
        </is>
      </c>
      <c r="F18" s="904">
        <f>SUMIF('Added data'!$C$2:$C$549,Squads!$C$125,'Added data'!$AA$2:$AA$549)/COUNTIF('Added data'!$C$2:$C$549,Squads!$C$125)</f>
        <v>221784.0790909091</v>
      </c>
    </row>
    <row r="19">
      <c r="B19" s="417" t="str">
        <f>Squads!$B$170</f>
        <v>Jasper Na</v>
      </c>
      <c r="C19" s="417" t="str">
        <f>SUBSTITUTE(SUBSTITUTE(Squads!$C$170,"–","-"),"—","-")</f>
        <v>Associate Engineer - BE</v>
      </c>
      <c r="D19" s="425" t="str">
        <f>Squads!$R$170</f>
        <v>Filled</v>
      </c>
    </row>
    <row r="20">
      <c r="B20" s="417" t="str">
        <f>Squads!$B$390</f>
        <v>Gunjan Vasudeva</v>
      </c>
      <c r="C20" s="417" t="str">
        <f>SUBSTITUTE(SUBSTITUTE(Squads!$C$390,"–","-"),"—","-")</f>
        <v>Lead Quality Assurance</v>
      </c>
      <c r="D20" s="425" t="str">
        <f>Squads!$R$390</f>
        <v>Filled</v>
      </c>
    </row>
    <row r="21">
      <c r="B21" s="417" t="str">
        <f>Squads!$B$392</f>
        <v>Vacant</v>
      </c>
      <c r="C21" s="417" t="str">
        <f>SUBSTITUTE(SUBSTITUTE(Squads!$C$392,"–","-"),"—","-")</f>
        <v>Engineer Automation - Testing</v>
      </c>
      <c r="D21" s="425" t="str">
        <f>Squads!$R$392</f>
        <v>Vacant</v>
      </c>
      <c r="E21" s="481" t="inlineStr">
        <is>
          <t>Hold</t>
        </is>
      </c>
      <c r="F21" s="904">
        <f>SUMIF('Added data'!$C$2:$C$549,Squads!$C$392,'Added data'!$AA$2:$AA$549)/COUNTIF('Added data'!$C$2:$C$549,Squads!$C$392)</f>
        <v>202853.25</v>
      </c>
    </row>
    <row r="22">
      <c r="B22" s="417" t="str">
        <f>Squads!$B$394</f>
        <v>Vacant</v>
      </c>
      <c r="C22" s="417" t="str">
        <f>SUBSTITUTE(SUBSTITUTE(Squads!$C$394,"–","-"),"—","-")</f>
        <v>Snr Engineer Software</v>
      </c>
      <c r="D22" s="425" t="str">
        <f>Squads!$R$394</f>
        <v>Vacant</v>
      </c>
      <c r="E22" s="481" t="inlineStr">
        <is>
          <t>Hold</t>
        </is>
      </c>
      <c r="F22" s="904">
        <f>SUMIF('Added data'!$C$2:$C$549,Squads!$C$394,'Added data'!$AA$2:$AA$549)/COUNTIF('Added data'!$C$2:$C$549,Squads!$C$394)</f>
        <v>170345.59</v>
      </c>
    </row>
    <row r="23">
      <c r="B23" s="417" t="str">
        <f>Squads!$B$422</f>
        <v>Nico Lender</v>
      </c>
      <c r="C23" s="417" t="str">
        <f>SUBSTITUTE(SUBSTITUTE(Squads!$C$422,"–","-"),"—","-")</f>
        <v>Solution Architect</v>
      </c>
      <c r="D23" s="425" t="str">
        <f>Squads!$R$422</f>
        <v>Filled</v>
      </c>
    </row>
    <row r="24">
      <c r="B24" s="417" t="str">
        <f>Squads!$B$429</f>
        <v>Vacant </v>
      </c>
      <c r="C24" s="417" t="str">
        <f>SUBSTITUTE(SUBSTITUTE(Squads!$C$429,"–","-"),"—","-")</f>
        <v>Business Analyst</v>
      </c>
      <c r="D24" s="425" t="str">
        <f>Squads!$R$429</f>
        <v>Vacant</v>
      </c>
      <c r="E24" s="481" t="inlineStr">
        <is>
          <t>Hold</t>
        </is>
      </c>
      <c r="F24" s="904">
        <f>SUMIF('Added data'!$C$2:$C$549,Squads!$C$429,'Added data'!$AA$2:$AA$549)/COUNTIF('Added data'!$C$2:$C$549,Squads!$C$429)</f>
        <v>198578.016</v>
      </c>
    </row>
    <row r="25">
      <c r="B25" s="417" t="str">
        <f>Squads!$B$441</f>
        <v>Vacant</v>
      </c>
      <c r="C25" s="417" t="str">
        <f>SUBSTITUTE(SUBSTITUTE(Squads!$C$441,"–","-"),"—","-")</f>
        <v>System Specialist</v>
      </c>
      <c r="D25" s="425" t="str">
        <f>Squads!$R$441</f>
        <v>Vacant</v>
      </c>
      <c r="E25" s="481" t="inlineStr">
        <is>
          <t>Hold</t>
        </is>
      </c>
      <c r="F25" s="904">
        <f>SUMIF('Added data'!$C$2:$C$549,Squads!$C$441,'Added data'!$AA$2:$AA$549)/COUNTIF('Added data'!$C$2:$C$549,Squads!$C$441)</f>
        <v>197904.0</v>
      </c>
    </row>
    <row r="26">
      <c r="B26" s="417" t="str">
        <f>Squads!$B$445</f>
        <v>Vacant</v>
      </c>
      <c r="C26" s="417" t="str">
        <f>SUBSTITUTE(SUBSTITUTE(Squads!$C$445,"–","-"),"—","-")</f>
        <v>System Specialist</v>
      </c>
      <c r="D26" s="425" t="str">
        <f>Squads!$R$445</f>
        <v>Vacant</v>
      </c>
      <c r="E26" s="481" t="inlineStr">
        <is>
          <t>Hold</t>
        </is>
      </c>
      <c r="F26" s="904">
        <f>SUMIF('Added data'!$C$2:$C$549,Squads!$C$445,'Added data'!$AA$2:$AA$549)/COUNTIF('Added data'!$C$2:$C$549,Squads!$C$445)</f>
        <v>197904.0</v>
      </c>
    </row>
    <row r="27">
      <c r="B27" s="417" t="str">
        <f>Squads!$B$449</f>
        <v>Caitlin Naylor</v>
      </c>
      <c r="C27" s="417" t="str">
        <f>SUBSTITUTE(SUBSTITUTE(Squads!$C$449,"–","-"),"—","-")</f>
        <v>Associate Engineer- Software</v>
      </c>
      <c r="D27" s="425" t="str">
        <f>Squads!$R$449</f>
        <v>Filled</v>
      </c>
    </row>
    <row r="28">
      <c r="B28" s="417" t="str">
        <f>Squads!$B$483</f>
        <v>Jason Satoso</v>
      </c>
      <c r="C28" s="417" t="str">
        <f>SUBSTITUTE(SUBSTITUTE(Squads!$C$483,"–","-"),"—","-")</f>
        <v>Cloud Operations Engineer</v>
      </c>
      <c r="D28" s="425" t="str">
        <f>Squads!$R$483</f>
        <v>Filled</v>
      </c>
    </row>
    <row r="29">
      <c r="B29" s="448" t="inlineStr">
        <is>
          <t>EVCI</t>
        </is>
      </c>
      <c r="C29" s="449" t="n"/>
      <c r="D29" s="449" t="n"/>
      <c r="E29" s="449" t="n"/>
    </row>
    <row r="30">
      <c r="B30" s="417" t="str">
        <f>Squads!$B$393</f>
        <v>Josh Campbell</v>
      </c>
      <c r="C30" s="417" t="str">
        <f>SUBSTITUTE(SUBSTITUTE(Squads!$C$393,"–","-"),"—","-")</f>
        <v>Engineer Software</v>
      </c>
      <c r="D30" s="425" t="str">
        <f>Squads!$R$393</f>
        <v>Filled</v>
      </c>
    </row>
    <row r="31">
      <c r="B31" s="417" t="str">
        <f>Squads!$B$402</f>
        <v>Anie Camerino</v>
      </c>
      <c r="C31" s="417" t="str">
        <f>SUBSTITUTE(SUBSTITUTE(Squads!$C$402,"–","-"),"—","-")</f>
        <v>Snr Quality Assurance</v>
      </c>
      <c r="D31" s="425" t="str">
        <f>Squads!$R$402</f>
        <v>Filled</v>
      </c>
    </row>
    <row r="32">
      <c r="B32" s="417" t="str">
        <f>Squads!$B$409</f>
        <v>Gokila Mylsamy</v>
      </c>
      <c r="C32" s="417" t="str">
        <f>SUBSTITUTE(SUBSTITUTE(Squads!$C$409,"–","-"),"—","-")</f>
        <v>Lead Engineer Software</v>
      </c>
      <c r="D32" s="425" t="str">
        <f>Squads!$R$409</f>
        <v>Filled</v>
      </c>
    </row>
    <row r="33">
      <c r="B33" s="417" t="str">
        <f>Squads!$B$438</f>
        <v>Angela Ross</v>
      </c>
      <c r="C33" s="417" t="str">
        <f>SUBSTITUTE(SUBSTITUTE(Squads!$C$438,"–","-"),"—","-")</f>
        <v>Delivery Lead</v>
      </c>
      <c r="D33" s="425" t="str">
        <f>Squads!$R$438</f>
        <v>Filled</v>
      </c>
    </row>
    <row r="34">
      <c r="B34" s="417" t="str">
        <f>Squads!$B$440</f>
        <v>Vacant</v>
      </c>
      <c r="C34" s="417" t="str">
        <f>SUBSTITUTE(SUBSTITUTE(Squads!$C$440,"–","-"),"—","-")</f>
        <v>Snr Engineer Software</v>
      </c>
      <c r="D34" s="425" t="str">
        <f>Squads!$R$440</f>
        <v>Vacant</v>
      </c>
      <c r="E34" s="481" t="inlineStr">
        <is>
          <t>Hold</t>
        </is>
      </c>
      <c r="F34" s="904">
        <f>SUMIF('Added data'!$C$2:$C$549,Squads!$C$440,'Added data'!$AA$2:$AA$549)/COUNTIF('Added data'!$C$2:$C$549,Squads!$C$440)</f>
        <v>170345.59</v>
      </c>
    </row>
    <row r="35">
      <c r="B35" s="417" t="str">
        <f>Squads!$B$454</f>
        <v>Lana Wagner</v>
      </c>
      <c r="C35" s="417" t="str">
        <f>SUBSTITUTE(SUBSTITUTE(Squads!$C$454,"–","-"),"—","-")</f>
        <v>Senior Business Analyst</v>
      </c>
      <c r="D35" s="425" t="str">
        <f>Squads!$R$454</f>
        <v>Filled</v>
      </c>
    </row>
    <row r="36">
      <c r="B36" s="448" t="inlineStr">
        <is>
          <t>B2B</t>
        </is>
      </c>
      <c r="C36" s="449" t="n"/>
      <c r="D36" s="449" t="n"/>
      <c r="E36" s="449" t="n"/>
    </row>
    <row r="37">
      <c r="B37" s="417" t="str">
        <f>Squads!$B$144</f>
        <v>Vacant (B2B)</v>
      </c>
      <c r="C37" s="417" t="str">
        <f>SUBSTITUTE(SUBSTITUTE(Squads!$C$144,"–","-"),"—","-")</f>
        <v>Engineer - BE</v>
      </c>
      <c r="D37" s="425" t="str">
        <f>Squads!$R$144</f>
        <v>Filled</v>
      </c>
    </row>
    <row r="38">
      <c r="B38" s="417" t="str">
        <f>Squads!$B$159</f>
        <v>Vacant (B2B)</v>
      </c>
      <c r="C38" s="417" t="str">
        <f>SUBSTITUTE(SUBSTITUTE(Squads!$C$159,"–","-"),"—","-")</f>
        <v>Engineer - BE</v>
      </c>
      <c r="D38" s="425" t="str">
        <f>Squads!$R$159</f>
        <v>Filled</v>
      </c>
    </row>
    <row r="39">
      <c r="B39" s="417" t="str">
        <f>Squads!$B$355</f>
        <v>Rod Santillan</v>
      </c>
      <c r="C39" s="417" t="str">
        <f>SUBSTITUTE(SUBSTITUTE(Squads!$C$355,"–","-"),"—","-")</f>
        <v>Snr Engineer Software</v>
      </c>
      <c r="D39" s="425" t="str">
        <f>Squads!$R$355</f>
        <v>Filled</v>
      </c>
    </row>
    <row r="40">
      <c r="B40" s="417" t="str">
        <f>Squads!$B$356</f>
        <v>Vacant  (Contract)</v>
      </c>
      <c r="C40" s="417" t="str">
        <f>SUBSTITUTE(SUBSTITUTE(Squads!$C$356,"–","-"),"—","-")</f>
        <v>Senior Systems Analyst - Card</v>
      </c>
      <c r="D40" s="425" t="str">
        <f>Squads!$R$356</f>
        <v>Filled</v>
      </c>
    </row>
    <row r="41">
      <c r="B41" s="417" t="str">
        <f>Squads!$B$357</f>
        <v>Frank Liang</v>
      </c>
      <c r="C41" s="417" t="str">
        <f>SUBSTITUTE(SUBSTITUTE(Squads!$C$357,"–","-"),"—","-")</f>
        <v>Senior Systems Analyst</v>
      </c>
      <c r="D41" s="425" t="str">
        <f>Squads!$R$357</f>
        <v>Filled</v>
      </c>
    </row>
    <row r="42">
      <c r="B42" s="417" t="str">
        <f>Squads!$B$358</f>
        <v>Lindsay Baipas</v>
      </c>
      <c r="C42" s="417" t="str">
        <f>SUBSTITUTE(SUBSTITUTE(Squads!$C$358,"–","-"),"—","-")</f>
        <v>System Analyst Card</v>
      </c>
      <c r="D42" s="425" t="str">
        <f>Squads!$R$358</f>
        <v>Filled</v>
      </c>
    </row>
    <row r="43">
      <c r="B43" s="417" t="str">
        <f>Squads!$B$359</f>
        <v>Alex Abelita</v>
      </c>
      <c r="C43" s="417" t="str">
        <f>SUBSTITUTE(SUBSTITUTE(Squads!$C$359,"–","-"),"—","-")</f>
        <v>Associate Engineer - Automation Testing</v>
      </c>
      <c r="D43" s="425" t="str">
        <f>Squads!$R$359</f>
        <v>Filled</v>
      </c>
    </row>
    <row r="44">
      <c r="B44" s="417" t="str">
        <f>Squads!$B$360</f>
        <v>Allyn Puente</v>
      </c>
      <c r="C44" s="417" t="str">
        <f>SUBSTITUTE(SUBSTITUTE(Squads!$C$360,"–","-"),"—","-")</f>
        <v>Graduate</v>
      </c>
      <c r="D44" s="425" t="str">
        <f>Squads!$R$360</f>
        <v>Filled</v>
      </c>
    </row>
    <row r="45">
      <c r="B45" s="417" t="str">
        <f>Squads!$B$383</f>
        <v>Belinda Ford</v>
      </c>
      <c r="C45" s="417" t="str">
        <f>SUBSTITUTE(SUBSTITUTE(Squads!$C$383,"–","-"),"—","-")</f>
        <v>Quality Assurance</v>
      </c>
      <c r="D45" s="425" t="str">
        <f>Squads!$R$383</f>
        <v>Filled</v>
      </c>
    </row>
    <row r="46">
      <c r="B46" s="417" t="str">
        <f>Squads!$B$388</f>
        <v>Debbie Gor</v>
      </c>
      <c r="C46" s="417" t="str">
        <f>SUBSTITUTE(SUBSTITUTE(Squads!$C$388,"–","-"),"—","-")</f>
        <v>Delivery Lead</v>
      </c>
      <c r="D46" s="425" t="str">
        <f>Squads!$R$388</f>
        <v>Filled</v>
      </c>
    </row>
    <row r="47">
      <c r="B47" s="417" t="str">
        <f>Squads!$B$391</f>
        <v>Vacant</v>
      </c>
      <c r="C47" s="417" t="str">
        <f>SUBSTITUTE(SUBSTITUTE(Squads!$C$391,"–","-"),"—","-")</f>
        <v>Engineer Software</v>
      </c>
      <c r="D47" s="425" t="str">
        <f>Squads!$R$391</f>
        <v>Vacant</v>
      </c>
      <c r="E47" s="481" t="inlineStr">
        <is>
          <t>Hold</t>
        </is>
      </c>
      <c r="F47" s="904">
        <f>SUMIF('Added data'!$C$2:$C$549,Squads!$C$391,'Added data'!$AA$2:$AA$549)/COUNTIF('Added data'!$C$2:$C$549,Squads!$C$391)</f>
        <v>152203.147</v>
      </c>
    </row>
    <row r="48">
      <c r="B48" s="417" t="str">
        <f>Squads!$B$395</f>
        <v>vacant</v>
      </c>
      <c r="C48" s="417" t="str">
        <f>SUBSTITUTE(SUBSTITUTE(Squads!$C$395,"–","-"),"—","-")</f>
        <v>Solution Architect</v>
      </c>
      <c r="D48" s="425" t="str">
        <f>Squads!$R$395</f>
        <v>Vacant</v>
      </c>
      <c r="E48" s="481" t="inlineStr">
        <is>
          <t>Hold</t>
        </is>
      </c>
      <c r="F48" s="904">
        <f>SUMIF('Added data'!$C$2:$C$549,Squads!$C$395,'Added data'!$AA$2:$AA$549)/COUNTIF('Added data'!$C$2:$C$549,Squads!$C$395)</f>
        <v>240502.89705882352</v>
      </c>
    </row>
    <row r="49">
      <c r="B49" s="417" t="str">
        <f>Squads!$B$404</f>
        <v>Mick DaSilva</v>
      </c>
      <c r="C49" s="417" t="str">
        <f>SUBSTITUTE(SUBSTITUTE(Squads!$C$404,"–","-"),"—","-")</f>
        <v>Senior Business Analyst</v>
      </c>
      <c r="D49" s="425" t="str">
        <f>Squads!$R$404</f>
        <v>Filled</v>
      </c>
    </row>
    <row r="50">
      <c r="B50" s="417" t="str">
        <f>Squads!$B$430</f>
        <v>Jessica Calla</v>
      </c>
      <c r="C50" s="417" t="str">
        <f>SUBSTITUTE(SUBSTITUTE(Squads!$C$430,"–","-"),"—","-")</f>
        <v>System Analyst Card</v>
      </c>
      <c r="D50" s="425" t="str">
        <f>Squads!$R$430</f>
        <v>Filled</v>
      </c>
    </row>
    <row r="51">
      <c r="B51" s="417" t="str">
        <f>Squads!$B$434</f>
        <v>Vacant </v>
      </c>
      <c r="C51" s="417" t="str">
        <f>SUBSTITUTE(SUBSTITUTE(Squads!$C$434,"–","-"),"—","-")</f>
        <v>Business Analyst</v>
      </c>
      <c r="D51" s="425" t="str">
        <f>Squads!$R$434</f>
        <v>Vacant</v>
      </c>
      <c r="E51" s="481" t="inlineStr">
        <is>
          <t>Hold</t>
        </is>
      </c>
      <c r="F51" s="904">
        <f>SUMIF('Added data'!$C$2:$C$549,Squads!$C$434,'Added data'!$AA$2:$AA$549)/COUNTIF('Added data'!$C$2:$C$549,Squads!$C$434)</f>
        <v>198578.016</v>
      </c>
    </row>
    <row r="52">
      <c r="B52" s="417" t="str">
        <f>Squads!$B$439</f>
        <v>Ming Shao</v>
      </c>
      <c r="C52" s="417" t="str">
        <f>SUBSTITUTE(SUBSTITUTE(Squads!$C$439,"–","-"),"—","-")</f>
        <v>Senior Systems Analyst Card</v>
      </c>
      <c r="D52" s="425" t="str">
        <f>Squads!$R$439</f>
        <v>Filled</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1.xml><?xml version="1.0" encoding="utf-8"?>
<worksheet xmlns="http://schemas.openxmlformats.org/spreadsheetml/2006/main">
  <sheetPr>
    <tabColor rgb="FFBF8F00"/>
    <outlinePr summaryBelow="1" summaryRight="1"/>
    <pageSetUpPr/>
  </sheetPr>
  <dimension ref="B2:O61"/>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3" bestFit="1"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t="str">
        <f>CONCATENATE('1.9 Commercial Fuels'!$B$2," working copy")</f>
        <v>Commercial Fuels working copy</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90"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Trading &amp; Shipping</t>
        </is>
      </c>
      <c r="C6" s="567" t="str">
        <f>'3.3 FTE View'!$E$78</f>
        <v>Configuration / Integration</v>
      </c>
      <c r="D6" s="902">
        <f>'3.3 FTE View'!$G$78</f>
        <v>9.0</v>
      </c>
      <c r="E6" s="425">
        <f>COUNTIFS(Squads!$N:$N,"Commercial Fuels",Squads!$P:$P,"Trading &amp; Shipping",Squads!$R:$R,"Filled")</f>
        <v>9.0</v>
      </c>
      <c r="F6" s="425">
        <f>COUNTIFS(Squads!$N:$N,"Commercial Fuels",Squads!$P:$P,"Trading &amp; Shipping",Squads!$R:$R,"Vacant")</f>
        <v>5.0</v>
      </c>
      <c r="G6" s="425">
        <f>COUNTIF(E19:E32,"Hire")</f>
        <v>0.0</v>
      </c>
      <c r="H6" s="442">
        <f>F6-G6-COUNTIF(E19:E32,"Offshore")</f>
        <v>5.0</v>
      </c>
      <c r="I6" s="902">
        <f>IFERROR(E6+G6-D6,"-")</f>
        <v>0.0</v>
      </c>
      <c r="J6" s="417" t="str">
        <f>IF(ISNUMBER(D6),IF(E6&gt;D6,"Filled already over archetype",IF(E6+G6&gt;D6,"Over archetype after hire calls","")),"Outside the archetype model - no target set")</f>
        <v/>
      </c>
      <c r="K6" s="551">
        <f>'3.3 FTE View'!$M$78</f>
        <v>2.1</v>
      </c>
      <c r="L6" s="551">
        <f>'3.3 FTE View'!$N$78</f>
        <v>2.6791435617</v>
      </c>
      <c r="M6" s="551">
        <f>(SUMIFS('Added data'!$AA:$AA,'Added data'!$AC:$AC,'1.9 Commercial Fuels'!$B$2,'Added data'!$AE:$AE,$B6,'Added data'!$AG:$AG,"Filled")+SUMIFS(F19:F32,E19:E32,"Hire")+0.4*SUMIFS(F19:F32,E19:E32,"Offshore"))/1000000</f>
        <v>2.1543928116999997</v>
      </c>
      <c r="N6" s="551">
        <f>M6-K6</f>
        <v>0.054392811699999655</v>
      </c>
      <c r="O6" s="552" t="str">
        <f>'3.3 FTE View'!$F$78</f>
        <v>M</v>
      </c>
    </row>
    <row r="7">
      <c r="B7" s="417" t="inlineStr">
        <is>
          <t>Trading &amp; Shipping Data</t>
        </is>
      </c>
      <c r="C7" s="567" t="str">
        <f>'3.3 FTE View'!$E$79</f>
        <v>Enterprise Data and Insights</v>
      </c>
      <c r="D7" s="902">
        <f>'3.3 FTE View'!$G$79</f>
        <v>7.5</v>
      </c>
      <c r="E7" s="425">
        <f>COUNTIFS(Squads!$N:$N,"Commercial Fuels",Squads!$P:$P,"Trading &amp; Shipping Data",Squads!$R:$R,"Filled")</f>
        <v>7.0</v>
      </c>
      <c r="F7" s="425">
        <f>COUNTIFS(Squads!$N:$N,"Commercial Fuels",Squads!$P:$P,"Trading &amp; Shipping Data",Squads!$R:$R,"Vacant")</f>
        <v>0.0</v>
      </c>
      <c r="G7" s="603">
        <f>COUNTIF(E34:E40,"Hire")</f>
        <v>0.0</v>
      </c>
      <c r="H7" s="442">
        <f>F7-G7-COUNTIF(E34:E40,"Offshore")</f>
        <v>0.0</v>
      </c>
      <c r="I7" s="902">
        <f>IFERROR(E7+G7-D7,"-")</f>
        <v>-0.5</v>
      </c>
      <c r="J7" s="417" t="str">
        <f>IF(ISNUMBER(D7),IF(E7&gt;D7,"Filled already over archetype",IF(E7+G7&gt;D7,"Over archetype after hire calls","")),"Outside the archetype model - no target set")</f>
        <v/>
      </c>
      <c r="K7" s="551">
        <f>'3.3 FTE View'!$M$79</f>
        <v>1.7</v>
      </c>
      <c r="L7" s="551">
        <f>'3.3 FTE View'!$N$79</f>
        <v>2.106168849</v>
      </c>
      <c r="M7" s="551">
        <f>(SUMIFS('Added data'!$AA:$AA,'Added data'!$AC:$AC,'1.9 Commercial Fuels'!$B$2,'Added data'!$AE:$AE,$B7,'Added data'!$AG:$AG,"Filled")+SUMIFS(F34:F40,E34:E40,"Hire")+0.4*SUMIFS(F34:F40,E34:E40,"Offshore"))/1000000</f>
        <v>2.106168849</v>
      </c>
      <c r="N7" s="551">
        <f>M7-K7</f>
        <v>0.40616884899999994</v>
      </c>
      <c r="O7" s="552" t="str">
        <f>'3.3 FTE View'!$F$79</f>
        <v>M</v>
      </c>
    </row>
    <row r="8">
      <c r="B8" s="417" t="inlineStr">
        <is>
          <t>Supply</t>
        </is>
      </c>
      <c r="C8" s="567" t="str">
        <f>'3.3 FTE View'!$E$81</f>
        <v>Configuration / Integration</v>
      </c>
      <c r="D8" s="902">
        <f>'3.3 FTE View'!$G$81</f>
        <v>9.0</v>
      </c>
      <c r="E8" s="425">
        <f>COUNTIFS(Squads!$N:$N,"Commercial Fuels",Squads!$P:$P,"Supply",Squads!$R:$R,"Filled")</f>
        <v>2.0</v>
      </c>
      <c r="F8" s="425">
        <f>COUNTIFS(Squads!$N:$N,"Commercial Fuels",Squads!$P:$P,"Supply",Squads!$R:$R,"Vacant")</f>
        <v>3.0</v>
      </c>
      <c r="G8" s="425">
        <f>COUNTIF(E42:E46,"Hire")</f>
        <v>0.0</v>
      </c>
      <c r="H8" s="442">
        <f>F8-G8-COUNTIF(E42:E46,"Offshore")</f>
        <v>3.0</v>
      </c>
      <c r="I8" s="902">
        <f>IFERROR(E8+G8-D8,"-")</f>
        <v>-7.0</v>
      </c>
      <c r="J8" s="417" t="str">
        <f>IF(ISNUMBER(D8),IF(E8&gt;D8,"Filled already over archetype",IF(E8+G8&gt;D8,"Over archetype after hire calls","")),"Outside the archetype model - no target set")</f>
        <v/>
      </c>
      <c r="K8" s="551">
        <f>'3.3 FTE View'!$M$81</f>
        <v>2.1</v>
      </c>
      <c r="L8" s="551">
        <f>'3.3 FTE View'!$N$81</f>
        <v>1.05925575</v>
      </c>
      <c r="M8" s="551">
        <f>(SUMIFS('Added data'!$AA:$AA,'Added data'!$AC:$AC,'1.9 Commercial Fuels'!$B$2,'Added data'!$AE:$AE,$B8,'Added data'!$AG:$AG,"Filled")+SUMIFS(F42:F46,E42:E46,"Hire")+0.4*SUMIFS(F42:F46,E42:E46,"Offshore"))/1000000</f>
        <v>0.42186</v>
      </c>
      <c r="N8" s="551">
        <f>M8-K8</f>
        <v>-1.67814</v>
      </c>
      <c r="O8" s="552" t="str">
        <f>'3.3 FTE View'!$F$81</f>
        <v>M</v>
      </c>
    </row>
    <row r="9">
      <c r="B9" s="417" t="inlineStr">
        <is>
          <t>CTRM</t>
        </is>
      </c>
      <c r="C9" s="567" t="str">
        <f>'3.3 FTE View'!$E$83</f>
        <v>Strategic Programs</v>
      </c>
      <c r="D9" s="902" t="str">
        <f>'3.3 FTE View'!$G$83</f>
        <v>-</v>
      </c>
      <c r="E9" s="425">
        <f>COUNTIFS(Squads!$N:$N,"Commercial Fuels",Squads!$P:$P,"CTRM",Squads!$R:$R,"Filled")</f>
        <v>14.0</v>
      </c>
      <c r="F9" s="425">
        <f>COUNTIFS(Squads!$N:$N,"Commercial Fuels",Squads!$P:$P,"CTRM",Squads!$R:$R,"Vacant")</f>
        <v>0.0</v>
      </c>
      <c r="G9" s="603">
        <f>COUNTIF(E48:E61,"Hire")</f>
        <v>0.0</v>
      </c>
      <c r="H9" s="442">
        <f>F9-G9-COUNTIF(E48:E61,"Offshore")</f>
        <v>0.0</v>
      </c>
      <c r="I9" s="902" t="str">
        <f>IFERROR(E9+G9-D9,"-")</f>
        <v>-</v>
      </c>
      <c r="J9" s="417" t="str">
        <f>IF(ISNUMBER(D9),IF(E9&gt;D9,"Filled already over archetype",IF(E9+G9&gt;D9,"Over archetype after hire calls","")),"Outside the archetype model - no target set")</f>
        <v>Outside the archetype model - no target set</v>
      </c>
      <c r="K9" s="551">
        <f>'3.3 FTE View'!$M$83</f>
        <v>1.4</v>
      </c>
      <c r="L9" s="551">
        <f>'3.3 FTE View'!$N$83</f>
        <v>3.2217592319999997</v>
      </c>
      <c r="M9" s="551">
        <f>(SUMIFS('Added data'!$AA:$AA,'Added data'!$AC:$AC,'1.9 Commercial Fuels'!$B$2,'Added data'!$AE:$AE,$B9,'Added data'!$AG:$AG,"Filled")+SUMIFS(F48:F61,E48:E61,"Hire")+0.4*SUMIFS(F48:F61,E48:E61,"Offshore"))/1000000</f>
        <v>3.2217592319999997</v>
      </c>
      <c r="N9" s="551">
        <f>M9-K9</f>
        <v>1.8217592319999998</v>
      </c>
      <c r="O9" s="552">
        <f>'3.3 FTE View'!$F$83</f>
        <v>0.0</v>
      </c>
    </row>
    <row r="10">
      <c r="B10" s="419" t="inlineStr">
        <is>
          <t>Total</t>
        </is>
      </c>
      <c r="D10" s="903">
        <f>SUM(D6:D9)</f>
        <v>25.5</v>
      </c>
      <c r="E10" s="431">
        <f>SUM(E6:E9)</f>
        <v>32.0</v>
      </c>
      <c r="F10" s="431">
        <f>SUM(F6:F9)</f>
        <v>8.0</v>
      </c>
      <c r="G10" s="431">
        <f>SUM(G6:G9)</f>
        <v>0.0</v>
      </c>
      <c r="H10" s="431">
        <f>SUM(H6:H9)</f>
        <v>8.0</v>
      </c>
      <c r="I10" s="903">
        <f>IF(COUNT(I6:I9)=0,"-",SUM(I6:I9))</f>
        <v>-7.5</v>
      </c>
      <c r="K10" s="553">
        <f>SUM(K6:K9)</f>
        <v>7.300000000000001</v>
      </c>
      <c r="L10" s="553">
        <f>SUM(L6:L9)</f>
        <v>9.0663273927</v>
      </c>
      <c r="M10" s="553">
        <f>SUM(M6:M9)</f>
        <v>7.9041808926999995</v>
      </c>
      <c r="N10" s="553">
        <f>SUM(N6:N9)</f>
        <v>0.6041808926999994</v>
      </c>
      <c r="O10" s="604" t="str">
        <f>"-"</f>
        <v>-</v>
      </c>
    </row>
    <row r="11">
      <c r="B11" s="491" t="inlineStr">
        <is>
          <t>Cost to hire all vacancies ($m)</t>
        </is>
      </c>
      <c r="C11" s="474">
        <f>SUM(F18:F61)/1000000</f>
        <v>1.5651438064138483</v>
      </c>
    </row>
    <row r="12">
      <c r="B12" s="491" t="inlineStr">
        <is>
          <t>Cost of roles marked Hire ($m)</t>
        </is>
      </c>
      <c r="C12" s="474">
        <f>SUMIF(E18:E61,"Hire",F18:F61)/1000000</f>
        <v>0.0</v>
      </c>
    </row>
    <row r="13">
      <c r="B13" s="417" t="inlineStr">
        <is>
          <t>Vacant roles are priced at standard title rates - indicative until an offer is made.</t>
        </is>
      </c>
    </row>
    <row r="14">
      <c r="B14" s="417" t="inlineStr">
        <is>
          <t>Leadership roles are funded via the portfolio overheads and sit on 3.3 FTE View, not here.</t>
        </is>
      </c>
    </row>
    <row r="15">
      <c r="B15" s="570" t="inlineStr">
        <is>
          <t>vs archetype: positive = over the allowance, negative = under.</t>
        </is>
      </c>
    </row>
    <row r="16">
      <c r="B16" s="605" t="str">
        <f>CONCATENATE('1.9 Commercial Fuels'!$B$2," FTE")</f>
        <v>Commercial Fuels FTE</v>
      </c>
      <c r="C16" s="606" t="n"/>
      <c r="D16" s="606" t="n"/>
      <c r="E16" s="606" t="n"/>
      <c r="F16" s="606" t="n"/>
      <c r="G16" s="607" t="n"/>
      <c r="H16" s="607" t="n"/>
      <c r="I16" s="607" t="n"/>
      <c r="J16" s="607" t="n"/>
    </row>
    <row r="17">
      <c r="B17" s="424" t="inlineStr">
        <is>
          <t>Name</t>
        </is>
      </c>
      <c r="C17" s="424" t="inlineStr">
        <is>
          <t>Role</t>
        </is>
      </c>
      <c r="D17" s="424" t="inlineStr">
        <is>
          <t>Status</t>
        </is>
      </c>
      <c r="E17" s="424" t="inlineStr">
        <is>
          <t>Vacancy lever</t>
        </is>
      </c>
      <c r="F17" s="424" t="inlineStr">
        <is>
          <t>Cost if hired ($)</t>
        </is>
      </c>
    </row>
    <row r="18">
      <c r="B18" s="448" t="inlineStr">
        <is>
          <t>Trading &amp; Shipping</t>
        </is>
      </c>
      <c r="C18" s="449" t="n"/>
      <c r="D18" s="449" t="n"/>
      <c r="E18" s="449" t="n"/>
    </row>
    <row r="19">
      <c r="B19" s="417" t="str">
        <f>Squads!$B$343</f>
        <v>Vacant</v>
      </c>
      <c r="C19" s="417" t="str">
        <f>SUBSTITUTE(SUBSTITUTE(Squads!$C$343,"–","-"),"—","-")</f>
        <v>Tech Support Technician</v>
      </c>
      <c r="D19" s="425" t="str">
        <f>Squads!$R$343</f>
        <v>Vacant</v>
      </c>
      <c r="E19" s="481" t="inlineStr">
        <is>
          <t>Hold</t>
        </is>
      </c>
      <c r="F19" s="904">
        <f>SUMIF('Added data'!$C$2:$C$549,Squads!$C$343,'Added data'!$AA$2:$AA$549)/COUNTIF('Added data'!$C$2:$C$549,Squads!$C$343)</f>
        <v>111760.42233333334</v>
      </c>
    </row>
    <row r="20">
      <c r="B20" s="417" t="str">
        <f>Squads!$B$345</f>
        <v>Leo Machin</v>
      </c>
      <c r="C20" s="417" t="str">
        <f>SUBSTITUTE(SUBSTITUTE(Squads!$C$345,"–","-"),"—","-")</f>
        <v>Lead Engineer Applications</v>
      </c>
      <c r="D20" s="425" t="str">
        <f>Squads!$R$345</f>
        <v>Filled</v>
      </c>
    </row>
    <row r="21">
      <c r="B21" s="417" t="str">
        <f>Squads!$B$346</f>
        <v>Kevin Li</v>
      </c>
      <c r="C21" s="417" t="str">
        <f>SUBSTITUTE(SUBSTITUTE(Squads!$C$346,"–","-"),"—","-")</f>
        <v>System Specialist</v>
      </c>
      <c r="D21" s="425" t="str">
        <f>Squads!$R$346</f>
        <v>Filled</v>
      </c>
    </row>
    <row r="22">
      <c r="B22" s="417" t="str">
        <f>Squads!$B$347</f>
        <v>JR Panganiban</v>
      </c>
      <c r="C22" s="417" t="str">
        <f>SUBSTITUTE(SUBSTITUTE(Squads!$C$347,"–","-"),"—","-")</f>
        <v>Technology Support Engineer</v>
      </c>
      <c r="D22" s="425" t="str">
        <f>Squads!$R$347</f>
        <v>Filled</v>
      </c>
    </row>
    <row r="23">
      <c r="B23" s="417" t="str">
        <f>Squads!$B$348</f>
        <v>Poch Fernandez</v>
      </c>
      <c r="C23" s="417" t="str">
        <f>SUBSTITUTE(SUBSTITUTE(Squads!$C$348,"–","-"),"—","-")</f>
        <v>Lead Technology Support  </v>
      </c>
      <c r="D23" s="425" t="str">
        <f>Squads!$R$348</f>
        <v>Filled</v>
      </c>
    </row>
    <row r="24">
      <c r="B24" s="417" t="str">
        <f>Squads!$B$349</f>
        <v>Jem Cruz</v>
      </c>
      <c r="C24" s="417" t="str">
        <f>SUBSTITUTE(SUBSTITUTE(Squads!$C$349,"–","-"),"—","-")</f>
        <v>System Specialist</v>
      </c>
      <c r="D24" s="425" t="str">
        <f>Squads!$R$349</f>
        <v>Filled</v>
      </c>
    </row>
    <row r="25">
      <c r="B25" s="417" t="str">
        <f>Squads!$B$350</f>
        <v>Chin Fang Kwek</v>
      </c>
      <c r="C25" s="417" t="str">
        <f>SUBSTITUTE(SUBSTITUTE(Squads!$C$350,"–","-"),"—","-")</f>
        <v>System Analyst</v>
      </c>
      <c r="D25" s="425" t="str">
        <f>Squads!$R$350</f>
        <v>Filled</v>
      </c>
    </row>
    <row r="26">
      <c r="B26" s="417" t="str">
        <f>Squads!$B$382</f>
        <v>Nakul Bharade</v>
      </c>
      <c r="C26" s="417" t="str">
        <f>SUBSTITUTE(SUBSTITUTE(Squads!$C$382,"–","-"),"—","-")</f>
        <v>Head of Technology, Commercial Fuels</v>
      </c>
      <c r="D26" s="425" t="str">
        <f>Squads!$R$382</f>
        <v>Filled</v>
      </c>
    </row>
    <row r="27">
      <c r="B27" s="417" t="str">
        <f>Squads!$B$384</f>
        <v>Vacant</v>
      </c>
      <c r="C27" s="417" t="str">
        <f>SUBSTITUTE(SUBSTITUTE(Squads!$C$384,"–","-"),"—","-")</f>
        <v>Quality Assurance</v>
      </c>
      <c r="D27" s="425" t="str">
        <f>Squads!$R$384</f>
        <v>Vacant</v>
      </c>
      <c r="E27" s="481" t="inlineStr">
        <is>
          <t>Hold</t>
        </is>
      </c>
      <c r="F27" s="904">
        <f>SUMIF('Added data'!$C$2:$C$549,Squads!$C$384,'Added data'!$AA$2:$AA$549)/COUNTIF('Added data'!$C$2:$C$549,Squads!$C$384)</f>
        <v>169798.89904347828</v>
      </c>
    </row>
    <row r="28">
      <c r="B28" s="417" t="str">
        <f>Squads!$B$406</f>
        <v>Hari Maneti</v>
      </c>
      <c r="C28" s="417" t="str">
        <f>SUBSTITUTE(SUBSTITUTE(Squads!$C$406,"–","-"),"—","-")</f>
        <v>Systems Analyst</v>
      </c>
      <c r="D28" s="425" t="str">
        <f>Squads!$R$406</f>
        <v>Filled</v>
      </c>
    </row>
    <row r="29">
      <c r="B29" s="417" t="str">
        <f>Squads!$B$407</f>
        <v>Allan Francia</v>
      </c>
      <c r="C29" s="417" t="str">
        <f>SUBSTITUTE(SUBSTITUTE(Squads!$C$407,"–","-"),"—","-")</f>
        <v>Technology Manager - T&amp;S</v>
      </c>
      <c r="D29" s="425" t="str">
        <f>Squads!$R$407</f>
        <v>Filled</v>
      </c>
    </row>
    <row r="30">
      <c r="B30" s="417" t="str">
        <f>Squads!$B$453</f>
        <v>Vacant</v>
      </c>
      <c r="C30" s="417" t="str">
        <f>SUBSTITUTE(SUBSTITUTE(Squads!$C$453,"–","-"),"—","-")</f>
        <v>Senior Business Analyst</v>
      </c>
      <c r="D30" s="425" t="str">
        <f>Squads!$R$453</f>
        <v>Vacant</v>
      </c>
      <c r="E30" s="481" t="inlineStr">
        <is>
          <t>Hold</t>
        </is>
      </c>
      <c r="F30" s="904">
        <f>SUMIF('Added data'!$C$2:$C$549,Squads!$C$453,'Added data'!$AA$2:$AA$549)/COUNTIF('Added data'!$C$2:$C$549,Squads!$C$453)</f>
        <v>234959.77272222223</v>
      </c>
    </row>
    <row r="31">
      <c r="B31" s="417" t="str">
        <f>Squads!$B$455</f>
        <v>Vacant</v>
      </c>
      <c r="C31" s="417" t="str">
        <f>SUBSTITUTE(SUBSTITUTE(Squads!$C$455,"–","-"),"—","-")</f>
        <v>Senior Business Analyst</v>
      </c>
      <c r="D31" s="425" t="str">
        <f>Squads!$R$455</f>
        <v>Vacant</v>
      </c>
      <c r="E31" s="481" t="inlineStr">
        <is>
          <t>Hold</t>
        </is>
      </c>
      <c r="F31" s="904">
        <f>SUMIF('Added data'!$C$2:$C$549,Squads!$C$455,'Added data'!$AA$2:$AA$549)/COUNTIF('Added data'!$C$2:$C$549,Squads!$C$455)</f>
        <v>234959.77272222223</v>
      </c>
    </row>
    <row r="32">
      <c r="B32" s="417" t="str">
        <f>Squads!$B$456</f>
        <v>Vacant</v>
      </c>
      <c r="C32" s="417" t="str">
        <f>SUBSTITUTE(SUBSTITUTE(Squads!$C$456,"–","-"),"—","-")</f>
        <v>Delivery Lead</v>
      </c>
      <c r="D32" s="425" t="str">
        <f>Squads!$R$456</f>
        <v>Vacant</v>
      </c>
      <c r="E32" s="481" t="inlineStr">
        <is>
          <t>Hold</t>
        </is>
      </c>
      <c r="F32" s="904">
        <f>SUMIF('Added data'!$C$2:$C$549,Squads!$C$456,'Added data'!$AA$2:$AA$549)/COUNTIF('Added data'!$C$2:$C$549,Squads!$C$456)</f>
        <v>231778.89629629627</v>
      </c>
    </row>
    <row r="33">
      <c r="B33" s="448" t="inlineStr">
        <is>
          <t>Trading &amp; Shipping Data</t>
        </is>
      </c>
      <c r="C33" s="449" t="n"/>
      <c r="D33" s="449" t="n"/>
      <c r="E33" s="449" t="n"/>
    </row>
    <row r="34">
      <c r="B34" s="417" t="str">
        <f>Squads!$B$419</f>
        <v>Soumya Choudhury</v>
      </c>
      <c r="C34" s="417" t="str">
        <f>SUBSTITUTE(SUBSTITUTE(Squads!$C$419,"–","-"),"—","-")</f>
        <v>Data Application Specialist </v>
      </c>
      <c r="D34" s="425" t="str">
        <f>Squads!$R$419</f>
        <v>Filled</v>
      </c>
    </row>
    <row r="35">
      <c r="B35" s="417" t="str">
        <f>Squads!$B$420</f>
        <v>Anusha Viswanatha</v>
      </c>
      <c r="C35" s="417" t="str">
        <f>SUBSTITUTE(SUBSTITUTE(Squads!$C$420,"–","-"),"—","-")</f>
        <v>Delivery Lead</v>
      </c>
      <c r="D35" s="425" t="str">
        <f>Squads!$R$420</f>
        <v>Filled</v>
      </c>
    </row>
    <row r="36">
      <c r="B36" s="417" t="str">
        <f>Squads!$B$423</f>
        <v>Jonathan Wong</v>
      </c>
      <c r="C36" s="417" t="str">
        <f>SUBSTITUTE(SUBSTITUTE(Squads!$C$423,"–","-"),"—","-")</f>
        <v>Senior Business Analyst</v>
      </c>
      <c r="D36" s="425" t="str">
        <f>Squads!$R$423</f>
        <v>Filled</v>
      </c>
    </row>
    <row r="37">
      <c r="B37" s="417" t="str">
        <f>Squads!$B$432</f>
        <v>Zijie Zhang</v>
      </c>
      <c r="C37" s="417" t="str">
        <f>SUBSTITUTE(SUBSTITUTE(Squads!$C$432,"–","-"),"—","-")</f>
        <v>Senior Data Analyst</v>
      </c>
      <c r="D37" s="425" t="str">
        <f>Squads!$R$432</f>
        <v>Filled</v>
      </c>
    </row>
    <row r="38">
      <c r="B38" s="417" t="str">
        <f>Squads!$B$433</f>
        <v>Kumar Siva</v>
      </c>
      <c r="C38" s="417" t="str">
        <f>SUBSTITUTE(SUBSTITUTE(Squads!$C$433,"–","-"),"—","-")</f>
        <v>Lead engineer Data</v>
      </c>
      <c r="D38" s="425" t="str">
        <f>Squads!$R$433</f>
        <v>Filled</v>
      </c>
    </row>
    <row r="39">
      <c r="B39" s="417" t="str">
        <f>Squads!$B$442</f>
        <v>Arun Prakash Jayaprakasam</v>
      </c>
      <c r="C39" s="417" t="str">
        <f>SUBSTITUTE(SUBSTITUTE(Squads!$C$442,"–","-"),"—","-")</f>
        <v>Data Engineer Analyst</v>
      </c>
      <c r="D39" s="425" t="str">
        <f>Squads!$R$442</f>
        <v>Filled</v>
      </c>
    </row>
    <row r="40">
      <c r="B40" s="417" t="str">
        <f>Squads!$B$451</f>
        <v>Ayushi Agarwal</v>
      </c>
      <c r="C40" s="417" t="str">
        <f>SUBSTITUTE(SUBSTITUTE(Squads!$C$451,"–","-"),"—","-")</f>
        <v>Engineer Data</v>
      </c>
      <c r="D40" s="425" t="str">
        <f>Squads!$R$451</f>
        <v>Filled</v>
      </c>
    </row>
    <row r="41">
      <c r="B41" s="448" t="inlineStr">
        <is>
          <t>Supply</t>
        </is>
      </c>
      <c r="C41" s="449" t="n"/>
      <c r="D41" s="449" t="n"/>
      <c r="E41" s="449" t="n"/>
    </row>
    <row r="42">
      <c r="B42" s="417" t="str">
        <f>Squads!$B$386</f>
        <v>Vacant</v>
      </c>
      <c r="C42" s="417" t="str">
        <f>SUBSTITUTE(SUBSTITUTE(Squads!$C$386,"–","-"),"—","-")</f>
        <v>System Specialist</v>
      </c>
      <c r="D42" s="425" t="str">
        <f>Squads!$R$386</f>
        <v>Vacant</v>
      </c>
      <c r="E42" s="481" t="inlineStr">
        <is>
          <t>Hold</t>
        </is>
      </c>
      <c r="F42" s="904">
        <f>SUMIF('Added data'!$C$2:$C$549,Squads!$C$386,'Added data'!$AA$2:$AA$549)/COUNTIF('Added data'!$C$2:$C$549,Squads!$C$386)</f>
        <v>197904.0</v>
      </c>
    </row>
    <row r="43">
      <c r="B43" s="417" t="str">
        <f>Squads!$B$389</f>
        <v>Vacant</v>
      </c>
      <c r="C43" s="417" t="str">
        <f>SUBSTITUTE(SUBSTITUTE(Squads!$C$389,"–","-"),"—","-")</f>
        <v>Delivery Lead</v>
      </c>
      <c r="D43" s="425" t="str">
        <f>Squads!$R$389</f>
        <v>Vacant</v>
      </c>
      <c r="E43" s="481" t="inlineStr">
        <is>
          <t>Hold</t>
        </is>
      </c>
      <c r="F43" s="904">
        <f>SUMIF('Added data'!$C$2:$C$549,Squads!$C$389,'Added data'!$AA$2:$AA$549)/COUNTIF('Added data'!$C$2:$C$549,Squads!$C$389)</f>
        <v>231778.89629629627</v>
      </c>
    </row>
    <row r="44">
      <c r="B44" s="417" t="str">
        <f>Squads!$B$399</f>
        <v>Vacant (anaplan)</v>
      </c>
      <c r="C44" s="417" t="str">
        <f>SUBSTITUTE(SUBSTITUTE(Squads!$C$399,"–","-"),"—","-")</f>
        <v>System Specialist</v>
      </c>
      <c r="D44" s="425" t="str">
        <f>Squads!$R$399</f>
        <v>Filled</v>
      </c>
    </row>
    <row r="45">
      <c r="B45" s="417" t="str">
        <f>Squads!$B$413</f>
        <v>Ann Aquino</v>
      </c>
      <c r="C45" s="417" t="str">
        <f>SUBSTITUTE(SUBSTITUTE(Squads!$C$413,"–","-"),"—","-")</f>
        <v>Senior Business Analyst</v>
      </c>
      <c r="D45" s="425" t="str">
        <f>Squads!$R$413</f>
        <v>Filled</v>
      </c>
    </row>
    <row r="46">
      <c r="B46" s="417" t="str">
        <f>Squads!$B$424</f>
        <v>Vacant </v>
      </c>
      <c r="C46" s="417" t="str">
        <f>SUBSTITUTE(SUBSTITUTE(Squads!$C$424,"–","-"),"—","-")</f>
        <v>Engineer Software</v>
      </c>
      <c r="D46" s="425" t="str">
        <f>Squads!$R$424</f>
        <v>Vacant</v>
      </c>
      <c r="E46" s="481" t="inlineStr">
        <is>
          <t>Hold</t>
        </is>
      </c>
      <c r="F46" s="904">
        <f>SUMIF('Added data'!$C$2:$C$549,Squads!$C$424,'Added data'!$AA$2:$AA$549)/COUNTIF('Added data'!$C$2:$C$549,Squads!$C$424)</f>
        <v>152203.147</v>
      </c>
    </row>
    <row r="47">
      <c r="B47" s="448" t="inlineStr">
        <is>
          <t>CTRM</t>
        </is>
      </c>
      <c r="C47" s="449" t="n"/>
      <c r="D47" s="449" t="n"/>
      <c r="E47" s="449" t="n"/>
    </row>
    <row r="48">
      <c r="B48" s="417" t="str">
        <f>Squads!$B$187</f>
        <v>Swapnil Pithwa</v>
      </c>
      <c r="C48" s="417" t="str">
        <f>SUBSTITUTE(SUBSTITUTE(Squads!$C$187,"–","-"),"—","-")</f>
        <v>Engineer - BE</v>
      </c>
      <c r="D48" s="425" t="str">
        <f>Squads!$R$187</f>
        <v>Filled</v>
      </c>
    </row>
    <row r="49">
      <c r="B49" s="417" t="str">
        <f>Squads!$B$344</f>
        <v>Trung Truong</v>
      </c>
      <c r="C49" s="417" t="str">
        <f>SUBSTITUTE(SUBSTITUTE(Squads!$C$344,"–","-"),"—","-")</f>
        <v>Engineer Applications</v>
      </c>
      <c r="D49" s="425" t="str">
        <f>Squads!$R$344</f>
        <v>Filled</v>
      </c>
    </row>
    <row r="50">
      <c r="B50" s="417" t="str">
        <f>Squads!$B$396</f>
        <v>Zhan Liu</v>
      </c>
      <c r="C50" s="417" t="str">
        <f>SUBSTITUTE(SUBSTITUTE(Squads!$C$396,"–","-"),"—","-")</f>
        <v>Engineer Applications</v>
      </c>
      <c r="D50" s="425" t="str">
        <f>Squads!$R$396</f>
        <v>Filled</v>
      </c>
    </row>
    <row r="51">
      <c r="B51" s="417" t="str">
        <f>Squads!$B$397</f>
        <v>Deepa Kaur</v>
      </c>
      <c r="C51" s="417" t="str">
        <f>SUBSTITUTE(SUBSTITUTE(Squads!$C$397,"–","-"),"—","-")</f>
        <v>Senior Engineer Automation Testing</v>
      </c>
      <c r="D51" s="425" t="str">
        <f>Squads!$R$397</f>
        <v>Filled</v>
      </c>
    </row>
    <row r="52">
      <c r="B52" s="417" t="str">
        <f>Squads!$B$398</f>
        <v>Laura Roberts</v>
      </c>
      <c r="C52" s="417" t="str">
        <f>SUBSTITUTE(SUBSTITUTE(Squads!$C$398,"–","-"),"—","-")</f>
        <v>Senior Engineer Software</v>
      </c>
      <c r="D52" s="425" t="str">
        <f>Squads!$R$398</f>
        <v>Filled</v>
      </c>
    </row>
    <row r="53">
      <c r="B53" s="417" t="str">
        <f>Squads!$B$400</f>
        <v>Amanda Turnbull</v>
      </c>
      <c r="C53" s="417" t="str">
        <f>SUBSTITUTE(SUBSTITUTE(Squads!$C$400,"–","-"),"—","-")</f>
        <v>Engineer Software</v>
      </c>
      <c r="D53" s="425" t="str">
        <f>Squads!$R$400</f>
        <v>Filled</v>
      </c>
    </row>
    <row r="54">
      <c r="B54" s="417" t="str">
        <f>Squads!$B$401</f>
        <v>Byron Leung</v>
      </c>
      <c r="C54" s="417" t="str">
        <f>SUBSTITUTE(SUBSTITUTE(Squads!$C$401,"–","-"),"—","-")</f>
        <v>Solution Architect</v>
      </c>
      <c r="D54" s="425" t="str">
        <f>Squads!$R$401</f>
        <v>Filled</v>
      </c>
    </row>
    <row r="55">
      <c r="B55" s="417" t="str">
        <f>Squads!$B$408</f>
        <v>Oliver Shanks</v>
      </c>
      <c r="C55" s="417" t="str">
        <f>SUBSTITUTE(SUBSTITUTE(Squads!$C$408,"–","-"),"—","-")</f>
        <v>Associate Engineer Software</v>
      </c>
      <c r="D55" s="425" t="str">
        <f>Squads!$R$408</f>
        <v>Filled</v>
      </c>
    </row>
    <row r="56">
      <c r="B56" s="417" t="str">
        <f>Squads!$B$410</f>
        <v>Fransiscus Setiawan</v>
      </c>
      <c r="C56" s="417" t="str">
        <f>SUBSTITUTE(SUBSTITUTE(Squads!$C$410,"–","-"),"—","-")</f>
        <v>Integration Architect   </v>
      </c>
      <c r="D56" s="425" t="str">
        <f>Squads!$R$410</f>
        <v>Filled</v>
      </c>
    </row>
    <row r="57">
      <c r="B57" s="417" t="str">
        <f>Squads!$B$417</f>
        <v>Rick Abainza</v>
      </c>
      <c r="C57" s="417" t="str">
        <f>SUBSTITUTE(SUBSTITUTE(Squads!$C$417,"–","-"),"—","-")</f>
        <v>Lead Business Analyst</v>
      </c>
      <c r="D57" s="425" t="str">
        <f>Squads!$R$417</f>
        <v>Filled</v>
      </c>
    </row>
    <row r="58">
      <c r="B58" s="417" t="str">
        <f>Squads!$B$421</f>
        <v>Oz Shaaban</v>
      </c>
      <c r="C58" s="417" t="str">
        <f>SUBSTITUTE(SUBSTITUTE(Squads!$C$421,"–","-"),"—","-")</f>
        <v>Delivery Lead</v>
      </c>
      <c r="D58" s="425" t="str">
        <f>Squads!$R$421</f>
        <v>Filled</v>
      </c>
    </row>
    <row r="59">
      <c r="B59" s="417" t="str">
        <f>Squads!$B$425</f>
        <v>Sijin Zhu</v>
      </c>
      <c r="C59" s="417" t="str">
        <f>SUBSTITUTE(SUBSTITUTE(Squads!$C$425,"–","-"),"—","-")</f>
        <v>Business Analyst</v>
      </c>
      <c r="D59" s="425" t="str">
        <f>Squads!$R$425</f>
        <v>Filled</v>
      </c>
    </row>
    <row r="60">
      <c r="B60" s="417" t="str">
        <f>Squads!$B$428</f>
        <v>Chantal Lynch</v>
      </c>
      <c r="C60" s="417" t="str">
        <f>SUBSTITUTE(SUBSTITUTE(Squads!$C$428,"–","-"),"—","-")</f>
        <v>Lead Quality Assurance</v>
      </c>
      <c r="D60" s="425" t="str">
        <f>Squads!$R$428</f>
        <v>Filled</v>
      </c>
    </row>
    <row r="61">
      <c r="B61" s="417" t="str">
        <f>Squads!$B$444</f>
        <v>Hayden Corney</v>
      </c>
      <c r="C61" s="417" t="str">
        <f>SUBSTITUTE(SUBSTITUTE(Squads!$C$444,"–","-"),"—","-")</f>
        <v>Lead Engineer Software</v>
      </c>
      <c r="D61" s="425" t="str">
        <f>Squads!$R$444</f>
        <v>Filled</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E32 E42:E43 E46"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2.xml><?xml version="1.0" encoding="utf-8"?>
<worksheet xmlns="http://schemas.openxmlformats.org/spreadsheetml/2006/main">
  <sheetPr>
    <tabColor rgb="FFBF8F00"/>
    <outlinePr summaryBelow="1" summaryRight="1"/>
    <pageSetUpPr/>
  </sheetPr>
  <dimension ref="B2:O43"/>
  <sheetViews>
    <sheetView showGridLines="0" topLeftCell="A7" workbookViewId="0">
      <selection activeCell="A1" sqref="A1"/>
    </sheetView>
  </sheetViews>
  <sheetFormatPr baseColWidth="8" defaultRowHeight="14.5"/>
  <cols>
    <col width="3" customWidth="1" style="849" min="1" max="1"/>
    <col width="44" customWidth="1" style="849" min="2" max="2"/>
    <col width="46" customWidth="1" style="849" min="3" max="3"/>
    <col width="12" customWidth="1" style="849" min="4" max="4"/>
    <col width="13" customWidth="1" style="849" min="5" max="5"/>
    <col width="14" customWidth="1" style="849" min="6" max="6"/>
    <col width="15" customWidth="1" style="849" min="7" max="7"/>
    <col width="17" customWidth="1" style="849" min="8" max="8"/>
    <col width="15" customWidth="1" style="849" min="9" max="9"/>
    <col width="2.81640625" customWidth="1" style="849" min="10" max="10"/>
    <col width="13" customWidth="1" style="849" min="11" max="13"/>
    <col width="12" customWidth="1" style="849" min="14" max="14"/>
    <col width="11" customWidth="1" style="849" min="15" max="15"/>
  </cols>
  <sheetData>
    <row r="2" ht="21" customHeight="1" s="849">
      <c r="B2" s="423" t="str">
        <f>CONCATENATE('1.10 Z Retail'!$B$2," working copy")</f>
        <v>Z Retail working copy</v>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Z Supply</t>
        </is>
      </c>
      <c r="C6" s="567" t="str">
        <f>'3.3 FTE View'!$E$86</f>
        <v>Build and Run</v>
      </c>
      <c r="D6" s="902">
        <f>'3.3 FTE View'!$G$86</f>
        <v>9.0</v>
      </c>
      <c r="E6" s="425">
        <f>COUNTIFS(Squads!$N:$N,"Z Retail",Squads!$P:$P,"Z Supply",Squads!$R:$R,"Filled")</f>
        <v>7.0</v>
      </c>
      <c r="F6" s="425">
        <f>COUNTIFS(Squads!$N:$N,"Z Retail",Squads!$P:$P,"Z Supply",Squads!$R:$R,"Vacant")</f>
        <v>1.0</v>
      </c>
      <c r="G6" s="425">
        <f>COUNTIF(E19:E19,"Hire")</f>
        <v>0.0</v>
      </c>
      <c r="H6" s="442">
        <f>F6-G6-COUNTIF(E19:E19,"Offshore")</f>
        <v>1.0</v>
      </c>
      <c r="I6" s="902">
        <f>IFERROR(E6+G6-D6,"-")</f>
        <v>-2.0</v>
      </c>
      <c r="J6" s="417" t="str">
        <f>IF(ISNUMBER(D6),IF(E6&gt;D6,"Filled already over archetype",IF(E6+G6&gt;D6,"Over archetype after hire calls","")),"Outside the archetype model - no target set")</f>
        <v/>
      </c>
      <c r="K6" s="551">
        <f>'3.3 FTE View'!$M$86</f>
        <v>2.0</v>
      </c>
      <c r="L6" s="551">
        <f>'3.3 FTE View'!$N$86</f>
        <v>1.303817738</v>
      </c>
      <c r="M6" s="551">
        <f>(SUMIFS('Added data'!$AA:$AA,'Added data'!$AC:$AC,'1.10 Z Retail'!$B$2,'Added data'!$AE:$AE,$B6,'Added data'!$AG:$AG,"Filled")+SUMIFS(F18:F25,E18:E25,"Hire")+0.4*SUMIFS(F18:F25,E18:E25,"Offshore"))/1000000</f>
        <v>1.1333279879999998</v>
      </c>
      <c r="N6" s="551">
        <f>M6-K6</f>
        <v>-0.8666720120000002</v>
      </c>
      <c r="O6" s="552" t="str">
        <f>'3.3 FTE View'!$F$86</f>
        <v>M</v>
      </c>
    </row>
    <row r="7">
      <c r="B7" s="417" t="inlineStr">
        <is>
          <t>Site Systems</t>
        </is>
      </c>
      <c r="C7" s="567" t="str">
        <f>'3.3 FTE View'!$E$88</f>
        <v>Configuration / Integration</v>
      </c>
      <c r="D7" s="902">
        <f>'3.3 FTE View'!$G$88</f>
        <v>9.0</v>
      </c>
      <c r="E7" s="425">
        <f>COUNTIFS(Squads!$N:$N,"Z Retail",Squads!$P:$P,"Site Systems",Squads!$R:$R,"Filled")</f>
        <v>8.0</v>
      </c>
      <c r="F7" s="425">
        <f>COUNTIFS(Squads!$N:$N,"Z Retail",Squads!$P:$P,"Site Systems",Squads!$R:$R,"Vacant")</f>
        <v>0.0</v>
      </c>
      <c r="G7" s="603">
        <f>COUNTIF(E27:E34,"Hire")</f>
        <v>0.0</v>
      </c>
      <c r="H7" s="442">
        <f>F7-G7-COUNTIF(E27:E34,"Offshore")</f>
        <v>0.0</v>
      </c>
      <c r="I7" s="902">
        <f>IFERROR(E7+G7-D7,"-")</f>
        <v>-1.0</v>
      </c>
      <c r="J7" s="417" t="str">
        <f>IF(ISNUMBER(D7),IF(E7&gt;D7,"Filled already over archetype",IF(E7+G7&gt;D7,"Over archetype after hire calls","")),"Outside the archetype model - no target set")</f>
        <v/>
      </c>
      <c r="K7" s="551">
        <f>'3.3 FTE View'!$M$88</f>
        <v>2.1</v>
      </c>
      <c r="L7" s="551">
        <f>'3.3 FTE View'!$N$88</f>
        <v>1.410063476</v>
      </c>
      <c r="M7" s="551">
        <f>(SUMIFS('Added data'!$AA:$AA,'Added data'!$AC:$AC,'1.10 Z Retail'!$B$2,'Added data'!$AE:$AE,$B7,'Added data'!$AG:$AG,"Filled")+SUMIFS(F27:F34,E27:E34,"Hire")+0.4*SUMIFS(F27:F34,E27:E34,"Offshore"))/1000000</f>
        <v>1.410063476</v>
      </c>
      <c r="N7" s="551">
        <f>M7-K7</f>
        <v>-0.6899365240000002</v>
      </c>
      <c r="O7" s="552" t="str">
        <f>'3.3 FTE View'!$F$88</f>
        <v>M</v>
      </c>
    </row>
    <row r="8">
      <c r="B8" s="417" t="inlineStr">
        <is>
          <t>Z Retail Backend</t>
        </is>
      </c>
      <c r="C8" s="567" t="str">
        <f>'3.3 FTE View'!$E$89</f>
        <v>Build and Run</v>
      </c>
      <c r="D8" s="902">
        <f>'3.3 FTE View'!$G$89</f>
        <v>9.0</v>
      </c>
      <c r="E8" s="425">
        <f>COUNTIFS(Squads!$N:$N,"Z Retail",Squads!$P:$P,"Z Retail Backend",Squads!$R:$R,"Filled")</f>
        <v>6.0</v>
      </c>
      <c r="F8" s="425">
        <f>COUNTIFS(Squads!$N:$N,"Z Retail",Squads!$P:$P,"Z Retail Backend",Squads!$R:$R,"Vacant")</f>
        <v>2.0</v>
      </c>
      <c r="G8" s="425">
        <f>COUNTIF(E39:E43,"Hire")</f>
        <v>0.0</v>
      </c>
      <c r="H8" s="442">
        <f>F8-G8-COUNTIF(E39:E43,"Offshore")</f>
        <v>2.0</v>
      </c>
      <c r="I8" s="902">
        <f>IFERROR(E8+G8-D8,"-")</f>
        <v>-3.0</v>
      </c>
      <c r="J8" s="417" t="str">
        <f>IF(ISNUMBER(D8),IF(E8&gt;D8,"Filled already over archetype",IF(E8+G8&gt;D8,"Over archetype after hire calls","")),"Outside the archetype model - no target set")</f>
        <v/>
      </c>
      <c r="K8" s="551">
        <f>'3.3 FTE View'!$M$89</f>
        <v>2.0</v>
      </c>
      <c r="L8" s="551">
        <f>'3.3 FTE View'!$N$89</f>
        <v>1.535648828</v>
      </c>
      <c r="M8" s="551">
        <f>(SUMIFS('Added data'!$AA:$AA,'Added data'!$AC:$AC,'1.10 Z Retail'!$B$2,'Added data'!$AE:$AE,$B8,'Added data'!$AG:$AG,"Filled")+SUMIFS(F36:F43,E36:E43,"Hire")+0.4*SUMIFS(F36:F43,E36:E43,"Offshore"))/1000000</f>
        <v>1.101106328</v>
      </c>
      <c r="N8" s="551">
        <f>M8-K8</f>
        <v>-0.898893672</v>
      </c>
      <c r="O8" s="552" t="str">
        <f>'3.3 FTE View'!$F$89</f>
        <v>M</v>
      </c>
    </row>
    <row r="9">
      <c r="B9" s="419" t="inlineStr">
        <is>
          <t>Total</t>
        </is>
      </c>
      <c r="D9" s="903">
        <f>SUM(D6:D8)</f>
        <v>27.0</v>
      </c>
      <c r="E9" s="431">
        <f>SUM(E6:E8)</f>
        <v>21.0</v>
      </c>
      <c r="F9" s="431">
        <f>SUM(F6:F8)</f>
        <v>3.0</v>
      </c>
      <c r="G9" s="431">
        <f>SUM(G6:G8)</f>
        <v>0.0</v>
      </c>
      <c r="H9" s="431">
        <f>SUM(H6:H8)</f>
        <v>3.0</v>
      </c>
      <c r="I9" s="903">
        <f>IF(COUNT(I6:I8)=0,"-",SUM(I6:I8))</f>
        <v>-6.0</v>
      </c>
      <c r="K9" s="553">
        <f>SUM(K6:K8)</f>
        <v>6.1</v>
      </c>
      <c r="L9" s="553">
        <f>SUM(L6:L8)</f>
        <v>4.249530042</v>
      </c>
      <c r="M9" s="553">
        <f>SUM(M6:M8)</f>
        <v>3.644497792</v>
      </c>
      <c r="N9" s="553">
        <f>SUM(N6:N8)</f>
        <v>-2.4555022080000004</v>
      </c>
      <c r="O9" s="604" t="str">
        <f>"-"</f>
        <v>-</v>
      </c>
    </row>
    <row r="10">
      <c r="B10" s="471" t="inlineStr">
        <is>
          <t>Cost to hire all vacancies ($m)</t>
        </is>
      </c>
      <c r="C10" s="474">
        <f>SUM(F17:F43)/1000000</f>
        <v>0.5437478991387164</v>
      </c>
    </row>
    <row r="11">
      <c r="B11" s="471" t="inlineStr">
        <is>
          <t>Cost of roles marked Hire ($m)</t>
        </is>
      </c>
      <c r="C11" s="474">
        <f>SUMIF(E17:E43,"Hire",F17:F43)/1000000</f>
        <v>0.0</v>
      </c>
    </row>
    <row r="12">
      <c r="B12" s="417" t="n"/>
    </row>
    <row r="13">
      <c r="B13" s="417" t="inlineStr">
        <is>
          <t>Leadership roles are funded via the portfolio overheads and sit on 3.3 FTE View, not here.</t>
        </is>
      </c>
    </row>
    <row r="14">
      <c r="B14" s="570" t="inlineStr">
        <is>
          <t>vs archetype: positive = over the allowance, negative = under.</t>
        </is>
      </c>
    </row>
    <row r="15">
      <c r="B15" s="605" t="str">
        <f>CONCATENATE('1.10 Z Retail'!$B$2," FTE")</f>
        <v>Z Retail FTE</v>
      </c>
      <c r="C15" s="606" t="n"/>
      <c r="D15" s="606" t="n"/>
      <c r="E15" s="606" t="n"/>
      <c r="F15" s="606" t="n"/>
      <c r="G15" s="607" t="n"/>
      <c r="H15" s="607" t="n"/>
      <c r="I15" s="607" t="n"/>
      <c r="J15" s="607" t="n"/>
    </row>
    <row r="16">
      <c r="B16" s="424" t="inlineStr">
        <is>
          <t>Name</t>
        </is>
      </c>
      <c r="C16" s="424" t="inlineStr">
        <is>
          <t>Role</t>
        </is>
      </c>
      <c r="D16" s="424" t="inlineStr">
        <is>
          <t>Status</t>
        </is>
      </c>
      <c r="E16" s="424" t="inlineStr">
        <is>
          <t>Vacancy lever</t>
        </is>
      </c>
      <c r="F16" s="424" t="inlineStr">
        <is>
          <t>Cost if hired ($)</t>
        </is>
      </c>
    </row>
    <row r="17">
      <c r="B17" s="448" t="inlineStr">
        <is>
          <t>Z Supply</t>
        </is>
      </c>
      <c r="C17" s="449" t="n"/>
      <c r="D17" s="449" t="n"/>
      <c r="E17" s="449" t="n"/>
    </row>
    <row r="18">
      <c r="B18" s="417" t="str">
        <f>Squads!$B$30</f>
        <v>Isuru Herath</v>
      </c>
      <c r="C18" s="417" t="str">
        <f>SUBSTITUTE(SUBSTITUTE(Squads!$C$30,"–","-"),"—","-")</f>
        <v>Senior Engineer - Software</v>
      </c>
      <c r="D18" s="425" t="str">
        <f>Squads!$R$30</f>
        <v>Filled</v>
      </c>
    </row>
    <row r="19">
      <c r="B19" s="417" t="str">
        <f>Squads!$B$33</f>
        <v>Vacant</v>
      </c>
      <c r="C19" s="417" t="str">
        <f>SUBSTITUTE(SUBSTITUTE(Squads!$C$33,"–","-"),"—","-")</f>
        <v>Quality Assurance</v>
      </c>
      <c r="D19" s="425" t="str">
        <f>Squads!$R$33</f>
        <v>Vacant</v>
      </c>
      <c r="E19" s="481" t="inlineStr">
        <is>
          <t>Hold</t>
        </is>
      </c>
      <c r="F19" s="904">
        <f>SUMIF('Added data'!$C$2:$C$549,Squads!$C$33,'Added data'!$AA$2:$AA$549)/COUNTIF('Added data'!$C$2:$C$549,Squads!$C$33)</f>
        <v>169798.89904347828</v>
      </c>
    </row>
    <row r="20">
      <c r="B20" s="417" t="str">
        <f>Squads!$B$45</f>
        <v>Anna Koot</v>
      </c>
      <c r="C20" s="417" t="str">
        <f>SUBSTITUTE(SUBSTITUTE(Squads!$C$45,"–","-"),"—","-")</f>
        <v>Senior Business Analyst</v>
      </c>
      <c r="D20" s="425" t="str">
        <f>Squads!$R$45</f>
        <v>Filled</v>
      </c>
    </row>
    <row r="21">
      <c r="B21" s="417" t="str">
        <f>Squads!$B$59</f>
        <v>Johanah Gloria</v>
      </c>
      <c r="C21" s="417" t="str">
        <f>SUBSTITUTE(SUBSTITUTE(Squads!$C$59,"–","-"),"—","-")</f>
        <v>Engineer - Software</v>
      </c>
      <c r="D21" s="425" t="str">
        <f>Squads!$R$59</f>
        <v>Filled</v>
      </c>
    </row>
    <row r="22">
      <c r="B22" s="417" t="str">
        <f>Squads!$B$73</f>
        <v>Eugene Yeo</v>
      </c>
      <c r="C22" s="417" t="str">
        <f>SUBSTITUTE(SUBSTITUTE(Squads!$C$73,"–","-"),"—","-")</f>
        <v>Engineer - DevOps</v>
      </c>
      <c r="D22" s="425" t="str">
        <f>Squads!$R$73</f>
        <v>Filled</v>
      </c>
    </row>
    <row r="23">
      <c r="B23" s="417" t="str">
        <f>Squads!$B$77</f>
        <v>Benjamin Sheffield</v>
      </c>
      <c r="C23" s="417" t="str">
        <f>SUBSTITUTE(SUBSTITUTE(Squads!$C$77,"–","-"),"—","-")</f>
        <v>Lead Engineer - Software</v>
      </c>
      <c r="D23" s="425" t="str">
        <f>Squads!$R$77</f>
        <v>Filled</v>
      </c>
    </row>
    <row r="24">
      <c r="B24" s="417" t="str">
        <f>Squads!$B$82</f>
        <v>Gayan Liyana Arachchige</v>
      </c>
      <c r="C24" s="417" t="str">
        <f>SUBSTITUTE(SUBSTITUTE(Squads!$C$82,"–","-"),"—","-")</f>
        <v>Engineer - DevOps</v>
      </c>
      <c r="D24" s="425" t="str">
        <f>Squads!$R$82</f>
        <v>Filled</v>
      </c>
    </row>
    <row r="25">
      <c r="B25" s="417" t="str">
        <f>Squads!$B$85</f>
        <v>Helen Jones</v>
      </c>
      <c r="C25" s="417" t="str">
        <f>SUBSTITUTE(SUBSTITUTE(Squads!$C$85,"–","-"),"—","-")</f>
        <v>Delivery Lead</v>
      </c>
      <c r="D25" s="425" t="str">
        <f>Squads!$R$85</f>
        <v>Filled</v>
      </c>
    </row>
    <row r="26">
      <c r="B26" s="448" t="inlineStr">
        <is>
          <t>Site Systems</t>
        </is>
      </c>
      <c r="C26" s="449" t="n"/>
      <c r="D26" s="449" t="n"/>
      <c r="E26" s="449" t="n"/>
    </row>
    <row r="27">
      <c r="B27" s="417" t="str">
        <f>Squads!$B$2</f>
        <v>Warren Grieve</v>
      </c>
      <c r="C27" s="417" t="str">
        <f>SUBSTITUTE(SUBSTITUTE(Squads!$C$2,"–","-"),"—","-")</f>
        <v>Senior Site Systems Analyst</v>
      </c>
      <c r="D27" s="425" t="str">
        <f>Squads!$R$2</f>
        <v>Filled</v>
      </c>
    </row>
    <row r="28">
      <c r="B28" s="417" t="str">
        <f>Squads!$B$3</f>
        <v>Chris Mitchell</v>
      </c>
      <c r="C28" s="417" t="str">
        <f>SUBSTITUTE(SUBSTITUTE(Squads!$C$3,"–","-"),"—","-")</f>
        <v>Deployment Lead</v>
      </c>
      <c r="D28" s="425" t="str">
        <f>Squads!$R$3</f>
        <v>Filled</v>
      </c>
    </row>
    <row r="29">
      <c r="B29" s="417" t="str">
        <f>Squads!$B$5</f>
        <v>Vanessa King</v>
      </c>
      <c r="C29" s="417" t="str">
        <f>SUBSTITUTE(SUBSTITUTE(Squads!$C$5,"–","-"),"—","-")</f>
        <v>Lead Quality Assurance</v>
      </c>
      <c r="D29" s="425" t="str">
        <f>Squads!$R$5</f>
        <v>Filled</v>
      </c>
    </row>
    <row r="30">
      <c r="B30" s="417" t="str">
        <f>Squads!$B$6</f>
        <v>Bradley Cunningham</v>
      </c>
      <c r="C30" s="417" t="str">
        <f>SUBSTITUTE(SUBSTITUTE(Squads!$C$6,"–","-"),"—","-")</f>
        <v>Site Systems Analyst</v>
      </c>
      <c r="D30" s="425" t="str">
        <f>Squads!$R$6</f>
        <v>Filled</v>
      </c>
    </row>
    <row r="31">
      <c r="B31" s="417" t="str">
        <f>Squads!$B$7</f>
        <v>Sakshi Sachdeva</v>
      </c>
      <c r="C31" s="417" t="str">
        <f>SUBSTITUTE(SUBSTITUTE(Squads!$C$7,"–","-"),"—","-")</f>
        <v>Senior Quality Assurance </v>
      </c>
      <c r="D31" s="425" t="str">
        <f>Squads!$R$7</f>
        <v>Filled</v>
      </c>
    </row>
    <row r="32">
      <c r="B32" s="417" t="str">
        <f>Squads!$B$8</f>
        <v>Alex Sutherland</v>
      </c>
      <c r="C32" s="417" t="str">
        <f>SUBSTITUTE(SUBSTITUTE(Squads!$C$8,"–","-"),"—","-")</f>
        <v>Site Systems Analyst</v>
      </c>
      <c r="D32" s="425" t="str">
        <f>Squads!$R$8</f>
        <v>Filled</v>
      </c>
    </row>
    <row r="33">
      <c r="B33" s="417" t="str">
        <f>Squads!$B$68</f>
        <v>Tim Gurnsey</v>
      </c>
      <c r="C33" s="417" t="str">
        <f>SUBSTITUTE(SUBSTITUTE(Squads!$C$68,"–","-"),"—","-")</f>
        <v>Delivery Lead</v>
      </c>
      <c r="D33" s="425" t="str">
        <f>Squads!$R$68</f>
        <v>Filled</v>
      </c>
    </row>
    <row r="34">
      <c r="B34" s="417" t="str">
        <f>Squads!$B$75</f>
        <v>Kelly Russell</v>
      </c>
      <c r="C34" s="417" t="str">
        <f>SUBSTITUTE(SUBSTITUTE(Squads!$C$75,"–","-"),"—","-")</f>
        <v>Lead Quality Assurance</v>
      </c>
      <c r="D34" s="425" t="str">
        <f>Squads!$R$75</f>
        <v>Filled</v>
      </c>
    </row>
    <row r="35">
      <c r="B35" s="448" t="inlineStr">
        <is>
          <t>Z Retail Backend</t>
        </is>
      </c>
      <c r="C35" s="449" t="n"/>
      <c r="D35" s="449" t="n"/>
      <c r="E35" s="449" t="n"/>
    </row>
    <row r="36">
      <c r="B36" s="417" t="str">
        <f>Squads!$B$4</f>
        <v>Christian Guo</v>
      </c>
      <c r="C36" s="417" t="str">
        <f>SUBSTITUTE(SUBSTITUTE(Squads!$C$4,"–","-"),"—","-")</f>
        <v>Solution Architect</v>
      </c>
      <c r="D36" s="425" t="str">
        <f>Squads!$R$4</f>
        <v>Filled</v>
      </c>
    </row>
    <row r="37">
      <c r="B37" s="417" t="str">
        <f>Squads!$B$31</f>
        <v>Malachi Ah Hoi</v>
      </c>
      <c r="C37" s="417" t="str">
        <f>SUBSTITUTE(SUBSTITUTE(Squads!$C$31,"–","-"),"—","-")</f>
        <v>Senior Quality Assurance</v>
      </c>
      <c r="D37" s="425" t="str">
        <f>Squads!$R$31</f>
        <v>Filled</v>
      </c>
    </row>
    <row r="38">
      <c r="B38" s="417" t="str">
        <f>Squads!$B$38</f>
        <v>Trevor Weaver</v>
      </c>
      <c r="C38" s="417" t="str">
        <f>SUBSTITUTE(SUBSTITUTE(Squads!$C$38,"–","-"),"—","-")</f>
        <v>Lead  Engineer - Software</v>
      </c>
      <c r="D38" s="425" t="str">
        <f>Squads!$R$38</f>
        <v>Filled</v>
      </c>
    </row>
    <row r="39">
      <c r="B39" s="417" t="str">
        <f>Squads!$B$66</f>
        <v>Vacant</v>
      </c>
      <c r="C39" s="417" t="str">
        <f>SUBSTITUTE(SUBSTITUTE(Squads!$C$66,"–","-"),"—","-")</f>
        <v>Lead Quality Assurance</v>
      </c>
      <c r="D39" s="425" t="str">
        <f>Squads!$R$66</f>
        <v>Vacant</v>
      </c>
      <c r="E39" s="481" t="inlineStr">
        <is>
          <t>Hold</t>
        </is>
      </c>
      <c r="F39" s="904">
        <f>SUMIF('Added data'!$C$2:$C$549,Squads!$C$66,'Added data'!$AA$2:$AA$549)/COUNTIF('Added data'!$C$2:$C$549,Squads!$C$66)</f>
        <v>206951.05542857148</v>
      </c>
    </row>
    <row r="40">
      <c r="B40" s="417" t="str">
        <f>Squads!$B$78</f>
        <v>Mark Dickson</v>
      </c>
      <c r="C40" s="417" t="str">
        <f>SUBSTITUTE(SUBSTITUTE(Squads!$C$78,"–","-"),"—","-")</f>
        <v>Delivery Lead</v>
      </c>
      <c r="D40" s="425" t="str">
        <f>Squads!$R$78</f>
        <v>Filled</v>
      </c>
    </row>
    <row r="41">
      <c r="B41" s="417" t="str">
        <f>Squads!$B$79</f>
        <v>Adrian Alcance</v>
      </c>
      <c r="C41" s="417" t="str">
        <f>SUBSTITUTE(SUBSTITUTE(Squads!$C$79,"–","-"),"—","-")</f>
        <v>Senior Engineer - DevOps</v>
      </c>
      <c r="D41" s="425" t="str">
        <f>Squads!$R$79</f>
        <v>Filled</v>
      </c>
    </row>
    <row r="42">
      <c r="B42" s="417" t="str">
        <f>Squads!$B$80</f>
        <v>Allana Arbuckle</v>
      </c>
      <c r="C42" s="417" t="str">
        <f>SUBSTITUTE(SUBSTITUTE(Squads!$C$80,"–","-"),"—","-")</f>
        <v>Business Analyst</v>
      </c>
      <c r="D42" s="425" t="str">
        <f>Squads!$R$80</f>
        <v>Filled</v>
      </c>
    </row>
    <row r="43">
      <c r="B43" s="417" t="str">
        <f>Squads!$B$84</f>
        <v>Vacant</v>
      </c>
      <c r="C43" s="417" t="str">
        <f>SUBSTITUTE(SUBSTITUTE(Squads!$C$84,"–","-"),"—","-")</f>
        <v>Engineer - Software</v>
      </c>
      <c r="D43" s="425" t="str">
        <f>Squads!$R$84</f>
        <v>Vacant</v>
      </c>
      <c r="E43" s="481" t="inlineStr">
        <is>
          <t>Hold</t>
        </is>
      </c>
      <c r="F43" s="904">
        <f>SUMIF('Added data'!$C$2:$C$549,Squads!$C$84,'Added data'!$AA$2:$AA$549)/COUNTIF('Added data'!$C$2:$C$549,Squads!$C$84)</f>
        <v>166997.94466666668</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3.xml><?xml version="1.0" encoding="utf-8"?>
<worksheet xmlns="http://schemas.openxmlformats.org/spreadsheetml/2006/main">
  <sheetPr>
    <tabColor rgb="FFBF8F00"/>
    <outlinePr summaryBelow="1" summaryRight="1"/>
    <pageSetUpPr/>
  </sheetPr>
  <dimension ref="B2:O64"/>
  <sheetViews>
    <sheetView showGridLines="0" workbookViewId="0">
      <selection activeCell="A1" sqref="A1"/>
    </sheetView>
  </sheetViews>
  <sheetFormatPr baseColWidth="8" defaultRowHeight="14.5"/>
  <cols>
    <col width="3" customWidth="1" style="849" min="1" max="1"/>
    <col width="44" customWidth="1" style="849" min="2" max="2"/>
    <col width="46" customWidth="1" style="849" min="3" max="3"/>
    <col width="13" bestFit="1" customWidth="1" style="849" min="4" max="4"/>
    <col width="13" customWidth="1" style="849" min="5" max="5"/>
    <col width="14" customWidth="1" style="849" min="6" max="6"/>
    <col width="15" customWidth="1" style="849" min="7" max="7"/>
    <col width="17" customWidth="1" style="849" min="8" max="8"/>
    <col width="15" customWidth="1" style="849" min="9" max="9"/>
    <col width="30" customWidth="1" style="849" min="10" max="10"/>
    <col width="13" customWidth="1" style="849" min="11" max="13"/>
    <col width="12" customWidth="1" style="849" min="14" max="14"/>
    <col width="11" customWidth="1" style="849" min="15" max="15"/>
  </cols>
  <sheetData>
    <row r="2" ht="21" customHeight="1" s="849">
      <c r="B2" s="423" t="inlineStr">
        <is>
          <t>TDD Cyber working copy</t>
        </is>
      </c>
    </row>
    <row r="4">
      <c r="B4" s="427" t="inlineStr">
        <is>
          <t>Position by squad</t>
        </is>
      </c>
      <c r="C4" s="428" t="n"/>
      <c r="D4" s="428" t="n"/>
      <c r="E4" s="428" t="n"/>
      <c r="F4" s="428" t="n"/>
      <c r="G4" s="428" t="n"/>
      <c r="H4" s="428" t="n"/>
      <c r="I4" s="428" t="n"/>
      <c r="J4" s="428" t="n"/>
    </row>
    <row r="5" ht="43.5" customHeight="1" s="849">
      <c r="B5" s="424" t="inlineStr">
        <is>
          <t>Squad</t>
        </is>
      </c>
      <c r="C5" s="549" t="inlineStr">
        <is>
          <t>Archetype type</t>
        </is>
      </c>
      <c r="D5" s="424" t="inlineStr">
        <is>
          <t>Archetype roles</t>
        </is>
      </c>
      <c r="E5" s="424" t="inlineStr">
        <is>
          <t>Filled</t>
        </is>
      </c>
      <c r="F5" s="424" t="inlineStr">
        <is>
          <t>Vacant</t>
        </is>
      </c>
      <c r="G5" s="424" t="inlineStr">
        <is>
          <t>Planning to hire</t>
        </is>
      </c>
      <c r="H5" s="424" t="inlineStr">
        <is>
          <t>Vacancies remaining</t>
        </is>
      </c>
      <c r="I5" s="424" t="inlineStr">
        <is>
          <t>vs archetype</t>
        </is>
      </c>
      <c r="J5" s="424" t="inlineStr">
        <is>
          <t>Flag</t>
        </is>
      </c>
      <c r="K5" s="549" t="inlineStr">
        <is>
          <t>Archetype cost ($m)</t>
        </is>
      </c>
      <c r="L5" s="549" t="inlineStr">
        <is>
          <t>Actual cost ($m)</t>
        </is>
      </c>
      <c r="M5" s="549" t="inlineStr">
        <is>
          <t>Cost after vacancy decisions ($m)</t>
        </is>
      </c>
      <c r="N5" s="549" t="inlineStr">
        <is>
          <t>New Variance ($m)</t>
        </is>
      </c>
      <c r="O5" s="549" t="inlineStr">
        <is>
          <t>Archetype size</t>
        </is>
      </c>
    </row>
    <row r="6">
      <c r="B6" s="417" t="inlineStr">
        <is>
          <t>TDD Cyber</t>
        </is>
      </c>
      <c r="C6" s="552" t="str">
        <f>"-"</f>
        <v>-</v>
      </c>
      <c r="D6" s="905" t="str">
        <f>"-"</f>
        <v>-</v>
      </c>
      <c r="E6" s="425">
        <f>COUNTIFS(Squads!$N:$N,"TDD Cyber",Squads!$P:$P,"TDD Cyber",Squads!$R:$R,"Filled")</f>
        <v>40.0</v>
      </c>
      <c r="F6" s="425">
        <f>COUNTIFS(Squads!$N:$N,"TDD Cyber",Squads!$P:$P,"TDD Cyber",Squads!$R:$R,"Vacant")</f>
        <v>8.0</v>
      </c>
      <c r="G6" s="425">
        <f>COUNTIF(E17:E63,"Hire")</f>
        <v>1.0</v>
      </c>
      <c r="H6" s="442">
        <f>F6-G6-COUNTIF(E17:E63,"Offshore")</f>
        <v>7.0</v>
      </c>
      <c r="I6" s="902" t="str">
        <f>IFERROR(E6+G6-D6,"-")</f>
        <v>-</v>
      </c>
      <c r="J6" s="417" t="str">
        <f>IF(ISNUMBER(D6),IF(E6&gt;D6,"Filled already over archetype",IF(E6+G6&gt;D6,"Over archetype after hire calls","")),"Outside the archetype model - no target set")</f>
        <v>Outside the archetype model - no target set</v>
      </c>
      <c r="K6" s="552" t="str">
        <f>"-"</f>
        <v>-</v>
      </c>
      <c r="L6" s="551">
        <f>'1.13 Cyber Roles'!$F$8</f>
        <v>10.915989044000002</v>
      </c>
      <c r="M6" s="551">
        <f>L6-(SUMIFS(F17:F64,E17:E64,"Hold")+0.6*SUMIFS(F17:F64,E17:E64,"Offshore"))/1000000</f>
        <v>9.633408160666669</v>
      </c>
      <c r="N6" s="551">
        <f>M6-L6</f>
        <v>-1.282580883333333</v>
      </c>
      <c r="O6" s="552" t="str">
        <f>"-"</f>
        <v>-</v>
      </c>
    </row>
    <row r="7">
      <c r="B7" s="419" t="inlineStr">
        <is>
          <t>Total</t>
        </is>
      </c>
      <c r="D7" s="906" t="str">
        <f>"-"</f>
        <v>-</v>
      </c>
      <c r="E7" s="431">
        <f>SUM(E6:E6)</f>
        <v>40.0</v>
      </c>
      <c r="F7" s="431">
        <f>SUM(F6:F6)</f>
        <v>8.0</v>
      </c>
      <c r="G7" s="431">
        <f>SUM(G6:G6)</f>
        <v>1.0</v>
      </c>
      <c r="H7" s="431">
        <f>SUM(H6:H6)</f>
        <v>7.0</v>
      </c>
      <c r="I7" s="903" t="str">
        <f>IF(COUNT(I6:I6)=0,"-",SUM(I6:I6))</f>
        <v>-</v>
      </c>
      <c r="K7" s="553">
        <f>SUM(K6:K6)</f>
        <v>0.0</v>
      </c>
      <c r="L7" s="553">
        <f>SUM(L6:L6)</f>
        <v>10.915989044000002</v>
      </c>
      <c r="M7" s="553">
        <f>SUM(M6:M6)</f>
        <v>9.633408160666669</v>
      </c>
      <c r="N7" s="553">
        <f>SUM(N6:N6)</f>
        <v>-1.282580883333333</v>
      </c>
      <c r="O7" s="604" t="str">
        <f>"-"</f>
        <v>-</v>
      </c>
    </row>
    <row r="8">
      <c r="B8" s="471" t="inlineStr">
        <is>
          <t>Cost to hire all vacancies ($m)</t>
        </is>
      </c>
      <c r="C8" s="474">
        <f>SUM(F16:F64)/1000000</f>
        <v>1.4530706333333332</v>
      </c>
    </row>
    <row r="9">
      <c r="B9" s="471" t="inlineStr">
        <is>
          <t>Cost of roles marked Hire ($m)</t>
        </is>
      </c>
      <c r="C9" s="474">
        <f>SUMIF(E16:E64,"Hire",F16:F64)/1000000</f>
        <v>0.17048975</v>
      </c>
    </row>
    <row r="10">
      <c r="B10" s="417" t="inlineStr">
        <is>
          <t>Vacant roles are priced at standard title rates - indicative until an offer is made.</t>
        </is>
      </c>
    </row>
    <row r="11">
      <c r="B11" s="417" t="inlineStr">
        <is>
          <t>Leadership roles are funded via the portfolio overheads and sit on 3.3 FTE View, not here.</t>
        </is>
      </c>
    </row>
    <row r="12">
      <c r="B12" s="417" t="inlineStr">
        <is>
          <t>Cyber vacancies include risk and security roles - confirm with cyber risk before holding.</t>
        </is>
      </c>
    </row>
    <row r="13">
      <c r="B13" s="570" t="inlineStr">
        <is>
          <t>vs archetype: positive = over the allowance, negative = under.</t>
        </is>
      </c>
    </row>
    <row r="14">
      <c r="B14" s="605" t="inlineStr">
        <is>
          <t>TDD Cyber FTE</t>
        </is>
      </c>
      <c r="C14" s="606" t="n"/>
      <c r="D14" s="606" t="n"/>
      <c r="E14" s="606" t="n"/>
      <c r="F14" s="606" t="n"/>
      <c r="G14" s="607" t="n"/>
      <c r="H14" s="607" t="n"/>
      <c r="I14" s="607" t="n"/>
      <c r="J14" s="607" t="n"/>
    </row>
    <row r="15">
      <c r="B15" s="424" t="inlineStr">
        <is>
          <t>Name</t>
        </is>
      </c>
      <c r="C15" s="424" t="inlineStr">
        <is>
          <t>Role</t>
        </is>
      </c>
      <c r="D15" s="424" t="inlineStr">
        <is>
          <t>Status</t>
        </is>
      </c>
      <c r="E15" s="424" t="inlineStr">
        <is>
          <t>Vacancy lever</t>
        </is>
      </c>
      <c r="F15" s="424" t="inlineStr">
        <is>
          <t>Cost if hired ($)</t>
        </is>
      </c>
    </row>
    <row r="16">
      <c r="B16" s="448" t="inlineStr">
        <is>
          <t>TDD Cyber</t>
        </is>
      </c>
      <c r="C16" s="449" t="n"/>
      <c r="D16" s="449" t="n"/>
      <c r="E16" s="449" t="n"/>
    </row>
    <row r="17">
      <c r="B17" s="417" t="str">
        <f>Squads!$B$203</f>
        <v>Vacant </v>
      </c>
      <c r="C17" s="417" t="str">
        <f>SUBSTITUTE(SUBSTITUTE(Squads!$C$203,"–","-"),"—","-")</f>
        <v>Data Risk Analyst</v>
      </c>
      <c r="D17" s="425" t="str">
        <f>Squads!$R$203</f>
        <v>Vacant</v>
      </c>
      <c r="E17" s="481" t="inlineStr">
        <is>
          <t>Hire</t>
        </is>
      </c>
      <c r="F17" s="904">
        <f>SUMIF('Added data'!$C$2:$C$549,Squads!$C$203,'Added data'!$AA$2:$AA$549)/COUNTIF('Added data'!$C$2:$C$549,Squads!$C$203)</f>
        <v>170489.75</v>
      </c>
    </row>
    <row r="18">
      <c r="B18" s="417" t="str">
        <f>Squads!$B$204</f>
        <v>Lynda Niewidok</v>
      </c>
      <c r="C18" s="417" t="str">
        <f>SUBSTITUTE(SUBSTITUTE(Squads!$C$204,"–","-"),"—","-")</f>
        <v>Lead - Service Desk</v>
      </c>
      <c r="D18" s="425" t="str">
        <f>Squads!$R$204</f>
        <v>Filled</v>
      </c>
    </row>
    <row r="19">
      <c r="B19" s="417" t="str">
        <f>Squads!$B$205</f>
        <v>Mark Pearson</v>
      </c>
      <c r="C19" s="417" t="str">
        <f>SUBSTITUTE(SUBSTITUTE(Squads!$C$205,"–","-"),"—","-")</f>
        <v>Lead - Technology Support</v>
      </c>
      <c r="D19" s="425" t="str">
        <f>Squads!$R$205</f>
        <v>Filled</v>
      </c>
    </row>
    <row r="20">
      <c r="B20" s="417" t="str">
        <f>Squads!$B$206</f>
        <v>Vacant</v>
      </c>
      <c r="C20" s="417" t="str">
        <f>SUBSTITUTE(SUBSTITUTE(Squads!$C$206,"–","-"),"—","-")</f>
        <v>Lead - Problem Management</v>
      </c>
      <c r="D20" s="425" t="str">
        <f>Squads!$R$206</f>
        <v>Vacant</v>
      </c>
      <c r="E20" s="481" t="inlineStr">
        <is>
          <t>Hold</t>
        </is>
      </c>
      <c r="F20" s="904">
        <f>SUMIF('Added data'!$C$2:$C$549,Squads!$C$206,'Added data'!$AA$2:$AA$549)/COUNTIF('Added data'!$C$2:$C$549,Squads!$C$206)</f>
        <v>170489.75</v>
      </c>
    </row>
    <row r="21">
      <c r="B21" s="417" t="str">
        <f>Squads!$B$207</f>
        <v>Vanessa Castro</v>
      </c>
      <c r="C21" s="417" t="str">
        <f>SUBSTITUTE(SUBSTITUTE(Squads!$C$207,"–","-"),"—","-")</f>
        <v>Cyber GRC Analyst</v>
      </c>
      <c r="D21" s="425" t="str">
        <f>Squads!$R$207</f>
        <v>Filled</v>
      </c>
    </row>
    <row r="22">
      <c r="B22" s="417" t="str">
        <f>Squads!$B$208</f>
        <v>Prashanth Chandran</v>
      </c>
      <c r="C22" s="417" t="str">
        <f>SUBSTITUTE(SUBSTITUTE(Squads!$C$208,"–","-"),"—","-")</f>
        <v>Senior Cyber GRC Specialist</v>
      </c>
      <c r="D22" s="425" t="str">
        <f>Squads!$R$208</f>
        <v>Filled</v>
      </c>
    </row>
    <row r="23">
      <c r="B23" s="417" t="str">
        <f>Squads!$B$209</f>
        <v>Pooja Kuperkar</v>
      </c>
      <c r="C23" s="417" t="str">
        <f>SUBSTITUTE(SUBSTITUTE(Squads!$C$209,"–","-"),"—","-")</f>
        <v>Cyber GRC Analyst</v>
      </c>
      <c r="D23" s="425" t="str">
        <f>Squads!$R$209</f>
        <v>Filled</v>
      </c>
    </row>
    <row r="24">
      <c r="B24" s="417" t="str">
        <f>Squads!$B$210</f>
        <v>Brian Gates</v>
      </c>
      <c r="C24" s="417" t="str">
        <f>SUBSTITUTE(SUBSTITUTE(Squads!$C$210,"–","-"),"—","-")</f>
        <v>Manager Risk &amp; Resilience</v>
      </c>
      <c r="D24" s="425" t="str">
        <f>Squads!$R$210</f>
        <v>Filled</v>
      </c>
    </row>
    <row r="25">
      <c r="B25" s="417" t="str">
        <f>Squads!$B$213</f>
        <v>Kevin Sheerin</v>
      </c>
      <c r="C25" s="417" t="str">
        <f>SUBSTITUTE(SUBSTITUTE(Squads!$C$213,"–","-"),"—","-")</f>
        <v>Cyber Architecture Lead</v>
      </c>
      <c r="D25" s="425" t="str">
        <f>Squads!$R$213</f>
        <v>Filled</v>
      </c>
    </row>
    <row r="26">
      <c r="B26" s="417" t="str">
        <f>Squads!$B$214</f>
        <v>Joe Nahma</v>
      </c>
      <c r="C26" s="417" t="str">
        <f>SUBSTITUTE(SUBSTITUTE(Squads!$C$214,"–","-"),"—","-")</f>
        <v>Manager Identity &amp; Access Management</v>
      </c>
      <c r="D26" s="425" t="str">
        <f>Squads!$R$214</f>
        <v>Filled</v>
      </c>
    </row>
    <row r="27">
      <c r="B27" s="417" t="str">
        <f>Squads!$B$215</f>
        <v>Vivienne Vasak</v>
      </c>
      <c r="C27" s="417" t="str">
        <f>SUBSTITUTE(SUBSTITUTE(Squads!$C$215,"–","-"),"—","-")</f>
        <v>Portfolio Manager Cyber Security</v>
      </c>
      <c r="D27" s="425" t="str">
        <f>Squads!$R$215</f>
        <v>Filled</v>
      </c>
    </row>
    <row r="28">
      <c r="B28" s="417" t="str">
        <f>Squads!$B$216</f>
        <v>Cameron Watman</v>
      </c>
      <c r="C28" s="417" t="str">
        <f>SUBSTITUTE(SUBSTITUTE(Squads!$C$216,"–","-"),"—","-")</f>
        <v>Engineer - IDAM</v>
      </c>
      <c r="D28" s="425" t="str">
        <f>Squads!$R$216</f>
        <v>Filled</v>
      </c>
    </row>
    <row r="29">
      <c r="B29" s="417" t="str">
        <f>Squads!$B$217</f>
        <v>Raymond Cheung</v>
      </c>
      <c r="C29" s="417" t="str">
        <f>SUBSTITUTE(SUBSTITUTE(Squads!$C$217,"–","-"),"—","-")</f>
        <v>Engineer - IDAM</v>
      </c>
      <c r="D29" s="425" t="str">
        <f>Squads!$R$217</f>
        <v>Filled</v>
      </c>
    </row>
    <row r="30">
      <c r="B30" s="417" t="str">
        <f>Squads!$B$218</f>
        <v>Chris Lyons</v>
      </c>
      <c r="C30" s="417" t="str">
        <f>SUBSTITUTE(SUBSTITUTE(Squads!$C$218,"–","-"),"—","-")</f>
        <v>Cyber Security Architect</v>
      </c>
      <c r="D30" s="425" t="str">
        <f>Squads!$R$218</f>
        <v>Filled</v>
      </c>
    </row>
    <row r="31">
      <c r="B31" s="417" t="str">
        <f>Squads!$B$219</f>
        <v>Darshan Suvama</v>
      </c>
      <c r="C31" s="417" t="str">
        <f>SUBSTITUTE(SUBSTITUTE(Squads!$C$219,"–","-"),"—","-")</f>
        <v>Cyber Offensive Security Lead</v>
      </c>
      <c r="D31" s="425" t="str">
        <f>Squads!$R$219</f>
        <v>Filled</v>
      </c>
    </row>
    <row r="32">
      <c r="B32" s="417" t="str">
        <f>Squads!$B$220</f>
        <v>Rahul Sahni</v>
      </c>
      <c r="C32" s="417" t="str">
        <f>SUBSTITUTE(SUBSTITUTE(Squads!$C$220,"–","-"),"—","-")</f>
        <v>Cyber Security Architect</v>
      </c>
      <c r="D32" s="425" t="str">
        <f>Squads!$R$220</f>
        <v>Filled</v>
      </c>
    </row>
    <row r="33">
      <c r="B33" s="417" t="str">
        <f>Squads!$B$221</f>
        <v>Vacant</v>
      </c>
      <c r="C33" s="417" t="str">
        <f>SUBSTITUTE(SUBSTITUTE(Squads!$C$221,"–","-"),"—","-")</f>
        <v>Cyber Architect (backfill for EGI Secondment)</v>
      </c>
      <c r="D33" s="425" t="str">
        <f>Squads!$R$221</f>
        <v>Vacant</v>
      </c>
      <c r="E33" s="481" t="inlineStr">
        <is>
          <t>Hold</t>
        </is>
      </c>
      <c r="F33" s="904">
        <f>SUMIF('Added data'!$C$2:$C$549,Squads!$C$221,'Added data'!$AA$2:$AA$549)/COUNTIF('Added data'!$C$2:$C$549,Squads!$C$221)</f>
        <v>213600.0</v>
      </c>
    </row>
    <row r="34">
      <c r="B34" s="417" t="str">
        <f>Squads!$B$222</f>
        <v>Jack Jenkins</v>
      </c>
      <c r="C34" s="417" t="str">
        <f>SUBSTITUTE(SUBSTITUTE(Squads!$C$222,"–","-"),"—","-")</f>
        <v>Asset Analyst</v>
      </c>
      <c r="D34" s="425" t="str">
        <f>Squads!$R$222</f>
        <v>Filled</v>
      </c>
    </row>
    <row r="35">
      <c r="B35" s="417" t="str">
        <f>Squads!$B$223</f>
        <v>Ritika Salaria</v>
      </c>
      <c r="C35" s="417" t="str">
        <f>SUBSTITUTE(SUBSTITUTE(Squads!$C$223,"–","-"),"—","-")</f>
        <v>Configuration Analyst</v>
      </c>
      <c r="D35" s="425" t="str">
        <f>Squads!$R$223</f>
        <v>Filled</v>
      </c>
    </row>
    <row r="36">
      <c r="B36" s="417" t="str">
        <f>Squads!$B$224</f>
        <v>Kaaviya Salai Manimudian</v>
      </c>
      <c r="C36" s="417" t="str">
        <f>SUBSTITUTE(SUBSTITUTE(Squads!$C$224,"–","-"),"—","-")</f>
        <v>Graduate</v>
      </c>
      <c r="D36" s="425" t="str">
        <f>Squads!$R$224</f>
        <v>Filled</v>
      </c>
    </row>
    <row r="37">
      <c r="B37" s="417" t="str">
        <f>Squads!$B$225</f>
        <v>Vacant (SYD)</v>
      </c>
      <c r="C37" s="417" t="str">
        <f>SUBSTITUTE(SUBSTITUTE(Squads!$C$225,"–","-"),"—","-")</f>
        <v>Tech Support Technician</v>
      </c>
      <c r="D37" s="425" t="str">
        <f>Squads!$R$225</f>
        <v>Filled</v>
      </c>
    </row>
    <row r="38">
      <c r="B38" s="417" t="str">
        <f>Squads!$B$226</f>
        <v>Jas Mann</v>
      </c>
      <c r="C38" s="417" t="str">
        <f>SUBSTITUTE(SUBSTITUTE(Squads!$C$226,"–","-"),"—","-")</f>
        <v>Technology Support Engineer</v>
      </c>
      <c r="D38" s="425" t="str">
        <f>Squads!$R$226</f>
        <v>Filled</v>
      </c>
    </row>
    <row r="39">
      <c r="B39" s="417" t="str">
        <f>Squads!$B$227</f>
        <v>Vacant</v>
      </c>
      <c r="C39" s="417" t="str">
        <f>SUBSTITUTE(SUBSTITUTE(Squads!$C$227,"–","-"),"—","-")</f>
        <v>Technology Support Engineer</v>
      </c>
      <c r="D39" s="425" t="str">
        <f>Squads!$R$227</f>
        <v>Vacant</v>
      </c>
      <c r="E39" s="481" t="inlineStr">
        <is>
          <t>Hold</t>
        </is>
      </c>
      <c r="F39" s="904">
        <f>SUMIF('Added data'!$C$2:$C$549,Squads!$C$227,'Added data'!$AA$2:$AA$549)/COUNTIF('Added data'!$C$2:$C$549,Squads!$C$227)</f>
        <v>151805.13333333333</v>
      </c>
    </row>
    <row r="40">
      <c r="B40" s="417" t="str">
        <f>Squads!$B$229</f>
        <v>Ashley Mueller</v>
      </c>
      <c r="C40" s="417" t="str">
        <f>SUBSTITUTE(SUBSTITUTE(Squads!$C$229,"–","-"),"—","-")</f>
        <v>Lead - Service Assurance</v>
      </c>
      <c r="D40" s="425" t="str">
        <f>Squads!$R$229</f>
        <v>Filled</v>
      </c>
    </row>
    <row r="41">
      <c r="B41" s="417" t="str">
        <f>Squads!$B$230</f>
        <v>Vacant</v>
      </c>
      <c r="C41" s="417" t="str">
        <f>SUBSTITUTE(SUBSTITUTE(Squads!$C$230,"–","-"),"—","-")</f>
        <v>Lead - Asset &amp; Configuration</v>
      </c>
      <c r="D41" s="425" t="str">
        <f>Squads!$R$230</f>
        <v>Vacant</v>
      </c>
      <c r="E41" s="481" t="inlineStr">
        <is>
          <t>Hold</t>
        </is>
      </c>
      <c r="F41" s="904">
        <f>SUMIF('Added data'!$C$2:$C$549,Squads!$C$230,'Added data'!$AA$2:$AA$549)/COUNTIF('Added data'!$C$2:$C$549,Squads!$C$230)</f>
        <v>202853.25</v>
      </c>
    </row>
    <row r="42">
      <c r="B42" s="417" t="str">
        <f>Squads!$B$231</f>
        <v>Darren Koller</v>
      </c>
      <c r="C42" s="417" t="str">
        <f>SUBSTITUTE(SUBSTITUTE(Squads!$C$231,"–","-"),"—","-")</f>
        <v>Manager, Service Management &amp; Major Incident Mgmt Lead</v>
      </c>
      <c r="D42" s="425" t="str">
        <f>Squads!$R$231</f>
        <v>Filled</v>
      </c>
    </row>
    <row r="43">
      <c r="B43" s="417" t="str">
        <f>Squads!$B$232</f>
        <v>Lisa Ng</v>
      </c>
      <c r="C43" s="417" t="str">
        <f>SUBSTITUTE(SUBSTITUTE(Squads!$C$232,"–","-"),"—","-")</f>
        <v>Cyber Security Analyst</v>
      </c>
      <c r="D43" s="425" t="str">
        <f>Squads!$R$232</f>
        <v>Filled</v>
      </c>
    </row>
    <row r="44">
      <c r="B44" s="417" t="str">
        <f>Squads!$B$233</f>
        <v>Stafford Dowling</v>
      </c>
      <c r="C44" s="417" t="str">
        <f>SUBSTITUTE(SUBSTITUTE(Squads!$C$233,"–","-"),"—","-")</f>
        <v>Cyber Security Analyst</v>
      </c>
      <c r="D44" s="425" t="str">
        <f>Squads!$R$233</f>
        <v>Filled</v>
      </c>
    </row>
    <row r="45">
      <c r="B45" s="417" t="str">
        <f>Squads!$B$234</f>
        <v>Nischal Bhusal</v>
      </c>
      <c r="C45" s="417" t="str">
        <f>SUBSTITUTE(SUBSTITUTE(Squads!$C$234,"–","-"),"—","-")</f>
        <v>Cyber Security Analyst</v>
      </c>
      <c r="D45" s="425" t="str">
        <f>Squads!$R$234</f>
        <v>Filled</v>
      </c>
    </row>
    <row r="46">
      <c r="B46" s="417" t="str">
        <f>Squads!$B$235</f>
        <v>Sameer Pattanaik</v>
      </c>
      <c r="C46" s="417" t="str">
        <f>SUBSTITUTE(SUBSTITUTE(Squads!$C$235,"–","-"),"—","-")</f>
        <v>Cyber Security Operations Lead</v>
      </c>
      <c r="D46" s="425" t="str">
        <f>Squads!$R$235</f>
        <v>Filled</v>
      </c>
    </row>
    <row r="47">
      <c r="B47" s="417" t="str">
        <f>Squads!$B$236</f>
        <v>Dan Balsamo</v>
      </c>
      <c r="C47" s="417" t="str">
        <f>SUBSTITUTE(SUBSTITUTE(Squads!$C$236,"–","-"),"—","-")</f>
        <v>Senior Cyber Project Manager</v>
      </c>
      <c r="D47" s="425" t="str">
        <f>Squads!$R$236</f>
        <v>Filled</v>
      </c>
    </row>
    <row r="48">
      <c r="B48" s="417" t="str">
        <f>Squads!$B$237</f>
        <v>Iwan Wibisono</v>
      </c>
      <c r="C48" s="417" t="str">
        <f>SUBSTITUTE(SUBSTITUTE(Squads!$C$237,"–","-"),"—","-")</f>
        <v>Engineer - IDAM</v>
      </c>
      <c r="D48" s="425" t="str">
        <f>Squads!$R$237</f>
        <v>Filled</v>
      </c>
    </row>
    <row r="49">
      <c r="B49" s="417" t="str">
        <f>Squads!$B$238</f>
        <v>Remya Pookat</v>
      </c>
      <c r="C49" s="417" t="str">
        <f>SUBSTITUTE(SUBSTITUTE(Squads!$C$238,"–","-"),"—","-")</f>
        <v>Lead - Change &amp; Release Management</v>
      </c>
      <c r="D49" s="425" t="str">
        <f>Squads!$R$238</f>
        <v>Filled</v>
      </c>
    </row>
    <row r="50">
      <c r="B50" s="417" t="str">
        <f>Squads!$B$239</f>
        <v>Mick Collins</v>
      </c>
      <c r="C50" s="417" t="str">
        <f>SUBSTITUTE(SUBSTITUTE(Squads!$C$239,"–","-"),"—","-")</f>
        <v>Manager, Service Performance &amp; Assurance</v>
      </c>
      <c r="D50" s="425" t="str">
        <f>Squads!$R$239</f>
        <v>Filled</v>
      </c>
    </row>
    <row r="51">
      <c r="B51" s="417" t="str">
        <f>Squads!$B$240</f>
        <v>Spoilagi Bhutwala</v>
      </c>
      <c r="C51" s="417" t="str">
        <f>SUBSTITUTE(SUBSTITUTE(Squads!$C$240,"–","-"),"—","-")</f>
        <v>Tech Support Technician</v>
      </c>
      <c r="D51" s="425" t="str">
        <f>Squads!$R$240</f>
        <v>Filled</v>
      </c>
    </row>
    <row r="52">
      <c r="B52" s="417" t="str">
        <f>Squads!$B$241</f>
        <v>Shomiya Shayal</v>
      </c>
      <c r="C52" s="417" t="str">
        <f>SUBSTITUTE(SUBSTITUTE(Squads!$C$241,"–","-"),"—","-")</f>
        <v>Risk &amp; Resilience Lead</v>
      </c>
      <c r="D52" s="425" t="str">
        <f>Squads!$R$241</f>
        <v>Filled</v>
      </c>
    </row>
    <row r="53">
      <c r="B53" s="417" t="str">
        <f>Squads!$B$242</f>
        <v>Vacant</v>
      </c>
      <c r="C53" s="417" t="str">
        <f>SUBSTITUTE(SUBSTITUTE(Squads!$C$242,"–","-"),"—","-")</f>
        <v>Operations Analyst</v>
      </c>
      <c r="D53" s="425" t="str">
        <f>Squads!$R$242</f>
        <v>Vacant</v>
      </c>
      <c r="E53" s="481" t="inlineStr">
        <is>
          <t>Hold</t>
        </is>
      </c>
      <c r="F53" s="904">
        <f>SUMIF('Added data'!$C$2:$C$549,Squads!$C$242,'Added data'!$AA$2:$AA$549)/COUNTIF('Added data'!$C$2:$C$549,Squads!$C$242)</f>
        <v>170489.75</v>
      </c>
    </row>
    <row r="54">
      <c r="B54" s="417" t="str">
        <f>Squads!$B$243</f>
        <v>Mary-Grace Rivera</v>
      </c>
      <c r="C54" s="417" t="str">
        <f>SUBSTITUTE(SUBSTITUTE(Squads!$C$243,"–","-"),"—","-")</f>
        <v>Lead, Service Management</v>
      </c>
      <c r="D54" s="425" t="str">
        <f>Squads!$R$243</f>
        <v>Filled</v>
      </c>
    </row>
    <row r="55">
      <c r="B55" s="417" t="str">
        <f>Squads!$B$244</f>
        <v>Rajini Onteddu Reddy</v>
      </c>
      <c r="C55" s="417" t="str">
        <f>SUBSTITUTE(SUBSTITUTE(Squads!$C$244,"–","-"),"—","-")</f>
        <v>Head of Service Operations &amp; Assurance</v>
      </c>
      <c r="D55" s="425" t="str">
        <f>Squads!$R$244</f>
        <v>Filled</v>
      </c>
    </row>
    <row r="56">
      <c r="B56" s="417" t="str">
        <f>Squads!$B$245</f>
        <v>Catherine Gire</v>
      </c>
      <c r="C56" s="417" t="str">
        <f>SUBSTITUTE(SUBSTITUTE(Squads!$C$245,"–","-"),"—","-")</f>
        <v>Cyber Technical Business Analyst</v>
      </c>
      <c r="D56" s="425" t="str">
        <f>Squads!$R$245</f>
        <v>Filled</v>
      </c>
    </row>
    <row r="57">
      <c r="B57" s="417" t="str">
        <f>Squads!$B$246</f>
        <v>Ethan Lamhert (FT)</v>
      </c>
      <c r="C57" s="417" t="str">
        <f>SUBSTITUTE(SUBSTITUTE(Squads!$C$246,"–","-"),"—","-")</f>
        <v>Tech Support Technician</v>
      </c>
      <c r="D57" s="425" t="str">
        <f>Squads!$R$246</f>
        <v>Filled</v>
      </c>
    </row>
    <row r="58">
      <c r="B58" s="417" t="str">
        <f>Squads!$B$247</f>
        <v>Vacant  (AKL )</v>
      </c>
      <c r="C58" s="417" t="str">
        <f>SUBSTITUTE(SUBSTITUTE(Squads!$C$247,"–","-"),"—","-")</f>
        <v>Tech Support Technician</v>
      </c>
      <c r="D58" s="425" t="str">
        <f>Squads!$R$247</f>
        <v>Filled</v>
      </c>
    </row>
    <row r="59">
      <c r="B59" s="417" t="str">
        <f>Squads!$B$248</f>
        <v>Daniel Jolley</v>
      </c>
      <c r="C59" s="417" t="str">
        <f>SUBSTITUTE(SUBSTITUTE(Squads!$C$248,"–","-"),"—","-")</f>
        <v>Tech Support Technician</v>
      </c>
      <c r="D59" s="425" t="str">
        <f>Squads!$R$248</f>
        <v>Filled</v>
      </c>
    </row>
    <row r="60">
      <c r="B60" s="417" t="str">
        <f>Squads!$B$249</f>
        <v>Vacant </v>
      </c>
      <c r="C60" s="417" t="str">
        <f>SUBSTITUTE(SUBSTITUTE(Squads!$C$249,"–","-"),"—","-")</f>
        <v>Data Risk Analyst</v>
      </c>
      <c r="D60" s="425" t="str">
        <f>Squads!$R$249</f>
        <v>Vacant</v>
      </c>
      <c r="E60" s="481" t="inlineStr">
        <is>
          <t>Hold</t>
        </is>
      </c>
      <c r="F60" s="904">
        <f>SUMIF('Added data'!$C$2:$C$549,Squads!$C$249,'Added data'!$AA$2:$AA$549)/COUNTIF('Added data'!$C$2:$C$549,Squads!$C$249)</f>
        <v>170489.75</v>
      </c>
    </row>
    <row r="61">
      <c r="B61" s="417" t="str">
        <f>Squads!$B$250</f>
        <v>Chris Rojas</v>
      </c>
      <c r="C61" s="417" t="str">
        <f>SUBSTITUTE(SUBSTITUTE(Squads!$C$250,"–","-"),"—","-")</f>
        <v>Manager, Customer Support Operations</v>
      </c>
      <c r="D61" s="425" t="str">
        <f>Squads!$R$250</f>
        <v>Filled</v>
      </c>
    </row>
    <row r="62">
      <c r="B62" s="417" t="str">
        <f>Squads!$B$251</f>
        <v>Steven Atcheson</v>
      </c>
      <c r="C62" s="417" t="str">
        <f>SUBSTITUTE(SUBSTITUTE(Squads!$C$251,"–","-"),"—","-")</f>
        <v>Manager Cyber Security Operations</v>
      </c>
      <c r="D62" s="425" t="str">
        <f>Squads!$R$251</f>
        <v>Filled</v>
      </c>
    </row>
    <row r="63">
      <c r="B63" s="417" t="str">
        <f>Squads!$B$253</f>
        <v>Vacant</v>
      </c>
      <c r="C63" s="417" t="str">
        <f>SUBSTITUTE(SUBSTITUTE(Squads!$C$253,"–","-"),"—","-")</f>
        <v>Lead - Service Performance &amp; Insights</v>
      </c>
      <c r="D63" s="425" t="str">
        <f>Squads!$R$253</f>
        <v>Vacant</v>
      </c>
      <c r="E63" s="481" t="inlineStr">
        <is>
          <t>Hold</t>
        </is>
      </c>
      <c r="F63" s="904">
        <f>SUMIF('Added data'!$C$2:$C$549,Squads!$C$253,'Added data'!$AA$2:$AA$549)/COUNTIF('Added data'!$C$2:$C$549,Squads!$C$253)</f>
        <v>202853.25</v>
      </c>
    </row>
    <row r="64">
      <c r="B64" s="417" t="str">
        <f>Squads!$B$254</f>
        <v>Tony Keeler</v>
      </c>
      <c r="C64" s="417" t="str">
        <f>SUBSTITUTE(SUBSTITUTE(Squads!$C$254,"–","-"),"—","-")</f>
        <v>Cyber Business Analyst</v>
      </c>
      <c r="D64" s="425" t="str">
        <f>Squads!$R$254</f>
        <v>Filled</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4.xml><?xml version="1.0" encoding="utf-8"?>
<worksheet xmlns="http://schemas.openxmlformats.org/spreadsheetml/2006/main">
  <sheetPr>
    <tabColor rgb="FFBF8F00"/>
    <outlinePr summaryBelow="1" summaryRight="1"/>
    <pageSetUpPr/>
  </sheetPr>
  <dimension ref="B2:G39"/>
  <sheetViews>
    <sheetView showGridLines="0" topLeftCell="A3" workbookViewId="0">
      <selection activeCell="A1" sqref="A1"/>
    </sheetView>
  </sheetViews>
  <sheetFormatPr baseColWidth="8" defaultRowHeight="14.5"/>
  <cols>
    <col width="3" customWidth="1" style="849" min="1" max="1"/>
    <col width="30" customWidth="1" style="849" min="2" max="2"/>
    <col width="40" customWidth="1" style="849" min="3" max="3"/>
    <col width="26" customWidth="1" style="849" min="4" max="4"/>
    <col width="23.36328125" bestFit="1" customWidth="1" style="849" min="5" max="5"/>
    <col width="10" customWidth="1" style="849" min="6" max="6"/>
    <col width="16" customWidth="1" style="849" min="7" max="7"/>
  </cols>
  <sheetData>
    <row r="2" ht="18.5" customHeight="1" s="849">
      <c r="B2" s="610" t="inlineStr">
        <is>
          <t>Business Partnering &amp; Transformation working copy</t>
        </is>
      </c>
    </row>
    <row r="4">
      <c r="B4" s="548" t="inlineStr">
        <is>
          <t>Position</t>
        </is>
      </c>
    </row>
    <row r="5">
      <c r="B5" s="563" t="inlineStr">
        <is>
          <t>Roles</t>
        </is>
      </c>
      <c r="C5" s="564">
        <f>COUNTA(B14:B37)</f>
        <v>24.0</v>
      </c>
      <c r="E5" s="563" t="inlineStr">
        <is>
          <t>Planned spend ($m)</t>
        </is>
      </c>
      <c r="F5" s="551">
        <f>'1.11 BP&amp;T'!$F$8</f>
        <v>4.680561822</v>
      </c>
    </row>
    <row r="6">
      <c r="B6" s="563" t="inlineStr">
        <is>
          <t>Filled</t>
        </is>
      </c>
      <c r="C6" s="564">
        <f>COUNTIF(E14:E37,"Filled")+COUNTIF(E14:E37,"Contractor")</f>
        <v>15.0</v>
      </c>
      <c r="E6" s="563" t="inlineStr">
        <is>
          <t>Budget to draw down ($m)</t>
        </is>
      </c>
      <c r="F6" s="551">
        <f>'1.11 BP&amp;T'!$G$8</f>
        <v>4.0</v>
      </c>
    </row>
    <row r="7">
      <c r="B7" s="563" t="inlineStr">
        <is>
          <t>Vacant</t>
        </is>
      </c>
      <c r="C7" s="564">
        <f>COUNTIF(E14:E37,"Vacant")</f>
        <v>9.0</v>
      </c>
      <c r="E7" s="563" t="inlineStr">
        <is>
          <t>Left to fund ($m)</t>
        </is>
      </c>
      <c r="F7" s="551">
        <f>'1.11 BP&amp;T'!$H$8</f>
        <v>0.680561822</v>
      </c>
    </row>
    <row r="8">
      <c r="B8" s="563" t="inlineStr">
        <is>
          <t>Paused</t>
        </is>
      </c>
      <c r="C8" s="564">
        <f>COUNTIF(E14:E37,"Paused")</f>
        <v>0.0</v>
      </c>
    </row>
    <row r="9">
      <c r="B9" s="563" t="inlineStr">
        <is>
          <t>Cost to hire all vacancies ($m)</t>
        </is>
      </c>
      <c r="C9" s="551">
        <f>SUMIF(E14:E37,"Vacant",G14:G37)/1000000</f>
        <v>2.34751398</v>
      </c>
    </row>
    <row r="10">
      <c r="B10" s="563" t="inlineStr">
        <is>
          <t>Cost of roles marked Hire ($m)</t>
        </is>
      </c>
      <c r="C10" s="551">
        <f>SUMIF(F14:F37,"Hire",G14:G37)/1000000</f>
        <v>0.0</v>
      </c>
    </row>
    <row r="11">
      <c r="B11" s="563" t="inlineStr">
        <is>
          <t>Cost of vacancy decisions - Hire + 0.4 x Offshore ($m)</t>
        </is>
      </c>
      <c r="C11" s="551">
        <f>(SUMIF(F14:F37,"Hire",G14:G37)+0.4*SUMIF(F14:F37,"Offshore",G14:G37))/1000000</f>
        <v>0.0</v>
      </c>
    </row>
    <row r="13">
      <c r="B13" s="571" t="inlineStr">
        <is>
          <t>Name</t>
        </is>
      </c>
      <c r="C13" s="571" t="inlineStr">
        <is>
          <t>Role</t>
        </is>
      </c>
      <c r="D13" s="571" t="inlineStr">
        <is>
          <t>Department</t>
        </is>
      </c>
      <c r="E13" s="571" t="inlineStr">
        <is>
          <t>Status</t>
        </is>
      </c>
      <c r="F13" s="571" t="inlineStr">
        <is>
          <t>Vacancy lever</t>
        </is>
      </c>
      <c r="G13" s="571" t="inlineStr">
        <is>
          <t>Cost if hired ($)</t>
        </is>
      </c>
    </row>
    <row r="14">
      <c r="B14" s="563" t="str">
        <f>Sheet2!$B$70</f>
        <v>Briony Scott</v>
      </c>
      <c r="C14" s="567" t="str">
        <f>SUBSTITUTE(SUBSTITUTE(Sheet2!$C$70,"–","-"),"—","-")</f>
        <v>Service &amp; Contract Specialist AU</v>
      </c>
      <c r="D14" s="563" t="str">
        <f>Sheet2!$G$70</f>
        <v>Commercial</v>
      </c>
      <c r="E14" s="552" t="str">
        <f>IF(LOWER(Sheet2!$Q$70)="v","Vacant",IF(LOWER(Sheet2!$Q$70)="pause","Paused",IF(LOWER(Sheet2!$Q$70)="cxc","Contractor","Filled")))</f>
        <v>Filled</v>
      </c>
    </row>
    <row r="15">
      <c r="B15" s="563" t="str">
        <f>Sheet2!$B$71</f>
        <v>Conli Mills</v>
      </c>
      <c r="C15" s="567" t="str">
        <f>SUBSTITUTE(SUBSTITUTE(Sheet2!$C$71,"–","-"),"—","-")</f>
        <v>TDD BP - Infrastructure</v>
      </c>
      <c r="D15" s="563" t="str">
        <f>Sheet2!$G$71</f>
        <v>TDD Business Partner</v>
      </c>
      <c r="E15" s="552" t="str">
        <f>IF(LOWER(Sheet2!$Q$71)="v","Vacant",IF(LOWER(Sheet2!$Q$71)="pause","Paused",IF(LOWER(Sheet2!$Q$71)="cxc","Contractor","Filled")))</f>
        <v>Filled</v>
      </c>
    </row>
    <row r="16">
      <c r="B16" s="563" t="str">
        <f>Sheet2!$B$72</f>
        <v>Helen Ngu</v>
      </c>
      <c r="C16" s="567" t="str">
        <f>SUBSTITUTE(SUBSTITUTE(Sheet2!$C$72,"–","-"),"—","-")</f>
        <v>Service &amp; Contract Specialist NZ</v>
      </c>
      <c r="D16" s="563" t="str">
        <f>Sheet2!$G$72</f>
        <v>Commercial</v>
      </c>
      <c r="E16" s="552" t="str">
        <f>IF(LOWER(Sheet2!$Q$72)="v","Vacant",IF(LOWER(Sheet2!$Q$72)="pause","Paused",IF(LOWER(Sheet2!$Q$72)="cxc","Contractor","Filled")))</f>
        <v>Filled</v>
      </c>
    </row>
    <row r="17">
      <c r="B17" s="563" t="str">
        <f>Sheet2!$B$73</f>
        <v>Jane Esclandra</v>
      </c>
      <c r="C17" s="567" t="str">
        <f>SUBSTITUTE(SUBSTITUTE(Sheet2!$C$73,"–","-"),"—","-")</f>
        <v>Software Asset Specialist</v>
      </c>
      <c r="D17" s="563" t="str">
        <f>Sheet2!$G$73</f>
        <v>Commercial</v>
      </c>
      <c r="E17" s="552" t="str">
        <f>IF(LOWER(Sheet2!$Q$73)="v","Vacant",IF(LOWER(Sheet2!$Q$73)="pause","Paused",IF(LOWER(Sheet2!$Q$73)="cxc","Contractor","Filled")))</f>
        <v>Filled</v>
      </c>
    </row>
    <row r="18">
      <c r="B18" s="563" t="str">
        <f>Sheet2!$B$74</f>
        <v>Jeannie Chu</v>
      </c>
      <c r="C18" s="567" t="str">
        <f>SUBSTITUTE(SUBSTITUTE(Sheet2!$C$74,"–","-"),"—","-")</f>
        <v>Snr Finance Support Administrator</v>
      </c>
      <c r="D18" s="563" t="str">
        <f>Sheet2!$G$74</f>
        <v>Transformation</v>
      </c>
      <c r="E18" s="552" t="str">
        <f>IF(LOWER(Sheet2!$Q$74)="v","Vacant",IF(LOWER(Sheet2!$Q$74)="pause","Paused",IF(LOWER(Sheet2!$Q$74)="cxc","Contractor","Filled")))</f>
        <v>Filled</v>
      </c>
    </row>
    <row r="19">
      <c r="B19" s="563" t="str">
        <f>Sheet2!$B$75</f>
        <v>Jenny Chan</v>
      </c>
      <c r="C19" s="567" t="str">
        <f>SUBSTITUTE(SUBSTITUTE(Sheet2!$C$75,"–","-"),"—","-")</f>
        <v>Project Finance Lead</v>
      </c>
      <c r="D19" s="563" t="str">
        <f>Sheet2!$G$75</f>
        <v>Transformation</v>
      </c>
      <c r="E19" s="552" t="str">
        <f>IF(LOWER(Sheet2!$Q$75)="v","Vacant",IF(LOWER(Sheet2!$Q$75)="pause","Paused",IF(LOWER(Sheet2!$Q$75)="cxc","Contractor","Filled")))</f>
        <v>Filled</v>
      </c>
    </row>
    <row r="20">
      <c r="B20" s="563" t="str">
        <f>Sheet2!$B$76</f>
        <v>Malcolm Deare</v>
      </c>
      <c r="C20" s="567" t="str">
        <f>SUBSTITUTE(SUBSTITUTE(Sheet2!$C$76,"–","-"),"—","-")</f>
        <v>TDD BP, Group Functions</v>
      </c>
      <c r="D20" s="563" t="str">
        <f>Sheet2!$G$76</f>
        <v>TDD Business Partner</v>
      </c>
      <c r="E20" s="552" t="str">
        <f>IF(LOWER(Sheet2!$Q$76)="v","Vacant",IF(LOWER(Sheet2!$Q$76)="pause","Paused",IF(LOWER(Sheet2!$Q$76)="cxc","Contractor","Filled")))</f>
        <v>Filled</v>
      </c>
    </row>
    <row r="21">
      <c r="B21" s="563" t="str">
        <f>Sheet2!$B$77</f>
        <v>Maria Somera</v>
      </c>
      <c r="C21" s="567" t="str">
        <f>SUBSTITUTE(SUBSTITUTE(Sheet2!$C$77,"–","-"),"—","-")</f>
        <v>Technology Finance Analyst</v>
      </c>
      <c r="D21" s="563" t="str">
        <f>Sheet2!$G$77</f>
        <v>Transformation</v>
      </c>
      <c r="E21" s="552" t="str">
        <f>IF(LOWER(Sheet2!$Q$77)="v","Vacant",IF(LOWER(Sheet2!$Q$77)="pause","Paused",IF(LOWER(Sheet2!$Q$77)="cxc","Contractor","Filled")))</f>
        <v>Filled</v>
      </c>
    </row>
    <row r="22">
      <c r="B22" s="563" t="str">
        <f>Sheet2!$B$78</f>
        <v>Matt Saunders</v>
      </c>
      <c r="C22" s="567" t="str">
        <f>SUBSTITUTE(SUBSTITUTE(Sheet2!$C$78,"–","-"),"—","-")</f>
        <v>Scrum Master</v>
      </c>
      <c r="D22" s="563" t="str">
        <f>Sheet2!$G$78</f>
        <v>Transformation</v>
      </c>
      <c r="E22" s="552" t="str">
        <f>IF(LOWER(Sheet2!$Q$78)="v","Vacant",IF(LOWER(Sheet2!$Q$78)="pause","Paused",IF(LOWER(Sheet2!$Q$78)="cxc","Contractor","Filled")))</f>
        <v>Filled</v>
      </c>
    </row>
    <row r="23">
      <c r="B23" s="563" t="str">
        <f>Sheet2!$B$79</f>
        <v>Neil Reilly</v>
      </c>
      <c r="C23" s="567" t="str">
        <f>SUBSTITUTE(SUBSTITUTE(Sheet2!$C$79,"–","-"),"—","-")</f>
        <v>TDD BP - T&amp;S</v>
      </c>
      <c r="D23" s="563" t="str">
        <f>Sheet2!$G$79</f>
        <v>TDD Business Partner</v>
      </c>
      <c r="E23" s="552" t="str">
        <f>IF(LOWER(Sheet2!$Q$79)="v","Vacant",IF(LOWER(Sheet2!$Q$79)="pause","Paused",IF(LOWER(Sheet2!$Q$79)="cxc","Contractor","Filled")))</f>
        <v>Filled</v>
      </c>
    </row>
    <row r="24">
      <c r="B24" s="563" t="str">
        <f>Sheet2!$B$80</f>
        <v>Ruth Chou</v>
      </c>
      <c r="C24" s="567" t="str">
        <f>SUBSTITUTE(SUBSTITUTE(Sheet2!$C$80,"–","-"),"—","-")</f>
        <v>Portfolio Reporting Manager</v>
      </c>
      <c r="D24" s="563" t="str">
        <f>Sheet2!$G$80</f>
        <v>Transformation</v>
      </c>
      <c r="E24" s="552" t="str">
        <f>IF(LOWER(Sheet2!$Q$80)="v","Vacant",IF(LOWER(Sheet2!$Q$80)="pause","Paused",IF(LOWER(Sheet2!$Q$80)="cxc","Contractor","Filled")))</f>
        <v>Filled</v>
      </c>
    </row>
    <row r="25">
      <c r="B25" s="563" t="str">
        <f>Sheet2!$B$81</f>
        <v>Sam Chan</v>
      </c>
      <c r="C25" s="567" t="str">
        <f>SUBSTITUTE(SUBSTITUTE(Sheet2!$C$81,"–","-"),"—","-")</f>
        <v>FinOps Manager</v>
      </c>
      <c r="D25" s="563" t="str">
        <f>Sheet2!$G$81</f>
        <v>Transformation</v>
      </c>
      <c r="E25" s="552" t="str">
        <f>IF(LOWER(Sheet2!$Q$81)="v","Vacant",IF(LOWER(Sheet2!$Q$81)="pause","Paused",IF(LOWER(Sheet2!$Q$81)="cxc","Contractor","Filled")))</f>
        <v>Filled</v>
      </c>
    </row>
    <row r="26">
      <c r="B26" s="563" t="str">
        <f>Sheet2!$B$82</f>
        <v>Shelley Crawford</v>
      </c>
      <c r="C26" s="567" t="str">
        <f>SUBSTITUTE(SUBSTITUTE(Sheet2!$C$82,"–","-"),"—","-")</f>
        <v>TDD BP - Z</v>
      </c>
      <c r="D26" s="563" t="str">
        <f>Sheet2!$G$82</f>
        <v>TDD Business Partner</v>
      </c>
      <c r="E26" s="552" t="str">
        <f>IF(LOWER(Sheet2!$Q$82)="v","Vacant",IF(LOWER(Sheet2!$Q$82)="pause","Paused",IF(LOWER(Sheet2!$Q$82)="cxc","Contractor","Filled")))</f>
        <v>Filled</v>
      </c>
    </row>
    <row r="27">
      <c r="B27" s="563" t="str">
        <f>Sheet2!$B$83</f>
        <v>Thomas Reid</v>
      </c>
      <c r="C27" s="567" t="str">
        <f>SUBSTITUTE(SUBSTITUTE(Sheet2!$C$83,"–","-"),"—","-")</f>
        <v>TDD BP - Retail &amp; Customer - Store Digital</v>
      </c>
      <c r="D27" s="563" t="str">
        <f>Sheet2!$G$83</f>
        <v>TDD Business Partner</v>
      </c>
      <c r="E27" s="552" t="str">
        <f>IF(LOWER(Sheet2!$Q$83)="v","Vacant",IF(LOWER(Sheet2!$Q$83)="pause","Paused",IF(LOWER(Sheet2!$Q$83)="cxc","Contractor","Filled")))</f>
        <v>Filled</v>
      </c>
    </row>
    <row r="28">
      <c r="B28" s="563" t="str">
        <f>Sheet2!$B$84</f>
        <v>Vacant</v>
      </c>
      <c r="C28" s="567" t="str">
        <f>SUBSTITUTE(SUBSTITUTE(Sheet2!$C$84,"–","-"),"—","-")</f>
        <v>Commercial Director</v>
      </c>
      <c r="D28" s="563" t="str">
        <f>Sheet2!$G$84</f>
        <v>Commercial</v>
      </c>
      <c r="E28" s="552" t="str">
        <f>IF(LOWER(Sheet2!$Q$84)="v","Vacant",IF(LOWER(Sheet2!$Q$84)="pause","Paused",IF(LOWER(Sheet2!$Q$84)="cxc","Contractor","Filled")))</f>
        <v>Vacant</v>
      </c>
      <c r="F28" s="590" t="inlineStr">
        <is>
          <t>Hold</t>
        </is>
      </c>
      <c r="G28" s="569">
        <f>Sheet2!$AA$84</f>
        <v>439499.99999999994</v>
      </c>
    </row>
    <row r="29">
      <c r="B29" s="563" t="str">
        <f>Sheet2!$B$85</f>
        <v>Vacant</v>
      </c>
      <c r="C29" s="567" t="str">
        <f>SUBSTITUTE(SUBSTITUTE(Sheet2!$C$85,"–","-"),"—","-")</f>
        <v>Head of Transformation</v>
      </c>
      <c r="D29" s="563" t="str">
        <f>Sheet2!$G$85</f>
        <v>Transformation</v>
      </c>
      <c r="E29" s="552" t="str">
        <f>IF(LOWER(Sheet2!$Q$85)="v","Vacant",IF(LOWER(Sheet2!$Q$85)="pause","Paused",IF(LOWER(Sheet2!$Q$85)="cxc","Contractor","Filled")))</f>
        <v>Vacant</v>
      </c>
      <c r="F29" s="590" t="inlineStr">
        <is>
          <t>Hold</t>
        </is>
      </c>
      <c r="G29" s="569">
        <f>Sheet2!$AA$85</f>
        <v>367900.0</v>
      </c>
    </row>
    <row r="30">
      <c r="B30" s="563" t="str">
        <f>Sheet2!$B$86</f>
        <v>Vacant</v>
      </c>
      <c r="C30" s="567" t="str">
        <f>SUBSTITUTE(SUBSTITUTE(Sheet2!$C$86,"–","-"),"—","-")</f>
        <v>Delivery Systems Analyst</v>
      </c>
      <c r="D30" s="563" t="str">
        <f>Sheet2!$G$86</f>
        <v>Transformation</v>
      </c>
      <c r="E30" s="552" t="str">
        <f>IF(LOWER(Sheet2!$Q$86)="v","Vacant",IF(LOWER(Sheet2!$Q$86)="pause","Paused",IF(LOWER(Sheet2!$Q$86)="cxc","Contractor","Filled")))</f>
        <v>Vacant</v>
      </c>
      <c r="F30" s="590" t="inlineStr">
        <is>
          <t>Hold</t>
        </is>
      </c>
      <c r="G30" s="569">
        <f>Sheet2!$AA$86</f>
        <v>202853.25</v>
      </c>
    </row>
    <row r="31">
      <c r="B31" s="563" t="str">
        <f>Sheet2!$B$87</f>
        <v>Vacant</v>
      </c>
      <c r="C31" s="567" t="str">
        <f>SUBSTITUTE(SUBSTITUTE(Sheet2!$C$87,"–","-"),"—","-")</f>
        <v>Business Analysis Practice Lead</v>
      </c>
      <c r="D31" s="563" t="str">
        <f>Sheet2!$G$87</f>
        <v>Transformation</v>
      </c>
      <c r="E31" s="552" t="str">
        <f>IF(LOWER(Sheet2!$Q$87)="v","Vacant",IF(LOWER(Sheet2!$Q$87)="pause","Paused",IF(LOWER(Sheet2!$Q$87)="cxc","Contractor","Filled")))</f>
        <v>Vacant</v>
      </c>
      <c r="F31" s="590" t="inlineStr">
        <is>
          <t>Hold</t>
        </is>
      </c>
      <c r="G31" s="569">
        <f>Sheet2!$AA$87</f>
        <v>231689.25</v>
      </c>
    </row>
    <row r="32">
      <c r="B32" s="563" t="str">
        <f>Sheet2!$B$88</f>
        <v>Vacant</v>
      </c>
      <c r="C32" s="567" t="str">
        <f>SUBSTITUTE(SUBSTITUTE(Sheet2!$C$88,"–","-"),"—","-")</f>
        <v>Delivery Assurance Manager</v>
      </c>
      <c r="D32" s="563" t="str">
        <f>Sheet2!$G$88</f>
        <v>Transformation</v>
      </c>
      <c r="E32" s="552" t="str">
        <f>IF(LOWER(Sheet2!$Q$88)="v","Vacant",IF(LOWER(Sheet2!$Q$88)="pause","Paused",IF(LOWER(Sheet2!$Q$88)="cxc","Contractor","Filled")))</f>
        <v>Vacant</v>
      </c>
      <c r="F32" s="590" t="inlineStr">
        <is>
          <t>Hold</t>
        </is>
      </c>
      <c r="G32" s="569">
        <f>Sheet2!$AA$88</f>
        <v>275810.25</v>
      </c>
    </row>
    <row r="33">
      <c r="B33" s="563" t="str">
        <f>Sheet2!$B$89</f>
        <v>Vacant</v>
      </c>
      <c r="C33" s="567" t="str">
        <f>SUBSTITUTE(SUBSTITUTE(Sheet2!$C$89,"–","-"),"—","-")</f>
        <v>Delivery Capacity &amp; Assurance Lead</v>
      </c>
      <c r="D33" s="563" t="str">
        <f>Sheet2!$G$89</f>
        <v>Transformation</v>
      </c>
      <c r="E33" s="552" t="str">
        <f>IF(LOWER(Sheet2!$Q$89)="v","Vacant",IF(LOWER(Sheet2!$Q$89)="pause","Paused",IF(LOWER(Sheet2!$Q$89)="cxc","Contractor","Filled")))</f>
        <v>Vacant</v>
      </c>
      <c r="F33" s="590" t="inlineStr">
        <is>
          <t>Hold</t>
        </is>
      </c>
      <c r="G33" s="569">
        <f>Sheet2!$AA$89</f>
        <v>231689.25</v>
      </c>
    </row>
    <row r="34">
      <c r="B34" s="563" t="str">
        <f>Sheet2!$B$90</f>
        <v>Vacant</v>
      </c>
      <c r="C34" s="567" t="str">
        <f>SUBSTITUTE(SUBSTITUTE(Sheet2!$C$90,"–","-"),"—","-")</f>
        <v>Delivery Excellence Manager</v>
      </c>
      <c r="D34" s="563" t="str">
        <f>Sheet2!$G$90</f>
        <v>Transformation</v>
      </c>
      <c r="E34" s="552" t="str">
        <f>IF(LOWER(Sheet2!$Q$90)="v","Vacant",IF(LOWER(Sheet2!$Q$90)="pause","Paused",IF(LOWER(Sheet2!$Q$90)="cxc","Contractor","Filled")))</f>
        <v>Vacant</v>
      </c>
      <c r="F34" s="590" t="inlineStr">
        <is>
          <t>Hold</t>
        </is>
      </c>
      <c r="G34" s="569">
        <f>Sheet2!$AA$90</f>
        <v>275810.25</v>
      </c>
    </row>
    <row r="35">
      <c r="B35" s="563" t="str">
        <f>Sheet2!$B$91</f>
        <v>Vacant</v>
      </c>
      <c r="C35" s="567" t="str">
        <f>SUBSTITUTE(SUBSTITUTE(Sheet2!$C$91,"–","-"),"—","-")</f>
        <v>Scrum Master</v>
      </c>
      <c r="D35" s="563" t="str">
        <f>Sheet2!$G$91</f>
        <v>Transformation</v>
      </c>
      <c r="E35" s="552" t="str">
        <f>IF(LOWER(Sheet2!$Q$91)="v","Vacant",IF(LOWER(Sheet2!$Q$91)="pause","Paused",IF(LOWER(Sheet2!$Q$91)="cxc","Contractor","Filled")))</f>
        <v>Vacant</v>
      </c>
      <c r="F35" s="590" t="inlineStr">
        <is>
          <t>Hold</t>
        </is>
      </c>
      <c r="G35" s="569">
        <f>Sheet2!$AA$91</f>
        <v>151771.98</v>
      </c>
    </row>
    <row r="36">
      <c r="B36" s="563" t="str">
        <f>Sheet2!$B$92</f>
        <v>Vacant </v>
      </c>
      <c r="C36" s="567" t="str">
        <f>SUBSTITUTE(SUBSTITUTE(Sheet2!$C$92,"–","-"),"—","-")</f>
        <v>Portfolio Analyst</v>
      </c>
      <c r="D36" s="563" t="str">
        <f>Sheet2!$G$92</f>
        <v>Transformation</v>
      </c>
      <c r="E36" s="552" t="str">
        <f>IF(LOWER(Sheet2!$Q$92)="v","Vacant",IF(LOWER(Sheet2!$Q$92)="pause","Paused",IF(LOWER(Sheet2!$Q$92)="cxc","Contractor","Filled")))</f>
        <v>Vacant</v>
      </c>
      <c r="F36" s="590" t="inlineStr">
        <is>
          <t>Hold</t>
        </is>
      </c>
      <c r="G36" s="569">
        <f>Sheet2!$AA$92</f>
        <v>170489.75</v>
      </c>
    </row>
    <row r="37">
      <c r="B37" s="563" t="str">
        <f>Sheet2!$B$93</f>
        <v>Vaughn Scott</v>
      </c>
      <c r="C37" s="567" t="str">
        <f>SUBSTITUTE(SUBSTITUTE(Sheet2!$C$93,"–","-"),"—","-")</f>
        <v>TDD BP - ES</v>
      </c>
      <c r="D37" s="563" t="str">
        <f>Sheet2!$G$93</f>
        <v>TDD Business Partner</v>
      </c>
      <c r="E37" s="552" t="str">
        <f>IF(LOWER(Sheet2!$Q$93)="v","Vacant",IF(LOWER(Sheet2!$Q$93)="pause","Paused",IF(LOWER(Sheet2!$Q$93)="cxc","Contractor","Filled")))</f>
        <v>Filled</v>
      </c>
    </row>
    <row r="39">
      <c r="B39" s="570" t="inlineStr">
        <is>
          <t>Funding for these roles is on 1.11 BP&amp;T. Roles and costs come from Sheet2 - costs show on vacancies only.</t>
        </is>
      </c>
    </row>
  </sheetData>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35.xml><?xml version="1.0" encoding="utf-8"?>
<worksheet xmlns="http://schemas.openxmlformats.org/spreadsheetml/2006/main">
  <sheetPr>
    <tabColor rgb="FFBF8F00"/>
    <outlinePr summaryBelow="1" summaryRight="1"/>
    <pageSetUpPr/>
  </sheetPr>
  <dimension ref="B2:G44"/>
  <sheetViews>
    <sheetView showGridLines="0" workbookViewId="0">
      <selection activeCell="A1" sqref="A1"/>
    </sheetView>
  </sheetViews>
  <sheetFormatPr baseColWidth="8" defaultRowHeight="14.5"/>
  <cols>
    <col width="3" customWidth="1" style="849" min="1" max="1"/>
    <col width="30" customWidth="1" style="849" min="2" max="2"/>
    <col width="40" customWidth="1" style="849" min="3" max="3"/>
    <col width="26" customWidth="1" style="849" min="4" max="4"/>
    <col width="12" customWidth="1" style="849" min="5" max="5"/>
    <col width="10" customWidth="1" style="849" min="6" max="6"/>
    <col width="16" customWidth="1" style="849" min="7" max="7"/>
  </cols>
  <sheetData>
    <row r="2" ht="18.5" customHeight="1" s="849">
      <c r="B2" s="610" t="inlineStr">
        <is>
          <t>Strategy, Architecture &amp; Data working copy</t>
        </is>
      </c>
    </row>
    <row r="4">
      <c r="B4" s="548" t="inlineStr">
        <is>
          <t>Position</t>
        </is>
      </c>
    </row>
    <row r="5">
      <c r="B5" s="563" t="inlineStr">
        <is>
          <t>Roles</t>
        </is>
      </c>
      <c r="C5" s="564">
        <f>COUNTA(B14:B42)</f>
        <v>29.0</v>
      </c>
      <c r="E5" s="563" t="inlineStr">
        <is>
          <t>Planned spend ($m)</t>
        </is>
      </c>
      <c r="F5" s="551">
        <f>'1.12 SA&amp;D'!$G$8</f>
        <v>5.153297611999999</v>
      </c>
    </row>
    <row r="6">
      <c r="B6" s="563" t="inlineStr">
        <is>
          <t>Filled</t>
        </is>
      </c>
      <c r="C6" s="564">
        <f>COUNTIF(E14:E42,"Filled")+COUNTIF(E14:E42,"Contractor")</f>
        <v>14.0</v>
      </c>
      <c r="E6" s="563" t="inlineStr">
        <is>
          <t>Budget to draw down ($m)</t>
        </is>
      </c>
      <c r="F6" s="551">
        <f>'1.12 SA&amp;D'!$H$8</f>
        <v>4.0</v>
      </c>
    </row>
    <row r="7">
      <c r="B7" s="563" t="inlineStr">
        <is>
          <t>Vacant</t>
        </is>
      </c>
      <c r="C7" s="564">
        <f>COUNTIF(E14:E42,"Vacant")</f>
        <v>12.0</v>
      </c>
      <c r="E7" s="563" t="inlineStr">
        <is>
          <t>Left to fund ($m)</t>
        </is>
      </c>
      <c r="F7" s="551">
        <f>'1.12 SA&amp;D'!$I$8</f>
        <v>1.153297611999999</v>
      </c>
    </row>
    <row r="8">
      <c r="B8" s="563" t="inlineStr">
        <is>
          <t>Paused</t>
        </is>
      </c>
      <c r="C8" s="564">
        <f>COUNTIF(E14:E42,"Paused")</f>
        <v>3.0</v>
      </c>
    </row>
    <row r="9">
      <c r="B9" s="563" t="inlineStr">
        <is>
          <t>Cost to hire all vacancies ($m)</t>
        </is>
      </c>
      <c r="C9" s="551">
        <f>SUMIF(E14:E42,"Vacant",G14:G42)/1000000</f>
        <v>2.9620632999999996</v>
      </c>
    </row>
    <row r="10">
      <c r="B10" s="563" t="inlineStr">
        <is>
          <t>Cost of roles marked Hire ($m)</t>
        </is>
      </c>
      <c r="C10" s="551">
        <f>SUMIF(F14:F42,"Hire",G14:G42)/1000000</f>
        <v>0.0</v>
      </c>
    </row>
    <row r="11">
      <c r="B11" s="563" t="inlineStr">
        <is>
          <t>Cost of vacancy decisions - Hire + 0.4 x Offshore ($m)</t>
        </is>
      </c>
      <c r="C11" s="551">
        <f>(SUMIF(F14:F42,"Hire",G14:G42)+0.4*SUMIF(F14:F42,"Offshore",G14:G42))/1000000</f>
        <v>0.0</v>
      </c>
    </row>
    <row r="13">
      <c r="B13" s="571" t="inlineStr">
        <is>
          <t>Name</t>
        </is>
      </c>
      <c r="C13" s="571" t="inlineStr">
        <is>
          <t>Role</t>
        </is>
      </c>
      <c r="D13" s="571" t="inlineStr">
        <is>
          <t>Department</t>
        </is>
      </c>
      <c r="E13" s="571" t="inlineStr">
        <is>
          <t>Status</t>
        </is>
      </c>
      <c r="F13" s="571" t="inlineStr">
        <is>
          <t>Vacancy lever</t>
        </is>
      </c>
      <c r="G13" s="571" t="inlineStr">
        <is>
          <t>Cost if hired ($)</t>
        </is>
      </c>
    </row>
    <row r="14">
      <c r="B14" s="563" t="str">
        <f>Sheet2!$B$97</f>
        <v>Craig Ambrose</v>
      </c>
      <c r="C14" s="567" t="str">
        <f>SUBSTITUTE(SUBSTITUTE(Sheet2!$C$97,"–","-"),"—","-")</f>
        <v>Domain Architect - Group Functions</v>
      </c>
      <c r="D14" s="563" t="str">
        <f>Sheet2!$G$97</f>
        <v>Architecture</v>
      </c>
      <c r="E14" s="552" t="str">
        <f>IF(LOWER(Sheet2!$Q$97)="v","Vacant",IF(LOWER(Sheet2!$Q$97)="pause","Paused",IF(LOWER(Sheet2!$Q$97)="cxc","Contractor","Filled")))</f>
        <v>Filled</v>
      </c>
    </row>
    <row r="15">
      <c r="B15" s="563" t="str">
        <f>Sheet2!$B$100</f>
        <v>James Holgate</v>
      </c>
      <c r="C15" s="567" t="str">
        <f>SUBSTITUTE(SUBSTITUTE(Sheet2!$C$100,"–","-"),"—","-")</f>
        <v>Head of Technology,  Group Data</v>
      </c>
      <c r="D15" s="563" t="str">
        <f>Sheet2!$G$100</f>
        <v>Group Data</v>
      </c>
      <c r="E15" s="552" t="str">
        <f>IF(LOWER(Sheet2!$Q$100)="v","Vacant",IF(LOWER(Sheet2!$Q$100)="pause","Paused",IF(LOWER(Sheet2!$Q$100)="cxc","Contractor","Filled")))</f>
        <v>Filled</v>
      </c>
    </row>
    <row r="16" ht="29" customHeight="1" s="849">
      <c r="B16" s="563" t="str">
        <f>Sheet2!$B$102</f>
        <v>Joel Vijayakumar</v>
      </c>
      <c r="C16" s="567" t="str">
        <f>SUBSTITUTE(SUBSTITUTE(Sheet2!$C$102,"–","-"),"—","-")</f>
        <v>Delivery Manager, Strategy, Architecture &amp; Data</v>
      </c>
      <c r="D16" s="563" t="str">
        <f>Sheet2!$G$102</f>
        <v>Delivery, SADA</v>
      </c>
      <c r="E16" s="552" t="str">
        <f>IF(LOWER(Sheet2!$Q$102)="v","Vacant",IF(LOWER(Sheet2!$Q$102)="pause","Paused",IF(LOWER(Sheet2!$Q$102)="cxc","Contractor","Filled")))</f>
        <v>Filled</v>
      </c>
    </row>
    <row r="17">
      <c r="B17" s="563" t="str">
        <f>Sheet2!$B$103</f>
        <v>John Forde</v>
      </c>
      <c r="C17" s="567" t="str">
        <f>SUBSTITUTE(SUBSTITUTE(Sheet2!$C$103,"–","-"),"—","-")</f>
        <v>Enterprise Architect</v>
      </c>
      <c r="D17" s="563" t="str">
        <f>Sheet2!$G$103</f>
        <v>Architecture</v>
      </c>
      <c r="E17" s="552" t="str">
        <f>IF(LOWER(Sheet2!$Q$103)="v","Vacant",IF(LOWER(Sheet2!$Q$103)="pause","Paused",IF(LOWER(Sheet2!$Q$103)="cxc","Contractor","Filled")))</f>
        <v>Filled</v>
      </c>
    </row>
    <row r="18">
      <c r="B18" s="563" t="str">
        <f>Sheet2!$B$106</f>
        <v>Lynn Yiew</v>
      </c>
      <c r="C18" s="567" t="str">
        <f>SUBSTITUTE(SUBSTITUTE(Sheet2!$C$106,"–","-"),"—","-")</f>
        <v>Data Governance Specialist</v>
      </c>
      <c r="D18" s="563" t="str">
        <f>Sheet2!$G$106</f>
        <v>Group Data</v>
      </c>
      <c r="E18" s="552" t="str">
        <f>IF(LOWER(Sheet2!$Q$106)="v","Vacant",IF(LOWER(Sheet2!$Q$106)="pause","Paused",IF(LOWER(Sheet2!$Q$106)="cxc","Contractor","Filled")))</f>
        <v>Filled</v>
      </c>
    </row>
    <row r="19">
      <c r="B19" s="563" t="str">
        <f>Sheet2!$B$107</f>
        <v>Mike Gilbert</v>
      </c>
      <c r="C19" s="567" t="str">
        <f>SUBSTITUTE(SUBSTITUTE(Sheet2!$C$107,"–","-"),"—","-")</f>
        <v>Domain Architect - CFE &amp; Infrastructure </v>
      </c>
      <c r="D19" s="563" t="str">
        <f>Sheet2!$G$107</f>
        <v>Architecture</v>
      </c>
      <c r="E19" s="552" t="str">
        <f>IF(LOWER(Sheet2!$Q$107)="v","Vacant",IF(LOWER(Sheet2!$Q$107)="pause","Paused",IF(LOWER(Sheet2!$Q$107)="cxc","Contractor","Filled")))</f>
        <v>Filled</v>
      </c>
    </row>
    <row r="20">
      <c r="B20" s="563" t="str">
        <f>Sheet2!$B$108</f>
        <v>Milan Patel</v>
      </c>
      <c r="C20" s="567" t="str">
        <f>SUBSTITUTE(SUBSTITUTE(Sheet2!$C$108,"–","-"),"—","-")</f>
        <v>Platform Architect</v>
      </c>
      <c r="D20" s="563" t="str">
        <f>Sheet2!$G$108</f>
        <v>Group Data</v>
      </c>
      <c r="E20" s="552" t="str">
        <f>IF(LOWER(Sheet2!$Q$108)="v","Vacant",IF(LOWER(Sheet2!$Q$108)="pause","Paused",IF(LOWER(Sheet2!$Q$108)="cxc","Contractor","Filled")))</f>
        <v>Filled</v>
      </c>
    </row>
    <row r="21">
      <c r="B21" s="563" t="str">
        <f>Sheet2!$B$109</f>
        <v>Mitchell Clarke</v>
      </c>
      <c r="C21" s="567" t="str">
        <f>SUBSTITUTE(SUBSTITUTE(Sheet2!$C$109,"–","-"),"—","-")</f>
        <v>Snr Data Governance Specialist</v>
      </c>
      <c r="D21" s="563" t="str">
        <f>Sheet2!$G$109</f>
        <v>Group Data</v>
      </c>
      <c r="E21" s="552" t="str">
        <f>IF(LOWER(Sheet2!$Q$109)="v","Vacant",IF(LOWER(Sheet2!$Q$109)="pause","Paused",IF(LOWER(Sheet2!$Q$109)="cxc","Contractor","Filled")))</f>
        <v>Filled</v>
      </c>
    </row>
    <row r="22">
      <c r="B22" s="563" t="str">
        <f>Sheet2!$B$114</f>
        <v>Raymond Bai</v>
      </c>
      <c r="C22" s="567" t="str">
        <f>SUBSTITUTE(SUBSTITUTE(Sheet2!$C$114,"–","-"),"—","-")</f>
        <v>Data Adoption Specialist</v>
      </c>
      <c r="D22" s="563" t="str">
        <f>Sheet2!$G$114</f>
        <v>Group Data</v>
      </c>
      <c r="E22" s="552" t="str">
        <f>IF(LOWER(Sheet2!$Q$114)="v","Vacant",IF(LOWER(Sheet2!$Q$114)="pause","Paused",IF(LOWER(Sheet2!$Q$114)="cxc","Contractor","Filled")))</f>
        <v>Filled</v>
      </c>
    </row>
    <row r="23">
      <c r="B23" s="563" t="str">
        <f>Sheet2!$B$115</f>
        <v>Renosh Matthew Thomas</v>
      </c>
      <c r="C23" s="567" t="str">
        <f>SUBSTITUTE(SUBSTITUTE(Sheet2!$C$115,"–","-"),"—","-")</f>
        <v>Data Enablement Lead</v>
      </c>
      <c r="D23" s="563" t="str">
        <f>Sheet2!$G$115</f>
        <v>Group Data</v>
      </c>
      <c r="E23" s="552" t="str">
        <f>IF(LOWER(Sheet2!$Q$115)="v","Vacant",IF(LOWER(Sheet2!$Q$115)="pause","Paused",IF(LOWER(Sheet2!$Q$115)="cxc","Contractor","Filled")))</f>
        <v>Filled</v>
      </c>
    </row>
    <row r="24">
      <c r="B24" s="563" t="str">
        <f>Sheet2!$B$116</f>
        <v>Rihan Schalkwyk</v>
      </c>
      <c r="C24" s="567" t="str">
        <f>SUBSTITUTE(SUBSTITUTE(Sheet2!$C$116,"–","-"),"—","-")</f>
        <v>Senior Business Analyst</v>
      </c>
      <c r="D24" s="563" t="str">
        <f>Sheet2!$G$116</f>
        <v>Delivery, SADA</v>
      </c>
      <c r="E24" s="552" t="str">
        <f>IF(LOWER(Sheet2!$Q$116)="v","Vacant",IF(LOWER(Sheet2!$Q$116)="pause","Paused",IF(LOWER(Sheet2!$Q$116)="cxc","Contractor","Filled")))</f>
        <v>Filled</v>
      </c>
    </row>
    <row r="25">
      <c r="B25" s="563" t="str">
        <f>Sheet2!$B$117</f>
        <v>ring fenced</v>
      </c>
      <c r="C25" s="567" t="str">
        <f>SUBSTITUTE(SUBSTITUTE(Sheet2!$C$117,"–","-"),"—","-")</f>
        <v>Enterprise Architect</v>
      </c>
      <c r="D25" s="563" t="str">
        <f>Sheet2!$G$117</f>
        <v>Architecture</v>
      </c>
      <c r="E25" s="552" t="str">
        <f>IF(LOWER(Sheet2!$Q$117)="v","Vacant",IF(LOWER(Sheet2!$Q$117)="pause","Paused",IF(LOWER(Sheet2!$Q$117)="cxc","Contractor","Filled")))</f>
        <v>Paused</v>
      </c>
      <c r="F25" s="590" t="inlineStr">
        <is>
          <t>Hold</t>
        </is>
      </c>
      <c r="G25" s="569">
        <f>Sheet2!$AA$117</f>
        <v>275810.25</v>
      </c>
    </row>
    <row r="26">
      <c r="B26" s="563" t="str">
        <f>Sheet2!$B$118</f>
        <v>ring fenced</v>
      </c>
      <c r="C26" s="567" t="str">
        <f>SUBSTITUTE(SUBSTITUTE(Sheet2!$C$118,"–","-"),"—","-")</f>
        <v>Domain Architect - Customer &amp; Digital Tech</v>
      </c>
      <c r="D26" s="563" t="str">
        <f>Sheet2!$G$118</f>
        <v>Architecture</v>
      </c>
      <c r="E26" s="552" t="str">
        <f>IF(LOWER(Sheet2!$Q$118)="v","Vacant",IF(LOWER(Sheet2!$Q$118)="pause","Paused",IF(LOWER(Sheet2!$Q$118)="cxc","Contractor","Filled")))</f>
        <v>Vacant</v>
      </c>
      <c r="F26" s="590" t="inlineStr">
        <is>
          <t>Hold</t>
        </is>
      </c>
      <c r="G26" s="569">
        <f>Sheet2!$AA$118</f>
        <v>231689.25</v>
      </c>
    </row>
    <row r="27">
      <c r="B27" s="563" t="str">
        <f>Sheet2!$B$119</f>
        <v>ring fenced</v>
      </c>
      <c r="C27" s="567" t="str">
        <f>SUBSTITUTE(SUBSTITUTE(Sheet2!$C$119,"–","-"),"—","-")</f>
        <v>Domain Architect - Retail &amp; Z</v>
      </c>
      <c r="D27" s="563" t="str">
        <f>Sheet2!$G$119</f>
        <v>Architecture</v>
      </c>
      <c r="E27" s="552" t="str">
        <f>IF(LOWER(Sheet2!$Q$119)="v","Vacant",IF(LOWER(Sheet2!$Q$119)="pause","Paused",IF(LOWER(Sheet2!$Q$119)="cxc","Contractor","Filled")))</f>
        <v>Vacant</v>
      </c>
      <c r="F27" s="590" t="inlineStr">
        <is>
          <t>Hold</t>
        </is>
      </c>
      <c r="G27" s="569">
        <f>Sheet2!$AA$119</f>
        <v>231689.25</v>
      </c>
    </row>
    <row r="28">
      <c r="B28" s="563" t="str">
        <f>Sheet2!$B$120</f>
        <v>ring fenced</v>
      </c>
      <c r="C28" s="567" t="str">
        <f>SUBSTITUTE(SUBSTITUTE(Sheet2!$C$120,"–","-"),"—","-")</f>
        <v>Domain Architect - TDD</v>
      </c>
      <c r="D28" s="563" t="str">
        <f>Sheet2!$G$120</f>
        <v>Architecture</v>
      </c>
      <c r="E28" s="552" t="str">
        <f>IF(LOWER(Sheet2!$Q$120)="v","Vacant",IF(LOWER(Sheet2!$Q$120)="pause","Paused",IF(LOWER(Sheet2!$Q$120)="cxc","Contractor","Filled")))</f>
        <v>Vacant</v>
      </c>
      <c r="F28" s="590" t="inlineStr">
        <is>
          <t>Hold</t>
        </is>
      </c>
      <c r="G28" s="569">
        <f>Sheet2!$AA$120</f>
        <v>231689.25</v>
      </c>
    </row>
    <row r="29">
      <c r="B29" s="563" t="str">
        <f>Sheet2!$B$121</f>
        <v>Roger Blazey</v>
      </c>
      <c r="C29" s="567" t="str">
        <f>SUBSTITUTE(SUBSTITUTE(Sheet2!$C$121,"–","-"),"—","-")</f>
        <v>Architect (AI Innovation)</v>
      </c>
      <c r="D29" s="563" t="str">
        <f>Sheet2!$G$121</f>
        <v>Technology Strategy &amp; AI Capability</v>
      </c>
      <c r="E29" s="552" t="str">
        <f>IF(LOWER(Sheet2!$Q$121)="v","Vacant",IF(LOWER(Sheet2!$Q$121)="pause","Paused",IF(LOWER(Sheet2!$Q$121)="cxc","Contractor","Filled")))</f>
        <v>Filled</v>
      </c>
    </row>
    <row r="30">
      <c r="B30" s="563" t="str">
        <f>Sheet2!$B$124</f>
        <v>Sanjay Tikoo</v>
      </c>
      <c r="C30" s="567" t="str">
        <f>SUBSTITUTE(SUBSTITUTE(Sheet2!$C$124,"–","-"),"—","-")</f>
        <v>Principal, Data Architecture &amp; Governance</v>
      </c>
      <c r="D30" s="563" t="str">
        <f>Sheet2!$G$124</f>
        <v>Group Data</v>
      </c>
      <c r="E30" s="552" t="str">
        <f>IF(LOWER(Sheet2!$Q$124)="v","Vacant",IF(LOWER(Sheet2!$Q$124)="pause","Paused",IF(LOWER(Sheet2!$Q$124)="cxc","Contractor","Filled")))</f>
        <v>Filled</v>
      </c>
    </row>
    <row r="31">
      <c r="B31" s="563" t="str">
        <f>Sheet2!$B$127</f>
        <v>Tim Snedden</v>
      </c>
      <c r="C31" s="567" t="str">
        <f>SUBSTITUTE(SUBSTITUTE(Sheet2!$C$127,"–","-"),"—","-")</f>
        <v>Delivery Lead</v>
      </c>
      <c r="D31" s="563" t="str">
        <f>Sheet2!$G$127</f>
        <v>Delivery, SADA</v>
      </c>
      <c r="E31" s="552" t="str">
        <f>IF(LOWER(Sheet2!$Q$127)="v","Vacant",IF(LOWER(Sheet2!$Q$127)="pause","Paused",IF(LOWER(Sheet2!$Q$127)="cxc","Contractor","Filled")))</f>
        <v>Filled</v>
      </c>
    </row>
    <row r="32">
      <c r="B32" s="563" t="str">
        <f>Sheet2!$B$133</f>
        <v>Vacant</v>
      </c>
      <c r="C32" s="567" t="str">
        <f>SUBSTITUTE(SUBSTITUTE(Sheet2!$C$133,"–","-"),"—","-")</f>
        <v>Business Analyst</v>
      </c>
      <c r="D32" s="563" t="str">
        <f>Sheet2!$G$133</f>
        <v>Delivery, SADA</v>
      </c>
      <c r="E32" s="552" t="str">
        <f>IF(LOWER(Sheet2!$Q$133)="v","Vacant",IF(LOWER(Sheet2!$Q$133)="pause","Paused",IF(LOWER(Sheet2!$Q$133)="cxc","Contractor","Filled")))</f>
        <v>Vacant</v>
      </c>
      <c r="F32" s="590" t="inlineStr">
        <is>
          <t>Hold</t>
        </is>
      </c>
      <c r="G32" s="569">
        <f>Sheet2!$AA$133</f>
        <v>202853.25</v>
      </c>
    </row>
    <row r="33">
      <c r="B33" s="563" t="str">
        <f>Sheet2!$B$134</f>
        <v>Vacant</v>
      </c>
      <c r="C33" s="567" t="str">
        <f>SUBSTITUTE(SUBSTITUTE(Sheet2!$C$134,"–","-"),"—","-")</f>
        <v>Business Analyst</v>
      </c>
      <c r="D33" s="563" t="str">
        <f>Sheet2!$G$134</f>
        <v>Delivery, SADA</v>
      </c>
      <c r="E33" s="552" t="str">
        <f>IF(LOWER(Sheet2!$Q$134)="v","Vacant",IF(LOWER(Sheet2!$Q$134)="pause","Paused",IF(LOWER(Sheet2!$Q$134)="cxc","Contractor","Filled")))</f>
        <v>Paused</v>
      </c>
      <c r="F33" s="590" t="inlineStr">
        <is>
          <t>Hold</t>
        </is>
      </c>
      <c r="G33" s="569">
        <f>Sheet2!$AA$134</f>
        <v>202853.25</v>
      </c>
    </row>
    <row r="34">
      <c r="B34" s="563" t="str">
        <f>Sheet2!$B$141</f>
        <v>Vacant</v>
      </c>
      <c r="C34" s="567" t="str">
        <f>SUBSTITUTE(SUBSTITUTE(Sheet2!$C$141,"–","-"),"—","-")</f>
        <v>Data Governance Lead</v>
      </c>
      <c r="D34" s="563" t="str">
        <f>Sheet2!$G$141</f>
        <v>Group Data</v>
      </c>
      <c r="E34" s="552" t="str">
        <f>IF(LOWER(Sheet2!$Q$141)="v","Vacant",IF(LOWER(Sheet2!$Q$141)="pause","Paused",IF(LOWER(Sheet2!$Q$141)="cxc","Contractor","Filled")))</f>
        <v>Vacant</v>
      </c>
      <c r="F34" s="590" t="inlineStr">
        <is>
          <t>Hold</t>
        </is>
      </c>
      <c r="G34" s="569">
        <f>Sheet2!$AA$141</f>
        <v>389606.10000000003</v>
      </c>
    </row>
    <row r="35">
      <c r="B35" s="563" t="str">
        <f>Sheet2!$B$142</f>
        <v>Vacant</v>
      </c>
      <c r="C35" s="567" t="str">
        <f>SUBSTITUTE(SUBSTITUTE(Sheet2!$C$142,"–","-"),"—","-")</f>
        <v>Head of Architecture</v>
      </c>
      <c r="D35" s="563" t="str">
        <f>Sheet2!$G$142</f>
        <v>Architecture</v>
      </c>
      <c r="E35" s="552" t="str">
        <f>IF(LOWER(Sheet2!$Q$142)="v","Vacant",IF(LOWER(Sheet2!$Q$142)="pause","Paused",IF(LOWER(Sheet2!$Q$142)="cxc","Contractor","Filled")))</f>
        <v>Vacant</v>
      </c>
      <c r="F35" s="590" t="inlineStr">
        <is>
          <t>Hold</t>
        </is>
      </c>
      <c r="G35" s="569">
        <f>Sheet2!$AA$142</f>
        <v>334972.95</v>
      </c>
    </row>
    <row r="36">
      <c r="B36" s="563" t="str">
        <f>Sheet2!$B$143</f>
        <v>Vacant</v>
      </c>
      <c r="C36" s="567" t="str">
        <f>SUBSTITUTE(SUBSTITUTE(Sheet2!$C$143,"–","-"),"—","-")</f>
        <v>Head of Technology Strategy &amp; AI Capability</v>
      </c>
      <c r="D36" s="563" t="str">
        <f>Sheet2!$G$143</f>
        <v>Technology Strategy &amp; AI Capability</v>
      </c>
      <c r="E36" s="552" t="str">
        <f>IF(LOWER(Sheet2!$Q$143)="v","Vacant",IF(LOWER(Sheet2!$Q$143)="pause","Paused",IF(LOWER(Sheet2!$Q$143)="cxc","Contractor","Filled")))</f>
        <v>Vacant</v>
      </c>
      <c r="F36" s="590" t="inlineStr">
        <is>
          <t>Hold</t>
        </is>
      </c>
      <c r="G36" s="569">
        <f>Sheet2!$AA$143</f>
        <v>333020.25</v>
      </c>
    </row>
    <row r="37">
      <c r="B37" s="563" t="str">
        <f>Sheet2!$B$144</f>
        <v>Vacant</v>
      </c>
      <c r="C37" s="567" t="str">
        <f>SUBSTITUTE(SUBSTITUTE(Sheet2!$C$144,"–","-"),"—","-")</f>
        <v>Senior Communications Advisor</v>
      </c>
      <c r="D37" s="563" t="str">
        <f>Sheet2!$G$144</f>
        <v>na</v>
      </c>
      <c r="E37" s="552" t="str">
        <f>IF(LOWER(Sheet2!$Q$144)="v","Vacant",IF(LOWER(Sheet2!$Q$144)="pause","Paused",IF(LOWER(Sheet2!$Q$144)="cxc","Contractor","Filled")))</f>
        <v>Vacant</v>
      </c>
      <c r="F37" s="590" t="inlineStr">
        <is>
          <t>Hold</t>
        </is>
      </c>
      <c r="G37" s="569">
        <f>Sheet2!$AA$144</f>
        <v>186900.0</v>
      </c>
    </row>
    <row r="38">
      <c r="B38" s="563" t="str">
        <f>Sheet2!$B$145</f>
        <v>Vacant</v>
      </c>
      <c r="C38" s="567" t="str">
        <f>SUBSTITUTE(SUBSTITUTE(Sheet2!$C$145,"–","-"),"—","-")</f>
        <v>Enterprise Data Architect</v>
      </c>
      <c r="D38" s="563" t="str">
        <f>Sheet2!$G$145</f>
        <v>Group Data</v>
      </c>
      <c r="E38" s="552" t="str">
        <f>IF(LOWER(Sheet2!$Q$145)="v","Vacant",IF(LOWER(Sheet2!$Q$145)="pause","Paused",IF(LOWER(Sheet2!$Q$145)="cxc","Contractor","Filled")))</f>
        <v>Paused</v>
      </c>
      <c r="F38" s="590" t="inlineStr">
        <is>
          <t>Hold</t>
        </is>
      </c>
      <c r="G38" s="569">
        <f>Sheet2!$AA$145</f>
        <v>275810.25</v>
      </c>
    </row>
    <row r="39">
      <c r="B39" s="563" t="str">
        <f>Sheet2!$B$146</f>
        <v>Vacant</v>
      </c>
      <c r="C39" s="567" t="str">
        <f>SUBSTITUTE(SUBSTITUTE(Sheet2!$C$146,"–","-"),"—","-")</f>
        <v>AI Capability Lead</v>
      </c>
      <c r="D39" s="563" t="str">
        <f>Sheet2!$G$146</f>
        <v>Technology Strategy &amp; AI Capability</v>
      </c>
      <c r="E39" s="552" t="str">
        <f>IF(LOWER(Sheet2!$Q$146)="v","Vacant",IF(LOWER(Sheet2!$Q$146)="pause","Paused",IF(LOWER(Sheet2!$Q$146)="cxc","Contractor","Filled")))</f>
        <v>Vacant</v>
      </c>
      <c r="F39" s="590" t="inlineStr">
        <is>
          <t>Hold</t>
        </is>
      </c>
      <c r="G39" s="569">
        <f>Sheet2!$AA$146</f>
        <v>275810.25</v>
      </c>
    </row>
    <row r="40">
      <c r="B40" s="563" t="str">
        <f>Sheet2!$B$147</f>
        <v>Vacant</v>
      </c>
      <c r="C40" s="567" t="str">
        <f>SUBSTITUTE(SUBSTITUTE(Sheet2!$C$147,"–","-"),"—","-")</f>
        <v>Enterprise Process Lead</v>
      </c>
      <c r="D40" s="563" t="str">
        <f>Sheet2!$G$147</f>
        <v>Technology Strategy &amp; AI Capability</v>
      </c>
      <c r="E40" s="552" t="str">
        <f>IF(LOWER(Sheet2!$Q$147)="v","Vacant",IF(LOWER(Sheet2!$Q$147)="pause","Paused",IF(LOWER(Sheet2!$Q$147)="cxc","Contractor","Filled")))</f>
        <v>Vacant</v>
      </c>
      <c r="F40" s="590" t="inlineStr">
        <is>
          <t>Hold</t>
        </is>
      </c>
      <c r="G40" s="569">
        <f>Sheet2!$AA$147</f>
        <v>202853.25</v>
      </c>
    </row>
    <row r="41">
      <c r="B41" s="563" t="str">
        <f>Sheet2!$B$148</f>
        <v>Vacant</v>
      </c>
      <c r="C41" s="567" t="str">
        <f>SUBSTITUTE(SUBSTITUTE(Sheet2!$C$148,"–","-"),"—","-")</f>
        <v>EnterpriseProcess Analyst</v>
      </c>
      <c r="D41" s="563" t="str">
        <f>Sheet2!$G$148</f>
        <v>Technology Strategy &amp; AI Capability</v>
      </c>
      <c r="E41" s="552" t="str">
        <f>IF(LOWER(Sheet2!$Q$148)="v","Vacant",IF(LOWER(Sheet2!$Q$148)="pause","Paused",IF(LOWER(Sheet2!$Q$148)="cxc","Contractor","Filled")))</f>
        <v>Vacant</v>
      </c>
      <c r="F41" s="590" t="inlineStr">
        <is>
          <t>Hold</t>
        </is>
      </c>
      <c r="G41" s="569">
        <f>Sheet2!$AA$148</f>
        <v>170489.75</v>
      </c>
    </row>
    <row r="42">
      <c r="B42" s="563" t="str">
        <f>Sheet2!$B$149</f>
        <v>Vacant</v>
      </c>
      <c r="C42" s="567" t="str">
        <f>SUBSTITUTE(SUBSTITUTE(Sheet2!$C$149,"–","-"),"—","-")</f>
        <v>Strategy Analyst</v>
      </c>
      <c r="D42" s="563" t="str">
        <f>Sheet2!$G$149</f>
        <v>Technology Strategy &amp; AI Capability</v>
      </c>
      <c r="E42" s="552" t="str">
        <f>IF(LOWER(Sheet2!$Q$149)="v","Vacant",IF(LOWER(Sheet2!$Q$149)="pause","Paused",IF(LOWER(Sheet2!$Q$149)="cxc","Contractor","Filled")))</f>
        <v>Vacant</v>
      </c>
      <c r="F42" s="590" t="inlineStr">
        <is>
          <t>Hold</t>
        </is>
      </c>
      <c r="G42" s="569">
        <f>Sheet2!$AA$149</f>
        <v>170489.75</v>
      </c>
    </row>
    <row r="44">
      <c r="B44" s="570" t="inlineStr">
        <is>
          <t>COE roles only - squad-based SA&amp;D roles sit on 4.3 (Group Data portfolio). Funding is on 1.12 SA&amp;D.</t>
        </is>
      </c>
    </row>
  </sheetData>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36.xml><?xml version="1.0" encoding="utf-8"?>
<worksheet xmlns="http://schemas.openxmlformats.org/spreadsheetml/2006/main">
  <sheetPr>
    <tabColor rgb="FFBF8F00"/>
    <outlinePr summaryBelow="1" summaryRight="1"/>
    <pageSetUpPr/>
  </sheetPr>
  <dimension ref="B2:G233"/>
  <sheetViews>
    <sheetView showGridLines="0" workbookViewId="0">
      <selection activeCell="A1" sqref="A1"/>
    </sheetView>
  </sheetViews>
  <sheetFormatPr baseColWidth="8" defaultRowHeight="14.5"/>
  <cols>
    <col width="3" customWidth="1" style="849" min="1" max="1"/>
    <col width="30" customWidth="1" style="849" min="2" max="2"/>
    <col width="40" customWidth="1" style="849" min="3" max="3"/>
    <col width="26" customWidth="1" style="849" min="4" max="4"/>
    <col width="12" customWidth="1" style="849" min="5" max="5"/>
    <col width="10" customWidth="1" style="849" min="6" max="6"/>
    <col width="16" customWidth="1" style="849" min="7" max="7"/>
  </cols>
  <sheetData>
    <row r="2" ht="18.5" customHeight="1" s="849">
      <c r="B2" s="610" t="inlineStr">
        <is>
          <t>EGI &amp; Central Roles working copy</t>
        </is>
      </c>
    </row>
    <row r="4">
      <c r="B4" s="548" t="inlineStr">
        <is>
          <t>Position</t>
        </is>
      </c>
    </row>
    <row r="5">
      <c r="B5" s="563" t="inlineStr">
        <is>
          <t>Roles</t>
        </is>
      </c>
      <c r="C5" s="564">
        <f>COUNTA(B14:B29)+COUNTA(B33:B85)+COUNTA(B89:B108)+COUNTA(B112:B115)</f>
        <v>93.0</v>
      </c>
    </row>
    <row r="6">
      <c r="B6" s="563" t="inlineStr">
        <is>
          <t>Filled</t>
        </is>
      </c>
      <c r="C6" s="564">
        <f>COUNTIF(E14:E115,"Filled")+COUNTIF(E14:E115,"Contractor")</f>
        <v>66.0</v>
      </c>
    </row>
    <row r="7">
      <c r="B7" s="563" t="inlineStr">
        <is>
          <t>Vacant</t>
        </is>
      </c>
      <c r="C7" s="564">
        <f>COUNTIF(E14:E115,"Vacant")</f>
        <v>27.0</v>
      </c>
    </row>
    <row r="8">
      <c r="B8" s="563" t="inlineStr">
        <is>
          <t>Paused</t>
        </is>
      </c>
      <c r="C8" s="564">
        <f>COUNTIF(E14:E115,"Paused")</f>
        <v>0.0</v>
      </c>
    </row>
    <row r="9">
      <c r="B9" s="563" t="inlineStr">
        <is>
          <t>Cost to hire all vacancies ($m)</t>
        </is>
      </c>
      <c r="C9" s="551">
        <f>SUMIF(E14:E115,"Vacant",G14:G115)/1000000</f>
        <v>6.920032769629629</v>
      </c>
    </row>
    <row r="10">
      <c r="B10" s="563" t="inlineStr">
        <is>
          <t>Cost of roles marked Hire ($m)</t>
        </is>
      </c>
      <c r="C10" s="551">
        <f>SUMIF(F14:F115,"Hire",G14:G115)/1000000</f>
        <v>0.0</v>
      </c>
    </row>
    <row r="11">
      <c r="B11" s="563" t="inlineStr">
        <is>
          <t>Cost of vacancy decisions - Hire + 0.4 x Offshore ($m)</t>
        </is>
      </c>
      <c r="C11" s="551">
        <f>(SUMIF(F14:F115,"Hire",G14:G115)+0.4*SUMIF(F14:F115,"Offshore",G14:G115))/1000000</f>
        <v>0.0</v>
      </c>
    </row>
    <row r="12">
      <c r="B12" s="548" t="inlineStr">
        <is>
          <t>EGI strategic delivery (Sheet2) - contractors, funded from Significant Items</t>
        </is>
      </c>
    </row>
    <row r="13">
      <c r="B13" s="571" t="inlineStr">
        <is>
          <t>Name</t>
        </is>
      </c>
      <c r="C13" s="571" t="inlineStr">
        <is>
          <t>Role</t>
        </is>
      </c>
      <c r="D13" s="571" t="inlineStr">
        <is>
          <t>Department</t>
        </is>
      </c>
      <c r="E13" s="571" t="inlineStr">
        <is>
          <t>Status</t>
        </is>
      </c>
      <c r="F13" s="571" t="inlineStr">
        <is>
          <t>Vacancy lever</t>
        </is>
      </c>
      <c r="G13" s="571" t="inlineStr">
        <is>
          <t>Cost if hired ($)</t>
        </is>
      </c>
    </row>
    <row r="14">
      <c r="B14" s="563" t="str">
        <f>Sheet2!$B$54</f>
        <v>Ahmed Yehya</v>
      </c>
      <c r="C14" s="567" t="str">
        <f>SUBSTITUTE(SUBSTITUTE(Sheet2!$C$54,"–","-"),"—","-")</f>
        <v>TDD Strategic Delivery</v>
      </c>
      <c r="D14" s="563" t="str">
        <f>Sheet2!$G$54</f>
        <v>EGI</v>
      </c>
      <c r="E14" s="552" t="str">
        <f>IF(LOWER(Sheet2!$Q$54)="v","Vacant",IF(LOWER(Sheet2!$Q$54)="pause","Paused",IF(LOWER(Sheet2!$Q$54)="cxc","Contractor","Filled")))</f>
        <v>Contractor</v>
      </c>
    </row>
    <row r="15">
      <c r="B15" s="563" t="str">
        <f>Sheet2!$B$55</f>
        <v>Anthony Huynh</v>
      </c>
      <c r="C15" s="567" t="str">
        <f>SUBSTITUTE(SUBSTITUTE(Sheet2!$C$55,"–","-"),"—","-")</f>
        <v>Strategic Delivery Consultant</v>
      </c>
      <c r="D15" s="563" t="str">
        <f>Sheet2!$G$55</f>
        <v>EGI</v>
      </c>
      <c r="E15" s="552" t="str">
        <f>IF(LOWER(Sheet2!$Q$55)="v","Vacant",IF(LOWER(Sheet2!$Q$55)="pause","Paused",IF(LOWER(Sheet2!$Q$55)="cxc","Contractor","Filled")))</f>
        <v>Contractor</v>
      </c>
    </row>
    <row r="16">
      <c r="B16" s="563" t="str">
        <f>Sheet2!$B$56</f>
        <v>Areum Kim Lee</v>
      </c>
      <c r="C16" s="567" t="str">
        <f>SUBSTITUTE(SUBSTITUTE(Sheet2!$C$56,"–","-"),"—","-")</f>
        <v>Program Manager (PEP13-EGI-UKG)</v>
      </c>
      <c r="D16" s="563" t="str">
        <f>Sheet2!$G$56</f>
        <v>EGI</v>
      </c>
      <c r="E16" s="552" t="str">
        <f>IF(LOWER(Sheet2!$Q$56)="v","Vacant",IF(LOWER(Sheet2!$Q$56)="pause","Paused",IF(LOWER(Sheet2!$Q$56)="cxc","Contractor","Filled")))</f>
        <v>Contractor</v>
      </c>
    </row>
    <row r="17">
      <c r="B17" s="563" t="str">
        <f>Sheet2!$B$57</f>
        <v>Ernesto Pereira</v>
      </c>
      <c r="C17" s="567" t="str">
        <f>SUBSTITUTE(SUBSTITUTE(Sheet2!$C$57,"–","-"),"—","-")</f>
        <v>Project Manger</v>
      </c>
      <c r="D17" s="563" t="str">
        <f>Sheet2!$G$57</f>
        <v>EGI</v>
      </c>
      <c r="E17" s="552" t="str">
        <f>IF(LOWER(Sheet2!$Q$57)="v","Vacant",IF(LOWER(Sheet2!$Q$57)="pause","Paused",IF(LOWER(Sheet2!$Q$57)="cxc","Contractor","Filled")))</f>
        <v>Contractor</v>
      </c>
    </row>
    <row r="18">
      <c r="B18" s="563" t="str">
        <f>Sheet2!$B$58</f>
        <v>Harish Dasari</v>
      </c>
      <c r="C18" s="567" t="str">
        <f>SUBSTITUTE(SUBSTITUTE(Sheet2!$C$58,"–","-"),"—","-")</f>
        <v>Business Analyst (SAP Payroll)</v>
      </c>
      <c r="D18" s="563" t="str">
        <f>Sheet2!$G$58</f>
        <v>EGI</v>
      </c>
      <c r="E18" s="552" t="str">
        <f>IF(LOWER(Sheet2!$Q$58)="v","Vacant",IF(LOWER(Sheet2!$Q$58)="pause","Paused",IF(LOWER(Sheet2!$Q$58)="cxc","Contractor","Filled")))</f>
        <v>Contractor</v>
      </c>
    </row>
    <row r="19">
      <c r="B19" s="563" t="str">
        <f>Sheet2!$B$59</f>
        <v>James Munt</v>
      </c>
      <c r="C19" s="567" t="str">
        <f>SUBSTITUTE(SUBSTITUTE(Sheet2!$C$59,"–","-"),"—","-")</f>
        <v>Program Manager Tech &amp; P&amp;C</v>
      </c>
      <c r="D19" s="563" t="str">
        <f>Sheet2!$G$59</f>
        <v>EGI</v>
      </c>
      <c r="E19" s="552" t="str">
        <f>IF(LOWER(Sheet2!$Q$59)="v","Vacant",IF(LOWER(Sheet2!$Q$59)="pause","Paused",IF(LOWER(Sheet2!$Q$59)="cxc","Contractor","Filled")))</f>
        <v>Contractor</v>
      </c>
    </row>
    <row r="20">
      <c r="B20" s="563" t="str">
        <f>Sheet2!$B$60</f>
        <v>Jason McNamara</v>
      </c>
      <c r="C20" s="567" t="str">
        <f>SUBSTITUTE(SUBSTITUTE(Sheet2!$C$60,"–","-"),"—","-")</f>
        <v>Project Manager Retail</v>
      </c>
      <c r="D20" s="563" t="str">
        <f>Sheet2!$G$60</f>
        <v>EGI</v>
      </c>
      <c r="E20" s="552" t="str">
        <f>IF(LOWER(Sheet2!$Q$60)="v","Vacant",IF(LOWER(Sheet2!$Q$60)="pause","Paused",IF(LOWER(Sheet2!$Q$60)="cxc","Contractor","Filled")))</f>
        <v>Contractor</v>
      </c>
    </row>
    <row r="21">
      <c r="B21" s="563" t="str">
        <f>Sheet2!$B$61</f>
        <v>Jason Sipkovic</v>
      </c>
      <c r="C21" s="567" t="str">
        <f>SUBSTITUTE(SUBSTITUTE(Sheet2!$C$61,"–","-"),"—","-")</f>
        <v>strategic program architect</v>
      </c>
      <c r="D21" s="563" t="str">
        <f>Sheet2!$G$61</f>
        <v>EGI</v>
      </c>
      <c r="E21" s="552" t="str">
        <f>IF(LOWER(Sheet2!$Q$61)="v","Vacant",IF(LOWER(Sheet2!$Q$61)="pause","Paused",IF(LOWER(Sheet2!$Q$61)="cxc","Contractor","Filled")))</f>
        <v>Contractor</v>
      </c>
    </row>
    <row r="22">
      <c r="B22" s="563" t="str">
        <f>Sheet2!$B$62</f>
        <v>Kanika Narula</v>
      </c>
      <c r="C22" s="567" t="str">
        <f>SUBSTITUTE(SUBSTITUTE(Sheet2!$C$62,"–","-"),"—","-")</f>
        <v>Business Analyst Digital</v>
      </c>
      <c r="D22" s="563" t="str">
        <f>Sheet2!$G$62</f>
        <v>EGI</v>
      </c>
      <c r="E22" s="552" t="str">
        <f>IF(LOWER(Sheet2!$Q$62)="v","Vacant",IF(LOWER(Sheet2!$Q$62)="pause","Paused",IF(LOWER(Sheet2!$Q$62)="cxc","Contractor","Filled")))</f>
        <v>Contractor</v>
      </c>
    </row>
    <row r="23">
      <c r="B23" s="563" t="str">
        <f>Sheet2!$B$63</f>
        <v>Karl Reyneke</v>
      </c>
      <c r="C23" s="567" t="str">
        <f>SUBSTITUTE(SUBSTITUTE(Sheet2!$C$63,"–","-"),"—","-")</f>
        <v>Strategic Delivery Consultant</v>
      </c>
      <c r="D23" s="563" t="str">
        <f>Sheet2!$G$63</f>
        <v>EGI</v>
      </c>
      <c r="E23" s="552" t="str">
        <f>IF(LOWER(Sheet2!$Q$63)="v","Vacant",IF(LOWER(Sheet2!$Q$63)="pause","Paused",IF(LOWER(Sheet2!$Q$63)="cxc","Contractor","Filled")))</f>
        <v>Contractor</v>
      </c>
    </row>
    <row r="24">
      <c r="B24" s="563" t="str">
        <f>Sheet2!$B$64</f>
        <v>michelle Siegman</v>
      </c>
      <c r="C24" s="567" t="str">
        <f>SUBSTITUTE(SUBSTITUTE(Sheet2!$C$64,"–","-"),"—","-")</f>
        <v>Strategic Delivery Consultant</v>
      </c>
      <c r="D24" s="563" t="str">
        <f>Sheet2!$G$64</f>
        <v>EGI</v>
      </c>
      <c r="E24" s="552" t="str">
        <f>IF(LOWER(Sheet2!$Q$64)="v","Vacant",IF(LOWER(Sheet2!$Q$64)="pause","Paused",IF(LOWER(Sheet2!$Q$64)="cxc","Contractor","Filled")))</f>
        <v>Contractor</v>
      </c>
    </row>
    <row r="25">
      <c r="B25" s="563" t="str">
        <f>Sheet2!$B$65</f>
        <v>Moitri Pal</v>
      </c>
      <c r="C25" s="567" t="str">
        <f>SUBSTITUTE(SUBSTITUTE(Sheet2!$C$65,"–","-"),"—","-")</f>
        <v>Portfolio Mnager</v>
      </c>
      <c r="D25" s="563" t="str">
        <f>Sheet2!$G$65</f>
        <v>EGI</v>
      </c>
      <c r="E25" s="552" t="str">
        <f>IF(LOWER(Sheet2!$Q$65)="v","Vacant",IF(LOWER(Sheet2!$Q$65)="pause","Paused",IF(LOWER(Sheet2!$Q$65)="cxc","Contractor","Filled")))</f>
        <v>Filled</v>
      </c>
    </row>
    <row r="26">
      <c r="B26" s="563" t="str">
        <f>Sheet2!$B$66</f>
        <v>Niall Greene</v>
      </c>
      <c r="C26" s="567" t="str">
        <f>SUBSTITUTE(SUBSTITUTE(Sheet2!$C$66,"–","-"),"—","-")</f>
        <v>Project Manager (PEP13-EGI-UKG)</v>
      </c>
      <c r="D26" s="563" t="str">
        <f>Sheet2!$G$66</f>
        <v>EGI</v>
      </c>
      <c r="E26" s="552" t="str">
        <f>IF(LOWER(Sheet2!$Q$66)="v","Vacant",IF(LOWER(Sheet2!$Q$66)="pause","Paused",IF(LOWER(Sheet2!$Q$66)="cxc","Contractor","Filled")))</f>
        <v>Contractor</v>
      </c>
    </row>
    <row r="27">
      <c r="B27" s="563" t="str">
        <f>Sheet2!$B$67</f>
        <v>Paul Hassey</v>
      </c>
      <c r="C27" s="567" t="str">
        <f>SUBSTITUTE(SUBSTITUTE(Sheet2!$C$67,"–","-"),"—","-")</f>
        <v>Program Architect</v>
      </c>
      <c r="D27" s="563" t="str">
        <f>Sheet2!$G$67</f>
        <v>EGI</v>
      </c>
      <c r="E27" s="552" t="str">
        <f>IF(LOWER(Sheet2!$Q$67)="v","Vacant",IF(LOWER(Sheet2!$Q$67)="pause","Paused",IF(LOWER(Sheet2!$Q$67)="cxc","Contractor","Filled")))</f>
        <v>Contractor</v>
      </c>
    </row>
    <row r="28">
      <c r="B28" s="563" t="str">
        <f>Sheet2!$B$68</f>
        <v>vijay Solanki</v>
      </c>
      <c r="C28" s="567" t="str">
        <f>SUBSTITUTE(SUBSTITUTE(Sheet2!$C$68,"–","-"),"—","-")</f>
        <v>Project Manager Deployment</v>
      </c>
      <c r="D28" s="563">
        <f>Sheet2!$G$68</f>
        <v>0.0</v>
      </c>
      <c r="E28" s="552" t="str">
        <f>IF(LOWER(Sheet2!$Q$68)="v","Vacant",IF(LOWER(Sheet2!$Q$68)="pause","Paused",IF(LOWER(Sheet2!$Q$68)="cxc","Contractor","Filled")))</f>
        <v>Contractor</v>
      </c>
    </row>
    <row r="29">
      <c r="B29" s="563" t="str">
        <f>Sheet2!$B$69</f>
        <v>Winnie Fernandes</v>
      </c>
      <c r="C29" s="567" t="str">
        <f>SUBSTITUTE(SUBSTITUTE(Sheet2!$C$69,"–","-"),"—","-")</f>
        <v>Delivery Lead - Integration</v>
      </c>
      <c r="D29" s="563" t="str">
        <f>Sheet2!$G$69</f>
        <v>EGI</v>
      </c>
      <c r="E29" s="552" t="str">
        <f>IF(LOWER(Sheet2!$Q$69)="v","Vacant",IF(LOWER(Sheet2!$Q$69)="pause","Paused",IF(LOWER(Sheet2!$Q$69)="cxc","Contractor","Filled")))</f>
        <v>Contractor</v>
      </c>
    </row>
    <row r="31">
      <c r="B31" s="548" t="inlineStr">
        <is>
          <t>Leadership roles - funded via portfolio overheads</t>
        </is>
      </c>
    </row>
    <row r="32">
      <c r="B32" s="571" t="inlineStr">
        <is>
          <t>Name</t>
        </is>
      </c>
      <c r="C32" s="571" t="inlineStr">
        <is>
          <t>Role</t>
        </is>
      </c>
      <c r="D32" s="571" t="inlineStr">
        <is>
          <t>Department</t>
        </is>
      </c>
      <c r="E32" s="571" t="inlineStr">
        <is>
          <t>Status</t>
        </is>
      </c>
      <c r="F32" s="571" t="inlineStr">
        <is>
          <t>Vacancy lever</t>
        </is>
      </c>
      <c r="G32" s="571" t="inlineStr">
        <is>
          <t>Cost if hired ($)</t>
        </is>
      </c>
    </row>
    <row r="33">
      <c r="B33" s="563" t="str">
        <f>IF(Squads!$R$15="Vacant","Vacant",Squads!$B$15)</f>
        <v>Vanessa Allen</v>
      </c>
      <c r="C33" s="567" t="str">
        <f>SUBSTITUTE(SUBSTITUTE(Squads!$C$15,"–","-"),"—","-")</f>
        <v>Delivery Manager</v>
      </c>
      <c r="D33" s="563" t="str">
        <f>Squads!$N$15</f>
        <v>Ampol Retail</v>
      </c>
      <c r="E33" s="552" t="str">
        <f>Squads!$R$15</f>
        <v>Filled</v>
      </c>
    </row>
    <row r="34">
      <c r="B34" s="563" t="str">
        <f>IF(Squads!$R$16="Vacant","Vacant",Squads!$B$16)</f>
        <v>Vaishnavi Viswanathan</v>
      </c>
      <c r="C34" s="567" t="str">
        <f>SUBSTITUTE(SUBSTITUTE(Squads!$C$16,"–","-"),"—","-")</f>
        <v>Technology Manager, Store Platform</v>
      </c>
      <c r="D34" s="563" t="str">
        <f>Squads!$N$16</f>
        <v>Ampol Retail</v>
      </c>
      <c r="E34" s="552" t="str">
        <f>Squads!$R$16</f>
        <v>Filled</v>
      </c>
    </row>
    <row r="35">
      <c r="B35" s="563" t="str">
        <f>IF(Squads!$R$17="Vacant","Vacant",Squads!$B$17)</f>
        <v>Tracy Lee Reaper</v>
      </c>
      <c r="C35" s="567" t="str">
        <f>SUBSTITUTE(SUBSTITUTE(Squads!$C$17,"–","-"),"—","-")</f>
        <v>Technology Manager, Merchandising &amp; WFM</v>
      </c>
      <c r="D35" s="563" t="str">
        <f>Squads!$N$17</f>
        <v>Ampol Retail</v>
      </c>
      <c r="E35" s="552" t="str">
        <f>Squads!$R$17</f>
        <v>Filled</v>
      </c>
    </row>
    <row r="36">
      <c r="B36" s="563" t="str">
        <f>IF(Squads!$R$32="Vacant","Vacant",Squads!$B$32)</f>
        <v>Vacant</v>
      </c>
      <c r="C36" s="567" t="str">
        <f>SUBSTITUTE(SUBSTITUTE(Squads!$C$32,"–","-"),"—","-")</f>
        <v>Delivery Manager</v>
      </c>
      <c r="D36" s="563" t="str">
        <f>Squads!$N$32</f>
        <v>Z Retail</v>
      </c>
      <c r="E36" s="552" t="str">
        <f>Squads!$R$32</f>
        <v>Vacant</v>
      </c>
      <c r="F36" s="590" t="inlineStr">
        <is>
          <t>Hold</t>
        </is>
      </c>
      <c r="G36" s="569">
        <f>SUMIF('Added data'!$C$2:$C$549,Squads!$C$32,'Added data'!$AA$2:$AA$549)/COUNTIF('Added data'!$C$2:$C$549,Squads!$C$32)</f>
        <v>278824.3722222222</v>
      </c>
    </row>
    <row r="37">
      <c r="B37" s="563" t="str">
        <f>IF(Squads!$R$35="Vacant","Vacant",Squads!$B$35)</f>
        <v>Emma Natoli</v>
      </c>
      <c r="C37" s="567" t="str">
        <f>SUBSTITUTE(SUBSTITUTE(Squads!$C$35,"–","-"),"—","-")</f>
        <v>Technology Manager, Engineering</v>
      </c>
      <c r="D37" s="563" t="str">
        <f>Squads!$N$35</f>
        <v>Z Retail</v>
      </c>
      <c r="E37" s="552" t="str">
        <f>Squads!$R$35</f>
        <v>Filled</v>
      </c>
    </row>
    <row r="38">
      <c r="B38" s="563" t="str">
        <f>IF(Squads!$R$57="Vacant","Vacant",Squads!$B$57)</f>
        <v>Callan McLaughlin</v>
      </c>
      <c r="C38" s="567" t="str">
        <f>SUBSTITUTE(SUBSTITUTE(Squads!$C$57,"–","-"),"—","-")</f>
        <v>Technology Manager, Site Systems</v>
      </c>
      <c r="D38" s="563" t="str">
        <f>Squads!$N$57</f>
        <v>Z Retail</v>
      </c>
      <c r="E38" s="552" t="str">
        <f>Squads!$R$57</f>
        <v>Filled</v>
      </c>
    </row>
    <row r="39">
      <c r="B39" s="563" t="str">
        <f>IF(Squads!$R$71="Vacant","Vacant",Squads!$B$71)</f>
        <v>Vedran Jukic</v>
      </c>
      <c r="C39" s="567" t="str">
        <f>SUBSTITUTE(SUBSTITUTE(Squads!$C$71,"–","-"),"—","-")</f>
        <v>Technology Manager, Retail</v>
      </c>
      <c r="D39" s="563" t="str">
        <f>Squads!$N$71</f>
        <v>Ampol Retail</v>
      </c>
      <c r="E39" s="552" t="str">
        <f>Squads!$R$71</f>
        <v>Filled</v>
      </c>
    </row>
    <row r="40">
      <c r="B40" s="563" t="str">
        <f>IF(Squads!$R$97="Vacant","Vacant",Squads!$B$97)</f>
        <v>Madan Murthy</v>
      </c>
      <c r="C40" s="567" t="str">
        <f>SUBSTITUTE(SUBSTITUTE(Squads!$C$97,"–","-"),"—","-")</f>
        <v>Head of Technology, AU Retail</v>
      </c>
      <c r="D40" s="563" t="str">
        <f>Squads!$N$97</f>
        <v>Ampol Retail</v>
      </c>
      <c r="E40" s="552" t="str">
        <f>Squads!$R$97</f>
        <v>Filled</v>
      </c>
    </row>
    <row r="41" ht="29" customHeight="1" s="849">
      <c r="B41" s="563" t="str">
        <f>IF(Squads!$R$98="Vacant","Vacant",Squads!$B$98)</f>
        <v>Vacant</v>
      </c>
      <c r="C41" s="567" t="str">
        <f>SUBSTITUTE(SUBSTITUTE(Squads!$C$98,"–","-"),"—","-")</f>
        <v>Head of Technology, Z and Group Retail Platforms</v>
      </c>
      <c r="D41" s="563" t="str">
        <f>Squads!$N$98</f>
        <v>Z Retail</v>
      </c>
      <c r="E41" s="552" t="str">
        <f>Squads!$R$98</f>
        <v>Vacant</v>
      </c>
      <c r="F41" s="590" t="inlineStr">
        <is>
          <t>Hold</t>
        </is>
      </c>
      <c r="G41" s="569">
        <f>SUMIF('Added data'!$C$2:$C$549,Squads!$C$98,'Added data'!$AA$2:$AA$549)/COUNTIF('Added data'!$C$2:$C$549,Squads!$C$98)</f>
        <v>291422.0</v>
      </c>
    </row>
    <row r="42">
      <c r="B42" s="563" t="str">
        <f>IF(Squads!$R$115="Vacant","Vacant",Squads!$B$115)</f>
        <v>Jill Martin</v>
      </c>
      <c r="C42" s="567" t="str">
        <f>SUBSTITUTE(SUBSTITUTE(Squads!$C$115,"–","-"),"—","-")</f>
        <v>Delivery Manager</v>
      </c>
      <c r="D42" s="563" t="str">
        <f>Squads!$N$115</f>
        <v>Customer</v>
      </c>
      <c r="E42" s="552" t="str">
        <f>Squads!$R$115</f>
        <v>Filled</v>
      </c>
    </row>
    <row r="43">
      <c r="B43" s="563" t="str">
        <f>IF(Squads!$R$123="Vacant","Vacant",Squads!$B$123)</f>
        <v>Vacant</v>
      </c>
      <c r="C43" s="567" t="str">
        <f>SUBSTITUTE(SUBSTITUTE(Squads!$C$123,"–","-"),"—","-")</f>
        <v>Program Manager</v>
      </c>
      <c r="D43" s="563" t="str">
        <f>Squads!$N$123</f>
        <v>Customer</v>
      </c>
      <c r="E43" s="552" t="str">
        <f>Squads!$R$123</f>
        <v>Vacant</v>
      </c>
      <c r="F43" s="590" t="inlineStr">
        <is>
          <t>Hold</t>
        </is>
      </c>
      <c r="G43" s="569">
        <f>SUMIF('Added data'!$C$2:$C$549,Squads!$C$123,'Added data'!$AA$2:$AA$549)/COUNTIF('Added data'!$C$2:$C$549,Squads!$C$123)</f>
        <v>275810.25</v>
      </c>
    </row>
    <row r="44">
      <c r="B44" s="563" t="str">
        <f>IF(Squads!$R$124="Vacant","Vacant",Squads!$B$124)</f>
        <v>Shona Paul</v>
      </c>
      <c r="C44" s="567" t="str">
        <f>SUBSTITUTE(SUBSTITUTE(Squads!$C$124,"–","-"),"—","-")</f>
        <v>Head of Technology - Digital</v>
      </c>
      <c r="D44" s="563" t="str">
        <f>Squads!$N$124</f>
        <v>Customer</v>
      </c>
      <c r="E44" s="552" t="str">
        <f>Squads!$R$124</f>
        <v>Filled</v>
      </c>
    </row>
    <row r="45">
      <c r="B45" s="563" t="str">
        <f>IF(Squads!$R$142="Vacant","Vacant",Squads!$B$142)</f>
        <v>Byron Thornhill</v>
      </c>
      <c r="C45" s="567" t="str">
        <f>SUBSTITUTE(SUBSTITUTE(Squads!$C$142,"–","-"),"—","-")</f>
        <v>Design Manager</v>
      </c>
      <c r="D45" s="563" t="str">
        <f>Squads!$N$142</f>
        <v>Customer</v>
      </c>
      <c r="E45" s="552" t="str">
        <f>Squads!$R$142</f>
        <v>Filled</v>
      </c>
    </row>
    <row r="46">
      <c r="B46" s="563" t="str">
        <f>IF(Squads!$R$143="Vacant","Vacant",Squads!$B$143)</f>
        <v>Adriel Jeyanandhan</v>
      </c>
      <c r="C46" s="567" t="str">
        <f>SUBSTITUTE(SUBSTITUTE(Squads!$C$143,"–","-"),"—","-")</f>
        <v>Delivery Manager</v>
      </c>
      <c r="D46" s="563" t="str">
        <f>Squads!$N$143</f>
        <v>Customer</v>
      </c>
      <c r="E46" s="552" t="str">
        <f>Squads!$R$143</f>
        <v>Filled</v>
      </c>
    </row>
    <row r="47">
      <c r="B47" s="563" t="str">
        <f>IF(Squads!$R$152="Vacant","Vacant",Squads!$B$152)</f>
        <v>Zoe Udy</v>
      </c>
      <c r="C47" s="567" t="str">
        <f>SUBSTITUTE(SUBSTITUTE(Squads!$C$152,"–","-"),"—","-")</f>
        <v>Technology Manager - Data &amp; Engineering</v>
      </c>
      <c r="D47" s="563" t="str">
        <f>Squads!$N$152</f>
        <v>Customer</v>
      </c>
      <c r="E47" s="552" t="str">
        <f>Squads!$R$152</f>
        <v>Filled</v>
      </c>
    </row>
    <row r="48">
      <c r="B48" s="563" t="str">
        <f>IF(Squads!$R$154="Vacant","Vacant",Squads!$B$154)</f>
        <v>Mitesh Shah</v>
      </c>
      <c r="C48" s="567" t="str">
        <f>SUBSTITUTE(SUBSTITUTE(Squads!$C$154,"–","-"),"—","-")</f>
        <v>Technology Manager - Digital</v>
      </c>
      <c r="D48" s="563" t="str">
        <f>Squads!$N$154</f>
        <v>Customer</v>
      </c>
      <c r="E48" s="552" t="str">
        <f>Squads!$R$154</f>
        <v>Filled</v>
      </c>
    </row>
    <row r="49">
      <c r="B49" s="563" t="str">
        <f>IF(Squads!$R$155="Vacant","Vacant",Squads!$B$155)</f>
        <v>Kris Hamilton</v>
      </c>
      <c r="C49" s="567" t="str">
        <f>SUBSTITUTE(SUBSTITUTE(Squads!$C$155,"–","-"),"—","-")</f>
        <v>Technology Manager - Loyalty &amp; Martech</v>
      </c>
      <c r="D49" s="563" t="str">
        <f>Squads!$N$155</f>
        <v>Customer</v>
      </c>
      <c r="E49" s="552" t="str">
        <f>Squads!$R$155</f>
        <v>Filled</v>
      </c>
    </row>
    <row r="50">
      <c r="B50" s="563" t="str">
        <f>IF(Squads!$R$160="Vacant","Vacant",Squads!$B$160)</f>
        <v>Vacant</v>
      </c>
      <c r="C50" s="567" t="str">
        <f>SUBSTITUTE(SUBSTITUTE(Squads!$C$160,"–","-"),"—","-")</f>
        <v>AI Enablement Lead</v>
      </c>
      <c r="D50" s="563" t="str">
        <f>Squads!$N$160</f>
        <v>Customer</v>
      </c>
      <c r="E50" s="552" t="str">
        <f>Squads!$R$160</f>
        <v>Vacant</v>
      </c>
      <c r="F50" s="590" t="inlineStr">
        <is>
          <t>Hold</t>
        </is>
      </c>
      <c r="G50" s="569">
        <f>SUMIF('Added data'!$C$2:$C$549,Squads!$C$160,'Added data'!$AA$2:$AA$549)/COUNTIF('Added data'!$C$2:$C$549,Squads!$C$160)</f>
        <v>275810.25</v>
      </c>
    </row>
    <row r="51">
      <c r="B51" s="563" t="str">
        <f>IF(Squads!$R$175="Vacant","Vacant",Squads!$B$175)</f>
        <v>Christian Lazano</v>
      </c>
      <c r="C51" s="567" t="str">
        <f>SUBSTITUTE(SUBSTITUTE(Squads!$C$175,"–","-"),"—","-")</f>
        <v>Business Analyst</v>
      </c>
      <c r="D51" s="563" t="str">
        <f>Squads!$N$175</f>
        <v>Customer</v>
      </c>
      <c r="E51" s="552" t="str">
        <f>Squads!$R$175</f>
        <v>Filled</v>
      </c>
    </row>
    <row r="52">
      <c r="B52" s="563" t="str">
        <f>IF(Squads!$R$176="Vacant","Vacant",Squads!$B$176)</f>
        <v>Abhilash Reddy</v>
      </c>
      <c r="C52" s="567" t="str">
        <f>SUBSTITUTE(SUBSTITUTE(Squads!$C$176,"–","-"),"—","-")</f>
        <v>Project Manager</v>
      </c>
      <c r="D52" s="563" t="str">
        <f>Squads!$N$176</f>
        <v>Customer</v>
      </c>
      <c r="E52" s="552" t="str">
        <f>Squads!$R$176</f>
        <v>Filled</v>
      </c>
    </row>
    <row r="53">
      <c r="B53" s="563" t="str">
        <f>IF(Squads!$R$188="Vacant","Vacant",Squads!$B$188)</f>
        <v>Vacant</v>
      </c>
      <c r="C53" s="567" t="str">
        <f>SUBSTITUTE(SUBSTITUTE(Squads!$C$188,"–","-"),"—","-")</f>
        <v>Technology Manager, Engineering</v>
      </c>
      <c r="D53" s="563" t="str">
        <f>Squads!$N$188</f>
        <v>Customer</v>
      </c>
      <c r="E53" s="552" t="str">
        <f>Squads!$R$188</f>
        <v>Vacant</v>
      </c>
      <c r="F53" s="590" t="inlineStr">
        <is>
          <t>Hold</t>
        </is>
      </c>
      <c r="G53" s="569">
        <f>SUMIF('Added data'!$C$2:$C$549,Squads!$C$188,'Added data'!$AA$2:$AA$549)/COUNTIF('Added data'!$C$2:$C$549,Squads!$C$188)</f>
        <v>275810.25</v>
      </c>
    </row>
    <row r="54">
      <c r="B54" s="563" t="str">
        <f>IF(Squads!$R$190="Vacant","Vacant",Squads!$B$190)</f>
        <v>Andy Stewart</v>
      </c>
      <c r="C54" s="567" t="str">
        <f>SUBSTITUTE(SUBSTITUTE(Squads!$C$190,"–","-"),"—","-")</f>
        <v>Head of Technology, Loyalty &amp; Martech</v>
      </c>
      <c r="D54" s="563" t="str">
        <f>Squads!$N$190</f>
        <v>Customer</v>
      </c>
      <c r="E54" s="552" t="str">
        <f>Squads!$R$190</f>
        <v>Filled</v>
      </c>
    </row>
    <row r="55">
      <c r="B55" s="563" t="str">
        <f>IF(Squads!$R$201="Vacant","Vacant",Squads!$B$201)</f>
        <v>Vacant</v>
      </c>
      <c r="C55" s="567" t="str">
        <f>SUBSTITUTE(SUBSTITUTE(Squads!$C$201,"–","-"),"—","-")</f>
        <v>Snr Business Analyst</v>
      </c>
      <c r="D55" s="563" t="str">
        <f>Squads!$N$201</f>
        <v>Customer</v>
      </c>
      <c r="E55" s="552" t="str">
        <f>Squads!$R$201</f>
        <v>Vacant</v>
      </c>
      <c r="F55" s="590" t="inlineStr">
        <is>
          <t>Hold</t>
        </is>
      </c>
      <c r="G55" s="569">
        <f>SUMIF('Added data'!$C$2:$C$549,Squads!$C$201,'Added data'!$AA$2:$AA$549)/COUNTIF('Added data'!$C$2:$C$549,Squads!$C$201)</f>
        <v>236102.16</v>
      </c>
    </row>
    <row r="56">
      <c r="B56" s="563" t="str">
        <f>IF(Squads!$R$252="Vacant","Vacant",Squads!$B$252)</f>
        <v>Shruti Manchanda</v>
      </c>
      <c r="C56" s="567" t="str">
        <f>SUBSTITUTE(SUBSTITUTE(Squads!$C$252,"–","-"),"—","-")</f>
        <v>Cyber GRC Analyst</v>
      </c>
      <c r="D56" s="563" t="str">
        <f>Squads!$N$252</f>
        <v>Unmapped</v>
      </c>
      <c r="E56" s="552" t="str">
        <f>Squads!$R$252</f>
        <v>Filled</v>
      </c>
    </row>
    <row r="57">
      <c r="B57" s="563" t="str">
        <f>IF(Squads!$R$290="Vacant","Vacant",Squads!$B$290)</f>
        <v>Sanjay Tikoo</v>
      </c>
      <c r="C57" s="567" t="str">
        <f>SUBSTITUTE(SUBSTITUTE(Squads!$C$290,"–","-"),"—","-")</f>
        <v>Principal, Data Architecture &amp; Governance</v>
      </c>
      <c r="D57" s="563" t="str">
        <f>Squads!$N$290</f>
        <v>COE</v>
      </c>
      <c r="E57" s="552" t="str">
        <f>Squads!$R$290</f>
        <v>Filled</v>
      </c>
    </row>
    <row r="58" ht="29" customHeight="1" s="849">
      <c r="B58" s="563" t="str">
        <f>IF(Squads!$R$291="Vacant","Vacant",Squads!$B$291)</f>
        <v>Vacant</v>
      </c>
      <c r="C58" s="567" t="str">
        <f>SUBSTITUTE(SUBSTITUTE(Squads!$C$291,"–","-"),"—","-")</f>
        <v>Technology Manager, Data Engineering &amp; Platforms</v>
      </c>
      <c r="D58" s="563" t="str">
        <f>Squads!$N$291</f>
        <v>COE</v>
      </c>
      <c r="E58" s="552" t="str">
        <f>Squads!$R$291</f>
        <v>Vacant</v>
      </c>
      <c r="F58" s="590" t="inlineStr">
        <is>
          <t>Hold</t>
        </is>
      </c>
      <c r="G58" s="569">
        <f>SUMIF('Added data'!$C$2:$C$549,Squads!$C$291,'Added data'!$AA$2:$AA$549)/COUNTIF('Added data'!$C$2:$C$549,Squads!$C$291)</f>
        <v>320862.0</v>
      </c>
    </row>
    <row r="59">
      <c r="B59" s="563" t="str">
        <f>IF(Squads!$R$306="Vacant","Vacant",Squads!$B$306)</f>
        <v>Vacant</v>
      </c>
      <c r="C59" s="567" t="str">
        <f>SUBSTITUTE(SUBSTITUTE(Squads!$C$306,"–","-"),"—","-")</f>
        <v>Senior Communications Advisor</v>
      </c>
      <c r="D59" s="563" t="str">
        <f>Squads!$N$306</f>
        <v>COE</v>
      </c>
      <c r="E59" s="552" t="str">
        <f>Squads!$R$306</f>
        <v>Vacant</v>
      </c>
      <c r="F59" s="590" t="inlineStr">
        <is>
          <t>Hold</t>
        </is>
      </c>
      <c r="G59" s="569">
        <f>SUMIF('Added data'!$C$2:$C$549,Squads!$C$306,'Added data'!$AA$2:$AA$549)/COUNTIF('Added data'!$C$2:$C$549,Squads!$C$306)</f>
        <v>186900.0</v>
      </c>
    </row>
    <row r="60">
      <c r="B60" s="563" t="str">
        <f>IF(Squads!$R$307="Vacant","Vacant",Squads!$B$307)</f>
        <v>James Holgate</v>
      </c>
      <c r="C60" s="567" t="str">
        <f>SUBSTITUTE(SUBSTITUTE(Squads!$C$307,"–","-"),"—","-")</f>
        <v>Head of Technology,  Group Data</v>
      </c>
      <c r="D60" s="563" t="str">
        <f>Squads!$N$307</f>
        <v>COE</v>
      </c>
      <c r="E60" s="552" t="str">
        <f>Squads!$R$307</f>
        <v>Filled</v>
      </c>
    </row>
    <row r="61" ht="29" customHeight="1" s="849">
      <c r="B61" s="563" t="str">
        <f>IF(Squads!$R$308="Vacant","Vacant",Squads!$B$308)</f>
        <v>Joel Vijayakumar</v>
      </c>
      <c r="C61" s="567" t="str">
        <f>SUBSTITUTE(SUBSTITUTE(Squads!$C$308,"–","-"),"—","-")</f>
        <v>Delivery Manager, Strategy, Architecture &amp; Data</v>
      </c>
      <c r="D61" s="563" t="str">
        <f>Squads!$N$308</f>
        <v>COE</v>
      </c>
      <c r="E61" s="552" t="str">
        <f>Squads!$R$308</f>
        <v>Filled</v>
      </c>
    </row>
    <row r="62">
      <c r="B62" s="563" t="str">
        <f>IF(Squads!$R$309="Vacant","Vacant",Squads!$B$309)</f>
        <v>Vacant</v>
      </c>
      <c r="C62" s="567" t="str">
        <f>SUBSTITUTE(SUBSTITUTE(Squads!$C$309,"–","-"),"—","-")</f>
        <v>Head of Technology Strategy &amp; AI Capability</v>
      </c>
      <c r="D62" s="563" t="str">
        <f>Squads!$N$309</f>
        <v>COE</v>
      </c>
      <c r="E62" s="552" t="str">
        <f>Squads!$R$309</f>
        <v>Vacant</v>
      </c>
      <c r="F62" s="590" t="inlineStr">
        <is>
          <t>Hold</t>
        </is>
      </c>
      <c r="G62" s="569">
        <f>SUMIF('Added data'!$C$2:$C$549,Squads!$C$309,'Added data'!$AA$2:$AA$549)/COUNTIF('Added data'!$C$2:$C$549,Squads!$C$309)</f>
        <v>333020.25</v>
      </c>
    </row>
    <row r="63">
      <c r="B63" s="563" t="str">
        <f>IF(Squads!$R$317="Vacant","Vacant",Squads!$B$317)</f>
        <v>Mitchell Clarke</v>
      </c>
      <c r="C63" s="567" t="str">
        <f>SUBSTITUTE(SUBSTITUTE(Squads!$C$317,"–","-"),"—","-")</f>
        <v>Snr Data Governance Specialist</v>
      </c>
      <c r="D63" s="563" t="str">
        <f>Squads!$N$317</f>
        <v>COE</v>
      </c>
      <c r="E63" s="552" t="str">
        <f>Squads!$R$317</f>
        <v>Filled</v>
      </c>
    </row>
    <row r="64">
      <c r="B64" s="563" t="str">
        <f>IF(Squads!$R$323="Vacant","Vacant",Squads!$B$323)</f>
        <v>Jonathan Robinson</v>
      </c>
      <c r="C64" s="567" t="str">
        <f>SUBSTITUTE(SUBSTITUTE(Squads!$C$323,"–","-"),"—","-")</f>
        <v>Technology Manager  Data Science</v>
      </c>
      <c r="D64" s="563" t="str">
        <f>Squads!$N$323</f>
        <v>COE</v>
      </c>
      <c r="E64" s="552" t="str">
        <f>Squads!$R$323</f>
        <v>Filled</v>
      </c>
    </row>
    <row r="65">
      <c r="B65" s="563" t="str">
        <f>IF(Squads!$R$340="Vacant","Vacant",Squads!$B$340)</f>
        <v>Ed Tacey</v>
      </c>
      <c r="C65" s="567" t="str">
        <f>SUBSTITUTE(SUBSTITUTE(Squads!$C$340,"–","-"),"—","-")</f>
        <v>Head of Architecture</v>
      </c>
      <c r="D65" s="563" t="str">
        <f>Squads!$N$340</f>
        <v>Unmapped</v>
      </c>
      <c r="E65" s="552" t="str">
        <f>Squads!$R$340</f>
        <v>Filled</v>
      </c>
    </row>
    <row r="66">
      <c r="B66" s="563" t="str">
        <f>IF(Squads!$R$351="Vacant","Vacant",Squads!$B$351)</f>
        <v>Vacant</v>
      </c>
      <c r="C66" s="567" t="str">
        <f>SUBSTITUTE(SUBSTITUTE(Squads!$C$351,"–","-"),"—","-")</f>
        <v>Technology Manager Data</v>
      </c>
      <c r="D66" s="563" t="str">
        <f>Squads!$N$351</f>
        <v>Infrastructure</v>
      </c>
      <c r="E66" s="552" t="str">
        <f>Squads!$R$351</f>
        <v>Vacant</v>
      </c>
      <c r="F66" s="590" t="inlineStr">
        <is>
          <t>Hold</t>
        </is>
      </c>
      <c r="G66" s="569">
        <f>SUMIF('Added data'!$C$2:$C$549,Squads!$C$351,'Added data'!$AA$2:$AA$549)/COUNTIF('Added data'!$C$2:$C$549,Squads!$C$351)</f>
        <v>275810.25</v>
      </c>
    </row>
    <row r="67">
      <c r="B67" s="563" t="str">
        <f>IF(Squads!$R$353="Vacant","Vacant",Squads!$B$353)</f>
        <v>Prem Shetty</v>
      </c>
      <c r="C67" s="567" t="str">
        <f>SUBSTITUTE(SUBSTITUTE(Squads!$C$353,"–","-"),"—","-")</f>
        <v>Delivery manager</v>
      </c>
      <c r="D67" s="563" t="str">
        <f>Squads!$N$353</f>
        <v>Infrastructure</v>
      </c>
      <c r="E67" s="552" t="str">
        <f>Squads!$R$353</f>
        <v>Filled</v>
      </c>
    </row>
    <row r="68">
      <c r="B68" s="563" t="str">
        <f>IF(Squads!$R$354="Vacant","Vacant",Squads!$B$354)</f>
        <v>George Moun</v>
      </c>
      <c r="C68" s="567" t="str">
        <f>SUBSTITUTE(SUBSTITUTE(Squads!$C$354,"–","-"),"—","-")</f>
        <v>Solution Architect</v>
      </c>
      <c r="D68" s="563" t="str">
        <f>Squads!$N$354</f>
        <v>Infrastructure</v>
      </c>
      <c r="E68" s="552" t="str">
        <f>Squads!$R$354</f>
        <v>Filled</v>
      </c>
    </row>
    <row r="69">
      <c r="B69" s="563" t="str">
        <f>IF(Squads!$R$373="Vacant","Vacant",Squads!$B$373)</f>
        <v>Elle Spencer</v>
      </c>
      <c r="C69" s="567" t="str">
        <f>SUBSTITUTE(SUBSTITUTE(Squads!$C$373,"–","-"),"—","-")</f>
        <v>Technology Manager - B2B</v>
      </c>
      <c r="D69" s="563" t="str">
        <f>Squads!$N$373</f>
        <v>Energy Solutions &amp; B2B</v>
      </c>
      <c r="E69" s="552" t="str">
        <f>Squads!$R$373</f>
        <v>Filled</v>
      </c>
    </row>
    <row r="70">
      <c r="B70" s="563" t="str">
        <f>IF(Squads!$R$375="Vacant","Vacant",Squads!$B$375)</f>
        <v>Vacant</v>
      </c>
      <c r="C70" s="567" t="str">
        <f>SUBSTITUTE(SUBSTITUTE(Squads!$C$375,"–","-"),"—","-")</f>
        <v>Delivery manager</v>
      </c>
      <c r="D70" s="563" t="str">
        <f>Squads!$N$375</f>
        <v>Energy Solutions &amp; B2B</v>
      </c>
      <c r="E70" s="552" t="str">
        <f>Squads!$R$375</f>
        <v>Vacant</v>
      </c>
      <c r="F70" s="590" t="inlineStr">
        <is>
          <t>Hold</t>
        </is>
      </c>
      <c r="G70" s="569">
        <f>SUMIF('Added data'!$C$2:$C$549,Squads!$C$375,'Added data'!$AA$2:$AA$549)/COUNTIF('Added data'!$C$2:$C$549,Squads!$C$375)</f>
        <v>278824.3722222222</v>
      </c>
    </row>
    <row r="71">
      <c r="B71" s="563" t="str">
        <f>IF(Squads!$R$380="Vacant","Vacant",Squads!$B$380)</f>
        <v>Amish Pandit</v>
      </c>
      <c r="C71" s="567" t="str">
        <f>SUBSTITUTE(SUBSTITUTE(Squads!$C$380,"–","-"),"—","-")</f>
        <v>Head of Technology, Fuel Infrastructure</v>
      </c>
      <c r="D71" s="563" t="str">
        <f>Squads!$N$380</f>
        <v>Infrastructure</v>
      </c>
      <c r="E71" s="552" t="str">
        <f>Squads!$R$380</f>
        <v>Filled</v>
      </c>
    </row>
    <row r="72">
      <c r="B72" s="563" t="str">
        <f>IF(Squads!$R$381="Vacant","Vacant",Squads!$B$381)</f>
        <v>Liesl Tye</v>
      </c>
      <c r="C72" s="567" t="str">
        <f>SUBSTITUTE(SUBSTITUTE(Squads!$C$381,"–","-"),"—","-")</f>
        <v>Head of Technology, B2B &amp; Energy Solutions</v>
      </c>
      <c r="D72" s="563" t="str">
        <f>Squads!$N$381</f>
        <v>Energy Solutions &amp; B2B</v>
      </c>
      <c r="E72" s="552" t="str">
        <f>Squads!$R$381</f>
        <v>Filled</v>
      </c>
    </row>
    <row r="73">
      <c r="B73" s="563" t="str">
        <f>IF(Squads!$R$405="Vacant","Vacant",Squads!$B$405)</f>
        <v>Karla Orozco Loza</v>
      </c>
      <c r="C73" s="567" t="str">
        <f>SUBSTITUTE(SUBSTITUTE(Squads!$C$405,"–","-"),"—","-")</f>
        <v>Technology Manager, Future Infrastructure </v>
      </c>
      <c r="D73" s="563" t="str">
        <f>Squads!$N$405</f>
        <v>Infrastructure</v>
      </c>
      <c r="E73" s="552" t="str">
        <f>Squads!$R$405</f>
        <v>Filled</v>
      </c>
    </row>
    <row r="74">
      <c r="B74" s="563" t="str">
        <f>IF(Squads!$R$492="Vacant","Vacant",Squads!$B$492)</f>
        <v>Vacant</v>
      </c>
      <c r="C74" s="567" t="str">
        <f>SUBSTITUTE(SUBSTITUTE(Squads!$C$492,"–","-"),"—","-")</f>
        <v>Snr Engineer</v>
      </c>
      <c r="D74" s="563" t="str">
        <f>Squads!$N$492</f>
        <v>Energy Solutions &amp; B2B</v>
      </c>
      <c r="E74" s="552" t="str">
        <f>Squads!$R$492</f>
        <v>Vacant</v>
      </c>
      <c r="F74" s="590" t="inlineStr">
        <is>
          <t>Hold</t>
        </is>
      </c>
      <c r="G74" s="569">
        <f>SUMIF('Added data'!$C$2:$C$549,Squads!$C$492,'Added data'!$AA$2:$AA$549)/COUNTIF('Added data'!$C$2:$C$549,Squads!$C$492)</f>
        <v>163253.64</v>
      </c>
    </row>
    <row r="75">
      <c r="B75" s="563" t="str">
        <f>IF(Squads!$R$493="Vacant","Vacant",Squads!$B$493)</f>
        <v>Shane Ker</v>
      </c>
      <c r="C75" s="567" t="str">
        <f>SUBSTITUTE(SUBSTITUTE(Squads!$C$493,"–","-"),"—","-")</f>
        <v>Technology Manger - Finance Platfoms</v>
      </c>
      <c r="D75" s="563" t="str">
        <f>Squads!$N$493</f>
        <v>Finance</v>
      </c>
      <c r="E75" s="552" t="str">
        <f>Squads!$R$493</f>
        <v>Filled</v>
      </c>
    </row>
    <row r="76">
      <c r="B76" s="563" t="str">
        <f>IF(Squads!$R$494="Vacant","Vacant",Squads!$B$494)</f>
        <v>Dave O'Keefe</v>
      </c>
      <c r="C76" s="567" t="str">
        <f>SUBSTITUTE(SUBSTITUTE(Squads!$C$494,"–","-"),"—","-")</f>
        <v>Technology Manager - P&amp;C Platforms</v>
      </c>
      <c r="D76" s="563" t="str">
        <f>Squads!$N$494</f>
        <v>P&amp;C</v>
      </c>
      <c r="E76" s="552" t="str">
        <f>Squads!$R$494</f>
        <v>Filled</v>
      </c>
    </row>
    <row r="77">
      <c r="B77" s="563" t="str">
        <f>IF(Squads!$R$495="Vacant","Vacant",Squads!$B$495)</f>
        <v>Vaso Vukovic</v>
      </c>
      <c r="C77" s="567" t="str">
        <f>SUBSTITUTE(SUBSTITUTE(Squads!$C$495,"–","-"),"—","-")</f>
        <v>Head of Technology - P&amp;C, Finance &amp; Legal</v>
      </c>
      <c r="D77" s="563" t="str">
        <f>Squads!$N$495</f>
        <v>P&amp;C</v>
      </c>
      <c r="E77" s="552" t="str">
        <f>Squads!$R$495</f>
        <v>Filled</v>
      </c>
    </row>
    <row r="78">
      <c r="B78" s="563" t="str">
        <f>IF(Squads!$R$496="Vacant","Vacant",Squads!$B$496)</f>
        <v>Vacant</v>
      </c>
      <c r="C78" s="567" t="str">
        <f>SUBSTITUTE(SUBSTITUTE(Squads!$C$496,"–","-"),"—","-")</f>
        <v>Delivery Manager</v>
      </c>
      <c r="D78" s="563" t="str">
        <f>Squads!$N$496</f>
        <v>P&amp;C</v>
      </c>
      <c r="E78" s="552" t="str">
        <f>Squads!$R$496</f>
        <v>Vacant</v>
      </c>
      <c r="F78" s="590" t="inlineStr">
        <is>
          <t>Hold</t>
        </is>
      </c>
      <c r="G78" s="569">
        <f>SUMIF('Added data'!$C$2:$C$549,Squads!$C$496,'Added data'!$AA$2:$AA$549)/COUNTIF('Added data'!$C$2:$C$549,Squads!$C$496)</f>
        <v>278824.3722222222</v>
      </c>
    </row>
    <row r="79" ht="29" customHeight="1" s="849">
      <c r="B79" s="563" t="str">
        <f>IF(Squads!$R$497="Vacant","Vacant",Squads!$B$497)</f>
        <v>Vacant</v>
      </c>
      <c r="C79" s="567" t="str">
        <f>SUBSTITUTE(SUBSTITUTE(Squads!$C$497,"–","-"),"—","-")</f>
        <v>Head of Technology - TDD &amp; Engineering Capability Lead</v>
      </c>
      <c r="D79" s="563" t="str">
        <f>Squads!$N$497</f>
        <v>TDD Group Functions</v>
      </c>
      <c r="E79" s="552" t="str">
        <f>Squads!$R$497</f>
        <v>Vacant</v>
      </c>
      <c r="F79" s="590" t="inlineStr">
        <is>
          <t>Hold</t>
        </is>
      </c>
      <c r="G79" s="569">
        <f>SUMIF('Added data'!$C$2:$C$549,Squads!$C$497,'Added data'!$AA$2:$AA$549)/COUNTIF('Added data'!$C$2:$C$549,Squads!$C$497)</f>
        <v>333020.25</v>
      </c>
    </row>
    <row r="80">
      <c r="B80" s="563" t="str">
        <f>IF(Squads!$R$498="Vacant","Vacant",Squads!$B$498)</f>
        <v>Nakul Bharade</v>
      </c>
      <c r="C80" s="567" t="str">
        <f>SUBSTITUTE(SUBSTITUTE(Squads!$C$498,"–","-"),"—","-")</f>
        <v>Lead Engineer Software</v>
      </c>
      <c r="D80" s="563" t="str">
        <f>Squads!$N$498</f>
        <v>TDD Group Functions</v>
      </c>
      <c r="E80" s="552" t="str">
        <f>Squads!$R$498</f>
        <v>Filled</v>
      </c>
    </row>
    <row r="81" ht="29" customHeight="1" s="849">
      <c r="B81" s="563" t="str">
        <f>IF(Squads!$R$499="Vacant","Vacant",Squads!$B$499)</f>
        <v>Murray Mitchell</v>
      </c>
      <c r="C81" s="567" t="str">
        <f>SUBSTITUTE(SUBSTITUTE(Squads!$C$499,"–","-"),"—","-")</f>
        <v>Technology Manager, Workplace and Enterprise Tooling</v>
      </c>
      <c r="D81" s="563" t="str">
        <f>Squads!$N$499</f>
        <v>TDD Group Functions</v>
      </c>
      <c r="E81" s="552" t="str">
        <f>Squads!$R$499</f>
        <v>Filled</v>
      </c>
    </row>
    <row r="82" ht="29" customHeight="1" s="849">
      <c r="B82" s="563" t="str">
        <f>IF(Squads!$R$500="Vacant","Vacant",Squads!$B$500)</f>
        <v>Vacant</v>
      </c>
      <c r="C82" s="567" t="str">
        <f>SUBSTITUTE(SUBSTITUTE(Squads!$C$500,"–","-"),"—","-")</f>
        <v>Technology Manager - DevOps and Quality Engineering</v>
      </c>
      <c r="D82" s="563" t="str">
        <f>Squads!$N$500</f>
        <v>TDD Group Functions</v>
      </c>
      <c r="E82" s="552" t="str">
        <f>Squads!$R$500</f>
        <v>Vacant</v>
      </c>
      <c r="F82" s="590" t="inlineStr">
        <is>
          <t>Hold</t>
        </is>
      </c>
      <c r="G82" s="569">
        <f>SUMIF('Added data'!$C$2:$C$549,Squads!$C$500,'Added data'!$AA$2:$AA$549)/COUNTIF('Added data'!$C$2:$C$549,Squads!$C$500)</f>
        <v>275810.25</v>
      </c>
    </row>
    <row r="83">
      <c r="B83" s="563" t="str">
        <f>IF(Squads!$R$501="Vacant","Vacant",Squads!$B$501)</f>
        <v>Vacant</v>
      </c>
      <c r="C83" s="567" t="str">
        <f>SUBSTITUTE(SUBSTITUTE(Squads!$C$501,"–","-"),"—","-")</f>
        <v>Delivery Manager</v>
      </c>
      <c r="D83" s="563" t="str">
        <f>Squads!$N$501</f>
        <v>TDD Group Functions</v>
      </c>
      <c r="E83" s="552" t="str">
        <f>Squads!$R$501</f>
        <v>Vacant</v>
      </c>
      <c r="F83" s="590" t="inlineStr">
        <is>
          <t>Hold</t>
        </is>
      </c>
      <c r="G83" s="569">
        <f>SUMIF('Added data'!$C$2:$C$549,Squads!$C$501,'Added data'!$AA$2:$AA$549)/COUNTIF('Added data'!$C$2:$C$549,Squads!$C$501)</f>
        <v>278824.3722222222</v>
      </c>
    </row>
    <row r="84" ht="29" customHeight="1" s="849">
      <c r="B84" s="563" t="str">
        <f>IF(Squads!$R$502="Vacant","Vacant",Squads!$B$502)</f>
        <v>Vacant</v>
      </c>
      <c r="C84" s="567" t="str">
        <f>SUBSTITUTE(SUBSTITUTE(Squads!$C$502,"–","-"),"—","-")</f>
        <v>Technology Manager - Cloud, Network and Infrastructure Operations</v>
      </c>
      <c r="D84" s="563" t="str">
        <f>Squads!$N$502</f>
        <v>TDD Group Functions</v>
      </c>
      <c r="E84" s="552" t="str">
        <f>Squads!$R$502</f>
        <v>Vacant</v>
      </c>
      <c r="F84" s="590" t="inlineStr">
        <is>
          <t>Hold</t>
        </is>
      </c>
      <c r="G84" s="569">
        <f>SUMIF('Added data'!$C$2:$C$549,Squads!$C$502,'Added data'!$AA$2:$AA$549)/COUNTIF('Added data'!$C$2:$C$549,Squads!$C$502)</f>
        <v>275810.25</v>
      </c>
    </row>
    <row r="85">
      <c r="B85" s="563" t="str">
        <f>IF(Squads!$R$503="Vacant","Vacant",Squads!$B$503)</f>
        <v>Vacant</v>
      </c>
      <c r="C85" s="567" t="str">
        <f>SUBSTITUTE(SUBSTITUTE(Squads!$C$503,"–","-"),"—","-")</f>
        <v>Snr Engineer</v>
      </c>
      <c r="D85" s="563" t="str">
        <f>Squads!$N$503</f>
        <v>TDD Group Functions</v>
      </c>
      <c r="E85" s="552" t="str">
        <f>Squads!$R$503</f>
        <v>Vacant</v>
      </c>
      <c r="F85" s="590" t="inlineStr">
        <is>
          <t>Hold</t>
        </is>
      </c>
      <c r="G85" s="569">
        <f>SUMIF('Added data'!$C$2:$C$549,Squads!$C$503,'Added data'!$AA$2:$AA$549)/COUNTIF('Added data'!$C$2:$C$549,Squads!$C$503)</f>
        <v>163253.64</v>
      </c>
    </row>
    <row r="87">
      <c r="B87" s="548" t="inlineStr">
        <is>
          <t>Every other role - unmapped, outside the archetype model, or raw data EGI rows</t>
        </is>
      </c>
    </row>
    <row r="88">
      <c r="B88" s="571" t="inlineStr">
        <is>
          <t>Name</t>
        </is>
      </c>
      <c r="C88" s="571" t="inlineStr">
        <is>
          <t>Role</t>
        </is>
      </c>
      <c r="D88" s="571" t="inlineStr">
        <is>
          <t>Department</t>
        </is>
      </c>
      <c r="E88" s="571" t="inlineStr">
        <is>
          <t>Status</t>
        </is>
      </c>
      <c r="F88" s="571" t="inlineStr">
        <is>
          <t>Vacancy lever</t>
        </is>
      </c>
      <c r="G88" s="571" t="inlineStr">
        <is>
          <t>Cost if hired ($)</t>
        </is>
      </c>
    </row>
    <row r="89">
      <c r="B89" s="563" t="str">
        <f>IF(Squads!$R$37="Vacant","Vacant",Squads!$B$37)</f>
        <v>Vacant</v>
      </c>
      <c r="C89" s="567" t="str">
        <f>SUBSTITUTE(SUBSTITUTE(Squads!$C$37,"–","-"),"—","-")</f>
        <v>Delivery Lead</v>
      </c>
      <c r="D89" s="563" t="str">
        <f>Squads!$N$37</f>
        <v>Z Retail</v>
      </c>
      <c r="E89" s="552" t="str">
        <f>Squads!$R$37</f>
        <v>Vacant</v>
      </c>
      <c r="F89" s="590" t="inlineStr">
        <is>
          <t>Hold</t>
        </is>
      </c>
      <c r="G89" s="569">
        <f>SUMIF('Added data'!$C$2:$C$549,Squads!$C$37,'Added data'!$AA$2:$AA$549)/COUNTIF('Added data'!$C$2:$C$549,Squads!$C$37)</f>
        <v>231778.89629629627</v>
      </c>
    </row>
    <row r="90">
      <c r="B90" s="563" t="str">
        <f>IF(Squads!$R$39="Vacant","Vacant",Squads!$B$39)</f>
        <v>Anne Pretorius</v>
      </c>
      <c r="C90" s="567" t="str">
        <f>SUBSTITUTE(SUBSTITUTE(Squads!$C$39,"–","-"),"—","-")</f>
        <v>Lead Business Analyst</v>
      </c>
      <c r="D90" s="563" t="str">
        <f>Squads!$N$39</f>
        <v>EGI</v>
      </c>
      <c r="E90" s="552" t="str">
        <f>Squads!$R$39</f>
        <v>Filled</v>
      </c>
    </row>
    <row r="91">
      <c r="B91" s="563" t="str">
        <f>IF(Squads!$R$42="Vacant","Vacant",Squads!$B$42)</f>
        <v>Ash Muthumala</v>
      </c>
      <c r="C91" s="567" t="str">
        <f>SUBSTITUTE(SUBSTITUTE(Squads!$C$42,"–","-"),"—","-")</f>
        <v>Senior QA Analyst</v>
      </c>
      <c r="D91" s="563" t="str">
        <f>Squads!$N$42</f>
        <v>Z Retail</v>
      </c>
      <c r="E91" s="552" t="str">
        <f>Squads!$R$42</f>
        <v>Filled</v>
      </c>
    </row>
    <row r="92">
      <c r="B92" s="563" t="str">
        <f>IF(Squads!$R$65="Vacant","Vacant",Squads!$B$65)</f>
        <v>McKenzie Tournquist</v>
      </c>
      <c r="C92" s="567" t="str">
        <f>SUBSTITUTE(SUBSTITUTE(Squads!$C$65,"–","-"),"—","-")</f>
        <v>Data Analyst</v>
      </c>
      <c r="D92" s="563" t="str">
        <f>Squads!$N$65</f>
        <v>Z Retail</v>
      </c>
      <c r="E92" s="552" t="str">
        <f>Squads!$R$65</f>
        <v>Filled</v>
      </c>
    </row>
    <row r="93">
      <c r="B93" s="563" t="str">
        <f>IF(Squads!$R$67="Vacant","Vacant",Squads!$B$67)</f>
        <v>Jodie Marquez</v>
      </c>
      <c r="C93" s="567" t="str">
        <f>SUBSTITUTE(SUBSTITUTE(Squads!$C$67,"–","-"),"—","-")</f>
        <v>Data Analyst</v>
      </c>
      <c r="D93" s="563" t="str">
        <f>Squads!$N$67</f>
        <v>Z Retail</v>
      </c>
      <c r="E93" s="552" t="str">
        <f>Squads!$R$67</f>
        <v>Filled</v>
      </c>
    </row>
    <row r="94">
      <c r="B94" s="563" t="str">
        <f>IF(Squads!$R$72="Vacant","Vacant",Squads!$B$72)</f>
        <v>Kanti Hirani</v>
      </c>
      <c r="C94" s="567" t="str">
        <f>SUBSTITUTE(SUBSTITUTE(Squads!$C$72,"–","-"),"—","-")</f>
        <v>Business Analyst (PEP13 UK)</v>
      </c>
      <c r="D94" s="563" t="str">
        <f>Squads!$N$72</f>
        <v>EGI</v>
      </c>
      <c r="E94" s="552" t="str">
        <f>Squads!$R$72</f>
        <v>Filled</v>
      </c>
    </row>
    <row r="95">
      <c r="B95" s="563" t="str">
        <f>IF(Squads!$R$74="Vacant","Vacant",Squads!$B$74)</f>
        <v>Brian Lai</v>
      </c>
      <c r="C95" s="567" t="str">
        <f>SUBSTITUTE(SUBSTITUTE(Squads!$C$74,"–","-"),"—","-")</f>
        <v>Engineer - Data</v>
      </c>
      <c r="D95" s="563" t="str">
        <f>Squads!$N$74</f>
        <v>Z Retail</v>
      </c>
      <c r="E95" s="552" t="str">
        <f>Squads!$R$74</f>
        <v>Filled</v>
      </c>
    </row>
    <row r="96">
      <c r="B96" s="563" t="str">
        <f>IF(Squads!$R$87="Vacant","Vacant",Squads!$B$87)</f>
        <v>Michael Dasan</v>
      </c>
      <c r="C96" s="567" t="str">
        <f>SUBSTITUTE(SUBSTITUTE(Squads!$C$87,"–","-"),"—","-")</f>
        <v>Engineer - Data</v>
      </c>
      <c r="D96" s="563" t="str">
        <f>Squads!$N$87</f>
        <v>Z Retail</v>
      </c>
      <c r="E96" s="552" t="str">
        <f>Squads!$R$87</f>
        <v>Filled</v>
      </c>
    </row>
    <row r="97">
      <c r="B97" s="563" t="str">
        <f>IF(Squads!$R$158="Vacant","Vacant",Squads!$B$158)</f>
        <v>Vacant</v>
      </c>
      <c r="C97" s="567" t="str">
        <f>SUBSTITUTE(SUBSTITUTE(Squads!$C$158,"–","-"),"—","-")</f>
        <v>Snr Engineer, (TBD</v>
      </c>
      <c r="D97" s="563" t="str">
        <f>Squads!$N$158</f>
        <v>Customer</v>
      </c>
      <c r="E97" s="552" t="str">
        <f>Squads!$R$158</f>
        <v>Vacant</v>
      </c>
      <c r="F97" s="590" t="inlineStr">
        <is>
          <t>Hold</t>
        </is>
      </c>
      <c r="G97" s="569">
        <f>SUMIF('Added data'!$C$2:$C$549,Squads!$C$158,'Added data'!$AA$2:$AA$549)/COUNTIF('Added data'!$C$2:$C$549,Squads!$C$158)</f>
        <v>202853.25</v>
      </c>
    </row>
    <row r="98">
      <c r="B98" s="563" t="str">
        <f>IF(Squads!$R$165="Vacant","Vacant",Squads!$B$165)</f>
        <v>Vacant</v>
      </c>
      <c r="C98" s="567" t="str">
        <f>SUBSTITUTE(SUBSTITUTE(Squads!$C$165,"–","-"),"—","-")</f>
        <v>Engineer, (TBD)</v>
      </c>
      <c r="D98" s="563" t="str">
        <f>Squads!$N$165</f>
        <v>Customer</v>
      </c>
      <c r="E98" s="552" t="str">
        <f>Squads!$R$165</f>
        <v>Vacant</v>
      </c>
      <c r="F98" s="590" t="inlineStr">
        <is>
          <t>Hold</t>
        </is>
      </c>
      <c r="G98" s="569">
        <f>SUMIF('Added data'!$C$2:$C$549,Squads!$C$165,'Added data'!$AA$2:$AA$549)/COUNTIF('Added data'!$C$2:$C$549,Squads!$C$165)</f>
        <v>202853.25</v>
      </c>
    </row>
    <row r="99">
      <c r="B99" s="563" t="str">
        <f>IF(Squads!$R$255="Vacant","Vacant",Squads!$B$255)</f>
        <v>Niall Greene</v>
      </c>
      <c r="C99" s="567" t="str">
        <f>SUBSTITUTE(SUBSTITUTE(Squads!$C$255,"–","-"),"—","-")</f>
        <v>Project Manager (PEP13-EGI-UKG)</v>
      </c>
      <c r="D99" s="563" t="str">
        <f>Squads!$N$255</f>
        <v>EGI</v>
      </c>
      <c r="E99" s="552" t="str">
        <f>Squads!$R$255</f>
        <v>Filled</v>
      </c>
    </row>
    <row r="100">
      <c r="B100" s="563" t="str">
        <f>IF(Squads!$R$256="Vacant","Vacant",Squads!$B$256)</f>
        <v>Winnie Fernandes</v>
      </c>
      <c r="C100" s="567" t="str">
        <f>SUBSTITUTE(SUBSTITUTE(Squads!$C$256,"–","-"),"—","-")</f>
        <v>Delivery Lead</v>
      </c>
      <c r="D100" s="563" t="str">
        <f>Squads!$N$256</f>
        <v>EGI</v>
      </c>
      <c r="E100" s="552" t="str">
        <f>Squads!$R$256</f>
        <v>Filled</v>
      </c>
    </row>
    <row r="101">
      <c r="B101" s="563" t="str">
        <f>IF(Squads!$R$257="Vacant","Vacant",Squads!$B$257)</f>
        <v>Areum Kim Lee</v>
      </c>
      <c r="C101" s="567" t="str">
        <f>SUBSTITUTE(SUBSTITUTE(Squads!$C$257,"–","-"),"—","-")</f>
        <v>Program Manager (PEP13-EGI-UKG)</v>
      </c>
      <c r="D101" s="563" t="str">
        <f>Squads!$N$257</f>
        <v>EGI</v>
      </c>
      <c r="E101" s="552" t="str">
        <f>Squads!$R$257</f>
        <v>Filled</v>
      </c>
    </row>
    <row r="102">
      <c r="B102" s="563" t="str">
        <f>IF(Squads!$R$263="Vacant","Vacant",Squads!$B$263)</f>
        <v>Vacant</v>
      </c>
      <c r="C102" s="567" t="str">
        <f>SUBSTITUTE(SUBSTITUTE(Squads!$C$263,"–","-"),"—","-")</f>
        <v>Portfolio Analyst</v>
      </c>
      <c r="D102" s="563" t="str">
        <f>Squads!$N$263</f>
        <v>COE</v>
      </c>
      <c r="E102" s="552" t="str">
        <f>Squads!$R$263</f>
        <v>Vacant</v>
      </c>
      <c r="F102" s="590" t="inlineStr">
        <is>
          <t>Hold</t>
        </is>
      </c>
      <c r="G102" s="569">
        <f>SUMIF('Added data'!$C$2:$C$549,Squads!$C$263,'Added data'!$AA$2:$AA$549)/COUNTIF('Added data'!$C$2:$C$549,Squads!$C$263)</f>
        <v>170489.75</v>
      </c>
    </row>
    <row r="103">
      <c r="B103" s="563" t="str">
        <f>IF(Squads!$R$279="Vacant","Vacant",Squads!$B$279)</f>
        <v>Vacant</v>
      </c>
      <c r="C103" s="567" t="str">
        <f>SUBSTITUTE(SUBSTITUTE(Squads!$C$279,"–","-"),"—","-")</f>
        <v>TDD BP - Infrastructure</v>
      </c>
      <c r="D103" s="563" t="str">
        <f>Squads!$N$279</f>
        <v>COE</v>
      </c>
      <c r="E103" s="552" t="str">
        <f>Squads!$R$279</f>
        <v>Vacant</v>
      </c>
      <c r="F103" s="590" t="inlineStr">
        <is>
          <t>Hold</t>
        </is>
      </c>
      <c r="G103" s="569">
        <f>SUMIF('Added data'!$C$2:$C$549,Squads!$C$279,'Added data'!$AA$2:$AA$549)/COUNTIF('Added data'!$C$2:$C$549,Squads!$C$279)</f>
        <v>297150.0</v>
      </c>
    </row>
    <row r="104">
      <c r="B104" s="563" t="str">
        <f>IF(Squads!$R$281="Vacant","Vacant",Squads!$B$281)</f>
        <v>Vacant</v>
      </c>
      <c r="C104" s="567" t="str">
        <f>SUBSTITUTE(SUBSTITUTE(Squads!$C$281,"–","-"),"—","-")</f>
        <v>Software Asset Specialist</v>
      </c>
      <c r="D104" s="563" t="str">
        <f>Squads!$N$281</f>
        <v>COE</v>
      </c>
      <c r="E104" s="552" t="str">
        <f>Squads!$R$281</f>
        <v>Vacant</v>
      </c>
      <c r="F104" s="590" t="inlineStr">
        <is>
          <t>Hold</t>
        </is>
      </c>
      <c r="G104" s="569">
        <f>SUMIF('Added data'!$C$2:$C$549,Squads!$C$281,'Added data'!$AA$2:$AA$549)/COUNTIF('Added data'!$C$2:$C$549,Squads!$C$281)</f>
        <v>183455.69999999998</v>
      </c>
    </row>
    <row r="105">
      <c r="B105" s="563" t="str">
        <f>IF(Squads!$R$377="Vacant","Vacant",Squads!$B$377)</f>
        <v>Vacant</v>
      </c>
      <c r="C105" s="567" t="str">
        <f>SUBSTITUTE(SUBSTITUTE(Squads!$C$377,"–","-"),"—","-")</f>
        <v>Delivery Manager</v>
      </c>
      <c r="D105" s="563" t="str">
        <f>Squads!$N$377</f>
        <v>Commercial Fuels</v>
      </c>
      <c r="E105" s="552" t="str">
        <f>Squads!$R$377</f>
        <v>Vacant</v>
      </c>
      <c r="F105" s="590" t="inlineStr">
        <is>
          <t>Hold</t>
        </is>
      </c>
      <c r="G105" s="569">
        <f>SUMIF('Added data'!$C$2:$C$549,Squads!$C$377,'Added data'!$AA$2:$AA$549)/COUNTIF('Added data'!$C$2:$C$549,Squads!$C$377)</f>
        <v>278824.3722222222</v>
      </c>
    </row>
    <row r="106">
      <c r="B106" s="563" t="str">
        <f>IF(Squads!$R$378="Vacant","Vacant",Squads!$B$378)</f>
        <v>Vacant</v>
      </c>
      <c r="C106" s="567" t="str">
        <f>SUBSTITUTE(SUBSTITUTE(Squads!$C$378,"–","-"),"—","-")</f>
        <v>Technology Manager, Data</v>
      </c>
      <c r="D106" s="563" t="str">
        <f>Squads!$N$378</f>
        <v>Commercial Fuels</v>
      </c>
      <c r="E106" s="552" t="str">
        <f>Squads!$R$378</f>
        <v>Vacant</v>
      </c>
      <c r="F106" s="590" t="inlineStr">
        <is>
          <t>Hold</t>
        </is>
      </c>
      <c r="G106" s="569">
        <f>SUMIF('Added data'!$C$2:$C$549,Squads!$C$378,'Added data'!$AA$2:$AA$549)/COUNTIF('Added data'!$C$2:$C$549,Squads!$C$378)</f>
        <v>275810.25</v>
      </c>
    </row>
    <row r="107">
      <c r="B107" s="563" t="str">
        <f>IF(Squads!$R$379="Vacant","Vacant",Squads!$B$379)</f>
        <v>Carl Russo</v>
      </c>
      <c r="C107" s="567" t="str">
        <f>SUBSTITUTE(SUBSTITUTE(Squads!$C$379,"–","-"),"—","-")</f>
        <v>Program Manager - CTRM</v>
      </c>
      <c r="D107" s="563" t="str">
        <f>Squads!$N$379</f>
        <v>Unmapped</v>
      </c>
      <c r="E107" s="552" t="str">
        <f>Squads!$R$379</f>
        <v>Filled</v>
      </c>
    </row>
    <row r="108">
      <c r="B108" s="563" t="str">
        <f>IF(Squads!$R$418="Vacant","Vacant",Squads!$B$418)</f>
        <v>Vacant</v>
      </c>
      <c r="C108" s="567" t="str">
        <f>SUBSTITUTE(SUBSTITUTE(Squads!$C$418,"–","-"),"—","-")</f>
        <v>Delivery manager</v>
      </c>
      <c r="D108" s="563" t="str">
        <f>Squads!$N$418</f>
        <v>Unmapped</v>
      </c>
      <c r="E108" s="552" t="str">
        <f>Squads!$R$418</f>
        <v>Vacant</v>
      </c>
      <c r="F108" s="590" t="inlineStr">
        <is>
          <t>Hold</t>
        </is>
      </c>
      <c r="G108" s="569">
        <f>SUMIF('Added data'!$C$2:$C$549,Squads!$C$418,'Added data'!$AA$2:$AA$549)/COUNTIF('Added data'!$C$2:$C$549,Squads!$C$418)</f>
        <v>278824.3722222222</v>
      </c>
    </row>
    <row r="110">
      <c r="B110" s="548" t="inlineStr">
        <is>
          <t>New in Sheet2 - no raw data row yet. Add them to the Squads tab to join the portfolio counts.</t>
        </is>
      </c>
    </row>
    <row r="111">
      <c r="B111" s="571" t="inlineStr">
        <is>
          <t>Name</t>
        </is>
      </c>
      <c r="C111" s="571" t="inlineStr">
        <is>
          <t>Role</t>
        </is>
      </c>
      <c r="D111" s="571" t="inlineStr">
        <is>
          <t>Department</t>
        </is>
      </c>
      <c r="E111" s="571" t="inlineStr">
        <is>
          <t>Status</t>
        </is>
      </c>
      <c r="F111" s="571" t="inlineStr">
        <is>
          <t>Vacancy lever</t>
        </is>
      </c>
      <c r="G111" s="571" t="inlineStr">
        <is>
          <t>Cost if hired ($)</t>
        </is>
      </c>
    </row>
    <row r="112">
      <c r="B112" s="563" t="str">
        <f>Sheet2!$B$3</f>
        <v>Belinda Hoskens</v>
      </c>
      <c r="C112" s="567" t="str">
        <f>SUBSTITUTE(SUBSTITUTE(Sheet2!$C$3,"–","-"),"—","-")</f>
        <v>Technology Support Engineer</v>
      </c>
      <c r="D112" s="563" t="str">
        <f>Sheet2!$F$3</f>
        <v>Cyber, Risk &amp; Operations</v>
      </c>
      <c r="E112" s="552" t="str">
        <f>IF(LOWER(Sheet2!$Q$3)="v","Vacant",IF(LOWER(Sheet2!$Q$3)="pause","Paused",IF(LOWER(Sheet2!$Q$3)="cxc","Contractor","Filled")))</f>
        <v>Filled</v>
      </c>
    </row>
    <row r="113">
      <c r="B113" s="563" t="str">
        <f>Sheet2!$B$96</f>
        <v>Carol Kuang</v>
      </c>
      <c r="C113" s="567" t="str">
        <f>SUBSTITUTE(SUBSTITUTE(Sheet2!$C$96,"–","-"),"—","-")</f>
        <v>Senior Data Scientist</v>
      </c>
      <c r="D113" s="563" t="str">
        <f>Sheet2!$F$96</f>
        <v>Strategy, Architecture &amp; Data</v>
      </c>
      <c r="E113" s="552" t="str">
        <f>IF(LOWER(Sheet2!$Q$96)="v","Vacant",IF(LOWER(Sheet2!$Q$96)="pause","Paused",IF(LOWER(Sheet2!$Q$96)="cxc","Contractor","Filled")))</f>
        <v>Filled</v>
      </c>
    </row>
    <row r="114" ht="29" customHeight="1" s="849">
      <c r="B114" s="563" t="str">
        <f>Sheet2!$B$101</f>
        <v>Jason Gleason</v>
      </c>
      <c r="C114" s="567" t="str">
        <f>SUBSTITUTE(SUBSTITUTE(Sheet2!$C$101,"–","-"),"—","-")</f>
        <v>Technology Manager, Data Engineering &amp; Platforms</v>
      </c>
      <c r="D114" s="563" t="str">
        <f>Sheet2!$F$101</f>
        <v>Strategy, Architecture &amp; Data</v>
      </c>
      <c r="E114" s="552" t="str">
        <f>IF(LOWER(Sheet2!$Q$101)="v","Vacant",IF(LOWER(Sheet2!$Q$101)="pause","Paused",IF(LOWER(Sheet2!$Q$101)="cxc","Contractor","Filled")))</f>
        <v>Filled</v>
      </c>
    </row>
    <row r="115">
      <c r="B115" s="563" t="str">
        <f>Sheet2!$B$105</f>
        <v>Kina Birkby</v>
      </c>
      <c r="C115" s="567" t="str">
        <f>SUBSTITUTE(SUBSTITUTE(Sheet2!$C$105,"–","-"),"—","-")</f>
        <v>Delivery Lead</v>
      </c>
      <c r="D115" s="563" t="str">
        <f>Sheet2!$F$105</f>
        <v>Strategy, Architecture &amp; Data</v>
      </c>
      <c r="E115" s="552" t="str">
        <f>IF(LOWER(Sheet2!$Q$105)="v","Vacant",IF(LOWER(Sheet2!$Q$105)="pause","Paused",IF(LOWER(Sheet2!$Q$105)="cxc","Contractor","Filled")))</f>
        <v>Filled</v>
      </c>
    </row>
    <row r="117">
      <c r="B117" s="570" t="inlineStr">
        <is>
          <t>Every role that is not in a portfolio squad (4.1-4.11) or a COE (4.12-4.13) lives here - nothing is missed.</t>
        </is>
      </c>
    </row>
    <row r="182">
      <c r="B182" s="548" t="inlineStr">
        <is>
          <t>Model mapping updates made in this build - the owner's SA&amp;D COE list (ruthless mapping)</t>
        </is>
      </c>
    </row>
    <row r="183">
      <c r="B183" s="571" t="inlineStr">
        <is>
          <t>Raw row</t>
        </is>
      </c>
      <c r="C183" s="571" t="inlineStr">
        <is>
          <t>Cell</t>
        </is>
      </c>
      <c r="D183" s="571" t="inlineStr">
        <is>
          <t>Old value</t>
        </is>
      </c>
      <c r="E183" s="571" t="inlineStr">
        <is>
          <t>New value</t>
        </is>
      </c>
      <c r="F183" s="571" t="inlineStr">
        <is>
          <t>Role</t>
        </is>
      </c>
    </row>
    <row r="233">
      <c r="B233" s="570" t="inlineStr">
        <is>
          <t>These cells were updated at the owner's direction: every role on the owner's SA&amp;D COE list now maps to COE - Data or COE - Strategy Architecture. The Group Data portfolio keeps the engineering, science, operations and reporting squads.</t>
        </is>
      </c>
    </row>
  </sheetData>
  <dataValidations count="1">
    <dataValidation sqref="F36 F41 F43 F50 F53 F55 F58 F59 F62 F66 F70 F74 F78 F79 F82 F83 F84 F85 F89 F97 F98 F102 F103 F104 F105 F106 F108" showDropDown="0" showInputMessage="0" showErrorMessage="1" allowBlank="0" type="list">
      <formula1>"Hire,Hold,Offshore"</formula1>
    </dataValidation>
  </dataValidations>
  <pageMargins left="0.75" right="0.75" top="1" bottom="1" header="0.5" footer="0.5"/>
</worksheet>
</file>

<file path=xl/worksheets/sheet37.xml><?xml version="1.0" encoding="utf-8"?>
<worksheet xmlns="http://schemas.openxmlformats.org/spreadsheetml/2006/main">
  <sheetPr>
    <tabColor rgb="FF002F6C"/>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11" t="inlineStr">
        <is>
          <t>SUMMARIES  &gt;&gt;&gt;</t>
        </is>
      </c>
    </row>
  </sheetData>
  <pageMargins left="0.75" right="0.75" top="1" bottom="1" header="0.5" footer="0.5"/>
</worksheet>
</file>

<file path=xl/worksheets/sheet38.xml><?xml version="1.0" encoding="utf-8"?>
<worksheet xmlns="http://schemas.openxmlformats.org/spreadsheetml/2006/main">
  <sheetPr>
    <tabColor rgb="FF002F6C"/>
    <outlinePr summaryBelow="1" summaryRight="1"/>
    <pageSetUpPr/>
  </sheetPr>
  <dimension ref="B2:L51"/>
  <sheetViews>
    <sheetView showGridLines="0" zoomScaleNormal="100" workbookViewId="0">
      <selection activeCell="A1" sqref="A1"/>
    </sheetView>
  </sheetViews>
  <sheetFormatPr baseColWidth="8" defaultColWidth="8.54296875" defaultRowHeight="14.5"/>
  <cols>
    <col width="8.54296875" customWidth="1" style="849" min="1" max="1"/>
    <col width="67.7265625" bestFit="1" customWidth="1" style="849" min="2" max="2"/>
    <col width="21.54296875" customWidth="1" style="849" min="3" max="3"/>
    <col width="16.36328125" bestFit="1" customWidth="1" style="849" min="4" max="4"/>
    <col width="16" customWidth="1" style="849" min="5" max="5"/>
    <col width="5.6328125" customWidth="1" style="849" min="6" max="6"/>
    <col width="17.6328125" customWidth="1" style="849" min="7" max="7"/>
    <col width="21.6328125" customWidth="1" style="849" min="8" max="9"/>
    <col width="12.453125" customWidth="1" style="849" min="10" max="10"/>
  </cols>
  <sheetData>
    <row r="2" ht="21" customHeight="1" s="849">
      <c r="B2" s="198" t="inlineStr">
        <is>
          <t>TDD Summary - all portfolios</t>
        </is>
      </c>
    </row>
    <row r="3">
      <c r="B3" s="570" t="n"/>
    </row>
    <row r="4">
      <c r="B4" s="850" t="inlineStr">
        <is>
          <t>TDD Cost vs TDD Lights On budget, by portfolio</t>
        </is>
      </c>
      <c r="C4" s="851" t="n"/>
      <c r="D4" s="851" t="n"/>
      <c r="E4" s="851" t="n"/>
      <c r="F4" s="851" t="n"/>
      <c r="G4" s="851" t="n"/>
      <c r="H4" s="851" t="n"/>
      <c r="I4" s="851" t="n"/>
      <c r="J4" s="852" t="n"/>
    </row>
    <row r="5" ht="29.5" customFormat="1" customHeight="1" s="241">
      <c r="B5" s="240" t="inlineStr">
        <is>
          <t>Portfolio</t>
        </is>
      </c>
      <c r="C5" s="549" t="inlineStr">
        <is>
          <t>TDD Lights On Budget ($m)</t>
        </is>
      </c>
      <c r="D5" s="549" t="inlineStr">
        <is>
          <t>Archetype Support Cost ($m)</t>
        </is>
      </c>
      <c r="E5" s="549" t="inlineStr">
        <is>
          <t>Variance ($m) = budget - cost</t>
        </is>
      </c>
      <c r="F5" s="240" t="n"/>
      <c r="G5" s="549" t="inlineStr">
        <is>
          <t>Cost of FTE non TDD funded ($m)</t>
        </is>
      </c>
      <c r="H5" s="549" t="inlineStr">
        <is>
          <t>Amount identified as rechargeable ($m)</t>
        </is>
      </c>
      <c r="I5" s="549" t="inlineStr">
        <is>
          <t>Left to fund outside TDD ($m)</t>
        </is>
      </c>
      <c r="J5" s="549" t="inlineStr">
        <is>
          <t>Total still left to fund ($m)</t>
        </is>
      </c>
      <c r="K5" s="549" t="inlineStr">
        <is>
          <t>Total Cost ($m)</t>
        </is>
      </c>
    </row>
    <row r="6">
      <c r="B6" s="8" t="inlineStr">
        <is>
          <t>Ampol Retail</t>
        </is>
      </c>
      <c r="C6" s="9">
        <f>'1.1 Ampol Retail'!$I$5</f>
        <v>2.5</v>
      </c>
      <c r="D6" s="9">
        <f>('1.1 Ampol Retail'!$C$9+'1.1 Ampol Retail'!$D$9)</f>
        <v>6.031499999999999</v>
      </c>
      <c r="E6" s="907">
        <f>C6-D6</f>
        <v>-3.5314999999999994</v>
      </c>
      <c r="F6" s="203" t="n"/>
      <c r="G6" s="9">
        <f>'1.1 Ampol Retail'!$E$9</f>
        <v>8.182089</v>
      </c>
      <c r="H6" s="9">
        <f>'1.1 Ampol Retail'!$J$18</f>
        <v>8.184089</v>
      </c>
      <c r="I6" s="9">
        <f>'1.1 Ampol Retail'!$J$20</f>
        <v>-0.002000000000000224</v>
      </c>
      <c r="J6" s="898">
        <f>-E6+I6</f>
        <v>3.529499999999999</v>
      </c>
      <c r="K6" s="551">
        <f>'1.1 Ampol Retail'!$F$9</f>
        <v>14.213588999999999</v>
      </c>
    </row>
    <row r="7">
      <c r="B7" s="8" t="inlineStr">
        <is>
          <t>Customer</t>
        </is>
      </c>
      <c r="C7" s="9">
        <f>'1.2 Customer'!$I$5</f>
        <v>6.5</v>
      </c>
      <c r="D7" s="9">
        <f>('1.2 Customer'!$C$9+'1.2 Customer'!$D$9)</f>
        <v>9.0245</v>
      </c>
      <c r="E7" s="907">
        <f>C7-D7</f>
        <v>-2.5244999999999997</v>
      </c>
      <c r="F7" s="203" t="n"/>
      <c r="G7" s="9">
        <f>'1.2 Customer'!$E$9</f>
        <v>5.92</v>
      </c>
      <c r="H7" s="9">
        <f>'1.2 Customer'!$J$23</f>
        <v>4.0</v>
      </c>
      <c r="I7" s="9">
        <f>'1.2 Customer'!$J$25</f>
        <v>1.92</v>
      </c>
      <c r="J7" s="898">
        <f>-E7+I7</f>
        <v>4.4445</v>
      </c>
      <c r="K7" s="551">
        <f>'1.2 Customer'!$F$9</f>
        <v>14.9445</v>
      </c>
    </row>
    <row r="8">
      <c r="B8" s="8" t="inlineStr">
        <is>
          <t>Enterprise Data</t>
        </is>
      </c>
      <c r="C8" s="9">
        <f>'1.3 Enterprise Data'!$I$5</f>
        <v>3.5</v>
      </c>
      <c r="D8" s="9">
        <f>('1.3 Enterprise Data'!$C$9+'1.3 Enterprise Data'!$D$9)</f>
        <v>4.1105</v>
      </c>
      <c r="E8" s="907">
        <f>C8-D8</f>
        <v>-0.6105</v>
      </c>
      <c r="F8" s="203" t="n"/>
      <c r="G8" s="9">
        <f>'1.3 Enterprise Data'!$E$9</f>
        <v>1.9040000000000001</v>
      </c>
      <c r="H8" s="9">
        <f>'1.3 Enterprise Data'!$J$14</f>
        <v>0.0</v>
      </c>
      <c r="I8" s="9">
        <f>'1.3 Enterprise Data'!$J$15</f>
        <v>1.9040000000000001</v>
      </c>
      <c r="J8" s="898">
        <f>-E8+I8</f>
        <v>2.5145</v>
      </c>
      <c r="K8" s="551">
        <f>'1.3 Enterprise Data'!$F$9</f>
        <v>6.014500000000001</v>
      </c>
    </row>
    <row r="9">
      <c r="B9" s="8" t="inlineStr">
        <is>
          <t>TDD Group Functions</t>
        </is>
      </c>
      <c r="C9" s="9">
        <f>'1.4 TDD Group Functions'!$I$5</f>
        <v>5.5</v>
      </c>
      <c r="D9" s="9">
        <f>('1.4 TDD Group Functions'!$C$9+'1.4 TDD Group Functions'!$D$9)</f>
        <v>5.6645</v>
      </c>
      <c r="E9" s="907">
        <f>C9-D9</f>
        <v>-0.1645000000000003</v>
      </c>
      <c r="F9" s="203" t="n"/>
      <c r="G9" s="9">
        <f>'1.4 TDD Group Functions'!$E$9</f>
        <v>1.15</v>
      </c>
      <c r="H9" s="9">
        <f>'1.4 TDD Group Functions'!$J$13</f>
        <v>0.0</v>
      </c>
      <c r="I9" s="9">
        <f>'1.4 TDD Group Functions'!$J$14</f>
        <v>1.15</v>
      </c>
      <c r="J9" s="898">
        <f>-E9+I9</f>
        <v>1.3145000000000002</v>
      </c>
      <c r="K9" s="551">
        <f>'1.4 TDD Group Functions'!$F$9</f>
        <v>6.814500000000001</v>
      </c>
    </row>
    <row r="10">
      <c r="B10" s="8" t="inlineStr">
        <is>
          <t>P&amp;C</t>
        </is>
      </c>
      <c r="C10" s="9">
        <f>'1.5 P&amp;C'!$I$5</f>
        <v>2.0</v>
      </c>
      <c r="D10" s="9">
        <f>('1.5 P&amp;C'!$C$9+'1.5 P&amp;C'!$D$9)</f>
        <v>1.6145</v>
      </c>
      <c r="E10" s="907">
        <f>C10-D10</f>
        <v>0.38549999999999995</v>
      </c>
      <c r="F10" s="203" t="n"/>
      <c r="G10" s="9">
        <f>'1.5 P&amp;C'!$E$9</f>
        <v>2.8</v>
      </c>
      <c r="H10" s="9">
        <f>'1.5 P&amp;C'!$J$18</f>
        <v>0.0</v>
      </c>
      <c r="I10" s="9">
        <f>'1.5 P&amp;C'!$J$20</f>
        <v>2.8</v>
      </c>
      <c r="J10" s="898">
        <f>-E10+I10</f>
        <v>2.4145</v>
      </c>
      <c r="K10" s="551">
        <f>'1.5 P&amp;C'!$F$9</f>
        <v>4.4145</v>
      </c>
    </row>
    <row r="11">
      <c r="B11" s="8" t="inlineStr">
        <is>
          <t>Finance</t>
        </is>
      </c>
      <c r="C11" s="9">
        <f>'1.6 Finance'!$I$5</f>
        <v>2.0</v>
      </c>
      <c r="D11" s="9">
        <f>('1.6 Finance'!$C$9+'1.6 Finance'!$D$9)</f>
        <v>1.8345000000000002</v>
      </c>
      <c r="E11" s="907">
        <f>C11-D11</f>
        <v>0.16549999999999976</v>
      </c>
      <c r="F11" s="203" t="n"/>
      <c r="G11" s="9">
        <f>'1.6 Finance'!$E$9</f>
        <v>3.6800000000000006</v>
      </c>
      <c r="H11" s="9">
        <f>'1.6 Finance'!$J$18</f>
        <v>0.0</v>
      </c>
      <c r="I11" s="9">
        <f>'1.6 Finance'!$J$20</f>
        <v>3.6800000000000006</v>
      </c>
      <c r="J11" s="898">
        <f>-E11+I11</f>
        <v>3.514500000000001</v>
      </c>
      <c r="K11" s="551">
        <f>'1.6 Finance'!$F$9</f>
        <v>5.514500000000001</v>
      </c>
    </row>
    <row r="12">
      <c r="B12" s="8" t="inlineStr">
        <is>
          <t>Infrastructure</t>
        </is>
      </c>
      <c r="C12" s="9">
        <f>'1.7 Infrastructure'!$I$6</f>
        <v>2.5</v>
      </c>
      <c r="D12" s="9">
        <f>('1.7 Infrastructure'!$C$10+'1.7 Infrastructure'!$D$10)</f>
        <v>3.0045</v>
      </c>
      <c r="E12" s="907">
        <f>C12-D12</f>
        <v>-0.5045000000000002</v>
      </c>
      <c r="F12" s="203" t="n"/>
      <c r="G12" s="9">
        <f>'1.7 Infrastructure'!$E$10</f>
        <v>4.640000000000001</v>
      </c>
      <c r="H12" s="9">
        <f>'1.7 Infrastructure'!$J$18</f>
        <v>0.0</v>
      </c>
      <c r="I12" s="9">
        <f>'1.7 Infrastructure'!$J$20</f>
        <v>4.640000000000001</v>
      </c>
      <c r="J12" s="898">
        <f>-E12+I12</f>
        <v>5.144500000000001</v>
      </c>
      <c r="K12" s="551">
        <f>'1.7 Infrastructure'!$F$10</f>
        <v>7.644500000000001</v>
      </c>
    </row>
    <row r="13">
      <c r="B13" s="8" t="inlineStr">
        <is>
          <t>Energy Solutions &amp; B2B</t>
        </is>
      </c>
      <c r="C13" s="9">
        <f>'1.8 Energy Solutions &amp; B2B'!$I$5</f>
        <v>2.5</v>
      </c>
      <c r="D13" s="9">
        <f>('1.8 Energy Solutions &amp; B2B'!$C$9+'1.8 Energy Solutions &amp; B2B'!$D$9)</f>
        <v>2.8395</v>
      </c>
      <c r="E13" s="907">
        <f>C13-D13</f>
        <v>-0.33950000000000014</v>
      </c>
      <c r="F13" s="203" t="n"/>
      <c r="G13" s="9">
        <f>'1.8 Energy Solutions &amp; B2B'!$E$9</f>
        <v>5.4399999999999995</v>
      </c>
      <c r="H13" s="9">
        <f>'1.8 Energy Solutions &amp; B2B'!$J$20</f>
        <v>3.5</v>
      </c>
      <c r="I13" s="9">
        <f>'1.8 Energy Solutions &amp; B2B'!$J$22</f>
        <v>2.9399999999999995</v>
      </c>
      <c r="J13" s="898">
        <f>-E13+I13</f>
        <v>3.2794999999999996</v>
      </c>
      <c r="K13" s="551">
        <f>'1.8 Energy Solutions &amp; B2B'!$F$9</f>
        <v>8.279499999999999</v>
      </c>
    </row>
    <row r="14">
      <c r="B14" s="8" t="inlineStr">
        <is>
          <t>Commercial Fuels</t>
        </is>
      </c>
      <c r="C14" s="9">
        <f>'1.9 Commercial Fuels'!$I$5</f>
        <v>2.5</v>
      </c>
      <c r="D14" s="9">
        <f>('1.9 Commercial Fuels'!$C$9+'1.9 Commercial Fuels'!$D$9)</f>
        <v>2.5045</v>
      </c>
      <c r="E14" s="907">
        <f>C14-D14</f>
        <v>-0.0045000000000001705</v>
      </c>
      <c r="F14" s="203" t="n"/>
      <c r="G14" s="9">
        <f>'1.9 Commercial Fuels'!$E$9</f>
        <v>6.040000000000001</v>
      </c>
      <c r="H14" s="9">
        <f>'1.9 Commercial Fuels'!$J$18</f>
        <v>3.0999999999999996</v>
      </c>
      <c r="I14" s="9">
        <f>'1.9 Commercial Fuels'!$J$20</f>
        <v>2.9400000000000013</v>
      </c>
      <c r="J14" s="898">
        <f>-E14+I14</f>
        <v>2.9445000000000014</v>
      </c>
      <c r="K14" s="551">
        <f>'1.9 Commercial Fuels'!$F$9</f>
        <v>8.544500000000001</v>
      </c>
    </row>
    <row r="15">
      <c r="B15" s="8" t="inlineStr">
        <is>
          <t>Z Retail</t>
        </is>
      </c>
      <c r="C15" s="9">
        <f>'1.10 Z Retail'!$I$5</f>
        <v>2.5</v>
      </c>
      <c r="D15" s="9">
        <f>('1.10 Z Retail'!$C$9+'1.10 Z Retail'!$D$9)</f>
        <v>6.571500000000001</v>
      </c>
      <c r="E15" s="907">
        <f>C15-D15</f>
        <v>-4.071500000000001</v>
      </c>
      <c r="F15" s="203" t="n"/>
      <c r="G15" s="9">
        <f>'1.10 Z Retail'!$E$9</f>
        <v>1.2879999999999998</v>
      </c>
      <c r="H15" s="9">
        <f>'1.10 Z Retail'!$J$19</f>
        <v>1.08</v>
      </c>
      <c r="I15" s="9">
        <f>'1.10 Z Retail'!$J$21</f>
        <v>0.20799999999999974</v>
      </c>
      <c r="J15" s="898">
        <f>-E15+I15</f>
        <v>4.2795000000000005</v>
      </c>
      <c r="K15" s="551">
        <f>'1.10 Z Retail'!$F$9</f>
        <v>7.8595000000000015</v>
      </c>
    </row>
    <row r="16">
      <c r="B16" s="547" t="n"/>
      <c r="C16" s="614" t="n"/>
      <c r="D16" s="614" t="n"/>
      <c r="E16" s="908" t="n"/>
      <c r="F16" s="614" t="n"/>
      <c r="G16" s="614" t="n"/>
      <c r="H16" s="614" t="n"/>
      <c r="I16" s="614" t="n"/>
      <c r="J16" s="909" t="n"/>
      <c r="K16" s="592" t="n"/>
      <c r="L16" s="547" t="n"/>
    </row>
    <row r="17">
      <c r="B17" s="202" t="inlineStr">
        <is>
          <t>Total - all portfolios</t>
        </is>
      </c>
      <c r="C17" s="203">
        <f>SUM(C6:C15)</f>
        <v>32.0</v>
      </c>
      <c r="D17" s="203">
        <f>SUM(D6:D15)</f>
        <v>43.2</v>
      </c>
      <c r="E17" s="910">
        <f>SUM(E6:E15)</f>
        <v>-11.200000000000003</v>
      </c>
      <c r="F17" s="203" t="n"/>
      <c r="G17" s="203">
        <f>SUM(G6:G15)</f>
        <v>41.044089</v>
      </c>
      <c r="H17" s="203">
        <f>SUM(H6:H15)</f>
        <v>19.864089</v>
      </c>
      <c r="I17" s="203">
        <f>SUM(I6:I15)</f>
        <v>22.18</v>
      </c>
      <c r="J17" s="911">
        <f>SUM(J6:J15)</f>
        <v>33.38</v>
      </c>
      <c r="K17" s="553">
        <f>SUM(K6:K15)</f>
        <v>84.244089</v>
      </c>
    </row>
    <row r="18">
      <c r="B18" s="8" t="inlineStr">
        <is>
          <t>COE - Strategy Architecture</t>
        </is>
      </c>
      <c r="C18" s="9">
        <f>'0.2 Data Config'!$E$6</f>
        <v>2.0</v>
      </c>
      <c r="D18" s="9">
        <f>'3.4 COE Summary'!$F$8</f>
        <v>2.920560995999999</v>
      </c>
      <c r="E18" s="907">
        <f>C18-D18</f>
        <v>-0.920560995999999</v>
      </c>
      <c r="F18" s="203" t="n"/>
      <c r="G18" s="9" t="n">
        <v>0</v>
      </c>
      <c r="H18" s="9">
        <f>'3.4 COE Summary'!$G$8</f>
        <v>2.0</v>
      </c>
      <c r="I18" s="9">
        <f>'3.4 COE Summary'!$H$8</f>
        <v>0.920560995999999</v>
      </c>
      <c r="J18" s="898">
        <f>-E18+I18</f>
        <v>1.841121991999998</v>
      </c>
      <c r="K18" s="551">
        <f>D18</f>
        <v>2.920560995999999</v>
      </c>
    </row>
    <row r="19">
      <c r="B19" s="8" t="inlineStr">
        <is>
          <t>COE - Cyber, Risk &amp; Service Operations</t>
        </is>
      </c>
      <c r="C19" s="9">
        <f>'0.2 Data Config'!$E$7+'0.2 Data Config'!$E$23</f>
        <v>3.5</v>
      </c>
      <c r="D19" s="9">
        <f>'1.13 Cyber Roles'!$F$8</f>
        <v>10.915989044000002</v>
      </c>
      <c r="E19" s="907">
        <f>C19-D19</f>
        <v>-7.415989044000002</v>
      </c>
      <c r="F19" s="203" t="n"/>
      <c r="G19" s="9">
        <f>0</f>
        <v>0.0</v>
      </c>
      <c r="H19" s="9">
        <f>'1.13 Cyber Roles'!$G$8</f>
        <v>4.0</v>
      </c>
      <c r="I19" s="9">
        <f>'1.13 Cyber Roles'!$H$8</f>
        <v>6.915989044000002</v>
      </c>
      <c r="J19" s="898">
        <f>-E19+I19</f>
        <v>14.331978088000003</v>
      </c>
      <c r="K19" s="551">
        <f>D19</f>
        <v>10.915989044000002</v>
      </c>
    </row>
    <row r="20">
      <c r="B20" s="8" t="inlineStr">
        <is>
          <t>COE - Transformation</t>
        </is>
      </c>
      <c r="C20" s="9">
        <f>'0.2 Data Config'!$E$8</f>
        <v>2.0</v>
      </c>
      <c r="D20" s="9">
        <f>'3.4 COE Summary'!$F$7</f>
        <v>3.10799923</v>
      </c>
      <c r="E20" s="907">
        <f>C20-D20</f>
        <v>-1.10799923</v>
      </c>
      <c r="F20" s="203" t="n"/>
      <c r="G20" s="9" t="n">
        <v>0</v>
      </c>
      <c r="H20" s="9">
        <f>'3.4 COE Summary'!$G$7</f>
        <v>2.0</v>
      </c>
      <c r="I20" s="9">
        <f>'3.4 COE Summary'!$H$7</f>
        <v>1.10799923</v>
      </c>
      <c r="J20" s="898">
        <f>-E20+I20</f>
        <v>2.21599846</v>
      </c>
      <c r="K20" s="551">
        <f>D20</f>
        <v>3.10799923</v>
      </c>
    </row>
    <row r="21">
      <c r="B21" s="8" t="inlineStr">
        <is>
          <t>COE - Business Partnering</t>
        </is>
      </c>
      <c r="C21" s="9">
        <f>'0.2 Data Config'!$E$9</f>
        <v>2.0</v>
      </c>
      <c r="D21" s="9">
        <f>'3.4 COE Summary'!$F$6</f>
        <v>1.5725625920000001</v>
      </c>
      <c r="E21" s="9">
        <f>C21-D21</f>
        <v>0.42743740799999985</v>
      </c>
      <c r="F21" s="203" t="n"/>
      <c r="G21" s="9" t="n">
        <v>0</v>
      </c>
      <c r="H21" s="9">
        <f>'3.4 COE Summary'!$G$6</f>
        <v>2.0</v>
      </c>
      <c r="I21" s="9">
        <f>'3.4 COE Summary'!$H$6</f>
        <v>-0.42743740799999985</v>
      </c>
      <c r="J21" s="898">
        <f>-E21+I21</f>
        <v>-0.8548748159999997</v>
      </c>
      <c r="K21" s="551">
        <f>D21</f>
        <v>1.5725625920000001</v>
      </c>
    </row>
    <row r="22">
      <c r="B22" s="8" t="inlineStr">
        <is>
          <t>COE - Data</t>
        </is>
      </c>
      <c r="C22" s="9">
        <f>'0.2 Data Config'!$E$10</f>
        <v>2.0</v>
      </c>
      <c r="D22" s="9">
        <f>'3.4 COE Summary'!$F$9</f>
        <v>2.232736616</v>
      </c>
      <c r="E22" s="9">
        <f>C22-D22</f>
        <v>-0.23273661599999995</v>
      </c>
      <c r="F22" s="203" t="n"/>
      <c r="G22" s="9" t="n">
        <v>0</v>
      </c>
      <c r="H22" s="9">
        <f>'3.4 COE Summary'!$G$9</f>
        <v>2.0</v>
      </c>
      <c r="I22" s="9">
        <f>'3.4 COE Summary'!$H$9</f>
        <v>0.23273661599999995</v>
      </c>
      <c r="J22" s="898">
        <f>-E22+I22</f>
        <v>0.4654732319999999</v>
      </c>
      <c r="K22" s="551">
        <f>D22</f>
        <v>2.232736616</v>
      </c>
    </row>
    <row r="23">
      <c r="B23" s="8" t="n"/>
      <c r="C23" s="9" t="n"/>
      <c r="D23" s="9" t="n"/>
      <c r="E23" s="9" t="n"/>
      <c r="F23" s="203" t="n"/>
      <c r="G23" s="9" t="n"/>
      <c r="H23" s="9" t="n"/>
      <c r="I23" s="9" t="n"/>
      <c r="J23" s="9" t="n"/>
    </row>
    <row r="24">
      <c r="B24" s="202" t="inlineStr">
        <is>
          <t>Total - portfolios + COEs</t>
        </is>
      </c>
      <c r="C24" s="203">
        <f>SUM(C17,C18,C19,C20,C21,C22)</f>
        <v>43.5</v>
      </c>
      <c r="D24" s="203">
        <f>SUM(D17,D18,D19,D20,D21,D22)</f>
        <v>63.94984847799999</v>
      </c>
      <c r="E24" s="203">
        <f>SUM(E17,E18,E19,E20,E21,E22)</f>
        <v>-20.449848478000003</v>
      </c>
      <c r="F24" s="203" t="n"/>
      <c r="G24" s="203">
        <f>SUM(G17,G18,G19,G20,G21,G22)</f>
        <v>41.044089</v>
      </c>
      <c r="H24" s="203">
        <f>SUM(H17,H18,H19,H20,H21,H22)</f>
        <v>31.864089</v>
      </c>
      <c r="I24" s="203">
        <f>SUM(I17,I18,I19,I20,I21,I22)</f>
        <v>30.929848478</v>
      </c>
      <c r="J24" s="553">
        <f>SUM(J17,J18,J19,J20,J21,J22)</f>
        <v>51.37969695600001</v>
      </c>
      <c r="K24" s="553">
        <f>SUM(K17,K18,K19,K20,K21,K22)</f>
        <v>104.993937478</v>
      </c>
    </row>
    <row r="25">
      <c r="B25" s="471" t="inlineStr">
        <is>
          <t>Less: BP &amp; Domain Architect already funded in portfolio overheads (see 2.1)</t>
        </is>
      </c>
      <c r="J25" s="472" t="n"/>
      <c r="K25" s="566">
        <f>'3.2 Total Cost'!$C$23</f>
        <v>-3.12</v>
      </c>
    </row>
    <row r="26">
      <c r="B26" s="419" t="inlineStr">
        <is>
          <t>Net operating model cost - ties to 2.1 Total Cost ($m)</t>
        </is>
      </c>
      <c r="J26" s="420" t="n"/>
      <c r="K26" s="566">
        <f>K24+'3.2 Total Cost'!$C$23</f>
        <v>101.873937478</v>
      </c>
    </row>
    <row r="27">
      <c r="B27" s="1" t="inlineStr">
        <is>
          <t>Reconciliation to Data Config TDD budget allocation</t>
        </is>
      </c>
      <c r="C27" s="851" t="n"/>
      <c r="D27" s="851" t="n"/>
      <c r="E27" s="851" t="n"/>
      <c r="F27" s="851" t="n"/>
      <c r="G27" s="851" t="n"/>
      <c r="H27" s="851" t="n"/>
      <c r="I27" s="851" t="n"/>
      <c r="J27" s="852" t="n"/>
    </row>
    <row r="28">
      <c r="B28" s="8" t="inlineStr">
        <is>
          <t>Portfolio budgets (above)</t>
        </is>
      </c>
      <c r="C28" s="9">
        <f>C17</f>
        <v>32.0</v>
      </c>
    </row>
    <row r="29">
      <c r="B29" s="8" t="inlineStr">
        <is>
          <t>COE allocations (3.4 COE Summary)</t>
        </is>
      </c>
      <c r="C29" s="201">
        <f>SUM('0.2 Data Config'!$E$6:$E$10)+'0.2 Data Config'!$E$23</f>
        <v>11.5</v>
      </c>
    </row>
    <row r="30">
      <c r="B30" s="202" t="inlineStr">
        <is>
          <t>Total allocation accounted for</t>
        </is>
      </c>
      <c r="C30" s="203">
        <f>C28+C29</f>
        <v>43.5</v>
      </c>
    </row>
    <row r="31">
      <c r="B31" s="8" t="inlineStr">
        <is>
          <t>Data Config total allocation</t>
        </is>
      </c>
      <c r="C31" s="201">
        <f>'0.2 Data Config'!$E$26</f>
        <v>43.5</v>
      </c>
    </row>
    <row r="32">
      <c r="B32" s="202" t="inlineStr">
        <is>
          <t>Check (should be 0)</t>
        </is>
      </c>
      <c r="C32" s="203">
        <f>C30-C31</f>
        <v>0.0</v>
      </c>
    </row>
    <row r="33">
      <c r="B33" s="8" t="inlineStr">
        <is>
          <t>Unallocated TDD budget (headroom)</t>
        </is>
      </c>
      <c r="C33" s="201">
        <f>'0.2 Data Config'!$E$27-'0.2 Data Config'!$E$26</f>
        <v>10.300000000000004</v>
      </c>
    </row>
    <row r="34">
      <c r="B34" s="230" t="inlineStr">
        <is>
          <t>Total TDD Lights On budget (Finance)</t>
        </is>
      </c>
      <c r="C34" s="231">
        <f>'0.2 Data Config'!$E$27</f>
        <v>53.800000000000004</v>
      </c>
    </row>
    <row r="35">
      <c r="B35" s="8" t="inlineStr">
        <is>
          <t>% of TDD budget allocated</t>
        </is>
      </c>
      <c r="C35" s="473">
        <f>C30/C34</f>
        <v>0.8085501858736058</v>
      </c>
    </row>
    <row r="37">
      <c r="B37" s="548" t="inlineStr">
        <is>
          <t>AU / NZ funding split - from the squad Fund toggles on the 1.x tabs</t>
        </is>
      </c>
    </row>
    <row r="38">
      <c r="B38" s="563" t="inlineStr">
        <is>
          <t>AU budget - 0.2 Data Config ($m)</t>
        </is>
      </c>
      <c r="C38" s="551">
        <f>'0.2 Data Config'!$C$27</f>
        <v>36.2</v>
      </c>
    </row>
    <row r="39">
      <c r="B39" s="563" t="inlineStr">
        <is>
          <t>AU allocated to COEs - 0.2 Data Config ($m)</t>
        </is>
      </c>
      <c r="C39" s="551">
        <f>SUM('0.2 Data Config'!$C$6:$C$10)</f>
        <v>6.0</v>
      </c>
    </row>
    <row r="40">
      <c r="B40" s="563" t="inlineStr">
        <is>
          <t>TDD squad cost - AU funded ($m)</t>
        </is>
      </c>
      <c r="C40" s="551">
        <f>'1.1 Ampol Retail'!$C$8+'1.2 Customer'!$C$8+'1.3 Enterprise Data'!$C$8+'1.4 TDD Group Functions'!$C$8+'1.5 P&amp;C'!$C$8+'1.6 Finance'!$C$8+'1.7 Infrastructure'!$C$9+'1.8 Energy Solutions &amp; B2B'!$C$8+'1.9 Commercial Fuels'!$C$8+'1.10 Z Retail'!$C$8</f>
        <v>21.568000000000005</v>
      </c>
    </row>
    <row r="41">
      <c r="B41" s="550" t="inlineStr">
        <is>
          <t>Variance vs AU budget ($m)</t>
        </is>
      </c>
      <c r="C41" s="566">
        <f>C38-C39-C40</f>
        <v>8.631999999999998</v>
      </c>
    </row>
    <row r="42">
      <c r="B42" s="563" t="inlineStr">
        <is>
          <t>NZ budget - 0.2 Data Config ($m)</t>
        </is>
      </c>
      <c r="C42" s="551">
        <f>'0.2 Data Config'!$D$27</f>
        <v>17.6</v>
      </c>
    </row>
    <row r="43">
      <c r="B43" s="563" t="inlineStr">
        <is>
          <t>NZ allocated to COEs - 0.2 Data Config ($m)</t>
        </is>
      </c>
      <c r="C43" s="551">
        <f>SUM('0.2 Data Config'!$D$6:$D$10)</f>
        <v>2.0</v>
      </c>
    </row>
    <row r="44">
      <c r="B44" s="563" t="inlineStr">
        <is>
          <t>TDD squad cost - NZ funded ($m)</t>
        </is>
      </c>
      <c r="C44" s="551">
        <f>'1.1 Ampol Retail'!$D$8+'1.2 Customer'!$D$8+'1.3 Enterprise Data'!$D$8+'1.4 TDD Group Functions'!$D$8+'1.5 P&amp;C'!$D$8+'1.6 Finance'!$D$8+'1.7 Infrastructure'!$D$9+'1.8 Energy Solutions &amp; B2B'!$D$8+'1.9 Commercial Fuels'!$D$8+'1.10 Z Retail'!$D$8</f>
        <v>10.672</v>
      </c>
    </row>
    <row r="45">
      <c r="B45" s="550" t="inlineStr">
        <is>
          <t>Variance vs NZ budget ($m)</t>
        </is>
      </c>
      <c r="C45" s="566">
        <f>C42-C43-C44</f>
        <v>4.928000000000001</v>
      </c>
    </row>
    <row r="46">
      <c r="B46" s="570" t="inlineStr">
        <is>
          <t>Portfolio overheads and platform overheads sit inside the COE and portfolio allocations on 0.2 Data Config.</t>
        </is>
      </c>
    </row>
    <row r="48">
      <c r="B48" s="548" t="inlineStr">
        <is>
          <t>Total to fund</t>
        </is>
      </c>
      <c r="C48" s="548" t="n"/>
    </row>
    <row r="49">
      <c r="B49" s="563" t="inlineStr">
        <is>
          <t>TDD Variance</t>
        </is>
      </c>
      <c r="C49" s="551">
        <f>J17-I17</f>
        <v>11.200000000000003</v>
      </c>
    </row>
    <row r="50">
      <c r="B50" s="563" t="inlineStr">
        <is>
          <t>Other Variance</t>
        </is>
      </c>
      <c r="C50" s="551">
        <f>I17</f>
        <v>22.18</v>
      </c>
    </row>
    <row r="51">
      <c r="B51" s="561" t="inlineStr">
        <is>
          <t>Total</t>
        </is>
      </c>
      <c r="C51" s="553">
        <f>C49+C50</f>
        <v>33.38</v>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002F6C"/>
    <outlinePr summaryBelow="1" summaryRight="1"/>
    <pageSetUpPr/>
  </sheetPr>
  <dimension ref="B2:N55"/>
  <sheetViews>
    <sheetView showGridLines="0" zoomScaleNormal="100" workbookViewId="0">
      <selection activeCell="A1" sqref="A1"/>
    </sheetView>
  </sheetViews>
  <sheetFormatPr baseColWidth="8" defaultRowHeight="14.5"/>
  <cols>
    <col width="3" customWidth="1" style="849" min="1" max="1"/>
    <col width="46" customWidth="1" style="849" min="2" max="2"/>
    <col width="13" bestFit="1" customWidth="1" style="849" min="3" max="4"/>
    <col width="12" bestFit="1" customWidth="1" style="849" min="5" max="5"/>
    <col width="16" customWidth="1" style="849" min="6" max="6"/>
    <col width="13" bestFit="1" customWidth="1" style="849" min="7" max="7"/>
    <col width="11" customWidth="1" style="849" min="8" max="8"/>
    <col width="10" customWidth="1" style="849" min="9" max="9"/>
    <col width="11" customWidth="1" style="849" min="10" max="10"/>
    <col width="14" customWidth="1" style="849" min="11" max="12"/>
    <col width="10" customWidth="1" style="849" min="13" max="14"/>
  </cols>
  <sheetData>
    <row r="2" ht="21" customHeight="1" s="849">
      <c r="B2" s="546" t="inlineStr">
        <is>
          <t>Total Cost - archetype model vs actual organisation</t>
        </is>
      </c>
      <c r="C2" s="547" t="n"/>
      <c r="D2" s="547" t="n"/>
      <c r="E2" s="547" t="n"/>
      <c r="F2" s="547" t="n"/>
      <c r="G2" s="547" t="n"/>
      <c r="H2" s="547" t="n"/>
      <c r="I2" s="547" t="n"/>
      <c r="J2" s="547" t="n"/>
      <c r="K2" s="547" t="n"/>
      <c r="L2" s="547" t="n"/>
      <c r="M2" s="547" t="n"/>
    </row>
    <row r="3">
      <c r="B3" s="547" t="n"/>
      <c r="C3" s="547" t="n"/>
      <c r="D3" s="547" t="n"/>
      <c r="E3" s="547" t="n"/>
      <c r="F3" s="547" t="n"/>
      <c r="G3" s="547" t="n"/>
      <c r="H3" s="547" t="n"/>
      <c r="I3" s="547" t="n"/>
      <c r="J3" s="547" t="n"/>
      <c r="K3" s="547" t="n"/>
      <c r="L3" s="547" t="n"/>
      <c r="M3" s="547" t="n"/>
    </row>
    <row r="4">
      <c r="B4" s="548" t="inlineStr">
        <is>
          <t>Portfolio cost in one number - squads, strategic programs, leadership and overheads</t>
        </is>
      </c>
      <c r="C4" s="547" t="n"/>
      <c r="D4" s="547" t="n"/>
      <c r="E4" s="547" t="n"/>
      <c r="F4" s="547" t="n"/>
      <c r="G4" s="547" t="n"/>
      <c r="H4" s="547" t="n"/>
      <c r="I4" s="547" t="n"/>
      <c r="J4" s="547" t="n"/>
      <c r="K4" s="547" t="n"/>
      <c r="L4" s="547" t="n"/>
      <c r="M4" s="547" t="n"/>
    </row>
    <row r="5" ht="43.5" customHeight="1" s="849">
      <c r="B5" s="549" t="inlineStr">
        <is>
          <t>Portfolio</t>
        </is>
      </c>
      <c r="C5" s="549" t="inlineStr">
        <is>
          <t>Archetype cost ($m)</t>
        </is>
      </c>
      <c r="D5" s="549" t="inlineStr">
        <is>
          <t>Actual cost ($m)</t>
        </is>
      </c>
      <c r="E5" s="549" t="inlineStr">
        <is>
          <t>Variance ($m)</t>
        </is>
      </c>
      <c r="F5" s="549" t="inlineStr">
        <is>
          <t>Cost after vacancy decisions ($m)</t>
        </is>
      </c>
      <c r="G5" s="549" t="inlineStr">
        <is>
          <t>New Variance ($m)</t>
        </is>
      </c>
      <c r="H5" s="549" t="inlineStr">
        <is>
          <t>Archetype FTE</t>
        </is>
      </c>
      <c r="I5" s="549" t="inlineStr">
        <is>
          <t>Filled FTE</t>
        </is>
      </c>
      <c r="J5" s="549" t="inlineStr">
        <is>
          <t>FTE variance</t>
        </is>
      </c>
      <c r="K5" s="549" t="inlineStr">
        <is>
          <t>Actual Filled ($m)</t>
        </is>
      </c>
      <c r="L5" s="549" t="inlineStr">
        <is>
          <t>Actual Vacant ($m)</t>
        </is>
      </c>
      <c r="M5" s="549" t="inlineStr">
        <is>
          <t>Vacant FTE</t>
        </is>
      </c>
      <c r="N5" s="549" t="inlineStr">
        <is>
          <t>Total FTE</t>
        </is>
      </c>
    </row>
    <row r="6">
      <c r="B6" s="550" t="str">
        <f>'1.1 Ampol Retail'!$B$2</f>
        <v>Ampol Retail</v>
      </c>
      <c r="C6" s="912">
        <f>'1.1 Ampol Retail'!$F$9</f>
        <v>14.213588999999999</v>
      </c>
      <c r="D6" s="912">
        <f>K6+L6</f>
        <v>13.483527457</v>
      </c>
      <c r="E6" s="912">
        <f>ROUND(D6-C6,6)</f>
        <v>-0.730062</v>
      </c>
      <c r="F6" s="912">
        <f>'2.1 Ampol Retail'!$M$15</f>
        <v>7.521865014051948</v>
      </c>
      <c r="G6" s="912">
        <f>ROUND(F6-C6,6)</f>
        <v>-6.691724</v>
      </c>
      <c r="H6" s="913">
        <f>'3.3 FTE View'!$G$22</f>
        <v>47.5</v>
      </c>
      <c r="I6" s="913">
        <f>COUNTIFS('REVIEW - Complete Role Mapping'!$AJ:$AJ,$B6,'REVIEW - Complete Role Mapping'!$AK:$AK,"Filled")</f>
        <v>45.0</v>
      </c>
      <c r="J6" s="913">
        <f>N6-H6</f>
        <v>20.5</v>
      </c>
      <c r="K6" s="912">
        <f>SUMIFS('REVIEW - Complete Role Mapping'!$AA:$AA,'REVIEW - Complete Role Mapping'!$AJ:$AJ,$B6,'REVIEW - Complete Role Mapping'!$AK:$AK,"Filled")/1000000</f>
        <v>8.971151517</v>
      </c>
      <c r="L6" s="912">
        <f>SUMIFS('REVIEW - Complete Role Mapping'!$AA:$AA,'REVIEW - Complete Role Mapping'!$AJ:$AJ,$B6,'REVIEW - Complete Role Mapping'!$AK:$AK,"Vacant")/1000000</f>
        <v>4.51237594</v>
      </c>
      <c r="M6" s="914">
        <f>COUNTIFS('REVIEW - Complete Role Mapping'!$AJ:$AJ,$B6,'REVIEW - Complete Role Mapping'!$AK:$AK,"Vacant")</f>
        <v>23.0</v>
      </c>
      <c r="N6" s="915">
        <f>I6+M6</f>
        <v>68.0</v>
      </c>
    </row>
    <row r="7">
      <c r="B7" s="550" t="str">
        <f>'1.2 Customer'!$B$2</f>
        <v>Customer</v>
      </c>
      <c r="C7" s="912">
        <f>'1.2 Customer'!$F$9</f>
        <v>14.9445</v>
      </c>
      <c r="D7" s="912">
        <f>K7+L7</f>
        <v>14.677971332000002</v>
      </c>
      <c r="E7" s="912">
        <f>ROUND(D7-C7,6)</f>
        <v>-0.266529</v>
      </c>
      <c r="F7" s="912">
        <f>'2.2 Customer'!$M$13</f>
        <v>12.279569592058822</v>
      </c>
      <c r="G7" s="912">
        <f>ROUND(F7-C7,6)</f>
        <v>-2.66493</v>
      </c>
      <c r="H7" s="913">
        <f>'3.3 FTE View'!$G$36</f>
        <v>61.0</v>
      </c>
      <c r="I7" s="913">
        <f>COUNTIFS('REVIEW - Complete Role Mapping'!$AJ:$AJ,$B7,'REVIEW - Complete Role Mapping'!$AK:$AK,"Filled")</f>
        <v>51.0</v>
      </c>
      <c r="J7" s="913">
        <f>N7-H7</f>
        <v>11.0</v>
      </c>
      <c r="K7" s="912">
        <f>SUMIFS('REVIEW - Complete Role Mapping'!$AA:$AA,'REVIEW - Complete Role Mapping'!$AJ:$AJ,$B7,'REVIEW - Complete Role Mapping'!$AK:$AK,"Filled")/1000000</f>
        <v>10.060667182000001</v>
      </c>
      <c r="L7" s="912">
        <f>SUMIFS('REVIEW - Complete Role Mapping'!$AA:$AA,'REVIEW - Complete Role Mapping'!$AJ:$AJ,$B7,'REVIEW - Complete Role Mapping'!$AK:$AK,"Vacant")/1000000</f>
        <v>4.617304150000001</v>
      </c>
      <c r="M7" s="914">
        <f>COUNTIFS('REVIEW - Complete Role Mapping'!$AJ:$AJ,$B7,'REVIEW - Complete Role Mapping'!$AK:$AK,"Vacant")</f>
        <v>21.0</v>
      </c>
      <c r="N7" s="915">
        <f>I7+M7</f>
        <v>72.0</v>
      </c>
    </row>
    <row r="8">
      <c r="B8" s="550" t="str">
        <f>'1.3 Enterprise Data'!$B$2</f>
        <v>Enterprise Data</v>
      </c>
      <c r="C8" s="912">
        <f>'1.3 Enterprise Data'!$F$9</f>
        <v>6.014500000000001</v>
      </c>
      <c r="D8" s="912">
        <f>K8+L8</f>
        <v>6.963446575999999</v>
      </c>
      <c r="E8" s="912">
        <f>ROUND(D8-C8,6)</f>
        <v>0.948947</v>
      </c>
      <c r="F8" s="912">
        <f>'2.3 Enterprise Data'!$M$10</f>
        <v>3.8163470159999995</v>
      </c>
      <c r="G8" s="912">
        <f>ROUND(F8-C8,6)</f>
        <v>-2.198153</v>
      </c>
      <c r="H8" s="913">
        <f>'3.3 FTE View'!$G$43</f>
        <v>33.0</v>
      </c>
      <c r="I8" s="913">
        <f>COUNTIFS('REVIEW - Complete Role Mapping'!$AJ:$AJ,$B8,'REVIEW - Complete Role Mapping'!$AK:$AK,"Filled")</f>
        <v>21.0</v>
      </c>
      <c r="J8" s="913">
        <f>N8-H8</f>
        <v>-3.0</v>
      </c>
      <c r="K8" s="912">
        <f>SUMIFS('REVIEW - Complete Role Mapping'!$AA:$AA,'REVIEW - Complete Role Mapping'!$AJ:$AJ,$B8,'REVIEW - Complete Role Mapping'!$AK:$AK,"Filled")/1000000</f>
        <v>5.202494325999999</v>
      </c>
      <c r="L8" s="912">
        <f>SUMIFS('REVIEW - Complete Role Mapping'!$AA:$AA,'REVIEW - Complete Role Mapping'!$AJ:$AJ,$B8,'REVIEW - Complete Role Mapping'!$AK:$AK,"Vacant")/1000000</f>
        <v>1.76095225</v>
      </c>
      <c r="M8" s="914">
        <f>COUNTIFS('REVIEW - Complete Role Mapping'!$AJ:$AJ,$B8,'REVIEW - Complete Role Mapping'!$AK:$AK,"Vacant")</f>
        <v>9.0</v>
      </c>
      <c r="N8" s="915">
        <f>I8+M8</f>
        <v>30.0</v>
      </c>
    </row>
    <row r="9">
      <c r="B9" s="550" t="str">
        <f>'1.4 TDD Group Functions'!$B$2</f>
        <v>TDD Group Functions</v>
      </c>
      <c r="C9" s="912">
        <f>'1.4 TDD Group Functions'!$F$9</f>
        <v>6.814500000000001</v>
      </c>
      <c r="D9" s="912">
        <f>K9+L9</f>
        <v>9.416733482400002</v>
      </c>
      <c r="E9" s="912">
        <f>ROUND(D9-C9,6)</f>
        <v>2.602233</v>
      </c>
      <c r="F9" s="912">
        <f>'2.4 TDD Group Functions'!$M$11</f>
        <v>6.9850174824</v>
      </c>
      <c r="G9" s="912">
        <f>ROUND(F9-C9,6)</f>
        <v>0.170517</v>
      </c>
      <c r="H9" s="913">
        <f>'3.3 FTE View'!$G$51</f>
        <v>26.5</v>
      </c>
      <c r="I9" s="913">
        <f>COUNTIFS('REVIEW - Complete Role Mapping'!$AJ:$AJ,$B9,'REVIEW - Complete Role Mapping'!$AK:$AK,"Filled")</f>
        <v>26.0</v>
      </c>
      <c r="J9" s="913">
        <f>N9-H9</f>
        <v>17.5</v>
      </c>
      <c r="K9" s="912">
        <f>SUMIFS('REVIEW - Complete Role Mapping'!$AA:$AA,'REVIEW - Complete Role Mapping'!$AJ:$AJ,$B9,'REVIEW - Complete Role Mapping'!$AK:$AK,"Filled")/1000000</f>
        <v>5.002821482400001</v>
      </c>
      <c r="L9" s="912">
        <f>SUMIFS('REVIEW - Complete Role Mapping'!$AA:$AA,'REVIEW - Complete Role Mapping'!$AJ:$AJ,$B9,'REVIEW - Complete Role Mapping'!$AK:$AK,"Vacant")/1000000</f>
        <v>4.413912</v>
      </c>
      <c r="M9" s="914">
        <f>COUNTIFS('REVIEW - Complete Role Mapping'!$AJ:$AJ,$B9,'REVIEW - Complete Role Mapping'!$AK:$AK,"Vacant")</f>
        <v>18.0</v>
      </c>
      <c r="N9" s="915">
        <f>I9+M9</f>
        <v>44.0</v>
      </c>
    </row>
    <row r="10">
      <c r="B10" s="550" t="str">
        <f>'1.5 P&amp;C'!$B$2</f>
        <v>P&amp;C</v>
      </c>
      <c r="C10" s="912">
        <f>'1.5 P&amp;C'!$F$9</f>
        <v>4.4145</v>
      </c>
      <c r="D10" s="912">
        <f>K10+L10</f>
        <v>3.90694088</v>
      </c>
      <c r="E10" s="912">
        <f>ROUND(D10-C10,6)</f>
        <v>-0.507559</v>
      </c>
      <c r="F10" s="912">
        <f>'2.5 P&amp;C'!$M$9</f>
        <v>1.70578668</v>
      </c>
      <c r="G10" s="912">
        <f>ROUND(F10-C10,6)</f>
        <v>-2.708713</v>
      </c>
      <c r="H10" s="913">
        <f>'3.3 FTE View'!$G$57</f>
        <v>15.0</v>
      </c>
      <c r="I10" s="913">
        <f>COUNTIFS('REVIEW - Complete Role Mapping'!$AJ:$AJ,$B10,'REVIEW - Complete Role Mapping'!$AK:$AK,"Filled")</f>
        <v>7.0</v>
      </c>
      <c r="J10" s="913">
        <f>N10-H10</f>
        <v>2.0</v>
      </c>
      <c r="K10" s="912">
        <f>SUMIFS('REVIEW - Complete Role Mapping'!$AA:$AA,'REVIEW - Complete Role Mapping'!$AJ:$AJ,$B10,'REVIEW - Complete Role Mapping'!$AK:$AK,"Filled")/1000000</f>
        <v>1.7925359800000003</v>
      </c>
      <c r="L10" s="912">
        <f>SUMIFS('REVIEW - Complete Role Mapping'!$AA:$AA,'REVIEW - Complete Role Mapping'!$AJ:$AJ,$B10,'REVIEW - Complete Role Mapping'!$AK:$AK,"Vacant")/1000000</f>
        <v>2.1144049</v>
      </c>
      <c r="M10" s="914">
        <f>COUNTIFS('REVIEW - Complete Role Mapping'!$AJ:$AJ,$B10,'REVIEW - Complete Role Mapping'!$AK:$AK,"Vacant")</f>
        <v>10.0</v>
      </c>
      <c r="N10" s="915">
        <f>I10+M10</f>
        <v>17.0</v>
      </c>
    </row>
    <row r="11">
      <c r="B11" s="550" t="str">
        <f>'1.6 Finance'!$B$2</f>
        <v>Finance</v>
      </c>
      <c r="C11" s="912">
        <f>'1.6 Finance'!$F$9</f>
        <v>5.514500000000001</v>
      </c>
      <c r="D11" s="912">
        <f>K11+L11</f>
        <v>3.489416116</v>
      </c>
      <c r="E11" s="912">
        <f>ROUND(D11-C11,6)</f>
        <v>-2.025084</v>
      </c>
      <c r="F11" s="912">
        <f>'2.6 Finance'!$M$9</f>
        <v>1.3691742959999997</v>
      </c>
      <c r="G11" s="912">
        <f>ROUND(F11-C11,6)</f>
        <v>-4.145326</v>
      </c>
      <c r="H11" s="913">
        <f>'3.3 FTE View'!$G$63</f>
        <v>20.0</v>
      </c>
      <c r="I11" s="913">
        <f>COUNTIFS('REVIEW - Complete Role Mapping'!$AJ:$AJ,$B11,'REVIEW - Complete Role Mapping'!$AK:$AK,"Filled")</f>
        <v>6.0</v>
      </c>
      <c r="J11" s="913">
        <f>N11-H11</f>
        <v>-4.0</v>
      </c>
      <c r="K11" s="912">
        <f>SUMIFS('REVIEW - Complete Role Mapping'!$AA:$AA,'REVIEW - Complete Role Mapping'!$AJ:$AJ,$B11,'REVIEW - Complete Role Mapping'!$AK:$AK,"Filled")/1000000</f>
        <v>1.3248027460000003</v>
      </c>
      <c r="L11" s="912">
        <f>SUMIFS('REVIEW - Complete Role Mapping'!$AA:$AA,'REVIEW - Complete Role Mapping'!$AJ:$AJ,$B11,'REVIEW - Complete Role Mapping'!$AK:$AK,"Vacant")/1000000</f>
        <v>2.16461337</v>
      </c>
      <c r="M11" s="914">
        <f>COUNTIFS('REVIEW - Complete Role Mapping'!$AJ:$AJ,$B11,'REVIEW - Complete Role Mapping'!$AK:$AK,"Vacant")</f>
        <v>10.0</v>
      </c>
      <c r="N11" s="915">
        <f>I11+M11</f>
        <v>16.0</v>
      </c>
    </row>
    <row r="12">
      <c r="B12" s="550" t="str">
        <f>'1.7 Infrastructure'!$B$2</f>
        <v>Infrastructure</v>
      </c>
      <c r="C12" s="912">
        <f>'1.7 Infrastructure'!$F$10</f>
        <v>7.644500000000001</v>
      </c>
      <c r="D12" s="912">
        <f>K12+L12</f>
        <v>7.550783539999999</v>
      </c>
      <c r="E12" s="912">
        <f>ROUND(D12-C12,6)</f>
        <v>-0.093716</v>
      </c>
      <c r="F12" s="912">
        <f>'2.7 Infrastructure'!$M$10</f>
        <v>4.483282989999999</v>
      </c>
      <c r="G12" s="912">
        <f>ROUND(F12-C12,6)</f>
        <v>-3.161217</v>
      </c>
      <c r="H12" s="913">
        <f>'3.3 FTE View'!$G$71</f>
        <v>28.0</v>
      </c>
      <c r="I12" s="913">
        <f>COUNTIFS('REVIEW - Complete Role Mapping'!$AJ:$AJ,$B12,'REVIEW - Complete Role Mapping'!$AK:$AK,"Filled")</f>
        <v>23.0</v>
      </c>
      <c r="J12" s="913">
        <f>N12-H12</f>
        <v>7.0</v>
      </c>
      <c r="K12" s="912">
        <f>SUMIFS('REVIEW - Complete Role Mapping'!$AA:$AA,'REVIEW - Complete Role Mapping'!$AJ:$AJ,$B12,'REVIEW - Complete Role Mapping'!$AK:$AK,"Filled")/1000000</f>
        <v>4.90599679</v>
      </c>
      <c r="L12" s="912">
        <f>SUMIFS('REVIEW - Complete Role Mapping'!$AA:$AA,'REVIEW - Complete Role Mapping'!$AJ:$AJ,$B12,'REVIEW - Complete Role Mapping'!$AK:$AK,"Vacant")/1000000</f>
        <v>2.64478675</v>
      </c>
      <c r="M12" s="914">
        <f>COUNTIFS('REVIEW - Complete Role Mapping'!$AJ:$AJ,$B12,'REVIEW - Complete Role Mapping'!$AK:$AK,"Vacant")</f>
        <v>12.0</v>
      </c>
      <c r="N12" s="915">
        <f>I12+M12</f>
        <v>35.0</v>
      </c>
    </row>
    <row r="13">
      <c r="B13" s="550" t="str">
        <f>'1.8 Energy Solutions &amp; B2B'!$B$2</f>
        <v>Energy Solutions &amp; B2B</v>
      </c>
      <c r="C13" s="912">
        <f>'1.8 Energy Solutions &amp; B2B'!$F$9</f>
        <v>8.279499999999999</v>
      </c>
      <c r="D13" s="912">
        <f>K13+L13</f>
        <v>6.4478162779999995</v>
      </c>
      <c r="E13" s="912">
        <f>ROUND(D13-C13,6)</f>
        <v>-1.831684</v>
      </c>
      <c r="F13" s="912">
        <f>'2.8 Energy Solutions &amp; B2B'!$M$9</f>
        <v>4.392696078</v>
      </c>
      <c r="G13" s="912">
        <f>ROUND(F13-C13,6)</f>
        <v>-3.886804</v>
      </c>
      <c r="H13" s="913">
        <f>'3.3 FTE View'!$G$77</f>
        <v>32.0</v>
      </c>
      <c r="I13" s="913">
        <f>COUNTIFS('REVIEW - Complete Role Mapping'!$AJ:$AJ,$B13,'REVIEW - Complete Role Mapping'!$AK:$AK,"Filled")</f>
        <v>24.0</v>
      </c>
      <c r="J13" s="913">
        <f>N13-H13</f>
        <v>1.0</v>
      </c>
      <c r="K13" s="912">
        <f>SUMIFS('REVIEW - Complete Role Mapping'!$AA:$AA,'REVIEW - Complete Role Mapping'!$AJ:$AJ,$B13,'REVIEW - Complete Role Mapping'!$AK:$AK,"Filled")/1000000</f>
        <v>4.4185510279999995</v>
      </c>
      <c r="L13" s="912">
        <f>SUMIFS('REVIEW - Complete Role Mapping'!$AA:$AA,'REVIEW - Complete Role Mapping'!$AJ:$AJ,$B13,'REVIEW - Complete Role Mapping'!$AK:$AK,"Vacant")/1000000</f>
        <v>2.02926525</v>
      </c>
      <c r="M13" s="914">
        <f>COUNTIFS('REVIEW - Complete Role Mapping'!$AJ:$AJ,$B13,'REVIEW - Complete Role Mapping'!$AK:$AK,"Vacant")</f>
        <v>9.0</v>
      </c>
      <c r="N13" s="915">
        <f>I13+M13</f>
        <v>33.0</v>
      </c>
    </row>
    <row r="14">
      <c r="B14" s="550" t="str">
        <f>'1.9 Commercial Fuels'!$B$2</f>
        <v>Commercial Fuels</v>
      </c>
      <c r="C14" s="912">
        <f>'1.9 Commercial Fuels'!$F$9</f>
        <v>8.544500000000001</v>
      </c>
      <c r="D14" s="912">
        <f>K14+L14</f>
        <v>10.197669728699998</v>
      </c>
      <c r="E14" s="912">
        <f>ROUND(D14-C14,6)</f>
        <v>1.65317</v>
      </c>
      <c r="F14" s="912">
        <f>'2.9 Commercial Fuels'!$M$10</f>
        <v>7.9041808926999995</v>
      </c>
      <c r="G14" s="912">
        <f>ROUND(F14-C14,6)</f>
        <v>-0.640319</v>
      </c>
      <c r="H14" s="913">
        <f>'3.3 FTE View'!$G$85</f>
        <v>25.5</v>
      </c>
      <c r="I14" s="913">
        <f>COUNTIFS('REVIEW - Complete Role Mapping'!$AJ:$AJ,$B14,'REVIEW - Complete Role Mapping'!$AK:$AK,"Filled")</f>
        <v>33.0</v>
      </c>
      <c r="J14" s="913">
        <f>N14-H14</f>
        <v>16.5</v>
      </c>
      <c r="K14" s="912">
        <f>SUMIFS('REVIEW - Complete Role Mapping'!$AA:$AA,'REVIEW - Complete Role Mapping'!$AJ:$AJ,$B14,'REVIEW - Complete Role Mapping'!$AK:$AK,"Filled")/1000000</f>
        <v>8.281049478699998</v>
      </c>
      <c r="L14" s="912">
        <f>SUMIFS('REVIEW - Complete Role Mapping'!$AA:$AA,'REVIEW - Complete Role Mapping'!$AJ:$AJ,$B14,'REVIEW - Complete Role Mapping'!$AK:$AK,"Vacant")/1000000</f>
        <v>1.91662025</v>
      </c>
      <c r="M14" s="914">
        <f>COUNTIFS('REVIEW - Complete Role Mapping'!$AJ:$AJ,$B14,'REVIEW - Complete Role Mapping'!$AK:$AK,"Vacant")</f>
        <v>9.0</v>
      </c>
      <c r="N14" s="915">
        <f>I14+M14</f>
        <v>42.0</v>
      </c>
    </row>
    <row r="15">
      <c r="B15" s="550" t="str">
        <f>'1.10 Z Retail'!$B$2</f>
        <v>Z Retail</v>
      </c>
      <c r="C15" s="912">
        <f>'1.10 Z Retail'!$F$9</f>
        <v>7.8595000000000015</v>
      </c>
      <c r="D15" s="912">
        <f>K15+L15</f>
        <v>7.337294352000001</v>
      </c>
      <c r="E15" s="912">
        <f>ROUND(D15-C15,6)</f>
        <v>-0.522206</v>
      </c>
      <c r="F15" s="912">
        <f>'2.10 Z Retail'!$M$9</f>
        <v>3.644497792</v>
      </c>
      <c r="G15" s="912">
        <f>ROUND(F15-C15,6)</f>
        <v>-4.215002</v>
      </c>
      <c r="H15" s="913">
        <f>'3.3 FTE View'!$G$91</f>
        <v>27.0</v>
      </c>
      <c r="I15" s="913">
        <f>COUNTIFS('REVIEW - Complete Role Mapping'!$AJ:$AJ,$B15,'REVIEW - Complete Role Mapping'!$AK:$AK,"Filled")</f>
        <v>31.0</v>
      </c>
      <c r="J15" s="913">
        <f>N15-H15</f>
        <v>12.0</v>
      </c>
      <c r="K15" s="912">
        <f>SUMIFS('REVIEW - Complete Role Mapping'!$AA:$AA,'REVIEW - Complete Role Mapping'!$AJ:$AJ,$B15,'REVIEW - Complete Role Mapping'!$AK:$AK,"Filled")/1000000</f>
        <v>5.410556102000001</v>
      </c>
      <c r="L15" s="912">
        <f>SUMIFS('REVIEW - Complete Role Mapping'!$AA:$AA,'REVIEW - Complete Role Mapping'!$AJ:$AJ,$B15,'REVIEW - Complete Role Mapping'!$AK:$AK,"Vacant")/1000000</f>
        <v>1.92673825</v>
      </c>
      <c r="M15" s="914">
        <f>COUNTIFS('REVIEW - Complete Role Mapping'!$AJ:$AJ,$B15,'REVIEW - Complete Role Mapping'!$AK:$AK,"Vacant")</f>
        <v>8.0</v>
      </c>
      <c r="N15" s="915">
        <f>I15+M15</f>
        <v>39.0</v>
      </c>
    </row>
    <row r="16">
      <c r="B16" s="550" t="str">
        <f>'3.4 COE Summary'!$B$6</f>
        <v>Business Partnering</v>
      </c>
      <c r="C16" s="912">
        <f>'1.11 BP&amp;T'!$F$6+'1.11 BP&amp;T'!$C$13</f>
        <v>3.2925625920000003</v>
      </c>
      <c r="D16" s="912">
        <f>K16+L16</f>
        <v>3.2925625920000003</v>
      </c>
      <c r="E16" s="912">
        <f>ROUND(D16-C16,6)</f>
        <v>0.0</v>
      </c>
      <c r="F16" s="912">
        <f>K16</f>
        <v>2.853062592</v>
      </c>
      <c r="G16" s="912">
        <f>ROUND(F16-C16,6)</f>
        <v>-0.4395</v>
      </c>
      <c r="H16" s="913" t="str">
        <f>"-"</f>
        <v>-</v>
      </c>
      <c r="I16" s="913">
        <f>'3.4 COE Summary'!$D$6</f>
        <v>9.0</v>
      </c>
      <c r="J16" s="913" t="str">
        <f>"-"</f>
        <v>-</v>
      </c>
      <c r="K16" s="912">
        <f>(SUMIFS('REVIEW - Complete Role Mapping'!$AA:$AA,'REVIEW - Complete Role Mapping'!$AJ:$AJ,"COE BP&amp;T",'REVIEW - Complete Role Mapping'!$AK:$AK,"Filled")-SUMIFS('REVIEW - Complete Role Mapping'!$AA:$AA,'REVIEW - Complete Role Mapping'!$AJ:$AJ,"COE BP&amp;T",'REVIEW - Complete Role Mapping'!$AK:$AK,"Filled",'REVIEW - Complete Role Mapping'!$G:$G,"Transformation"))/1000000</f>
        <v>2.853062592</v>
      </c>
      <c r="L16" s="912">
        <f>(SUMIFS('REVIEW - Complete Role Mapping'!$AA:$AA,'REVIEW - Complete Role Mapping'!$AJ:$AJ,"COE BP&amp;T",'REVIEW - Complete Role Mapping'!$AK:$AK,"Vacant")-SUMIFS('REVIEW - Complete Role Mapping'!$AA:$AA,'REVIEW - Complete Role Mapping'!$AJ:$AJ,"COE BP&amp;T",'REVIEW - Complete Role Mapping'!$AK:$AK,"Vacant",'REVIEW - Complete Role Mapping'!$G:$G,"Transformation"))/1000000</f>
        <v>0.4395</v>
      </c>
      <c r="M16" s="914">
        <f>'3.4 COE Summary'!$E$6</f>
        <v>1.0</v>
      </c>
      <c r="N16" s="915">
        <f>I16+M16</f>
        <v>10.0</v>
      </c>
    </row>
    <row r="17">
      <c r="B17" s="550" t="str">
        <f>'3.4 COE Summary'!$B$7</f>
        <v>Transformation</v>
      </c>
      <c r="C17" s="912">
        <f>'1.11 BP&amp;T'!$F$7</f>
        <v>3.10799923</v>
      </c>
      <c r="D17" s="912">
        <f>K17+L17</f>
        <v>3.10799923</v>
      </c>
      <c r="E17" s="912">
        <f>ROUND(D17-C17,6)</f>
        <v>0.0</v>
      </c>
      <c r="F17" s="912">
        <f>K17</f>
        <v>1.19998525</v>
      </c>
      <c r="G17" s="912">
        <f>ROUND(F17-C17,6)</f>
        <v>-1.908014</v>
      </c>
      <c r="H17" s="913" t="str">
        <f>"-"</f>
        <v>-</v>
      </c>
      <c r="I17" s="913">
        <f>'3.4 COE Summary'!$D$7</f>
        <v>6.0</v>
      </c>
      <c r="J17" s="913" t="str">
        <f>"-"</f>
        <v>-</v>
      </c>
      <c r="K17" s="912">
        <f>SUMIFS('REVIEW - Complete Role Mapping'!$AA:$AA,'REVIEW - Complete Role Mapping'!$AJ:$AJ,"COE BP&amp;T",'REVIEW - Complete Role Mapping'!$AK:$AK,"Filled",'REVIEW - Complete Role Mapping'!$G:$G,"Transformation")/1000000</f>
        <v>1.19998525</v>
      </c>
      <c r="L17" s="912">
        <f>SUMIFS('REVIEW - Complete Role Mapping'!$AA:$AA,'REVIEW - Complete Role Mapping'!$AJ:$AJ,"COE BP&amp;T",'REVIEW - Complete Role Mapping'!$AK:$AK,"Vacant",'REVIEW - Complete Role Mapping'!$G:$G,"Transformation")/1000000</f>
        <v>1.90801398</v>
      </c>
      <c r="M17" s="914">
        <f>'3.4 COE Summary'!$E$7</f>
        <v>8.0</v>
      </c>
      <c r="N17" s="915">
        <f>I17+M17</f>
        <v>14.0</v>
      </c>
    </row>
    <row r="18">
      <c r="B18" s="550" t="str">
        <f>'3.4 COE Summary'!$B$8</f>
        <v>Strategy &amp; Architecture</v>
      </c>
      <c r="C18" s="912">
        <f>'1.12 SA&amp;D'!$G$6+'1.12 SA&amp;D'!$C$13</f>
        <v>4.320560995999999</v>
      </c>
      <c r="D18" s="912">
        <f>K18+L18</f>
        <v>3.6828068359999993</v>
      </c>
      <c r="E18" s="912">
        <f>ROUND(D18-C18,6)</f>
        <v>-0.637754</v>
      </c>
      <c r="F18" s="912">
        <f>K18</f>
        <v>1.3132028859999998</v>
      </c>
      <c r="G18" s="912">
        <f>ROUND(F18-C18,6)</f>
        <v>-3.007358</v>
      </c>
      <c r="H18" s="913" t="str">
        <f>"-"</f>
        <v>-</v>
      </c>
      <c r="I18" s="913">
        <f>'3.4 COE Summary'!$D$8</f>
        <v>5.0</v>
      </c>
      <c r="J18" s="913" t="str">
        <f>"-"</f>
        <v>-</v>
      </c>
      <c r="K18" s="912">
        <f>(SUMIFS('REVIEW - Complete Role Mapping'!$AA:$AA,'REVIEW - Complete Role Mapping'!$AJ:$AJ,"COE SA&amp;D",'REVIEW - Complete Role Mapping'!$AK:$AK,"Filled")-SUMIFS('REVIEW - Complete Role Mapping'!$AA:$AA,'REVIEW - Complete Role Mapping'!$AJ:$AJ,"COE SA&amp;D",'REVIEW - Complete Role Mapping'!$AK:$AK,"Filled",'REVIEW - Complete Role Mapping'!$G:$G,"Group Data"))/1000000</f>
        <v>1.3132028859999998</v>
      </c>
      <c r="L18" s="912">
        <f>(SUMIFS('REVIEW - Complete Role Mapping'!$AA:$AA,'REVIEW - Complete Role Mapping'!$AJ:$AJ,"COE SA&amp;D",'REVIEW - Complete Role Mapping'!$AK:$AK,"Vacant")-SUMIFS('REVIEW - Complete Role Mapping'!$AA:$AA,'REVIEW - Complete Role Mapping'!$AJ:$AJ,"COE SA&amp;D",'REVIEW - Complete Role Mapping'!$AK:$AK,"Vacant",'REVIEW - Complete Role Mapping'!$G:$G,"Group Data"))/1000000</f>
        <v>2.3696039499999997</v>
      </c>
      <c r="M18" s="914">
        <f>'3.4 COE Summary'!$E$8</f>
        <v>10.0</v>
      </c>
      <c r="N18" s="915">
        <f>I18+M18</f>
        <v>15.0</v>
      </c>
    </row>
    <row r="19">
      <c r="B19" s="550" t="str">
        <f>'3.4 COE Summary'!$B$9</f>
        <v>Data</v>
      </c>
      <c r="C19" s="912">
        <f>'1.12 SA&amp;D'!$G$7</f>
        <v>2.232736616</v>
      </c>
      <c r="D19" s="912">
        <f>K19+L19</f>
        <v>1.822980916</v>
      </c>
      <c r="E19" s="912">
        <f>ROUND(D19-C19,6)</f>
        <v>-0.409756</v>
      </c>
      <c r="F19" s="912">
        <f>K19</f>
        <v>1.433374816</v>
      </c>
      <c r="G19" s="912">
        <f>ROUND(F19-C19,6)</f>
        <v>-0.799362</v>
      </c>
      <c r="H19" s="913" t="str">
        <f>"-"</f>
        <v>-</v>
      </c>
      <c r="I19" s="913">
        <f>'3.4 COE Summary'!$D$9</f>
        <v>6.0</v>
      </c>
      <c r="J19" s="913" t="str">
        <f>"-"</f>
        <v>-</v>
      </c>
      <c r="K19" s="912">
        <f>SUMIFS('REVIEW - Complete Role Mapping'!$AA:$AA,'REVIEW - Complete Role Mapping'!$AJ:$AJ,"COE SA&amp;D",'REVIEW - Complete Role Mapping'!$AK:$AK,"Filled",'REVIEW - Complete Role Mapping'!$G:$G,"Group Data")/1000000</f>
        <v>1.433374816</v>
      </c>
      <c r="L19" s="912">
        <f>SUMIFS('REVIEW - Complete Role Mapping'!$AA:$AA,'REVIEW - Complete Role Mapping'!$AJ:$AJ,"COE SA&amp;D",'REVIEW - Complete Role Mapping'!$AK:$AK,"Vacant",'REVIEW - Complete Role Mapping'!$G:$G,"Group Data")/1000000</f>
        <v>0.3896061</v>
      </c>
      <c r="M19" s="914">
        <f>'3.4 COE Summary'!$E$9</f>
        <v>1.0</v>
      </c>
      <c r="N19" s="915">
        <f>I19+M19</f>
        <v>7.0</v>
      </c>
    </row>
    <row r="20">
      <c r="B20" s="550" t="inlineStr">
        <is>
          <t>COE - Cyber, Risk &amp; Service Operations</t>
        </is>
      </c>
      <c r="C20" s="912">
        <f>'1.13 Cyber Roles'!$F$8</f>
        <v>10.915989044000002</v>
      </c>
      <c r="D20" s="912">
        <f>K20+L20</f>
        <v>9.897858293999999</v>
      </c>
      <c r="E20" s="912">
        <f>ROUND(D20-C20,6)</f>
        <v>-1.018131</v>
      </c>
      <c r="F20" s="912">
        <f>'2.11 TDD Cyber'!$M$7</f>
        <v>9.633408160666669</v>
      </c>
      <c r="G20" s="912">
        <f>ROUND(F20-C20,6)</f>
        <v>-1.282581</v>
      </c>
      <c r="H20" s="913" t="str">
        <f>"-"</f>
        <v>-</v>
      </c>
      <c r="I20" s="913">
        <f>'3.4 COE Summary'!$D$10</f>
        <v>42.0</v>
      </c>
      <c r="J20" s="913" t="str">
        <f>"-"</f>
        <v>-</v>
      </c>
      <c r="K20" s="912">
        <f>SUMIFS('REVIEW - Complete Role Mapping'!$AA:$AA,'REVIEW - Complete Role Mapping'!$AJ:$AJ,"COE Cyber",'REVIEW - Complete Role Mapping'!$AK:$AK,"Filled")/1000000</f>
        <v>9.199090294</v>
      </c>
      <c r="L20" s="912">
        <f>SUMIFS('REVIEW - Complete Role Mapping'!$AA:$AA,'REVIEW - Complete Role Mapping'!$AJ:$AJ,"COE Cyber",'REVIEW - Complete Role Mapping'!$AK:$AK,"Vacant")/1000000</f>
        <v>0.698768</v>
      </c>
      <c r="M20" s="914">
        <f>'3.4 COE Summary'!$E$10</f>
        <v>4.0</v>
      </c>
      <c r="N20" s="915">
        <f>I20+M20</f>
        <v>46.0</v>
      </c>
    </row>
    <row r="21">
      <c r="B21" s="550" t="inlineStr">
        <is>
          <t>Central leadership (COE + unmapped) - funded by overheads</t>
        </is>
      </c>
      <c r="C21" s="912">
        <f>0</f>
        <v>0.0</v>
      </c>
      <c r="D21" s="912">
        <f>K21+L21</f>
        <v>0.33497295</v>
      </c>
      <c r="E21" s="912">
        <f>ROUND(D21-C21,6)</f>
        <v>0.334973</v>
      </c>
      <c r="F21" s="912">
        <f>K21</f>
        <v>0.0</v>
      </c>
      <c r="G21" s="912">
        <f>ROUND(F21-C21,6)</f>
        <v>0.0</v>
      </c>
      <c r="H21" s="913" t="str">
        <f>"-"</f>
        <v>-</v>
      </c>
      <c r="I21" s="913">
        <f>COUNTIFS(Squads!$N:$N,"COE",Squads!$Q:$Q,"Leadership",Squads!$R:$R,"Filled")+COUNTIFS(Squads!$N:$N,"Unmapped",Squads!$Q:$Q,"Leadership",Squads!$R:$R,"Filled")</f>
        <v>3.0</v>
      </c>
      <c r="J21" s="913" t="str">
        <f>"-"</f>
        <v>-</v>
      </c>
      <c r="K21" s="912">
        <f>(SUMIFS('Added data'!$AA:$AA,'Added data'!$AC:$AC,"COE",'Added data'!$AF:$AF,"Leadership",'Added data'!$AG:$AG,"Filled")+SUMIFS('Added data'!$AA:$AA,'Added data'!$AC:$AC,"Unmapped",'Added data'!$AF:$AF,"Leadership",'Added data'!$AG:$AG,"Filled"))/1000000</f>
        <v>0.0</v>
      </c>
      <c r="L21" s="912">
        <f>(SUMIFS('Added data'!$AA:$AA,'Added data'!$AC:$AC,"COE",'Added data'!$AF:$AF,"Leadership",'Added data'!$AG:$AG,"Vacant")+SUMIFS('Added data'!$AA:$AA,'Added data'!$AC:$AC,"Unmapped",'Added data'!$AF:$AF,"Leadership",'Added data'!$AG:$AG,"Vacant"))/1000000</f>
        <v>0.33497295</v>
      </c>
      <c r="M21" s="914">
        <f>COUNTIFS(Squads!$N:$N,"COE",Squads!$Q:$Q,"Leadership",Squads!$R:$R,"Vacant")+COUNTIFS(Squads!$N:$N,"Unmapped",Squads!$Q:$Q,"Leadership",Squads!$R:$R,"Vacant")</f>
        <v>1.0</v>
      </c>
      <c r="N21" s="915">
        <f>I21+M21</f>
        <v>4.0</v>
      </c>
    </row>
    <row r="22">
      <c r="B22" s="550" t="inlineStr">
        <is>
          <t>Roles not mapped to any squad or COE</t>
        </is>
      </c>
      <c r="C22" s="912">
        <f>0</f>
        <v>0.0</v>
      </c>
      <c r="D22" s="912">
        <f>K22+L22</f>
        <v>8.757001808</v>
      </c>
      <c r="E22" s="912">
        <f>ROUND(D22-C22,6)</f>
        <v>8.757002</v>
      </c>
      <c r="F22" s="912">
        <f>K22</f>
        <v>7.895112458000001</v>
      </c>
      <c r="G22" s="912">
        <f>ROUND(F22-C22,6)</f>
        <v>7.895112</v>
      </c>
      <c r="H22" s="913" t="str">
        <f>"-"</f>
        <v>-</v>
      </c>
      <c r="I22" s="913">
        <f>COUNTIFS(Squads!$Q:$Q,"Unmapped",Squads!$R:$R,"Filled")</f>
        <v>11.0</v>
      </c>
      <c r="J22" s="913" t="str">
        <f>"-"</f>
        <v>-</v>
      </c>
      <c r="K22" s="912">
        <f>(SUMIFS('Added data'!$AA:$AA,'Added data'!$AF:$AF,"Unmapped",'Added data'!$AG:$AG,"Filled"))/1000000</f>
        <v>7.895112458000001</v>
      </c>
      <c r="L22" s="912">
        <f>(SUMIFS('Added data'!$AA:$AA,'Added data'!$AF:$AF,"Unmapped",'Added data'!$AG:$AG,"Vacant"))/1000000</f>
        <v>0.86188935</v>
      </c>
      <c r="M22" s="914">
        <f>COUNTIFS(Squads!$Q:$Q,"Unmapped",Squads!$R:$R,"Vacant")</f>
        <v>4.0</v>
      </c>
      <c r="N22" s="915">
        <f>I22+M22</f>
        <v>15.0</v>
      </c>
    </row>
    <row r="23">
      <c r="B23" s="550" t="inlineStr">
        <is>
          <t>Less: Business Partner &amp; Domain Architect funded inside portfolio overheads</t>
        </is>
      </c>
      <c r="C23" s="912">
        <f>-('1.11 BP&amp;T'!$C$13+'1.12 SA&amp;D'!$C$13)</f>
        <v>-3.12</v>
      </c>
      <c r="D23" s="912">
        <f>K23+L23</f>
        <v>0.0</v>
      </c>
      <c r="E23" s="912">
        <f>ROUND(D23-C23,6)</f>
        <v>3.12</v>
      </c>
      <c r="F23" s="912">
        <f>C23</f>
        <v>-3.12</v>
      </c>
      <c r="G23" s="912">
        <f>ROUND(F23-C23,6)</f>
        <v>0.0</v>
      </c>
      <c r="H23" s="913" t="str">
        <f>"-"</f>
        <v>-</v>
      </c>
      <c r="I23" s="913" t="str">
        <f>"-"</f>
        <v>-</v>
      </c>
      <c r="J23" s="913" t="str">
        <f>"-"</f>
        <v>-</v>
      </c>
      <c r="K23" s="912">
        <f>0</f>
        <v>0.0</v>
      </c>
      <c r="L23" s="912">
        <f>0</f>
        <v>0.0</v>
      </c>
      <c r="M23" s="914" t="str">
        <f>"-"</f>
        <v>-</v>
      </c>
      <c r="N23" s="915" t="str">
        <f>"-"</f>
        <v>-</v>
      </c>
    </row>
    <row r="24">
      <c r="B24" s="548" t="inlineStr">
        <is>
          <t>TOTAL OPERATING MODEL</t>
        </is>
      </c>
      <c r="C24" s="916">
        <f>SUM(C6:C23)</f>
        <v>104.993937478</v>
      </c>
      <c r="D24" s="916">
        <f>SUM(D6:D23)</f>
        <v>114.3677823681</v>
      </c>
      <c r="E24" s="916">
        <f>SUM(E6:E23)</f>
        <v>9.373844000000002</v>
      </c>
      <c r="F24" s="916">
        <f>SUM(F6:F23)</f>
        <v>75.31056399587743</v>
      </c>
      <c r="G24" s="916">
        <f>SUM(G6:G23)</f>
        <v>-29.683373999999997</v>
      </c>
      <c r="H24" s="917">
        <f>SUM(H6:H23)</f>
        <v>315.5</v>
      </c>
      <c r="I24" s="917">
        <f>SUM(I6:I23)</f>
        <v>349.0</v>
      </c>
      <c r="J24" s="917">
        <f>SUM(J6:J23)</f>
        <v>80.5</v>
      </c>
      <c r="K24" s="916">
        <f>SUM(K6:K23)</f>
        <v>79.2644549281</v>
      </c>
      <c r="L24" s="916">
        <f>SUM(L6:L23)</f>
        <v>35.10332744</v>
      </c>
      <c r="M24" s="917">
        <f>SUM(M6:M23)</f>
        <v>158.0</v>
      </c>
      <c r="N24" s="917">
        <f>SUM(N6:N23)</f>
        <v>507.0</v>
      </c>
    </row>
    <row r="25">
      <c r="B25" s="554" t="n"/>
      <c r="C25" s="555" t="n"/>
      <c r="D25" s="555" t="n"/>
      <c r="E25" s="555" t="n"/>
      <c r="F25" s="555" t="n"/>
      <c r="G25" s="555" t="n"/>
      <c r="H25" s="547" t="n"/>
      <c r="I25" s="547" t="n"/>
      <c r="J25" s="547" t="n"/>
      <c r="K25" s="547" t="n"/>
      <c r="L25" s="547" t="n"/>
      <c r="M25" s="547" t="n"/>
    </row>
    <row r="26">
      <c r="B26" s="556" t="inlineStr">
        <is>
          <t>Restatement vs the Added data cost ledger ($m) - COE and cyber roles now costed from Sheet2, see 4.0</t>
        </is>
      </c>
      <c r="C26" s="555" t="n"/>
      <c r="D26" s="592">
        <f>ROUND(D24-SUM('Added data'!$AA$2:$AA$549)/1000000,3)</f>
        <v>-5.67</v>
      </c>
      <c r="E26" s="555" t="n"/>
      <c r="F26" s="555" t="n"/>
      <c r="G26" s="555" t="n"/>
      <c r="H26" s="547" t="n"/>
      <c r="I26" s="551" t="n"/>
      <c r="J26" s="547" t="n"/>
      <c r="K26" s="547" t="n"/>
      <c r="L26" s="547" t="n"/>
      <c r="M26" s="547" t="n"/>
    </row>
    <row r="27" ht="58" customHeight="1" s="849">
      <c r="B27" s="579" t="inlineStr">
        <is>
          <t>Role counts come from the Squads tab; dollars come from the Added data ledger. They are different snapshots and the difference is reconciled on the Data QA tab.</t>
        </is>
      </c>
      <c r="C27" s="555" t="n"/>
      <c r="D27" s="555" t="n"/>
      <c r="E27" s="555" t="n"/>
      <c r="F27" s="555" t="n"/>
      <c r="G27" s="555" t="n"/>
      <c r="H27" s="547" t="n"/>
      <c r="I27" s="557">
        <f>'3.3 FTE View'!$F$185</f>
        <v>4.665919350000001</v>
      </c>
      <c r="J27" s="558">
        <f>'3.3 FTE View'!$C$185</f>
        <v>16.0</v>
      </c>
      <c r="K27" s="547" t="n"/>
      <c r="L27" s="547" t="n"/>
      <c r="M27" s="547" t="n"/>
    </row>
    <row r="28" ht="29" customHeight="1" s="849">
      <c r="B28" s="579" t="inlineStr">
        <is>
          <t>FTE columns cover the portfolio squads. COE and cyber roles are counted on their own role tabs.</t>
        </is>
      </c>
      <c r="C28" s="555" t="n"/>
      <c r="D28" s="555" t="n"/>
      <c r="E28" s="555" t="n"/>
      <c r="F28" s="555" t="n"/>
      <c r="G28" s="555" t="n"/>
      <c r="H28" s="547" t="n"/>
      <c r="I28" s="547" t="n"/>
      <c r="J28" s="547" t="n"/>
      <c r="K28" s="547" t="n"/>
      <c r="L28" s="547" t="n"/>
      <c r="M28" s="547" t="n"/>
    </row>
    <row r="29">
      <c r="B29" s="554" t="n"/>
      <c r="C29" s="555" t="n"/>
      <c r="D29" s="555" t="n"/>
      <c r="E29" s="555" t="n"/>
      <c r="F29" s="555" t="n"/>
      <c r="G29" s="555" t="n"/>
      <c r="H29" s="547" t="n"/>
      <c r="I29" s="547" t="n"/>
      <c r="J29" s="547" t="n"/>
      <c r="K29" s="547" t="n"/>
      <c r="L29" s="547" t="n"/>
      <c r="M29" s="547" t="n"/>
    </row>
    <row r="30">
      <c r="B30" s="554" t="n"/>
      <c r="C30" s="555" t="n"/>
      <c r="D30" s="555" t="n"/>
      <c r="E30" s="555" t="n"/>
      <c r="F30" s="555" t="n"/>
      <c r="G30" s="555" t="n"/>
      <c r="H30" s="547" t="n"/>
      <c r="I30" s="547" t="n"/>
      <c r="J30" s="547" t="n"/>
      <c r="K30" s="547" t="n"/>
      <c r="L30" s="547" t="n"/>
      <c r="M30" s="547" t="n"/>
    </row>
    <row r="31">
      <c r="B31" s="554" t="n"/>
      <c r="C31" s="555" t="n"/>
      <c r="D31" s="555" t="n"/>
      <c r="E31" s="555" t="n"/>
      <c r="F31" s="555" t="n"/>
      <c r="G31" s="555" t="n"/>
      <c r="H31" s="547" t="n"/>
      <c r="I31" s="547" t="n"/>
      <c r="J31" s="547" t="n"/>
      <c r="K31" s="547" t="n"/>
      <c r="L31" s="547" t="n"/>
      <c r="M31" s="547" t="n"/>
    </row>
    <row r="32">
      <c r="B32" s="554" t="n"/>
      <c r="C32" s="555" t="n"/>
      <c r="D32" s="555" t="n"/>
      <c r="E32" s="555" t="n"/>
      <c r="F32" s="555" t="n"/>
      <c r="G32" s="555" t="n"/>
      <c r="H32" s="547" t="n"/>
      <c r="I32" s="547" t="n"/>
      <c r="J32" s="547" t="n"/>
      <c r="K32" s="547" t="n"/>
      <c r="L32" s="547" t="n"/>
      <c r="M32" s="547" t="n"/>
    </row>
    <row r="33">
      <c r="B33" s="554" t="n"/>
      <c r="C33" s="555" t="n"/>
      <c r="D33" s="555" t="n"/>
      <c r="E33" s="555" t="n"/>
      <c r="F33" s="555" t="n"/>
      <c r="G33" s="555" t="n"/>
      <c r="H33" s="547" t="n"/>
      <c r="I33" s="547" t="n"/>
      <c r="J33" s="547" t="n"/>
      <c r="K33" s="547" t="n"/>
      <c r="L33" s="547" t="n"/>
      <c r="M33" s="547" t="n"/>
    </row>
    <row r="34">
      <c r="B34" s="554" t="n"/>
      <c r="C34" s="555" t="n"/>
      <c r="D34" s="555" t="n"/>
      <c r="E34" s="555" t="n"/>
      <c r="F34" s="555" t="n"/>
      <c r="G34" s="555" t="n"/>
      <c r="H34" s="547" t="n"/>
      <c r="I34" s="547" t="n"/>
      <c r="J34" s="547" t="n"/>
      <c r="K34" s="547" t="n"/>
      <c r="L34" s="547" t="n"/>
      <c r="M34" s="547" t="n"/>
    </row>
    <row r="35">
      <c r="B35" s="547" t="n"/>
      <c r="C35" s="547" t="n"/>
      <c r="D35" s="547" t="n"/>
      <c r="E35" s="547" t="n"/>
      <c r="F35" s="547" t="n"/>
      <c r="G35" s="547" t="n"/>
      <c r="H35" s="547" t="n"/>
      <c r="I35" s="547" t="n"/>
      <c r="J35" s="547" t="n"/>
      <c r="K35" s="547" t="n"/>
      <c r="L35" s="547" t="n"/>
      <c r="M35" s="547" t="n"/>
    </row>
    <row r="36">
      <c r="B36" s="554" t="n"/>
      <c r="C36" s="547" t="n"/>
      <c r="D36" s="547" t="n"/>
      <c r="E36" s="547" t="n"/>
      <c r="F36" s="547" t="n"/>
      <c r="G36" s="547" t="n"/>
      <c r="H36" s="547" t="n"/>
      <c r="I36" s="547" t="n"/>
      <c r="J36" s="547" t="n"/>
      <c r="K36" s="547" t="n"/>
      <c r="L36" s="547" t="n"/>
      <c r="M36" s="547" t="n"/>
    </row>
    <row r="37">
      <c r="B37" s="559" t="n"/>
      <c r="C37" s="559" t="n"/>
      <c r="D37" s="559" t="n"/>
      <c r="E37" s="559" t="n"/>
      <c r="F37" s="559" t="n"/>
      <c r="G37" s="559" t="n"/>
      <c r="H37" s="547" t="n"/>
      <c r="I37" s="547" t="n"/>
      <c r="J37" s="547" t="n"/>
      <c r="K37" s="547" t="n"/>
      <c r="L37" s="547" t="n"/>
      <c r="M37" s="547" t="n"/>
    </row>
    <row r="38">
      <c r="B38" s="554" t="n"/>
      <c r="C38" s="555" t="n"/>
      <c r="D38" s="555" t="n"/>
      <c r="E38" s="555" t="n"/>
      <c r="F38" s="555" t="n"/>
      <c r="G38" s="555" t="n"/>
      <c r="H38" s="547" t="n"/>
      <c r="I38" s="547" t="n"/>
      <c r="J38" s="547" t="n"/>
      <c r="K38" s="547" t="n"/>
      <c r="L38" s="547" t="n"/>
      <c r="M38" s="547" t="n"/>
    </row>
    <row r="39">
      <c r="B39" s="554" t="n"/>
      <c r="C39" s="555" t="n"/>
      <c r="D39" s="555" t="n"/>
      <c r="E39" s="555" t="n"/>
      <c r="F39" s="555" t="n"/>
      <c r="G39" s="555" t="n"/>
      <c r="H39" s="547" t="n"/>
      <c r="I39" s="547" t="n"/>
      <c r="J39" s="547" t="n"/>
      <c r="K39" s="547" t="n"/>
      <c r="L39" s="547" t="n"/>
      <c r="M39" s="547" t="n"/>
    </row>
    <row r="40">
      <c r="B40" s="554" t="n"/>
      <c r="C40" s="555" t="n"/>
      <c r="D40" s="555" t="n"/>
      <c r="E40" s="555" t="n"/>
      <c r="F40" s="555" t="n"/>
      <c r="G40" s="555" t="n"/>
      <c r="H40" s="547" t="n"/>
      <c r="I40" s="547" t="n"/>
      <c r="J40" s="547" t="n"/>
      <c r="K40" s="547" t="n"/>
      <c r="L40" s="547" t="n"/>
      <c r="M40" s="547" t="n"/>
    </row>
    <row r="41">
      <c r="B41" s="554" t="n"/>
      <c r="C41" s="555" t="n"/>
      <c r="D41" s="555" t="n"/>
      <c r="E41" s="555" t="n"/>
      <c r="F41" s="555" t="n"/>
      <c r="G41" s="555" t="n"/>
      <c r="H41" s="547" t="n"/>
      <c r="I41" s="547" t="n"/>
      <c r="J41" s="547" t="n"/>
      <c r="K41" s="547" t="n"/>
      <c r="L41" s="547" t="n"/>
      <c r="M41" s="547" t="n"/>
    </row>
    <row r="42">
      <c r="B42" s="554" t="n"/>
      <c r="C42" s="555" t="n"/>
      <c r="D42" s="555" t="n"/>
      <c r="E42" s="555" t="n"/>
      <c r="F42" s="555" t="n"/>
      <c r="G42" s="555" t="n"/>
      <c r="H42" s="547" t="n"/>
      <c r="I42" s="547" t="n"/>
      <c r="J42" s="547" t="n"/>
      <c r="K42" s="547" t="n"/>
      <c r="L42" s="547" t="n"/>
      <c r="M42" s="547" t="n"/>
    </row>
    <row r="43">
      <c r="B43" s="554" t="n"/>
      <c r="C43" s="555" t="n"/>
      <c r="D43" s="555" t="n"/>
      <c r="E43" s="555" t="n"/>
      <c r="F43" s="555" t="n"/>
      <c r="G43" s="555" t="n"/>
      <c r="H43" s="547" t="n"/>
      <c r="I43" s="547" t="n"/>
      <c r="J43" s="547" t="n"/>
      <c r="K43" s="547" t="n"/>
      <c r="L43" s="547" t="n"/>
      <c r="M43" s="547" t="n"/>
    </row>
    <row r="44">
      <c r="B44" s="554" t="n"/>
      <c r="C44" s="555" t="n"/>
      <c r="D44" s="555" t="n"/>
      <c r="E44" s="555" t="n"/>
      <c r="F44" s="555" t="n"/>
      <c r="G44" s="555" t="n"/>
      <c r="H44" s="547" t="n"/>
      <c r="I44" s="547" t="n"/>
      <c r="J44" s="547" t="n"/>
      <c r="K44" s="547" t="n"/>
      <c r="L44" s="547" t="n"/>
      <c r="M44" s="547" t="n"/>
    </row>
    <row r="45">
      <c r="B45" s="547" t="n"/>
      <c r="C45" s="547" t="n"/>
      <c r="D45" s="547" t="n"/>
      <c r="E45" s="547" t="n"/>
      <c r="F45" s="547" t="n"/>
      <c r="G45" s="547" t="n"/>
      <c r="H45" s="547" t="n"/>
      <c r="I45" s="547" t="n"/>
      <c r="J45" s="547" t="n"/>
      <c r="K45" s="547" t="n"/>
      <c r="L45" s="547" t="n"/>
      <c r="M45" s="547" t="n"/>
    </row>
    <row r="46">
      <c r="B46" s="554" t="n"/>
      <c r="C46" s="547" t="n"/>
      <c r="D46" s="547" t="n"/>
      <c r="E46" s="547" t="n"/>
      <c r="F46" s="547" t="n"/>
      <c r="G46" s="547" t="n"/>
      <c r="H46" s="547" t="n"/>
      <c r="I46" s="547" t="n"/>
      <c r="J46" s="547" t="n"/>
      <c r="K46" s="547" t="n"/>
      <c r="L46" s="547" t="n"/>
      <c r="M46" s="547" t="n"/>
    </row>
    <row r="47">
      <c r="B47" s="559" t="n"/>
      <c r="C47" s="559" t="n"/>
      <c r="D47" s="559" t="n"/>
      <c r="E47" s="559" t="n"/>
      <c r="F47" s="559" t="n"/>
      <c r="G47" s="559" t="n"/>
      <c r="H47" s="547" t="n"/>
      <c r="I47" s="547" t="n"/>
      <c r="J47" s="547" t="n"/>
      <c r="K47" s="547" t="n"/>
      <c r="L47" s="547" t="n"/>
      <c r="M47" s="547" t="n"/>
    </row>
    <row r="48">
      <c r="B48" s="554" t="n"/>
      <c r="C48" s="555" t="n"/>
      <c r="D48" s="555" t="n"/>
      <c r="E48" s="555" t="n"/>
      <c r="F48" s="555" t="n"/>
      <c r="G48" s="555" t="n"/>
      <c r="H48" s="547" t="n"/>
      <c r="I48" s="547" t="n"/>
      <c r="J48" s="547" t="n"/>
      <c r="K48" s="547" t="n"/>
      <c r="L48" s="547" t="n"/>
      <c r="M48" s="547" t="n"/>
    </row>
    <row r="49">
      <c r="B49" s="554" t="n"/>
      <c r="C49" s="555" t="n"/>
      <c r="D49" s="555" t="n"/>
      <c r="E49" s="555" t="n"/>
      <c r="F49" s="555" t="n"/>
      <c r="G49" s="555" t="n"/>
      <c r="H49" s="547" t="n"/>
      <c r="I49" s="547" t="n"/>
      <c r="J49" s="547" t="n"/>
      <c r="K49" s="547" t="n"/>
      <c r="L49" s="547" t="n"/>
      <c r="M49" s="547" t="n"/>
    </row>
    <row r="50">
      <c r="B50" s="547" t="n"/>
      <c r="C50" s="547" t="n"/>
      <c r="D50" s="547" t="n"/>
      <c r="E50" s="547" t="n"/>
      <c r="F50" s="547" t="n"/>
      <c r="G50" s="547" t="n"/>
      <c r="H50" s="547" t="n"/>
      <c r="I50" s="547" t="n"/>
      <c r="J50" s="547" t="n"/>
      <c r="K50" s="547" t="n"/>
      <c r="L50" s="547" t="n"/>
      <c r="M50" s="547" t="n"/>
    </row>
    <row r="51">
      <c r="B51" s="547" t="n"/>
      <c r="C51" s="547" t="n"/>
      <c r="D51" s="547" t="n"/>
      <c r="E51" s="547" t="n"/>
      <c r="F51" s="547" t="n"/>
      <c r="G51" s="547" t="n"/>
      <c r="H51" s="547" t="n"/>
      <c r="I51" s="547" t="n"/>
      <c r="J51" s="547" t="n"/>
      <c r="K51" s="547" t="n"/>
      <c r="L51" s="547" t="n"/>
      <c r="M51" s="547" t="n"/>
    </row>
    <row r="52">
      <c r="B52" s="554" t="n"/>
      <c r="C52" s="555" t="n"/>
      <c r="D52" s="555" t="n"/>
      <c r="E52" s="555" t="n"/>
      <c r="F52" s="555" t="n"/>
      <c r="G52" s="555" t="n"/>
      <c r="H52" s="547" t="n"/>
      <c r="I52" s="547" t="n"/>
      <c r="J52" s="547" t="n"/>
      <c r="K52" s="547" t="n"/>
      <c r="L52" s="547" t="n"/>
      <c r="M52" s="547" t="n"/>
    </row>
    <row r="53">
      <c r="B53" s="554" t="n"/>
      <c r="C53" s="555" t="n"/>
      <c r="D53" s="547" t="n"/>
      <c r="E53" s="547" t="n"/>
      <c r="F53" s="547" t="n"/>
      <c r="G53" s="547" t="n"/>
      <c r="H53" s="547" t="n"/>
      <c r="I53" s="547" t="n"/>
      <c r="J53" s="547" t="n"/>
      <c r="K53" s="547" t="n"/>
      <c r="L53" s="547" t="n"/>
      <c r="M53" s="547" t="n"/>
    </row>
    <row r="54">
      <c r="B54" s="547" t="n"/>
      <c r="C54" s="547" t="n"/>
      <c r="D54" s="547" t="n"/>
      <c r="E54" s="547" t="n"/>
      <c r="F54" s="547" t="n"/>
      <c r="G54" s="547" t="n"/>
      <c r="H54" s="547" t="n"/>
      <c r="I54" s="547" t="n"/>
      <c r="J54" s="547" t="n"/>
      <c r="K54" s="547" t="n"/>
      <c r="L54" s="547" t="n"/>
      <c r="M54" s="547" t="n"/>
    </row>
    <row r="55">
      <c r="B55" s="547" t="n"/>
      <c r="C55" s="547" t="n"/>
      <c r="D55" s="547" t="n"/>
      <c r="E55" s="547" t="n"/>
      <c r="F55" s="547" t="n"/>
      <c r="G55" s="547" t="n"/>
      <c r="H55" s="547" t="n"/>
      <c r="I55" s="547" t="n"/>
      <c r="J55" s="547" t="n"/>
      <c r="K55" s="547" t="n"/>
      <c r="L55" s="547" t="n"/>
      <c r="M55" s="547" t="n"/>
    </row>
  </sheetData>
  <pageMargins left="0.75" right="0.75" top="1" bottom="1" header="0.5" footer="0.5"/>
</worksheet>
</file>

<file path=xl/worksheets/sheet40.xml><?xml version="1.0" encoding="utf-8"?>
<worksheet xmlns="http://schemas.openxmlformats.org/spreadsheetml/2006/main">
  <sheetPr>
    <tabColor rgb="FF002F6C"/>
    <outlinePr summaryBelow="1" summaryRight="1"/>
    <pageSetUpPr/>
  </sheetPr>
  <dimension ref="B2:V185"/>
  <sheetViews>
    <sheetView showGridLines="0" zoomScale="70" zoomScaleNormal="70" workbookViewId="0">
      <selection activeCell="A1" sqref="A1"/>
    </sheetView>
  </sheetViews>
  <sheetFormatPr baseColWidth="8" defaultRowHeight="14.5"/>
  <cols>
    <col width="3" customWidth="1" style="849" min="1" max="1"/>
    <col width="26" customWidth="1" style="849" min="2" max="2"/>
    <col width="28" customWidth="1" style="849" min="3" max="3"/>
    <col width="54.08984375" bestFit="1" customWidth="1" style="849" min="4" max="4"/>
    <col width="26" customWidth="1" style="849" min="5" max="5"/>
    <col width="10.54296875" bestFit="1" customWidth="1" style="849" min="6" max="6"/>
    <col width="19.81640625" bestFit="1" customWidth="1" style="849" min="7" max="7"/>
    <col width="18.81640625" bestFit="1" customWidth="1" style="849" min="8" max="8"/>
    <col width="27.81640625" bestFit="1" customWidth="1" style="849" min="9" max="9"/>
    <col width="18.36328125" bestFit="1" customWidth="1" style="849" min="10" max="10"/>
    <col width="15" customWidth="1" style="849" min="11" max="11"/>
    <col width="11" customWidth="1" style="849" min="12" max="12"/>
    <col width="16" customWidth="1" style="849" min="13" max="13"/>
    <col width="15" customWidth="1" style="849" min="14" max="14"/>
    <col width="12" bestFit="1" customWidth="1" style="849" min="15" max="15"/>
    <col width="14" customWidth="1" style="849" min="16" max="16"/>
    <col width="18.7265625" bestFit="1" customWidth="1" style="849" min="20" max="20"/>
    <col width="21.453125" bestFit="1" customWidth="1" style="849" min="21" max="21"/>
    <col width="25.81640625" bestFit="1" customWidth="1" style="849" min="22" max="22"/>
  </cols>
  <sheetData>
    <row r="2" ht="21" customHeight="1" s="849">
      <c r="B2" s="423" t="inlineStr">
        <is>
          <t>Squad detail - archetype vs actual by portfolio, platform and squad (drills 3.2)</t>
        </is>
      </c>
    </row>
    <row r="3">
      <c r="C3" s="424" t="inlineStr">
        <is>
          <t>Org roles</t>
        </is>
      </c>
      <c r="D3" s="424" t="inlineStr">
        <is>
          <t>Filled</t>
        </is>
      </c>
      <c r="E3" s="424" t="inlineStr">
        <is>
          <t>Vacant</t>
        </is>
      </c>
      <c r="F3" s="424" t="inlineStr">
        <is>
          <t>Vacancy rate</t>
        </is>
      </c>
      <c r="G3" s="424" t="inlineStr">
        <is>
          <t>Archetype roles (squads)</t>
        </is>
      </c>
      <c r="H3" s="424" t="inlineStr">
        <is>
          <t>Roles above archetype</t>
        </is>
      </c>
      <c r="I3" s="424" t="inlineStr">
        <is>
          <t>Archetype cost incl overheads ($m)</t>
        </is>
      </c>
      <c r="J3" s="424" t="inlineStr">
        <is>
          <t>Actual squad cost ($m)</t>
        </is>
      </c>
    </row>
    <row r="4">
      <c r="C4" s="431">
        <f>COUNTA(Squads!$R$2:$R$1000)</f>
        <v>536.0</v>
      </c>
      <c r="D4" s="431">
        <f>COUNTIF(Squads!$R$2:$R$1000,"Filled")</f>
        <v>370.0</v>
      </c>
      <c r="E4" s="431">
        <f>COUNTIF(Squads!$R$2:$R$1000,"Vacant")</f>
        <v>166.0</v>
      </c>
      <c r="F4" s="433">
        <f>E4/C4</f>
        <v>0.30970149253731344</v>
      </c>
      <c r="G4" s="431">
        <f>G95</f>
        <v>315.5</v>
      </c>
      <c r="H4" s="431">
        <f>K95</f>
        <v>108.5</v>
      </c>
      <c r="I4" s="476">
        <f>M95</f>
        <v>95.559578044</v>
      </c>
      <c r="J4" s="476">
        <f>N95</f>
        <v>82.1086164161</v>
      </c>
    </row>
    <row r="6" ht="43.5" customHeight="1" s="849">
      <c r="B6" s="424" t="inlineStr">
        <is>
          <t>Portfolio</t>
        </is>
      </c>
      <c r="C6" s="424" t="inlineStr">
        <is>
          <t>Platform</t>
        </is>
      </c>
      <c r="D6" s="424" t="inlineStr">
        <is>
          <t>Squad</t>
        </is>
      </c>
      <c r="E6" s="424" t="inlineStr">
        <is>
          <t>Squad Type</t>
        </is>
      </c>
      <c r="F6" s="424" t="inlineStr">
        <is>
          <t>Size</t>
        </is>
      </c>
      <c r="G6" s="424" t="inlineStr">
        <is>
          <t>Archetype FTE</t>
        </is>
      </c>
      <c r="H6" s="424" t="inlineStr">
        <is>
          <t>Filled</t>
        </is>
      </c>
      <c r="I6" s="424" t="inlineStr">
        <is>
          <t>Vacant</t>
        </is>
      </c>
      <c r="J6" s="424" t="inlineStr">
        <is>
          <t>Roles</t>
        </is>
      </c>
      <c r="K6" s="424" t="inlineStr">
        <is>
          <t>Roles vs archetype</t>
        </is>
      </c>
      <c r="L6" s="424" t="inlineStr">
        <is>
          <t>Vacancy %</t>
        </is>
      </c>
      <c r="M6" s="424" t="inlineStr">
        <is>
          <t>Archetype cost ($m)</t>
        </is>
      </c>
      <c r="N6" s="424" t="inlineStr">
        <is>
          <t>Actual cost ($m)</t>
        </is>
      </c>
      <c r="O6" s="549" t="inlineStr">
        <is>
          <t>Vacancies remaining</t>
        </is>
      </c>
      <c r="P6" s="549" t="inlineStr">
        <is>
          <t>Cost after vacancy decisions ($m)</t>
        </is>
      </c>
    </row>
    <row r="7">
      <c r="B7" s="417" t="inlineStr">
        <is>
          <t>Ampol Retail</t>
        </is>
      </c>
      <c r="C7" s="417" t="inlineStr">
        <is>
          <t>Store Operations</t>
        </is>
      </c>
      <c r="D7" s="417" t="inlineStr">
        <is>
          <t>POS</t>
        </is>
      </c>
      <c r="E7" s="417" t="str">
        <f>'1.1 Ampol Retail'!$C$24</f>
        <v>Configuration / Integration</v>
      </c>
      <c r="F7" s="425" t="str">
        <f>'1.1 Ampol Retail'!$D$24</f>
        <v>M</v>
      </c>
      <c r="G7" s="425">
        <f>IFERROR(INDEX('0.3 Squad Archetypes'!$F$5:$F$23,MATCH('1.1 Ampol Retail'!$C$24&amp;"|"&amp;'1.1 Ampol Retail'!$D$24,'0.3 Squad Archetypes'!$A$5:$A$23,0)),"-")</f>
        <v>9.0</v>
      </c>
      <c r="H7" s="425">
        <f>COUNTIFS(Squads!$N:$N,"Ampol Retail",Squads!$P:$P,"POS",Squads!$R:$R,"Filled")</f>
        <v>0.0</v>
      </c>
      <c r="I7" s="425">
        <f>COUNTIFS(Squads!$N:$N,"Ampol Retail",Squads!$P:$P,"POS",Squads!$R:$R,"Vacant")</f>
        <v>7.0</v>
      </c>
      <c r="J7" s="425">
        <f>H7+I7</f>
        <v>7.0</v>
      </c>
      <c r="K7" s="425">
        <f>IFERROR(J7-G7,"-")</f>
        <v>-2.0</v>
      </c>
      <c r="L7" s="434">
        <f>IFERROR(I7/J7,"-")</f>
        <v>1.0</v>
      </c>
      <c r="M7" s="418">
        <f>'1.1 Ampol Retail'!$H$24</f>
        <v>2.1</v>
      </c>
      <c r="N7" s="418">
        <f>(SUMIFS('Added data'!$AA:$AA,'Added data'!$AC:$AC,"Ampol Retail",'Added data'!$AE:$AE,"POS"))/1000000</f>
        <v>0.40219083499999997</v>
      </c>
      <c r="O7" s="905">
        <f>'2.1 Ampol Retail'!$H$6</f>
        <v>6.0</v>
      </c>
      <c r="P7" s="551">
        <f>'2.1 Ampol Retail'!$M$6</f>
        <v>0.20285325</v>
      </c>
      <c r="T7" s="424" t="inlineStr">
        <is>
          <t>Portfolio</t>
        </is>
      </c>
      <c r="U7" s="424" t="inlineStr">
        <is>
          <t>Platform</t>
        </is>
      </c>
      <c r="V7" s="424" t="inlineStr">
        <is>
          <t>Squad</t>
        </is>
      </c>
    </row>
    <row r="8">
      <c r="B8" s="417" t="inlineStr">
        <is>
          <t>Ampol Retail</t>
        </is>
      </c>
      <c r="C8" s="417" t="inlineStr">
        <is>
          <t>Store Operations</t>
        </is>
      </c>
      <c r="D8" s="417" t="inlineStr">
        <is>
          <t>Payments</t>
        </is>
      </c>
      <c r="E8" s="417" t="str">
        <f>'1.1 Ampol Retail'!$C$25</f>
        <v>Configuration / Integration</v>
      </c>
      <c r="F8" s="425" t="str">
        <f>'1.1 Ampol Retail'!$D$25</f>
        <v>S</v>
      </c>
      <c r="G8" s="425">
        <f>IFERROR(INDEX('0.3 Squad Archetypes'!$F$5:$F$23,MATCH('1.1 Ampol Retail'!$C$25&amp;"|"&amp;'1.1 Ampol Retail'!$D$25,'0.3 Squad Archetypes'!$A$5:$A$23,0)),"-")</f>
        <v>6.0</v>
      </c>
      <c r="H8" s="425">
        <f>COUNTIFS(Squads!$N:$N,"Ampol Retail",Squads!$P:$P,"Payments",Squads!$R:$R,"Filled")</f>
        <v>3.0</v>
      </c>
      <c r="I8" s="425">
        <f>COUNTIFS(Squads!$N:$N,"Ampol Retail",Squads!$P:$P,"Payments",Squads!$R:$R,"Vacant")</f>
        <v>1.0</v>
      </c>
      <c r="J8" s="425">
        <f>H8+I8</f>
        <v>4.0</v>
      </c>
      <c r="K8" s="425">
        <f>IFERROR(J8-G8,"-")</f>
        <v>-2.0</v>
      </c>
      <c r="L8" s="434">
        <f>IFERROR(I8/J8,"-")</f>
        <v>0.25</v>
      </c>
      <c r="M8" s="418">
        <f>'1.1 Ampol Retail'!$H$25</f>
        <v>1.4</v>
      </c>
      <c r="N8" s="418">
        <f>(SUMIFS('Added data'!$AA:$AA,'Added data'!$AC:$AC,"Ampol Retail",'Added data'!$AE:$AE,"Payments"))/1000000</f>
        <v>0.733398635</v>
      </c>
      <c r="O8" s="905">
        <f>'2.1 Ampol Retail'!$H$7</f>
        <v>1.0</v>
      </c>
      <c r="P8" s="551">
        <f>'2.1 Ampol Retail'!$M$7</f>
        <v>0.56289705</v>
      </c>
      <c r="T8" s="417" t="inlineStr">
        <is>
          <t>Ampol Retail</t>
        </is>
      </c>
      <c r="U8" s="417" t="inlineStr">
        <is>
          <t>Store Operations</t>
        </is>
      </c>
      <c r="V8" s="417" t="inlineStr">
        <is>
          <t>POS</t>
        </is>
      </c>
    </row>
    <row r="9">
      <c r="B9" s="417" t="inlineStr">
        <is>
          <t>Ampol Retail</t>
        </is>
      </c>
      <c r="C9" s="417" t="inlineStr">
        <is>
          <t>Store Operations</t>
        </is>
      </c>
      <c r="D9" s="417" t="inlineStr">
        <is>
          <t>Store Operations</t>
        </is>
      </c>
      <c r="E9" s="417" t="str">
        <f>'1.1 Ampol Retail'!$C$26</f>
        <v>Operations</v>
      </c>
      <c r="F9" s="425" t="str">
        <f>'1.1 Ampol Retail'!$D$26</f>
        <v>M</v>
      </c>
      <c r="G9" s="425">
        <f>IFERROR(INDEX('0.3 Squad Archetypes'!$F$5:$F$23,MATCH('1.1 Ampol Retail'!$C$26&amp;"|"&amp;'1.1 Ampol Retail'!$D$26,'0.3 Squad Archetypes'!$A$5:$A$23,0)),"-")</f>
        <v>6.0</v>
      </c>
      <c r="H9" s="425">
        <f>COUNTIFS(Squads!$N:$N,"Ampol Retail",Squads!$P:$P,"Store Operations",Squads!$R:$R,"Filled")</f>
        <v>7.0</v>
      </c>
      <c r="I9" s="425">
        <f>COUNTIFS(Squads!$N:$N,"Ampol Retail",Squads!$P:$P,"Store Operations",Squads!$R:$R,"Vacant")</f>
        <v>1.0</v>
      </c>
      <c r="J9" s="425">
        <f>H9+I9</f>
        <v>8.0</v>
      </c>
      <c r="K9" s="425">
        <f>IFERROR(J9-G9,"-")</f>
        <v>2.0</v>
      </c>
      <c r="L9" s="434">
        <f>IFERROR(I9/J9,"-")</f>
        <v>0.125</v>
      </c>
      <c r="M9" s="418">
        <f>'1.1 Ampol Retail'!$H$26</f>
        <v>1.4</v>
      </c>
      <c r="N9" s="418">
        <f>(SUMIFS('Added data'!$AA:$AA,'Added data'!$AC:$AC,"Ampol Retail",'Added data'!$AE:$AE,"Store Operations"))/1000000</f>
        <v>0.16403310000000002</v>
      </c>
      <c r="O9" s="905">
        <f>'2.1 Ampol Retail'!$H$8</f>
        <v>1.0</v>
      </c>
      <c r="P9" s="551">
        <f>'2.1 Ampol Retail'!$M$8</f>
        <v>0.16403310000000002</v>
      </c>
      <c r="V9" s="417" t="inlineStr">
        <is>
          <t>Payments</t>
        </is>
      </c>
    </row>
    <row r="10">
      <c r="B10" s="417" t="inlineStr">
        <is>
          <t>Ampol Retail</t>
        </is>
      </c>
      <c r="C10" s="417" t="inlineStr">
        <is>
          <t>Store Operations</t>
        </is>
      </c>
      <c r="D10" s="417" t="inlineStr">
        <is>
          <t>Deployment</t>
        </is>
      </c>
      <c r="E10" s="417" t="str">
        <f>'1.1 Ampol Retail'!$C$27</f>
        <v>Operations</v>
      </c>
      <c r="F10" s="425" t="str">
        <f>'1.1 Ampol Retail'!$D$27</f>
        <v>S</v>
      </c>
      <c r="G10" s="425">
        <f>IFERROR(INDEX('0.3 Squad Archetypes'!$F$5:$F$23,MATCH('1.1 Ampol Retail'!$C$27&amp;"|"&amp;'1.1 Ampol Retail'!$D$27,'0.3 Squad Archetypes'!$A$5:$A$23,0)),"-")</f>
        <v>4.0</v>
      </c>
      <c r="H10" s="425">
        <f>COUNTIFS(Squads!$N:$N,"Ampol Retail",Squads!$P:$P,"Deployment",Squads!$R:$R,"Filled")</f>
        <v>5.0</v>
      </c>
      <c r="I10" s="425">
        <f>COUNTIFS(Squads!$N:$N,"Ampol Retail",Squads!$P:$P,"Deployment",Squads!$R:$R,"Vacant")</f>
        <v>0.0</v>
      </c>
      <c r="J10" s="425">
        <f>H10+I10</f>
        <v>5.0</v>
      </c>
      <c r="K10" s="425">
        <f>IFERROR(J10-G10,"-")</f>
        <v>1.0</v>
      </c>
      <c r="L10" s="434">
        <f>IFERROR(I10/J10,"-")</f>
        <v>0.0</v>
      </c>
      <c r="M10" s="418">
        <f>'1.1 Ampol Retail'!$H$27</f>
        <v>0.8</v>
      </c>
      <c r="N10" s="418">
        <f>(SUMIFS('Added data'!$AA:$AA,'Added data'!$AC:$AC,"Ampol Retail",'Added data'!$AE:$AE,"Deployment"))/1000000</f>
        <v>1.0045362</v>
      </c>
      <c r="O10" s="905">
        <f>'2.1 Ampol Retail'!$H$9</f>
        <v>0.0</v>
      </c>
      <c r="P10" s="551">
        <f>'2.1 Ampol Retail'!$M$9</f>
        <v>1.0045362</v>
      </c>
      <c r="V10" s="417" t="inlineStr">
        <is>
          <t>Store Operations</t>
        </is>
      </c>
    </row>
    <row r="11">
      <c r="B11" s="449" t="n"/>
      <c r="C11" s="448" t="inlineStr">
        <is>
          <t>Store Operations - platform total (incl overhead)</t>
        </is>
      </c>
      <c r="D11" s="449" t="n"/>
      <c r="E11" s="449" t="n"/>
      <c r="F11" s="449" t="n"/>
      <c r="G11" s="475">
        <f>SUM(G7:G10)</f>
        <v>25.0</v>
      </c>
      <c r="H11" s="475">
        <f>SUM(H7:H10)</f>
        <v>15.0</v>
      </c>
      <c r="I11" s="475">
        <f>SUM(I7:I10)</f>
        <v>9.0</v>
      </c>
      <c r="J11" s="475">
        <f>SUM(J7:J10)</f>
        <v>24.0</v>
      </c>
      <c r="K11" s="475">
        <f>SUM(K7:K10)</f>
        <v>-1.0</v>
      </c>
      <c r="L11" s="477">
        <f>IFERROR(I11/J11,"-")</f>
        <v>0.375</v>
      </c>
      <c r="M11" s="474">
        <f>SUM(M7:M10)+'0.2 Data Config'!$L$16</f>
        <v>5.865</v>
      </c>
      <c r="N11" s="474">
        <f>SUM(N7:N10)</f>
        <v>2.30415877</v>
      </c>
      <c r="O11" s="474">
        <f>SUM(O7:O10)</f>
        <v>8.0</v>
      </c>
      <c r="V11" s="417" t="inlineStr">
        <is>
          <t>Deployment</t>
        </is>
      </c>
    </row>
    <row r="12">
      <c r="B12" s="417" t="inlineStr">
        <is>
          <t>Ampol Retail</t>
        </is>
      </c>
      <c r="C12" s="417" t="inlineStr">
        <is>
          <t>Above Store</t>
        </is>
      </c>
      <c r="D12" s="417" t="inlineStr">
        <is>
          <t>Above Store</t>
        </is>
      </c>
      <c r="E12" s="417" t="str">
        <f>'1.1 Ampol Retail'!$C$33</f>
        <v>Configuration / Integration</v>
      </c>
      <c r="F12" s="425" t="str">
        <f>'1.1 Ampol Retail'!$D$33</f>
        <v>M</v>
      </c>
      <c r="G12" s="425">
        <f>IFERROR(INDEX('0.3 Squad Archetypes'!$F$5:$F$23,MATCH('1.1 Ampol Retail'!$C$33&amp;"|"&amp;'1.1 Ampol Retail'!$D$33,'0.3 Squad Archetypes'!$A$5:$A$23,0)),"-")</f>
        <v>9.0</v>
      </c>
      <c r="H12" s="425">
        <f>COUNTIFS(Squads!$N:$N,"Ampol Retail",Squads!$P:$P,"Above Store",Squads!$R:$R,"Filled")</f>
        <v>11.0</v>
      </c>
      <c r="I12" s="425">
        <f>COUNTIFS(Squads!$N:$N,"Ampol Retail",Squads!$P:$P,"Above Store",Squads!$R:$R,"Vacant")</f>
        <v>11.0</v>
      </c>
      <c r="J12" s="425">
        <f>H12+I12</f>
        <v>22.0</v>
      </c>
      <c r="K12" s="425">
        <f>IFERROR(J12-G12,"-")</f>
        <v>13.0</v>
      </c>
      <c r="L12" s="434">
        <f>IFERROR(I12/J12,"-")</f>
        <v>0.5</v>
      </c>
      <c r="M12" s="418">
        <f>'1.1 Ampol Retail'!$H$33</f>
        <v>2.1</v>
      </c>
      <c r="N12" s="418">
        <f>(SUMIFS('Added data'!$AA:$AA,'Added data'!$AC:$AC,"Ampol Retail",'Added data'!$AE:$AE,"Above Store"))/1000000</f>
        <v>2.50854367</v>
      </c>
      <c r="O12" s="905">
        <f>'2.1 Ampol Retail'!$H$10</f>
        <v>11.0</v>
      </c>
      <c r="P12" s="551">
        <f>'2.1 Ampol Retail'!$M$10</f>
        <v>1.3920184999999998</v>
      </c>
      <c r="U12" s="417" t="inlineStr">
        <is>
          <t>Above Store</t>
        </is>
      </c>
      <c r="V12" s="417" t="inlineStr">
        <is>
          <t>Above Store</t>
        </is>
      </c>
    </row>
    <row r="13">
      <c r="B13" s="449" t="n"/>
      <c r="C13" s="448" t="inlineStr">
        <is>
          <t>Above Store - platform total (incl overhead)</t>
        </is>
      </c>
      <c r="D13" s="449" t="n"/>
      <c r="E13" s="449" t="n"/>
      <c r="F13" s="449" t="n"/>
      <c r="G13" s="475">
        <f>SUM(G12:G12)</f>
        <v>9.0</v>
      </c>
      <c r="H13" s="475">
        <f>SUM(H12:H12)</f>
        <v>11.0</v>
      </c>
      <c r="I13" s="475">
        <f>SUM(I12:I12)</f>
        <v>11.0</v>
      </c>
      <c r="J13" s="475">
        <f>SUM(J12:J12)</f>
        <v>22.0</v>
      </c>
      <c r="K13" s="475">
        <f>SUM(K12:K12)</f>
        <v>13.0</v>
      </c>
      <c r="L13" s="477">
        <f>IFERROR(I13/J13,"-")</f>
        <v>0.5</v>
      </c>
      <c r="M13" s="474">
        <f>SUM(M12:M12)+'0.2 Data Config'!$L$16</f>
        <v>2.265</v>
      </c>
      <c r="N13" s="474">
        <f>SUM(N12:N12)</f>
        <v>2.50854367</v>
      </c>
      <c r="O13" s="474">
        <f>SUM(O12:O12)</f>
        <v>11.0</v>
      </c>
      <c r="U13" s="417" t="inlineStr">
        <is>
          <t>AmPOS</t>
        </is>
      </c>
      <c r="V13" s="417" t="inlineStr">
        <is>
          <t>AmPOS</t>
        </is>
      </c>
    </row>
    <row r="14">
      <c r="B14" s="417" t="inlineStr">
        <is>
          <t>Ampol Retail</t>
        </is>
      </c>
      <c r="C14" s="417" t="inlineStr">
        <is>
          <t>AmPOS</t>
        </is>
      </c>
      <c r="D14" s="417" t="inlineStr">
        <is>
          <t>AmPOS</t>
        </is>
      </c>
      <c r="E14" s="417" t="str">
        <f>'1.1 Ampol Retail'!$C$47</f>
        <v>Strategic Programs</v>
      </c>
      <c r="F14" s="425">
        <f>'1.1 Ampol Retail'!$D$47</f>
        <v>0.0</v>
      </c>
      <c r="G14" s="425" t="str">
        <f>IFERROR(INDEX('0.3 Squad Archetypes'!$F$5:$F$23,MATCH('1.1 Ampol Retail'!$C$47&amp;"|"&amp;'1.1 Ampol Retail'!$D$47,'0.3 Squad Archetypes'!$A$5:$A$23,0)),"-")</f>
        <v>-</v>
      </c>
      <c r="H14" s="425">
        <f>COUNTIFS(Squads!$N:$N,"Ampol Retail",Squads!$P:$P,"AmPOS",Squads!$R:$R,"Filled")</f>
        <v>10.0</v>
      </c>
      <c r="I14" s="425">
        <f>COUNTIFS(Squads!$N:$N,"Ampol Retail",Squads!$P:$P,"AmPOS",Squads!$R:$R,"Vacant")</f>
        <v>0.0</v>
      </c>
      <c r="J14" s="425">
        <f>H14+I14</f>
        <v>10.0</v>
      </c>
      <c r="K14" s="425" t="str">
        <f>IFERROR(J14-G14,"-")</f>
        <v>-</v>
      </c>
      <c r="L14" s="434">
        <f>IFERROR(I14/J14,"-")</f>
        <v>0.0</v>
      </c>
      <c r="M14" s="418">
        <f>'1.1 Ampol Retail'!$H$47</f>
        <v>1.404089</v>
      </c>
      <c r="N14" s="418">
        <f>(SUMIFS('Added data'!$AA:$AA,'Added data'!$AC:$AC,"Ampol Retail",'Added data'!$AE:$AE,"AmPOS"))/1000000</f>
        <v>2.66093203</v>
      </c>
      <c r="O14" s="905">
        <f>'2.1 Ampol Retail'!$H$11</f>
        <v>0.0</v>
      </c>
      <c r="P14" s="551">
        <f>'2.1 Ampol Retail'!$M$11</f>
        <v>1.9466095300000004</v>
      </c>
      <c r="U14" s="417" t="inlineStr">
        <is>
          <t>Network / QSR</t>
        </is>
      </c>
      <c r="V14" s="417" t="inlineStr">
        <is>
          <t>Network / QSR</t>
        </is>
      </c>
    </row>
    <row r="15">
      <c r="B15" s="449" t="n"/>
      <c r="C15" s="448" t="inlineStr">
        <is>
          <t>AmPOS - platform total (incl overhead)</t>
        </is>
      </c>
      <c r="D15" s="449" t="n"/>
      <c r="E15" s="449" t="n"/>
      <c r="F15" s="449" t="n"/>
      <c r="G15" s="475">
        <f>SUM(G14:G14)</f>
        <v>0.0</v>
      </c>
      <c r="H15" s="475">
        <f>SUM(H14:H14)</f>
        <v>10.0</v>
      </c>
      <c r="I15" s="475">
        <f>SUM(I14:I14)</f>
        <v>0.0</v>
      </c>
      <c r="J15" s="475">
        <f>SUM(J14:J14)</f>
        <v>10.0</v>
      </c>
      <c r="K15" s="475">
        <f>SUM(K14:K14)</f>
        <v>0.0</v>
      </c>
      <c r="L15" s="477">
        <f>IFERROR(I15/J15,"-")</f>
        <v>0.0</v>
      </c>
      <c r="M15" s="474">
        <f>SUM(M14:M14)+'0.2 Data Config'!$L$16</f>
        <v>1.569089</v>
      </c>
      <c r="N15" s="474">
        <f>SUM(N14:N14)</f>
        <v>2.66093203</v>
      </c>
      <c r="O15" s="474">
        <f>SUM(O14:O14)</f>
        <v>0.0</v>
      </c>
      <c r="U15" s="417" t="inlineStr">
        <is>
          <t>Data AU</t>
        </is>
      </c>
      <c r="V15" s="417" t="inlineStr">
        <is>
          <t>Data AU</t>
        </is>
      </c>
    </row>
    <row r="16">
      <c r="B16" s="417" t="inlineStr">
        <is>
          <t>Ampol Retail</t>
        </is>
      </c>
      <c r="C16" s="417" t="inlineStr">
        <is>
          <t>Network / QSR</t>
        </is>
      </c>
      <c r="D16" s="417" t="inlineStr">
        <is>
          <t>Network / QSR</t>
        </is>
      </c>
      <c r="E16" s="417" t="str">
        <f>'1.1 Ampol Retail'!$C$53</f>
        <v>Configuration / Integration</v>
      </c>
      <c r="F16" s="425" t="str">
        <f>'1.1 Ampol Retail'!$D$53</f>
        <v>S</v>
      </c>
      <c r="G16" s="425">
        <f>IFERROR(INDEX('0.3 Squad Archetypes'!$F$5:$F$23,MATCH('1.1 Ampol Retail'!$C$53&amp;"|"&amp;'1.1 Ampol Retail'!$D$53,'0.3 Squad Archetypes'!$A$5:$A$23,0)),"-")</f>
        <v>6.0</v>
      </c>
      <c r="H16" s="425">
        <f>COUNTIFS(Squads!$N:$N,"Ampol Retail",Squads!$P:$P,"Network / QSR",Squads!$R:$R,"Filled")</f>
        <v>5.0</v>
      </c>
      <c r="I16" s="425">
        <f>COUNTIFS(Squads!$N:$N,"Ampol Retail",Squads!$P:$P,"Network / QSR",Squads!$R:$R,"Vacant")</f>
        <v>3.0</v>
      </c>
      <c r="J16" s="425">
        <f>H16+I16</f>
        <v>8.0</v>
      </c>
      <c r="K16" s="425">
        <f>IFERROR(J16-G16,"-")</f>
        <v>2.0</v>
      </c>
      <c r="L16" s="434">
        <f>IFERROR(I16/J16,"-")</f>
        <v>0.375</v>
      </c>
      <c r="M16" s="418">
        <f>'1.1 Ampol Retail'!$H$53</f>
        <v>1.4</v>
      </c>
      <c r="N16" s="418">
        <f>(SUMIFS('Added data'!$AA:$AA,'Added data'!$AC:$AC,"Ampol Retail",'Added data'!$AE:$AE,"Network / QSR"))/1000000</f>
        <v>1.1131819849999998</v>
      </c>
      <c r="O16" s="905">
        <f>'2.1 Ampol Retail'!$H$12</f>
        <v>3.0</v>
      </c>
      <c r="P16" s="551">
        <f>'2.1 Ampol Retail'!$M$12</f>
        <v>0.7398271499999999</v>
      </c>
      <c r="U16" s="417" t="inlineStr">
        <is>
          <t>EGI Retail</t>
        </is>
      </c>
      <c r="V16" s="417" t="inlineStr">
        <is>
          <t>EGI Retail</t>
        </is>
      </c>
    </row>
    <row r="17">
      <c r="B17" s="449" t="n"/>
      <c r="C17" s="448" t="inlineStr">
        <is>
          <t>Network / QSR - platform total (incl overhead)</t>
        </is>
      </c>
      <c r="D17" s="449" t="n"/>
      <c r="E17" s="449" t="n"/>
      <c r="F17" s="449" t="n"/>
      <c r="G17" s="475">
        <f>SUM(G16:G16)</f>
        <v>6.0</v>
      </c>
      <c r="H17" s="475">
        <f>SUM(H16:H16)</f>
        <v>5.0</v>
      </c>
      <c r="I17" s="475">
        <f>SUM(I16:I16)</f>
        <v>3.0</v>
      </c>
      <c r="J17" s="475">
        <f>SUM(J16:J16)</f>
        <v>8.0</v>
      </c>
      <c r="K17" s="475">
        <f>SUM(K16:K16)</f>
        <v>2.0</v>
      </c>
      <c r="L17" s="477">
        <f>IFERROR(I17/J17,"-")</f>
        <v>0.375</v>
      </c>
      <c r="M17" s="474">
        <f>SUM(M16:M16)+'0.2 Data Config'!$L$16</f>
        <v>1.565</v>
      </c>
      <c r="N17" s="474">
        <f>SUM(N16:N16)</f>
        <v>1.1131819849999998</v>
      </c>
      <c r="O17" s="474">
        <f>SUM(O16:O16)</f>
        <v>3.0</v>
      </c>
      <c r="T17" s="417" t="inlineStr">
        <is>
          <t>Customer</t>
        </is>
      </c>
      <c r="U17" s="417" t="inlineStr">
        <is>
          <t>Ampol Digital</t>
        </is>
      </c>
      <c r="V17" s="417" t="inlineStr">
        <is>
          <t>Ampol App</t>
        </is>
      </c>
    </row>
    <row r="18">
      <c r="B18" s="417" t="inlineStr">
        <is>
          <t>Ampol Retail</t>
        </is>
      </c>
      <c r="C18" s="417" t="inlineStr">
        <is>
          <t>Data AU</t>
        </is>
      </c>
      <c r="D18" s="417" t="inlineStr">
        <is>
          <t>Data AU</t>
        </is>
      </c>
      <c r="E18" s="417" t="str">
        <f>'1.1 Ampol Retail'!$C$59</f>
        <v>Enterprise Data and Insights</v>
      </c>
      <c r="F18" s="425" t="str">
        <f>'1.1 Ampol Retail'!$D$59</f>
        <v>M</v>
      </c>
      <c r="G18" s="425">
        <f>IFERROR(INDEX('0.3 Squad Archetypes'!$F$5:$F$23,MATCH('1.1 Ampol Retail'!$C$59&amp;"|"&amp;'1.1 Ampol Retail'!$D$59,'0.3 Squad Archetypes'!$A$5:$A$23,0)),"-")</f>
        <v>7.5</v>
      </c>
      <c r="H18" s="425">
        <f>COUNTIFS(Squads!$N:$N,"Ampol Retail",Squads!$P:$P,"Data AU",Squads!$R:$R,"Filled")</f>
        <v>0.0</v>
      </c>
      <c r="I18" s="425">
        <f>COUNTIFS(Squads!$N:$N,"Ampol Retail",Squads!$P:$P,"Data AU",Squads!$R:$R,"Vacant")</f>
        <v>5.0</v>
      </c>
      <c r="J18" s="425">
        <f>H18+I18</f>
        <v>5.0</v>
      </c>
      <c r="K18" s="425">
        <f>IFERROR(J18-G18,"-")</f>
        <v>-2.5</v>
      </c>
      <c r="L18" s="434">
        <f>IFERROR(I18/J18,"-")</f>
        <v>1.0</v>
      </c>
      <c r="M18" s="418">
        <f>'1.1 Ampol Retail'!$H$59</f>
        <v>0.68</v>
      </c>
      <c r="N18" s="418">
        <f>(SUMIFS('Added data'!$AA:$AA,'Added data'!$AC:$AC,"Ampol Retail",'Added data'!$AE:$AE,"Data AU"))/1000000</f>
        <v>1.243419</v>
      </c>
      <c r="O18" s="905">
        <f>'2.1 Ampol Retail'!$H$13</f>
        <v>2.0</v>
      </c>
      <c r="P18" s="551">
        <f>'2.1 Ampol Retail'!$M$13</f>
        <v>0.5394263340519481</v>
      </c>
      <c r="V18" s="417" t="inlineStr">
        <is>
          <t>Ampol Web</t>
        </is>
      </c>
    </row>
    <row r="19">
      <c r="B19" s="449" t="n"/>
      <c r="C19" s="448" t="inlineStr">
        <is>
          <t>Data AU - platform total (incl overhead)</t>
        </is>
      </c>
      <c r="D19" s="449" t="n"/>
      <c r="E19" s="449" t="n"/>
      <c r="F19" s="449" t="n"/>
      <c r="G19" s="475">
        <f>SUM(G18:G18)</f>
        <v>7.5</v>
      </c>
      <c r="H19" s="475">
        <f>SUM(H18:H18)</f>
        <v>0.0</v>
      </c>
      <c r="I19" s="475">
        <f>SUM(I18:I18)</f>
        <v>5.0</v>
      </c>
      <c r="J19" s="475">
        <f>SUM(J18:J18)</f>
        <v>5.0</v>
      </c>
      <c r="K19" s="475">
        <f>SUM(K18:K18)</f>
        <v>-2.5</v>
      </c>
      <c r="L19" s="477">
        <f>IFERROR(I19/J19,"-")</f>
        <v>1.0</v>
      </c>
      <c r="M19" s="474">
        <f>SUM(M18:M18)+'0.2 Data Config'!$L$16</f>
        <v>0.8450000000000001</v>
      </c>
      <c r="N19" s="474">
        <f>SUM(N18:N18)</f>
        <v>1.243419</v>
      </c>
      <c r="O19" s="474">
        <f>SUM(O18:O18)</f>
        <v>2.0</v>
      </c>
      <c r="V19" s="417" t="inlineStr">
        <is>
          <t>Digital Operations</t>
        </is>
      </c>
    </row>
    <row r="20">
      <c r="B20" s="417" t="inlineStr">
        <is>
          <t>Ampol Retail</t>
        </is>
      </c>
      <c r="C20" s="417" t="inlineStr">
        <is>
          <t>EGI Retail</t>
        </is>
      </c>
      <c r="D20" s="417" t="inlineStr">
        <is>
          <t>EGI Retail</t>
        </is>
      </c>
      <c r="E20" s="417" t="str">
        <f>'1.1 Ampol Retail'!$C$65</f>
        <v>Strategic Programs</v>
      </c>
      <c r="F20" s="425">
        <f>'1.1 Ampol Retail'!$D$65</f>
        <v>0.0</v>
      </c>
      <c r="G20" s="425" t="str">
        <f>IFERROR(INDEX('0.3 Squad Archetypes'!$F$5:$F$23,MATCH('1.1 Ampol Retail'!$C$65&amp;"|"&amp;'1.1 Ampol Retail'!$D$65,'0.3 Squad Archetypes'!$A$5:$A$23,0)),"-")</f>
        <v>-</v>
      </c>
      <c r="H20" s="425">
        <f>COUNTIFS(Squads!$N:$N,"Ampol Retail",Squads!$P:$P,"EGI Retail",Squads!$R:$R,"Filled")</f>
        <v>6.0</v>
      </c>
      <c r="I20" s="425">
        <f>COUNTIFS(Squads!$N:$N,"Ampol Retail",Squads!$P:$P,"EGI Retail",Squads!$R:$R,"Vacant")</f>
        <v>0.0</v>
      </c>
      <c r="J20" s="425">
        <f>H20+I20</f>
        <v>6.0</v>
      </c>
      <c r="K20" s="425" t="str">
        <f>IFERROR(J20-G20,"-")</f>
        <v>-</v>
      </c>
      <c r="L20" s="434">
        <f>IFERROR(I20/J20,"-")</f>
        <v>0.0</v>
      </c>
      <c r="M20" s="418">
        <f>'1.1 Ampol Retail'!$H$65</f>
        <v>1.52</v>
      </c>
      <c r="N20" s="418">
        <f>(SUMIFS('Added data'!$AA:$AA,'Added data'!$AC:$AC,"Ampol Retail",'Added data'!$AE:$AE,"EGI Retail"))/1000000</f>
        <v>0.9696638999999999</v>
      </c>
      <c r="O20" s="905">
        <f>'2.1 Ampol Retail'!$H$14</f>
        <v>0.0</v>
      </c>
      <c r="P20" s="551">
        <f>'2.1 Ampol Retail'!$M$14</f>
        <v>0.9696638999999999</v>
      </c>
      <c r="T20" s="417" t="inlineStr">
        <is>
          <t>Customer</t>
        </is>
      </c>
      <c r="U20" s="417" t="inlineStr">
        <is>
          <t>Customer Z</t>
        </is>
      </c>
      <c r="V20" s="417" t="inlineStr">
        <is>
          <t>Z Energy Apps</t>
        </is>
      </c>
    </row>
    <row r="21">
      <c r="B21" s="449" t="n"/>
      <c r="C21" s="448" t="inlineStr">
        <is>
          <t>EGI Retail - platform total (no overhead - funded via Significant Items)</t>
        </is>
      </c>
      <c r="D21" s="449" t="n"/>
      <c r="E21" s="449" t="n"/>
      <c r="F21" s="449" t="n"/>
      <c r="G21" s="475">
        <f>SUM(G20:G20)</f>
        <v>0.0</v>
      </c>
      <c r="H21" s="475">
        <f>SUM(H20:H20)</f>
        <v>6.0</v>
      </c>
      <c r="I21" s="475">
        <f>SUM(I20:I20)</f>
        <v>0.0</v>
      </c>
      <c r="J21" s="475">
        <f>SUM(J20:J20)</f>
        <v>6.0</v>
      </c>
      <c r="K21" s="475">
        <f>SUM(K20:K20)</f>
        <v>0.0</v>
      </c>
      <c r="L21" s="477">
        <f>IFERROR(I21/J21,"-")</f>
        <v>0.0</v>
      </c>
      <c r="M21" s="474">
        <f>SUM(M20:M20)</f>
        <v>1.52</v>
      </c>
      <c r="N21" s="474">
        <f>SUM(N20:N20)</f>
        <v>0.9696638999999999</v>
      </c>
      <c r="O21" s="474">
        <f>SUM(O20:O20)</f>
        <v>0.0</v>
      </c>
      <c r="V21" s="417" t="inlineStr">
        <is>
          <t>Z Energy Martech</t>
        </is>
      </c>
    </row>
    <row r="22">
      <c r="B22" s="419" t="inlineStr">
        <is>
          <t>Ampol Retail - portfolio total (incl OHs)</t>
        </is>
      </c>
      <c r="C22" s="435" t="n"/>
      <c r="D22" s="435" t="n"/>
      <c r="E22" s="435" t="n"/>
      <c r="F22" s="435" t="n"/>
      <c r="G22" s="431">
        <f>G11+G13+G15+G17+G19+G21</f>
        <v>47.5</v>
      </c>
      <c r="H22" s="431">
        <f>H11+H13+H15+H17+H19+H21</f>
        <v>47.0</v>
      </c>
      <c r="I22" s="431">
        <f>I11+I13+I15+I17+I19+I21</f>
        <v>28.0</v>
      </c>
      <c r="J22" s="431">
        <f>J11+J13+J15+J17+J19+J21</f>
        <v>75.0</v>
      </c>
      <c r="K22" s="431">
        <f>K11+K13+K15+K17+K19+K21</f>
        <v>11.5</v>
      </c>
      <c r="L22" s="433">
        <f>IFERROR(I22/J22,"-")</f>
        <v>0.37333333333333335</v>
      </c>
      <c r="M22" s="420">
        <f>M11+M13+M15+M17+M19+M21+'0.2 Data Config'!$L$10</f>
        <v>14.378589</v>
      </c>
      <c r="N22" s="420">
        <f>N11+N13+N15+N17+N19+N21</f>
        <v>10.799899355</v>
      </c>
      <c r="O22" s="420">
        <f>O11+O13+O15+O17+O19+O21</f>
        <v>24.0</v>
      </c>
      <c r="V22" s="417" t="inlineStr">
        <is>
          <t>Digital Support NZ</t>
        </is>
      </c>
    </row>
    <row r="23">
      <c r="B23" s="417" t="inlineStr">
        <is>
          <t>Customer</t>
        </is>
      </c>
      <c r="C23" s="417" t="inlineStr">
        <is>
          <t>Ampol Digital</t>
        </is>
      </c>
      <c r="D23" s="417" t="inlineStr">
        <is>
          <t>Ampol App</t>
        </is>
      </c>
      <c r="E23" s="417" t="str">
        <f>'1.2 Customer'!$C$30</f>
        <v>Product</v>
      </c>
      <c r="F23" s="425" t="str">
        <f>'1.2 Customer'!$D$30</f>
        <v>L</v>
      </c>
      <c r="G23" s="425">
        <f>IFERROR(INDEX('0.3 Squad Archetypes'!$F$5:$F$23,MATCH('1.2 Customer'!$C$30&amp;"|"&amp;'1.2 Customer'!$D$30,'0.3 Squad Archetypes'!$A$5:$A$23,0)),"-")</f>
        <v>12.0</v>
      </c>
      <c r="H23" s="425">
        <f>COUNTIFS(Squads!$N:$N,"Customer",Squads!$P:$P,"Ampol App",Squads!$R:$R,"Filled")</f>
        <v>13.0</v>
      </c>
      <c r="I23" s="425">
        <f>COUNTIFS(Squads!$N:$N,"Customer",Squads!$P:$P,"Ampol App",Squads!$R:$R,"Vacant")</f>
        <v>1.0</v>
      </c>
      <c r="J23" s="425">
        <f>H23+I23</f>
        <v>14.0</v>
      </c>
      <c r="K23" s="425">
        <f>IFERROR(J23-G23,"-")</f>
        <v>2.0</v>
      </c>
      <c r="L23" s="434">
        <f>IFERROR(I23/J23,"-")</f>
        <v>0.07142857142857142</v>
      </c>
      <c r="M23" s="418">
        <f>'1.2 Customer'!$H$30</f>
        <v>2.8</v>
      </c>
      <c r="N23" s="418">
        <f>(SUMIFS('Added data'!$AA:$AA,'Added data'!$AC:$AC,"Customer",'Added data'!$AE:$AE,"Ampol App"))/1000000</f>
        <v>3.12378992</v>
      </c>
      <c r="O23" s="905">
        <f>'2.2 Customer'!$H$6</f>
        <v>0.0</v>
      </c>
      <c r="P23" s="551">
        <f>'2.2 Customer'!$M$6</f>
        <v>3.33983297</v>
      </c>
      <c r="U23" s="417" t="inlineStr">
        <is>
          <t>Group Customer Platforms</t>
        </is>
      </c>
      <c r="V23" s="417" t="inlineStr">
        <is>
          <t>AU CRM &amp; Martech</t>
        </is>
      </c>
    </row>
    <row r="24">
      <c r="B24" s="417" t="inlineStr">
        <is>
          <t>Customer</t>
        </is>
      </c>
      <c r="C24" s="417" t="inlineStr">
        <is>
          <t>Ampol Digital</t>
        </is>
      </c>
      <c r="D24" s="417" t="inlineStr">
        <is>
          <t>Ampol Web</t>
        </is>
      </c>
      <c r="E24" s="417" t="str">
        <f>'1.2 Customer'!$C$31</f>
        <v>Product</v>
      </c>
      <c r="F24" s="425" t="str">
        <f>'1.2 Customer'!$D$31</f>
        <v>M</v>
      </c>
      <c r="G24" s="425">
        <f>IFERROR(INDEX('0.3 Squad Archetypes'!$F$5:$F$23,MATCH('1.2 Customer'!$C$31&amp;"|"&amp;'1.2 Customer'!$D$31,'0.3 Squad Archetypes'!$A$5:$A$23,0)),"-")</f>
        <v>8.5</v>
      </c>
      <c r="H24" s="425">
        <f>COUNTIFS(Squads!$N:$N,"Customer",Squads!$P:$P,"Ampol Web",Squads!$R:$R,"Filled")</f>
        <v>9.0</v>
      </c>
      <c r="I24" s="425">
        <f>COUNTIFS(Squads!$N:$N,"Customer",Squads!$P:$P,"Ampol Web",Squads!$R:$R,"Vacant")</f>
        <v>1.0</v>
      </c>
      <c r="J24" s="425">
        <f>H24+I24</f>
        <v>10.0</v>
      </c>
      <c r="K24" s="425">
        <f>IFERROR(J24-G24,"-")</f>
        <v>1.5</v>
      </c>
      <c r="L24" s="434">
        <f>IFERROR(I24/J24,"-")</f>
        <v>0.1</v>
      </c>
      <c r="M24" s="418">
        <f>'1.2 Customer'!$H$31</f>
        <v>1.9</v>
      </c>
      <c r="N24" s="418">
        <f>(SUMIFS('Added data'!$AA:$AA,'Added data'!$AC:$AC,"Customer",'Added data'!$AE:$AE,"Ampol Web"))/1000000</f>
        <v>2.21964425</v>
      </c>
      <c r="O24" s="905">
        <f>'2.2 Customer'!$H$7</f>
        <v>0.0</v>
      </c>
      <c r="P24" s="551">
        <f>'2.2 Customer'!$M$7</f>
        <v>2.234861375</v>
      </c>
      <c r="V24" s="417" t="inlineStr">
        <is>
          <t>Customer AI</t>
        </is>
      </c>
    </row>
    <row r="25">
      <c r="B25" s="417" t="inlineStr">
        <is>
          <t>Customer</t>
        </is>
      </c>
      <c r="C25" s="417" t="inlineStr">
        <is>
          <t>Ampol Digital</t>
        </is>
      </c>
      <c r="D25" s="417" t="inlineStr">
        <is>
          <t>Digital Operations</t>
        </is>
      </c>
      <c r="E25" s="417" t="str">
        <f>'1.2 Customer'!$C$32</f>
        <v>Operations</v>
      </c>
      <c r="F25" s="425" t="str">
        <f>'1.2 Customer'!$D$32</f>
        <v>M</v>
      </c>
      <c r="G25" s="425">
        <f>IFERROR(INDEX('0.3 Squad Archetypes'!$F$5:$F$23,MATCH('1.2 Customer'!$C$32&amp;"|"&amp;'1.2 Customer'!$D$32,'0.3 Squad Archetypes'!$A$5:$A$23,0)),"-")</f>
        <v>6.0</v>
      </c>
      <c r="H25" s="425">
        <f>COUNTIFS(Squads!$N:$N,"Customer",Squads!$P:$P,"Digital Operations",Squads!$R:$R,"Filled")</f>
        <v>4.0</v>
      </c>
      <c r="I25" s="425">
        <f>COUNTIFS(Squads!$N:$N,"Customer",Squads!$P:$P,"Digital Operations",Squads!$R:$R,"Vacant")</f>
        <v>3.0</v>
      </c>
      <c r="J25" s="425">
        <f>H25+I25</f>
        <v>7.0</v>
      </c>
      <c r="K25" s="425">
        <f>IFERROR(J25-G25,"-")</f>
        <v>1.0</v>
      </c>
      <c r="L25" s="434">
        <f>IFERROR(I25/J25,"-")</f>
        <v>0.42857142857142855</v>
      </c>
      <c r="M25" s="418">
        <f>'1.2 Customer'!$H$32</f>
        <v>1.4</v>
      </c>
      <c r="N25" s="418">
        <f>(SUMIFS('Added data'!$AA:$AA,'Added data'!$AC:$AC,"Customer",'Added data'!$AE:$AE,"Digital Operations"))/1000000</f>
        <v>1.4808336000000002</v>
      </c>
      <c r="O25" s="905">
        <f>'2.2 Customer'!$H$8</f>
        <v>3.0</v>
      </c>
      <c r="P25" s="551">
        <f>'2.2 Customer'!$M$8</f>
        <v>0.90463735</v>
      </c>
      <c r="U25" s="417" t="inlineStr">
        <is>
          <t>EGI Customer</t>
        </is>
      </c>
      <c r="V25" s="417" t="inlineStr">
        <is>
          <t>EGI Customer</t>
        </is>
      </c>
    </row>
    <row r="26">
      <c r="B26" s="449" t="n"/>
      <c r="C26" s="448" t="inlineStr">
        <is>
          <t>Ampol Digital - platform total (incl overhead)</t>
        </is>
      </c>
      <c r="D26" s="449" t="n"/>
      <c r="E26" s="449" t="n"/>
      <c r="F26" s="449" t="n"/>
      <c r="G26" s="475">
        <f>SUM(G23:G25)</f>
        <v>26.5</v>
      </c>
      <c r="H26" s="475">
        <f>SUM(H23:H25)</f>
        <v>26.0</v>
      </c>
      <c r="I26" s="475">
        <f>SUM(I23:I25)</f>
        <v>5.0</v>
      </c>
      <c r="J26" s="475">
        <f>SUM(J23:J25)</f>
        <v>31.0</v>
      </c>
      <c r="K26" s="475">
        <f>SUM(K23:K25)</f>
        <v>4.5</v>
      </c>
      <c r="L26" s="477">
        <f>IFERROR(I26/J26,"-")</f>
        <v>0.16129032258064516</v>
      </c>
      <c r="M26" s="474">
        <f>SUM(M23:M25)+'0.2 Data Config'!$L$16</f>
        <v>6.265</v>
      </c>
      <c r="N26" s="474">
        <f>SUM(N23:N25)</f>
        <v>6.8242677700000005</v>
      </c>
      <c r="O26" s="474">
        <f>SUM(O23:O25)</f>
        <v>3.0</v>
      </c>
      <c r="T26" s="417" t="inlineStr">
        <is>
          <t>Enterprise Data</t>
        </is>
      </c>
      <c r="U26" s="417" t="inlineStr">
        <is>
          <t>Group Data</t>
        </is>
      </c>
      <c r="V26" s="417" t="inlineStr">
        <is>
          <t>Data Science</t>
        </is>
      </c>
    </row>
    <row r="27">
      <c r="B27" s="417" t="inlineStr">
        <is>
          <t>Customer</t>
        </is>
      </c>
      <c r="C27" s="417" t="inlineStr">
        <is>
          <t>Customer Z</t>
        </is>
      </c>
      <c r="D27" s="417" t="inlineStr">
        <is>
          <t>Z Energy Apps</t>
        </is>
      </c>
      <c r="E27" s="417" t="str">
        <f>'1.2 Customer'!$C$38</f>
        <v>Product</v>
      </c>
      <c r="F27" s="425" t="str">
        <f>'1.2 Customer'!$D$38</f>
        <v>S</v>
      </c>
      <c r="G27" s="425">
        <f>IFERROR(INDEX('0.3 Squad Archetypes'!$F$5:$F$23,MATCH('1.2 Customer'!$C$38&amp;"|"&amp;'1.2 Customer'!$D$38,'0.3 Squad Archetypes'!$A$5:$A$23,0)),"-")</f>
        <v>5.5</v>
      </c>
      <c r="H27" s="425">
        <f>COUNTIFS(Squads!$N:$N,"Customer",Squads!$P:$P,"Z Energy Apps",Squads!$R:$R,"Filled")</f>
        <v>5.0</v>
      </c>
      <c r="I27" s="425">
        <f>COUNTIFS(Squads!$N:$N,"Customer",Squads!$P:$P,"Z Energy Apps",Squads!$R:$R,"Vacant")</f>
        <v>0.0</v>
      </c>
      <c r="J27" s="425">
        <f>H27+I27</f>
        <v>5.0</v>
      </c>
      <c r="K27" s="425">
        <f>IFERROR(J27-G27,"-")</f>
        <v>-0.5</v>
      </c>
      <c r="L27" s="434">
        <f>IFERROR(I27/J27,"-")</f>
        <v>0.0</v>
      </c>
      <c r="M27" s="418">
        <f>'1.2 Customer'!$H$38</f>
        <v>1.3</v>
      </c>
      <c r="N27" s="418">
        <f>(SUMIFS('Added data'!$AA:$AA,'Added data'!$AC:$AC,"Customer",'Added data'!$AE:$AE,"Z Energy Apps"))/1000000</f>
        <v>0.8237571600000001</v>
      </c>
      <c r="O27" s="905">
        <f>'2.2 Customer'!$H$9</f>
        <v>0.0</v>
      </c>
      <c r="P27" s="551">
        <f>'2.2 Customer'!$M$9</f>
        <v>0.8237571600000001</v>
      </c>
      <c r="V27" s="417" t="inlineStr">
        <is>
          <t>Operations</t>
        </is>
      </c>
    </row>
    <row r="28">
      <c r="B28" s="417" t="inlineStr">
        <is>
          <t>Customer</t>
        </is>
      </c>
      <c r="C28" s="417" t="inlineStr">
        <is>
          <t>Customer Z</t>
        </is>
      </c>
      <c r="D28" s="417" t="inlineStr">
        <is>
          <t>Z Energy Martech</t>
        </is>
      </c>
      <c r="E28" s="417" t="str">
        <f>'1.2 Customer'!$C$39</f>
        <v>Product</v>
      </c>
      <c r="F28" s="425" t="str">
        <f>'1.2 Customer'!$D$39</f>
        <v>L</v>
      </c>
      <c r="G28" s="425">
        <f>IFERROR(INDEX('0.3 Squad Archetypes'!$F$5:$F$23,MATCH('1.2 Customer'!$C$39&amp;"|"&amp;'1.2 Customer'!$D$39,'0.3 Squad Archetypes'!$A$5:$A$23,0)),"-")</f>
        <v>12.0</v>
      </c>
      <c r="H28" s="425">
        <f>COUNTIFS(Squads!$N:$N,"Customer",Squads!$P:$P,"Z Energy Martech",Squads!$R:$R,"Filled")</f>
        <v>13.0</v>
      </c>
      <c r="I28" s="425">
        <f>COUNTIFS(Squads!$N:$N,"Customer",Squads!$P:$P,"Z Energy Martech",Squads!$R:$R,"Vacant")</f>
        <v>3.0</v>
      </c>
      <c r="J28" s="425">
        <f>H28+I28</f>
        <v>16.0</v>
      </c>
      <c r="K28" s="425">
        <f>IFERROR(J28-G28,"-")</f>
        <v>4.0</v>
      </c>
      <c r="L28" s="434">
        <f>IFERROR(I28/J28,"-")</f>
        <v>0.1875</v>
      </c>
      <c r="M28" s="418">
        <f>'1.2 Customer'!$H$39</f>
        <v>2.8</v>
      </c>
      <c r="N28" s="418">
        <f>(SUMIFS('Added data'!$AA:$AA,'Added data'!$AC:$AC,"Customer",'Added data'!$AE:$AE,"Z Energy Martech"))/1000000</f>
        <v>2.5738363740000003</v>
      </c>
      <c r="O28" s="905">
        <f>'2.2 Customer'!$H$10</f>
        <v>2.0</v>
      </c>
      <c r="P28" s="551">
        <f>'2.2 Customer'!$M$10</f>
        <v>2.1769435210588233</v>
      </c>
      <c r="V28" s="417" t="inlineStr">
        <is>
          <t>Reporting &amp; Analytics</t>
        </is>
      </c>
    </row>
    <row r="29">
      <c r="B29" s="417" t="inlineStr">
        <is>
          <t>Customer</t>
        </is>
      </c>
      <c r="C29" s="417" t="inlineStr">
        <is>
          <t>Customer Z</t>
        </is>
      </c>
      <c r="D29" s="417" t="inlineStr">
        <is>
          <t>Digital Support NZ</t>
        </is>
      </c>
      <c r="E29" s="417" t="str">
        <f>'1.2 Customer'!$C$40</f>
        <v>Operations</v>
      </c>
      <c r="F29" s="425" t="str">
        <f>'1.2 Customer'!$D$40</f>
        <v>S</v>
      </c>
      <c r="G29" s="425">
        <f>IFERROR(INDEX('0.3 Squad Archetypes'!$F$5:$F$23,MATCH('1.2 Customer'!$C$40&amp;"|"&amp;'1.2 Customer'!$D$40,'0.3 Squad Archetypes'!$A$5:$A$23,0)),"-")</f>
        <v>4.0</v>
      </c>
      <c r="H29" s="425">
        <f>COUNTIFS(Squads!$N:$N,"Customer",Squads!$P:$P,"Digital Support NZ",Squads!$R:$R,"Filled")</f>
        <v>0.0</v>
      </c>
      <c r="I29" s="425">
        <f>COUNTIFS(Squads!$N:$N,"Customer",Squads!$P:$P,"Digital Support NZ",Squads!$R:$R,"Vacant")</f>
        <v>0.0</v>
      </c>
      <c r="J29" s="425">
        <f>H29+I29</f>
        <v>0.0</v>
      </c>
      <c r="K29" s="425">
        <f>IFERROR(J29-G29,"-")</f>
        <v>-4.0</v>
      </c>
      <c r="L29" s="434" t="str">
        <f>IFERROR(I29/J29,"-")</f>
        <v>-</v>
      </c>
      <c r="M29" s="418">
        <f>'1.2 Customer'!$H$40</f>
        <v>0.8</v>
      </c>
      <c r="N29" s="418">
        <f>(SUMIFS('Added data'!$AA:$AA,'Added data'!$AC:$AC,"Customer",'Added data'!$AE:$AE,"Digital Support NZ"))/1000000</f>
        <v>0.0</v>
      </c>
      <c r="O29" s="418">
        <f>N29-IFERROR(M29,0)</f>
        <v>-0.8</v>
      </c>
      <c r="V29" s="417" t="inlineStr">
        <is>
          <t>Data Platforms</t>
        </is>
      </c>
    </row>
    <row r="30">
      <c r="B30" s="449" t="n"/>
      <c r="C30" s="448" t="inlineStr">
        <is>
          <t>Customer Z - platform total (incl overhead)</t>
        </is>
      </c>
      <c r="D30" s="449" t="n"/>
      <c r="E30" s="449" t="n"/>
      <c r="F30" s="449" t="n"/>
      <c r="G30" s="475">
        <f>SUM(G27:G29)</f>
        <v>21.5</v>
      </c>
      <c r="H30" s="475">
        <f>SUM(H27:H29)</f>
        <v>18.0</v>
      </c>
      <c r="I30" s="475">
        <f>SUM(I27:I29)</f>
        <v>3.0</v>
      </c>
      <c r="J30" s="475">
        <f>SUM(J27:J29)</f>
        <v>21.0</v>
      </c>
      <c r="K30" s="475">
        <f>SUM(K27:K29)</f>
        <v>-0.5</v>
      </c>
      <c r="L30" s="477">
        <f>IFERROR(I30/J30,"-")</f>
        <v>0.14285714285714285</v>
      </c>
      <c r="M30" s="474">
        <f>SUM(M27:M29)+'0.2 Data Config'!$L$16</f>
        <v>5.0649999999999995</v>
      </c>
      <c r="N30" s="474">
        <f>SUM(N27:N29)</f>
        <v>3.3975935340000003</v>
      </c>
      <c r="O30" s="474">
        <f>SUM(O27:O29)</f>
        <v>1.2</v>
      </c>
      <c r="V30" s="417" t="inlineStr">
        <is>
          <t>Enterprise Data Delivery</t>
        </is>
      </c>
    </row>
    <row r="31">
      <c r="B31" s="417" t="inlineStr">
        <is>
          <t>Customer</t>
        </is>
      </c>
      <c r="C31" s="417" t="inlineStr">
        <is>
          <t>Group Customer Platforms</t>
        </is>
      </c>
      <c r="D31" s="417" t="inlineStr">
        <is>
          <t>AU CRM &amp; Martech</t>
        </is>
      </c>
      <c r="E31" s="417" t="str">
        <f>'1.2 Customer'!$C$46</f>
        <v>Product</v>
      </c>
      <c r="F31" s="425" t="str">
        <f>'1.2 Customer'!$D$46</f>
        <v>M</v>
      </c>
      <c r="G31" s="425">
        <f>IFERROR(INDEX('0.3 Squad Archetypes'!$F$5:$F$23,MATCH('1.2 Customer'!$C$46&amp;"|"&amp;'1.2 Customer'!$D$46,'0.3 Squad Archetypes'!$A$5:$A$23,0)),"-")</f>
        <v>8.5</v>
      </c>
      <c r="H31" s="425">
        <f>COUNTIFS(Squads!$N:$N,"Customer",Squads!$P:$P,"AU CRM &amp; Martech",Squads!$R:$R,"Filled")</f>
        <v>6.0</v>
      </c>
      <c r="I31" s="425">
        <f>COUNTIFS(Squads!$N:$N,"Customer",Squads!$P:$P,"AU CRM &amp; Martech",Squads!$R:$R,"Vacant")</f>
        <v>7.0</v>
      </c>
      <c r="J31" s="425">
        <f>H31+I31</f>
        <v>13.0</v>
      </c>
      <c r="K31" s="425">
        <f>IFERROR(J31-G31,"-")</f>
        <v>4.5</v>
      </c>
      <c r="L31" s="434">
        <f>IFERROR(I31/J31,"-")</f>
        <v>0.5384615384615384</v>
      </c>
      <c r="M31" s="418">
        <f>'1.2 Customer'!$H$46</f>
        <v>1.9</v>
      </c>
      <c r="N31" s="418">
        <f>(SUMIFS('Added data'!$AA:$AA,'Added data'!$AC:$AC,"Customer",'Added data'!$AE:$AE,"AU CRM &amp; Martech"))/1000000</f>
        <v>1.3212206359999998</v>
      </c>
      <c r="O31" s="905">
        <f>'2.2 Customer'!$H$11</f>
        <v>7.0</v>
      </c>
      <c r="P31" s="551">
        <f>'2.2 Customer'!$M$11</f>
        <v>0.543439386</v>
      </c>
      <c r="T31" s="417" t="inlineStr">
        <is>
          <t>TDD Group Functions</t>
        </is>
      </c>
      <c r="U31" s="417" t="inlineStr">
        <is>
          <t>TDD Group Functions</t>
        </is>
      </c>
      <c r="V31" s="417" t="inlineStr">
        <is>
          <t>Workplace &amp; Enterprise Tooling</t>
        </is>
      </c>
    </row>
    <row r="32">
      <c r="B32" s="417" t="inlineStr">
        <is>
          <t>Customer</t>
        </is>
      </c>
      <c r="C32" s="417" t="inlineStr">
        <is>
          <t>Group Customer Platforms</t>
        </is>
      </c>
      <c r="D32" s="417" t="inlineStr">
        <is>
          <t>Customer AI</t>
        </is>
      </c>
      <c r="E32" s="417" t="str">
        <f>'1.2 Customer'!$C$47</f>
        <v>Engineering</v>
      </c>
      <c r="F32" s="425" t="str">
        <f>'1.2 Customer'!$D$47</f>
        <v>S</v>
      </c>
      <c r="G32" s="425">
        <f>IFERROR(INDEX('0.3 Squad Archetypes'!$F$5:$F$23,MATCH('1.2 Customer'!$C$47&amp;"|"&amp;'1.2 Customer'!$D$47,'0.3 Squad Archetypes'!$A$5:$A$23,0)),"-")</f>
        <v>4.5</v>
      </c>
      <c r="H32" s="425">
        <f>COUNTIFS(Squads!$N:$N,"Customer",Squads!$P:$P,"Customer AI",Squads!$R:$R,"Filled")</f>
        <v>0.0</v>
      </c>
      <c r="I32" s="425">
        <f>COUNTIFS(Squads!$N:$N,"Customer",Squads!$P:$P,"Customer AI",Squads!$R:$R,"Vacant")</f>
        <v>2.0</v>
      </c>
      <c r="J32" s="425">
        <f>H32+I32</f>
        <v>2.0</v>
      </c>
      <c r="K32" s="425">
        <f>IFERROR(J32-G32,"-")</f>
        <v>-2.5</v>
      </c>
      <c r="L32" s="434">
        <f>IFERROR(I32/J32,"-")</f>
        <v>1.0</v>
      </c>
      <c r="M32" s="418">
        <f>'1.2 Customer'!$H$47</f>
        <v>0.8</v>
      </c>
      <c r="N32" s="418">
        <f>(SUMIFS('Added data'!$AA:$AA,'Added data'!$AC:$AC,"Customer",'Added data'!$AE:$AE,"Customer AI"))/1000000</f>
        <v>0.4057065</v>
      </c>
      <c r="O32" s="418">
        <f>N32-IFERROR(M32,0)</f>
        <v>-0.3942935</v>
      </c>
      <c r="V32" s="417" t="inlineStr">
        <is>
          <t>Network &amp; Infrastructure</t>
        </is>
      </c>
    </row>
    <row r="33">
      <c r="B33" s="449" t="n"/>
      <c r="C33" s="448" t="inlineStr">
        <is>
          <t>Group Customer Platforms - platform total (incl overhead)</t>
        </is>
      </c>
      <c r="D33" s="449" t="n"/>
      <c r="E33" s="449" t="n"/>
      <c r="F33" s="449" t="n"/>
      <c r="G33" s="475">
        <f>SUM(G31:G32)</f>
        <v>13.0</v>
      </c>
      <c r="H33" s="475">
        <f>SUM(H31:H32)</f>
        <v>6.0</v>
      </c>
      <c r="I33" s="475">
        <f>SUM(I31:I32)</f>
        <v>9.0</v>
      </c>
      <c r="J33" s="475">
        <f>SUM(J31:J32)</f>
        <v>15.0</v>
      </c>
      <c r="K33" s="475">
        <f>SUM(K31:K32)</f>
        <v>2.0</v>
      </c>
      <c r="L33" s="477">
        <f>IFERROR(I33/J33,"-")</f>
        <v>0.6</v>
      </c>
      <c r="M33" s="474">
        <f>SUM(M31:M32)+'0.2 Data Config'!$L$16</f>
        <v>2.865</v>
      </c>
      <c r="N33" s="474">
        <f>SUM(N31:N32)</f>
        <v>1.7269271359999998</v>
      </c>
      <c r="O33" s="474">
        <f>SUM(O31:O32)</f>
        <v>6.6057065</v>
      </c>
      <c r="V33" s="417" t="inlineStr">
        <is>
          <t>DevOps &amp; Engineering</t>
        </is>
      </c>
    </row>
    <row r="34">
      <c r="B34" s="417" t="inlineStr">
        <is>
          <t>Customer</t>
        </is>
      </c>
      <c r="C34" s="417" t="inlineStr">
        <is>
          <t>EGI Customer</t>
        </is>
      </c>
      <c r="D34" s="417" t="inlineStr">
        <is>
          <t>EGI Customer</t>
        </is>
      </c>
      <c r="E34" s="417" t="str">
        <f>'1.2 Customer'!$C$53</f>
        <v>Strategic Programs</v>
      </c>
      <c r="F34" s="425">
        <f>'1.2 Customer'!$D$53</f>
        <v>0.0</v>
      </c>
      <c r="G34" s="425" t="str">
        <f>IFERROR(INDEX('0.3 Squad Archetypes'!$F$5:$F$23,MATCH('1.2 Customer'!$C$53&amp;"|"&amp;'1.2 Customer'!$D$53,'0.3 Squad Archetypes'!$A$5:$A$23,0)),"-")</f>
        <v>-</v>
      </c>
      <c r="H34" s="425">
        <f>COUNTIFS(Squads!$N:$N,"Customer",Squads!$P:$P,"EGI Customer",Squads!$R:$R,"Filled")</f>
        <v>9.0</v>
      </c>
      <c r="I34" s="425">
        <f>COUNTIFS(Squads!$N:$N,"Customer",Squads!$P:$P,"EGI Customer",Squads!$R:$R,"Vacant")</f>
        <v>0.0</v>
      </c>
      <c r="J34" s="425">
        <f>H34+I34</f>
        <v>9.0</v>
      </c>
      <c r="K34" s="425" t="str">
        <f>IFERROR(J34-G34,"-")</f>
        <v>-</v>
      </c>
      <c r="L34" s="434">
        <f>IFERROR(I34/J34,"-")</f>
        <v>0.0</v>
      </c>
      <c r="M34" s="418">
        <f>'1.2 Customer'!$H$53</f>
        <v>0.0</v>
      </c>
      <c r="N34" s="418">
        <f>(SUMIFS('Added data'!$AA:$AA,'Added data'!$AC:$AC,"Customer",'Added data'!$AE:$AE,"EGI Customer"))/1000000</f>
        <v>2.25609783</v>
      </c>
      <c r="O34" s="905">
        <f>'2.2 Customer'!$H$12</f>
        <v>0.0</v>
      </c>
      <c r="P34" s="551">
        <f>'2.2 Customer'!$M$12</f>
        <v>2.25609783</v>
      </c>
      <c r="V34" s="417" t="inlineStr">
        <is>
          <t>Integration</t>
        </is>
      </c>
    </row>
    <row r="35">
      <c r="B35" s="449" t="n"/>
      <c r="C35" s="448" t="inlineStr">
        <is>
          <t>EGI Customer - platform total (no overhead - funded via Significant Items)</t>
        </is>
      </c>
      <c r="D35" s="449" t="n"/>
      <c r="E35" s="449" t="n"/>
      <c r="F35" s="449" t="n"/>
      <c r="G35" s="475">
        <f>SUM(G34:G34)</f>
        <v>0.0</v>
      </c>
      <c r="H35" s="475">
        <f>SUM(H34:H34)</f>
        <v>9.0</v>
      </c>
      <c r="I35" s="475">
        <f>SUM(I34:I34)</f>
        <v>0.0</v>
      </c>
      <c r="J35" s="475">
        <f>SUM(J34:J34)</f>
        <v>9.0</v>
      </c>
      <c r="K35" s="475">
        <f>SUM(K34:K34)</f>
        <v>0.0</v>
      </c>
      <c r="L35" s="477">
        <f>IFERROR(I35/J35,"-")</f>
        <v>0.0</v>
      </c>
      <c r="M35" s="474">
        <f>SUM(M34:M34)</f>
        <v>0.0</v>
      </c>
      <c r="N35" s="474">
        <f>SUM(N34:N34)</f>
        <v>2.25609783</v>
      </c>
      <c r="O35" s="474">
        <f>SUM(O34:O34)</f>
        <v>0.0</v>
      </c>
      <c r="T35" s="417" t="inlineStr">
        <is>
          <t>TDD Group Functions</t>
        </is>
      </c>
      <c r="U35" s="417" t="inlineStr">
        <is>
          <t>EGI TDD</t>
        </is>
      </c>
      <c r="V35" s="417" t="inlineStr">
        <is>
          <t>EGI TDD</t>
        </is>
      </c>
    </row>
    <row r="36">
      <c r="B36" s="419" t="inlineStr">
        <is>
          <t>Customer - portfolio total (incl OHs)</t>
        </is>
      </c>
      <c r="C36" s="435" t="n"/>
      <c r="D36" s="435" t="n"/>
      <c r="E36" s="435" t="n"/>
      <c r="F36" s="435" t="n"/>
      <c r="G36" s="431">
        <f>G26+G30+G33+G35</f>
        <v>61.0</v>
      </c>
      <c r="H36" s="431">
        <f>H26+H30+H33+H35</f>
        <v>59.0</v>
      </c>
      <c r="I36" s="431">
        <f>I26+I30+I33+I35</f>
        <v>17.0</v>
      </c>
      <c r="J36" s="431">
        <f>J26+J30+J33+J35</f>
        <v>76.0</v>
      </c>
      <c r="K36" s="431">
        <f>K26+K30+K33+K35</f>
        <v>6.0</v>
      </c>
      <c r="L36" s="433">
        <f>IFERROR(I36/J36,"-")</f>
        <v>0.2236842105263158</v>
      </c>
      <c r="M36" s="420">
        <f>M26+M30+M33+M35+'0.2 Data Config'!$L$10</f>
        <v>14.944499999999998</v>
      </c>
      <c r="N36" s="420">
        <f>N26+N30+N33+N35</f>
        <v>14.204886270000001</v>
      </c>
      <c r="O36" s="420">
        <f>O26+O30+O33+O35</f>
        <v>10.8057065</v>
      </c>
      <c r="T36" s="417" t="inlineStr">
        <is>
          <t>P&amp;C</t>
        </is>
      </c>
      <c r="U36" s="417" t="inlineStr">
        <is>
          <t>P&amp;C</t>
        </is>
      </c>
      <c r="V36" s="417" t="inlineStr">
        <is>
          <t>P&amp;C</t>
        </is>
      </c>
    </row>
    <row r="37">
      <c r="B37" s="417" t="inlineStr">
        <is>
          <t>Enterprise Data</t>
        </is>
      </c>
      <c r="C37" s="417" t="inlineStr">
        <is>
          <t>Group Data</t>
        </is>
      </c>
      <c r="D37" s="417" t="inlineStr">
        <is>
          <t>Data Science</t>
        </is>
      </c>
      <c r="E37" s="417" t="str">
        <f>'1.3 Enterprise Data'!$C$25</f>
        <v>Enterprise Data and Insights</v>
      </c>
      <c r="F37" s="425" t="str">
        <f>'1.3 Enterprise Data'!$D$25</f>
        <v>M</v>
      </c>
      <c r="G37" s="425">
        <f>IFERROR(INDEX('0.3 Squad Archetypes'!$F$5:$F$23,MATCH('1.3 Enterprise Data'!$C$25&amp;"|"&amp;'1.3 Enterprise Data'!$D$25,'0.3 Squad Archetypes'!$A$5:$A$23,0)),"-")</f>
        <v>7.5</v>
      </c>
      <c r="H37" s="425">
        <f>COUNTIFS(Squads!$N:$N,"Enterprise Data",Squads!$P:$P,"Data Science",Squads!$R:$R,"Filled")</f>
        <v>3.0</v>
      </c>
      <c r="I37" s="425">
        <f>COUNTIFS(Squads!$N:$N,"Enterprise Data",Squads!$P:$P,"Data Science",Squads!$R:$R,"Vacant")</f>
        <v>4.0</v>
      </c>
      <c r="J37" s="425">
        <f>H37+I37</f>
        <v>7.0</v>
      </c>
      <c r="K37" s="425">
        <f>IFERROR(J37-G37,"-")</f>
        <v>-0.5</v>
      </c>
      <c r="L37" s="434">
        <f>IFERROR(I37/J37,"-")</f>
        <v>0.5714285714285714</v>
      </c>
      <c r="M37" s="418">
        <f>'1.3 Enterprise Data'!$H$25</f>
        <v>1.7</v>
      </c>
      <c r="N37" s="418">
        <f>(SUMIFS('Added data'!$AA:$AA,'Added data'!$AC:$AC,"Enterprise Data",'Added data'!$AE:$AE,"Data Science"))/1000000</f>
        <v>1.4124205799999998</v>
      </c>
      <c r="O37" s="905">
        <f>'2.3 Enterprise Data'!$H$6</f>
        <v>4.0</v>
      </c>
      <c r="P37" s="551">
        <f>'2.3 Enterprise Data'!$M$6</f>
        <v>0.8063973299999999</v>
      </c>
      <c r="V37" s="417" t="inlineStr">
        <is>
          <t>P&amp;C - RTA</t>
        </is>
      </c>
    </row>
    <row r="38">
      <c r="B38" s="417" t="inlineStr">
        <is>
          <t>Enterprise Data</t>
        </is>
      </c>
      <c r="C38" s="417" t="inlineStr">
        <is>
          <t>Group Data</t>
        </is>
      </c>
      <c r="D38" s="417" t="inlineStr">
        <is>
          <t>Operations</t>
        </is>
      </c>
      <c r="E38" s="417" t="str">
        <f>'1.3 Enterprise Data'!$C$26</f>
        <v>Operations</v>
      </c>
      <c r="F38" s="425" t="str">
        <f>'1.3 Enterprise Data'!$D$26</f>
        <v>L</v>
      </c>
      <c r="G38" s="425">
        <f>IFERROR(INDEX('0.3 Squad Archetypes'!$F$5:$F$23,MATCH('1.3 Enterprise Data'!$C$26&amp;"|"&amp;'1.3 Enterprise Data'!$D$26,'0.3 Squad Archetypes'!$A$5:$A$23,0)),"-")</f>
        <v>10.0</v>
      </c>
      <c r="H38" s="425">
        <f>COUNTIFS(Squads!$N:$N,"Enterprise Data",Squads!$P:$P,"Operations",Squads!$R:$R,"Filled")</f>
        <v>1.0</v>
      </c>
      <c r="I38" s="425">
        <f>COUNTIFS(Squads!$N:$N,"Enterprise Data",Squads!$P:$P,"Operations",Squads!$R:$R,"Vacant")</f>
        <v>1.0</v>
      </c>
      <c r="J38" s="425">
        <f>H38+I38</f>
        <v>2.0</v>
      </c>
      <c r="K38" s="425">
        <f>IFERROR(J38-G38,"-")</f>
        <v>-8.0</v>
      </c>
      <c r="L38" s="434">
        <f>IFERROR(I38/J38,"-")</f>
        <v>0.5</v>
      </c>
      <c r="M38" s="418">
        <f>'1.3 Enterprise Data'!$H$26</f>
        <v>0.9199999999999999</v>
      </c>
      <c r="N38" s="418">
        <f>(SUMIFS('Added data'!$AA:$AA,'Added data'!$AC:$AC,"Enterprise Data",'Added data'!$AE:$AE,"Operations"))/1000000</f>
        <v>0.0</v>
      </c>
      <c r="O38" s="905">
        <f>'2.3 Enterprise Data'!$H$7</f>
        <v>1.0</v>
      </c>
      <c r="P38" s="551">
        <f>'2.3 Enterprise Data'!$M$7</f>
        <v>0.0</v>
      </c>
      <c r="U38" s="417" t="inlineStr">
        <is>
          <t>EGI P&amp;C</t>
        </is>
      </c>
      <c r="V38" s="417" t="inlineStr">
        <is>
          <t>EGI P&amp;C</t>
        </is>
      </c>
    </row>
    <row r="39">
      <c r="B39" s="417" t="inlineStr">
        <is>
          <t>Enterprise Data</t>
        </is>
      </c>
      <c r="C39" s="417" t="inlineStr">
        <is>
          <t>Group Data</t>
        </is>
      </c>
      <c r="D39" s="417" t="inlineStr">
        <is>
          <t>Reporting &amp; Analytics</t>
        </is>
      </c>
      <c r="E39" s="417" t="str">
        <f>'1.3 Enterprise Data'!$C$27</f>
        <v>Enterprise Data and Insights</v>
      </c>
      <c r="F39" s="425" t="str">
        <f>'1.3 Enterprise Data'!$D$27</f>
        <v>S</v>
      </c>
      <c r="G39" s="425">
        <f>IFERROR(INDEX('0.3 Squad Archetypes'!$F$5:$F$23,MATCH('1.3 Enterprise Data'!$C$27&amp;"|"&amp;'1.3 Enterprise Data'!$D$27,'0.3 Squad Archetypes'!$A$5:$A$23,0)),"-")</f>
        <v>4.0</v>
      </c>
      <c r="H39" s="425">
        <f>COUNTIFS(Squads!$N:$N,"Enterprise Data",Squads!$P:$P,"Reporting &amp; Analytics",Squads!$R:$R,"Filled")</f>
        <v>10.0</v>
      </c>
      <c r="I39" s="425">
        <f>COUNTIFS(Squads!$N:$N,"Enterprise Data",Squads!$P:$P,"Reporting &amp; Analytics",Squads!$R:$R,"Vacant")</f>
        <v>3.0</v>
      </c>
      <c r="J39" s="425">
        <f>H39+I39</f>
        <v>13.0</v>
      </c>
      <c r="K39" s="425">
        <f>IFERROR(J39-G39,"-")</f>
        <v>9.0</v>
      </c>
      <c r="L39" s="434">
        <f>IFERROR(I39/J39,"-")</f>
        <v>0.23076923076923078</v>
      </c>
      <c r="M39" s="418">
        <f>'1.3 Enterprise Data'!$H$27</f>
        <v>0.9</v>
      </c>
      <c r="N39" s="418">
        <f>(SUMIFS('Added data'!$AA:$AA,'Added data'!$AC:$AC,"Enterprise Data",'Added data'!$AE:$AE,"Reporting &amp; Analytics"))/1000000</f>
        <v>2.9676649499999996</v>
      </c>
      <c r="O39" s="905">
        <f>'2.3 Enterprise Data'!$H$8</f>
        <v>3.0</v>
      </c>
      <c r="P39" s="551">
        <f>'2.3 Enterprise Data'!$M$8</f>
        <v>2.5619584499999997</v>
      </c>
      <c r="T39" s="417" t="inlineStr">
        <is>
          <t>Finance</t>
        </is>
      </c>
      <c r="U39" s="417" t="inlineStr">
        <is>
          <t>Finance</t>
        </is>
      </c>
      <c r="V39" s="417" t="inlineStr">
        <is>
          <t>AU Finance</t>
        </is>
      </c>
    </row>
    <row r="40">
      <c r="B40" s="417" t="inlineStr">
        <is>
          <t>Enterprise Data</t>
        </is>
      </c>
      <c r="C40" s="417" t="inlineStr">
        <is>
          <t>Group Data</t>
        </is>
      </c>
      <c r="D40" s="417" t="inlineStr">
        <is>
          <t>Data Platforms</t>
        </is>
      </c>
      <c r="E40" s="417" t="str">
        <f>'1.3 Enterprise Data'!$C$28</f>
        <v>Enterprise Data and Insights</v>
      </c>
      <c r="F40" s="425" t="str">
        <f>'1.3 Enterprise Data'!$D$28</f>
        <v>S</v>
      </c>
      <c r="G40" s="425">
        <f>IFERROR(INDEX('0.3 Squad Archetypes'!$F$5:$F$23,MATCH('1.3 Enterprise Data'!$C$28&amp;"|"&amp;'1.3 Enterprise Data'!$D$28,'0.3 Squad Archetypes'!$A$5:$A$23,0)),"-")</f>
        <v>4.0</v>
      </c>
      <c r="H40" s="425">
        <f>COUNTIFS(Squads!$N:$N,"Enterprise Data",Squads!$P:$P,"Data Platforms",Squads!$R:$R,"Filled")</f>
        <v>2.0</v>
      </c>
      <c r="I40" s="425">
        <f>COUNTIFS(Squads!$N:$N,"Enterprise Data",Squads!$P:$P,"Data Platforms",Squads!$R:$R,"Vacant")</f>
        <v>6.0</v>
      </c>
      <c r="J40" s="425">
        <f>H40+I40</f>
        <v>8.0</v>
      </c>
      <c r="K40" s="425">
        <f>IFERROR(J40-G40,"-")</f>
        <v>4.0</v>
      </c>
      <c r="L40" s="434">
        <f>IFERROR(I40/J40,"-")</f>
        <v>0.75</v>
      </c>
      <c r="M40" s="418">
        <f>'1.3 Enterprise Data'!$H$28</f>
        <v>0.9</v>
      </c>
      <c r="N40" s="418">
        <f>(SUMIFS('Added data'!$AA:$AA,'Added data'!$AC:$AC,"Enterprise Data",'Added data'!$AE:$AE,"Data Platforms"))/1000000</f>
        <v>1.397530486</v>
      </c>
      <c r="O40" s="905">
        <f>'2.3 Enterprise Data'!$H$9</f>
        <v>6.0</v>
      </c>
      <c r="P40" s="551">
        <f>'2.3 Enterprise Data'!$M$9</f>
        <v>0.447991236</v>
      </c>
      <c r="V40" s="417" t="inlineStr">
        <is>
          <t>AU Finance</t>
        </is>
      </c>
    </row>
    <row r="41">
      <c r="B41" s="417" t="inlineStr">
        <is>
          <t>Enterprise Data</t>
        </is>
      </c>
      <c r="C41" s="417" t="inlineStr">
        <is>
          <t>Group Data</t>
        </is>
      </c>
      <c r="D41" s="417" t="inlineStr">
        <is>
          <t>Enterprise Data Delivery</t>
        </is>
      </c>
      <c r="E41" s="417" t="str">
        <f>'1.3 Enterprise Data'!$C$29</f>
        <v>Enterprise Data and Insights</v>
      </c>
      <c r="F41" s="425" t="str">
        <f>'1.3 Enterprise Data'!$D$29</f>
        <v>M</v>
      </c>
      <c r="G41" s="425">
        <f>IFERROR(INDEX('0.3 Squad Archetypes'!$F$5:$F$23,MATCH('1.3 Enterprise Data'!$C$29&amp;"|"&amp;'1.3 Enterprise Data'!$D$29,'0.3 Squad Archetypes'!$A$5:$A$23,0)),"-")</f>
        <v>7.5</v>
      </c>
      <c r="H41" s="425">
        <f>COUNTIFS(Squads!$N:$N,"Enterprise Data",Squads!$P:$P,"Enterprise Data Delivery",Squads!$R:$R,"Filled")</f>
        <v>0.0</v>
      </c>
      <c r="I41" s="425">
        <f>COUNTIFS(Squads!$N:$N,"Enterprise Data",Squads!$P:$P,"Enterprise Data Delivery",Squads!$R:$R,"Vacant")</f>
        <v>0.0</v>
      </c>
      <c r="J41" s="425">
        <f>H41+I41</f>
        <v>0.0</v>
      </c>
      <c r="K41" s="425">
        <f>IFERROR(J41-G41,"-")</f>
        <v>-7.5</v>
      </c>
      <c r="L41" s="434" t="str">
        <f>IFERROR(I41/J41,"-")</f>
        <v>-</v>
      </c>
      <c r="M41" s="418">
        <f>'1.3 Enterprise Data'!$H$29</f>
        <v>0.68</v>
      </c>
      <c r="N41" s="418">
        <f>(SUMIFS('Added data'!$AA:$AA,'Added data'!$AC:$AC,"Enterprise Data",'Added data'!$AE:$AE,"Enterprise Data Delivery"))/1000000</f>
        <v>0.0</v>
      </c>
      <c r="O41" s="418">
        <f>N41-IFERROR(M41,0)</f>
        <v>-0.68</v>
      </c>
      <c r="T41" s="417" t="inlineStr">
        <is>
          <t>Infrastructure</t>
        </is>
      </c>
      <c r="U41" s="417" t="inlineStr">
        <is>
          <t>Distribution</t>
        </is>
      </c>
      <c r="V41" s="417" t="inlineStr">
        <is>
          <t>Distribution, Sales &amp; Services</t>
        </is>
      </c>
    </row>
    <row r="42">
      <c r="B42" s="449" t="n"/>
      <c r="C42" s="448" t="inlineStr">
        <is>
          <t>Group Data - platform total (incl overhead)</t>
        </is>
      </c>
      <c r="D42" s="449" t="n"/>
      <c r="E42" s="449" t="n"/>
      <c r="F42" s="449" t="n"/>
      <c r="G42" s="475">
        <f>SUM(G37:G41)</f>
        <v>33.0</v>
      </c>
      <c r="H42" s="475">
        <f>SUM(H37:H41)</f>
        <v>16.0</v>
      </c>
      <c r="I42" s="475">
        <f>SUM(I37:I41)</f>
        <v>14.0</v>
      </c>
      <c r="J42" s="475">
        <f>SUM(J37:J41)</f>
        <v>30.0</v>
      </c>
      <c r="K42" s="475">
        <f>SUM(K37:K41)</f>
        <v>-3.0</v>
      </c>
      <c r="L42" s="477">
        <f>IFERROR(I42/J42,"-")</f>
        <v>0.4666666666666667</v>
      </c>
      <c r="M42" s="474">
        <f>SUM(M37:M41)+'0.2 Data Config'!$L$16</f>
        <v>5.265</v>
      </c>
      <c r="N42" s="474">
        <f>SUM(N37:N41)</f>
        <v>5.777616016</v>
      </c>
      <c r="O42" s="474">
        <f>SUM(O37:O41)</f>
        <v>13.32</v>
      </c>
      <c r="U42" s="417" t="inlineStr">
        <is>
          <t>Manufacturing</t>
        </is>
      </c>
      <c r="V42" s="417" t="inlineStr">
        <is>
          <t>Manufacturing &amp; Group Projects</t>
        </is>
      </c>
    </row>
    <row r="43">
      <c r="B43" s="419" t="inlineStr">
        <is>
          <t>Enterprise Data - portfolio total (incl OHs)</t>
        </is>
      </c>
      <c r="C43" s="435" t="n"/>
      <c r="D43" s="435" t="n"/>
      <c r="E43" s="435" t="n"/>
      <c r="F43" s="435" t="n"/>
      <c r="G43" s="431">
        <f>G42</f>
        <v>33.0</v>
      </c>
      <c r="H43" s="431">
        <f>H42</f>
        <v>16.0</v>
      </c>
      <c r="I43" s="431">
        <f>I42</f>
        <v>14.0</v>
      </c>
      <c r="J43" s="431">
        <f>J42</f>
        <v>30.0</v>
      </c>
      <c r="K43" s="431">
        <f>K42</f>
        <v>-3.0</v>
      </c>
      <c r="L43" s="433">
        <f>IFERROR(I43/J43,"-")</f>
        <v>0.4666666666666667</v>
      </c>
      <c r="M43" s="420">
        <f>M42+'0.2 Data Config'!$L$10</f>
        <v>6.0145</v>
      </c>
      <c r="N43" s="420">
        <f>N42</f>
        <v>5.777616016</v>
      </c>
      <c r="O43" s="420">
        <f>O42</f>
        <v>13.32</v>
      </c>
      <c r="V43" s="417" t="inlineStr">
        <is>
          <t>Technology Support</t>
        </is>
      </c>
    </row>
    <row r="44">
      <c r="B44" s="417" t="inlineStr">
        <is>
          <t>TDD Group Functions</t>
        </is>
      </c>
      <c r="C44" s="417" t="inlineStr">
        <is>
          <t>TDD Group Functions</t>
        </is>
      </c>
      <c r="D44" s="417" t="inlineStr">
        <is>
          <t>Workplace &amp; Enterprise Tooling</t>
        </is>
      </c>
      <c r="E44" s="417" t="str">
        <f>'1.4 TDD Group Functions'!$C$24</f>
        <v>Configuration / Integration</v>
      </c>
      <c r="F44" s="425" t="str">
        <f>'1.4 TDD Group Functions'!$D$24</f>
        <v>S</v>
      </c>
      <c r="G44" s="425">
        <f>IFERROR(INDEX('0.3 Squad Archetypes'!$F$5:$F$23,MATCH('1.4 TDD Group Functions'!$C$24&amp;"|"&amp;'1.4 TDD Group Functions'!$D$24,'0.3 Squad Archetypes'!$A$5:$A$23,0)),"-")</f>
        <v>6.0</v>
      </c>
      <c r="H44" s="425">
        <f>COUNTIFS(Squads!$N:$N,"TDD Group Functions",Squads!$P:$P,"Workplace &amp; Enterprise Tooling",Squads!$R:$R,"Filled")</f>
        <v>4.0</v>
      </c>
      <c r="I44" s="425">
        <f>COUNTIFS(Squads!$N:$N,"TDD Group Functions",Squads!$P:$P,"Workplace &amp; Enterprise Tooling",Squads!$R:$R,"Vacant")</f>
        <v>2.0</v>
      </c>
      <c r="J44" s="425">
        <f>H44+I44</f>
        <v>6.0</v>
      </c>
      <c r="K44" s="425">
        <f>IFERROR(J44-G44,"-")</f>
        <v>0.0</v>
      </c>
      <c r="L44" s="434">
        <f>IFERROR(I44/J44,"-")</f>
        <v>0.3333333333333333</v>
      </c>
      <c r="M44" s="418">
        <f>'1.4 TDD Group Functions'!$H$24</f>
        <v>1.4</v>
      </c>
      <c r="N44" s="418">
        <f>(SUMIFS('Added data'!$AA:$AA,'Added data'!$AC:$AC,"TDD Group Functions",'Added data'!$AE:$AE,"Workplace &amp; Enterprise Tooling"))/1000000</f>
        <v>1.1173292219999997</v>
      </c>
      <c r="O44" s="905">
        <f>'2.4 TDD Group Functions'!$H$6</f>
        <v>2.0</v>
      </c>
      <c r="P44" s="551">
        <f>'2.4 TDD Group Functions'!$M$6</f>
        <v>0.7128909719999998</v>
      </c>
      <c r="U44" s="417" t="inlineStr">
        <is>
          <t>Data &amp; Insights</t>
        </is>
      </c>
      <c r="V44" s="417" t="inlineStr">
        <is>
          <t>Data &amp; Insights</t>
        </is>
      </c>
    </row>
    <row r="45">
      <c r="B45" s="417" t="inlineStr">
        <is>
          <t>TDD Group Functions</t>
        </is>
      </c>
      <c r="C45" s="417" t="inlineStr">
        <is>
          <t>TDD Group Functions</t>
        </is>
      </c>
      <c r="D45" s="417" t="inlineStr">
        <is>
          <t>Network &amp; Infrastructure</t>
        </is>
      </c>
      <c r="E45" s="417" t="str">
        <f>'1.4 TDD Group Functions'!$C$25</f>
        <v>Operations</v>
      </c>
      <c r="F45" s="425" t="str">
        <f>'1.4 TDD Group Functions'!$D$25</f>
        <v>L</v>
      </c>
      <c r="G45" s="425">
        <f>IFERROR(INDEX('0.3 Squad Archetypes'!$F$5:$F$23,MATCH('1.4 TDD Group Functions'!$C$25&amp;"|"&amp;'1.4 TDD Group Functions'!$D$25,'0.3 Squad Archetypes'!$A$5:$A$23,0)),"-")</f>
        <v>10.0</v>
      </c>
      <c r="H45" s="425">
        <f>COUNTIFS(Squads!$N:$N,"TDD Group Functions",Squads!$P:$P,"Network &amp; Infrastructure",Squads!$R:$R,"Filled")</f>
        <v>10.0</v>
      </c>
      <c r="I45" s="425">
        <f>COUNTIFS(Squads!$N:$N,"TDD Group Functions",Squads!$P:$P,"Network &amp; Infrastructure",Squads!$R:$R,"Vacant")</f>
        <v>1.0</v>
      </c>
      <c r="J45" s="425">
        <f>H45+I45</f>
        <v>11.0</v>
      </c>
      <c r="K45" s="425">
        <f>IFERROR(J45-G45,"-")</f>
        <v>1.0</v>
      </c>
      <c r="L45" s="434">
        <f>IFERROR(I45/J45,"-")</f>
        <v>0.09090909090909091</v>
      </c>
      <c r="M45" s="418">
        <f>'1.4 TDD Group Functions'!$H$25</f>
        <v>2.3</v>
      </c>
      <c r="N45" s="418">
        <f>(SUMIFS('Added data'!$AA:$AA,'Added data'!$AC:$AC,"TDD Group Functions",'Added data'!$AE:$AE,"Network &amp; Infrastructure"))/1000000</f>
        <v>2.8267209564</v>
      </c>
      <c r="O45" s="905">
        <f>'2.4 TDD Group Functions'!$H$7</f>
        <v>1.0</v>
      </c>
      <c r="P45" s="551">
        <f>'2.4 TDD Group Functions'!$M$7</f>
        <v>2.6238677064</v>
      </c>
      <c r="T45" s="417" t="inlineStr">
        <is>
          <t>Energy Solutions &amp; B2B</t>
        </is>
      </c>
      <c r="U45" s="417" t="inlineStr">
        <is>
          <t>Energy Solutions</t>
        </is>
      </c>
      <c r="V45" s="417" t="inlineStr">
        <is>
          <t>Energy</t>
        </is>
      </c>
    </row>
    <row r="46">
      <c r="B46" s="417" t="inlineStr">
        <is>
          <t>TDD Group Functions</t>
        </is>
      </c>
      <c r="C46" s="417" t="inlineStr">
        <is>
          <t>TDD Group Functions</t>
        </is>
      </c>
      <c r="D46" s="417" t="inlineStr">
        <is>
          <t>DevOps &amp; Engineering</t>
        </is>
      </c>
      <c r="E46" s="417" t="str">
        <f>'1.4 TDD Group Functions'!$C$26</f>
        <v>Engineering</v>
      </c>
      <c r="F46" s="425" t="str">
        <f>'1.4 TDD Group Functions'!$D$26</f>
        <v>S</v>
      </c>
      <c r="G46" s="425">
        <f>IFERROR(INDEX('0.3 Squad Archetypes'!$F$5:$F$23,MATCH('1.4 TDD Group Functions'!$C$26&amp;"|"&amp;'1.4 TDD Group Functions'!$D$26,'0.3 Squad Archetypes'!$A$5:$A$23,0)),"-")</f>
        <v>4.5</v>
      </c>
      <c r="H46" s="425">
        <f>COUNTIFS(Squads!$N:$N,"TDD Group Functions",Squads!$P:$P,"DevOps &amp; Engineering",Squads!$R:$R,"Filled")</f>
        <v>4.0</v>
      </c>
      <c r="I46" s="425">
        <f>COUNTIFS(Squads!$N:$N,"TDD Group Functions",Squads!$P:$P,"DevOps &amp; Engineering",Squads!$R:$R,"Vacant")</f>
        <v>4.0</v>
      </c>
      <c r="J46" s="425">
        <f>H46+I46</f>
        <v>8.0</v>
      </c>
      <c r="K46" s="425">
        <f>IFERROR(J46-G46,"-")</f>
        <v>3.5</v>
      </c>
      <c r="L46" s="434">
        <f>IFERROR(I46/J46,"-")</f>
        <v>0.5</v>
      </c>
      <c r="M46" s="418">
        <f>'1.4 TDD Group Functions'!$H$26</f>
        <v>0.8</v>
      </c>
      <c r="N46" s="418">
        <f>(SUMIFS('Added data'!$AA:$AA,'Added data'!$AC:$AC,"TDD Group Functions",'Added data'!$AE:$AE,"DevOps &amp; Engineering"))/1000000</f>
        <v>1.581591798</v>
      </c>
      <c r="O46" s="905">
        <f>'2.4 TDD Group Functions'!$H$8</f>
        <v>4.0</v>
      </c>
      <c r="P46" s="551">
        <f>'2.4 TDD Group Functions'!$M$8</f>
        <v>0.7125067979999999</v>
      </c>
      <c r="V46" s="417" t="inlineStr">
        <is>
          <t>EVCI</t>
        </is>
      </c>
    </row>
    <row r="47">
      <c r="B47" s="417" t="inlineStr">
        <is>
          <t>TDD Group Functions</t>
        </is>
      </c>
      <c r="C47" s="417" t="inlineStr">
        <is>
          <t>TDD Group Functions</t>
        </is>
      </c>
      <c r="D47" s="417" t="inlineStr">
        <is>
          <t>Integration</t>
        </is>
      </c>
      <c r="E47" s="417" t="str">
        <f>'1.4 TDD Group Functions'!$C$27</f>
        <v>Configuration / Integration</v>
      </c>
      <c r="F47" s="425" t="str">
        <f>'1.4 TDD Group Functions'!$D$27</f>
        <v>S</v>
      </c>
      <c r="G47" s="425">
        <f>IFERROR(INDEX('0.3 Squad Archetypes'!$F$5:$F$23,MATCH('1.4 TDD Group Functions'!$C$27&amp;"|"&amp;'1.4 TDD Group Functions'!$D$27,'0.3 Squad Archetypes'!$A$5:$A$23,0)),"-")</f>
        <v>6.0</v>
      </c>
      <c r="H47" s="425">
        <f>COUNTIFS(Squads!$N:$N,"TDD Group Functions",Squads!$P:$P,"Integration",Squads!$R:$R,"Filled")</f>
        <v>6.0</v>
      </c>
      <c r="I47" s="425">
        <f>COUNTIFS(Squads!$N:$N,"TDD Group Functions",Squads!$P:$P,"Integration",Squads!$R:$R,"Vacant")</f>
        <v>2.0</v>
      </c>
      <c r="J47" s="425">
        <f>H47+I47</f>
        <v>8.0</v>
      </c>
      <c r="K47" s="425">
        <f>IFERROR(J47-G47,"-")</f>
        <v>2.0</v>
      </c>
      <c r="L47" s="434">
        <f>IFERROR(I47/J47,"-")</f>
        <v>0.25</v>
      </c>
      <c r="M47" s="418">
        <f>'1.4 TDD Group Functions'!$H$27</f>
        <v>1.4</v>
      </c>
      <c r="N47" s="418">
        <f>(SUMIFS('Added data'!$AA:$AA,'Added data'!$AC:$AC,"TDD Group Functions",'Added data'!$AE:$AE,"Integration"))/1000000</f>
        <v>2.044477746</v>
      </c>
      <c r="O47" s="905">
        <f>'2.4 TDD Group Functions'!$H$9</f>
        <v>2.0</v>
      </c>
      <c r="P47" s="551">
        <f>'2.4 TDD Group Functions'!$M$9</f>
        <v>1.6112034960000001</v>
      </c>
      <c r="U47" s="417" t="inlineStr">
        <is>
          <t>B2B</t>
        </is>
      </c>
      <c r="V47" s="417" t="inlineStr">
        <is>
          <t>B2B</t>
        </is>
      </c>
    </row>
    <row r="48">
      <c r="B48" s="449" t="n"/>
      <c r="C48" s="448" t="inlineStr">
        <is>
          <t>TDD Group Functions - platform total (incl overhead)</t>
        </is>
      </c>
      <c r="D48" s="449" t="n"/>
      <c r="E48" s="449" t="n"/>
      <c r="F48" s="449" t="n"/>
      <c r="G48" s="475">
        <f>SUM(G44:G47)</f>
        <v>26.5</v>
      </c>
      <c r="H48" s="475">
        <f>SUM(H44:H47)</f>
        <v>24.0</v>
      </c>
      <c r="I48" s="475">
        <f>SUM(I44:I47)</f>
        <v>9.0</v>
      </c>
      <c r="J48" s="475">
        <f>SUM(J44:J47)</f>
        <v>33.0</v>
      </c>
      <c r="K48" s="475">
        <f>SUM(K44:K47)</f>
        <v>6.5</v>
      </c>
      <c r="L48" s="477">
        <f>IFERROR(I48/J48,"-")</f>
        <v>0.2727272727272727</v>
      </c>
      <c r="M48" s="474">
        <f>SUM(M44:M47)+'0.2 Data Config'!$L$16</f>
        <v>6.065</v>
      </c>
      <c r="N48" s="474">
        <f>SUM(N44:N47)</f>
        <v>7.570119722399999</v>
      </c>
      <c r="O48" s="474">
        <f>SUM(O44:O47)</f>
        <v>9.0</v>
      </c>
      <c r="T48" s="417" t="inlineStr">
        <is>
          <t>Commercial Fuels</t>
        </is>
      </c>
      <c r="U48" s="417" t="inlineStr">
        <is>
          <t>Trading &amp; Shipping</t>
        </is>
      </c>
      <c r="V48" s="417" t="inlineStr">
        <is>
          <t>Trading &amp; Shipping</t>
        </is>
      </c>
    </row>
    <row r="49">
      <c r="B49" s="417" t="inlineStr">
        <is>
          <t>TDD Group Functions</t>
        </is>
      </c>
      <c r="C49" s="417" t="inlineStr">
        <is>
          <t>EGI TDD</t>
        </is>
      </c>
      <c r="D49" s="417" t="inlineStr">
        <is>
          <t>EGI TDD</t>
        </is>
      </c>
      <c r="E49" s="417" t="str">
        <f>'1.4 TDD Group Functions'!$C$33</f>
        <v>Strategic Programs</v>
      </c>
      <c r="F49" s="425">
        <f>'1.4 TDD Group Functions'!$D$33</f>
        <v>0.0</v>
      </c>
      <c r="G49" s="425" t="str">
        <f>IFERROR(INDEX('0.3 Squad Archetypes'!$F$5:$F$23,MATCH('1.4 TDD Group Functions'!$C$33&amp;"|"&amp;'1.4 TDD Group Functions'!$D$33,'0.3 Squad Archetypes'!$A$5:$A$23,0)),"-")</f>
        <v>-</v>
      </c>
      <c r="H49" s="425">
        <f>COUNTIFS(Squads!$N:$N,"TDD Group Functions",Squads!$P:$P,"EGI TDD",Squads!$R:$R,"Filled")</f>
        <v>5.0</v>
      </c>
      <c r="I49" s="425">
        <f>COUNTIFS(Squads!$N:$N,"TDD Group Functions",Squads!$P:$P,"EGI TDD",Squads!$R:$R,"Vacant")</f>
        <v>0.0</v>
      </c>
      <c r="J49" s="425">
        <f>H49+I49</f>
        <v>5.0</v>
      </c>
      <c r="K49" s="425" t="str">
        <f>IFERROR(J49-G49,"-")</f>
        <v>-</v>
      </c>
      <c r="L49" s="434">
        <f>IFERROR(I49/J49,"-")</f>
        <v>0.0</v>
      </c>
      <c r="M49" s="418">
        <f>'1.4 TDD Group Functions'!$H$33</f>
        <v>0.0</v>
      </c>
      <c r="N49" s="418">
        <f>(SUMIFS('Added data'!$AA:$AA,'Added data'!$AC:$AC,"TDD Group Functions",'Added data'!$AE:$AE,"EGI TDD"))/1000000</f>
        <v>1.32454851</v>
      </c>
      <c r="O49" s="905">
        <f>'2.4 TDD Group Functions'!$H$10</f>
        <v>0.0</v>
      </c>
      <c r="P49" s="551">
        <f>'2.4 TDD Group Functions'!$M$10</f>
        <v>1.32454851</v>
      </c>
      <c r="V49" s="417" t="inlineStr">
        <is>
          <t>Trading &amp; Shipping Data</t>
        </is>
      </c>
    </row>
    <row r="50">
      <c r="B50" s="449" t="n"/>
      <c r="C50" s="448" t="inlineStr">
        <is>
          <t>EGI TDD - platform total (no overhead - funded via Significant Items)</t>
        </is>
      </c>
      <c r="D50" s="449" t="n"/>
      <c r="E50" s="449" t="n"/>
      <c r="F50" s="449" t="n"/>
      <c r="G50" s="475">
        <f>SUM(G49:G49)</f>
        <v>0.0</v>
      </c>
      <c r="H50" s="475">
        <f>SUM(H49:H49)</f>
        <v>5.0</v>
      </c>
      <c r="I50" s="475">
        <f>SUM(I49:I49)</f>
        <v>0.0</v>
      </c>
      <c r="J50" s="475">
        <f>SUM(J49:J49)</f>
        <v>5.0</v>
      </c>
      <c r="K50" s="475">
        <f>SUM(K49:K49)</f>
        <v>0.0</v>
      </c>
      <c r="L50" s="477">
        <f>IFERROR(I50/J50,"-")</f>
        <v>0.0</v>
      </c>
      <c r="M50" s="474">
        <f>SUM(M49:M49)</f>
        <v>0.0</v>
      </c>
      <c r="N50" s="474">
        <f>SUM(N49:N49)</f>
        <v>1.32454851</v>
      </c>
      <c r="O50" s="474">
        <f>SUM(O49:O49)</f>
        <v>0.0</v>
      </c>
      <c r="T50" s="417" t="inlineStr">
        <is>
          <t>Commercial Fuels</t>
        </is>
      </c>
      <c r="U50" s="417" t="inlineStr">
        <is>
          <t>Supply</t>
        </is>
      </c>
      <c r="V50" s="417" t="inlineStr">
        <is>
          <t>Supply</t>
        </is>
      </c>
    </row>
    <row r="51">
      <c r="B51" s="419" t="inlineStr">
        <is>
          <t>TDD Group Functions - portfolio total (incl OHs)</t>
        </is>
      </c>
      <c r="C51" s="435" t="n"/>
      <c r="D51" s="435" t="n"/>
      <c r="E51" s="435" t="n"/>
      <c r="F51" s="435" t="n"/>
      <c r="G51" s="431">
        <f>G48+G50</f>
        <v>26.5</v>
      </c>
      <c r="H51" s="431">
        <f>H48+H50</f>
        <v>29.0</v>
      </c>
      <c r="I51" s="431">
        <f>I48+I50</f>
        <v>9.0</v>
      </c>
      <c r="J51" s="431">
        <f>J48+J50</f>
        <v>38.0</v>
      </c>
      <c r="K51" s="431">
        <f>K48+K50</f>
        <v>6.5</v>
      </c>
      <c r="L51" s="433">
        <f>IFERROR(I51/J51,"-")</f>
        <v>0.23684210526315788</v>
      </c>
      <c r="M51" s="420">
        <f>M48+M50+'0.2 Data Config'!$L$10</f>
        <v>6.814500000000001</v>
      </c>
      <c r="N51" s="420">
        <f>N48+N50</f>
        <v>8.894668232399999</v>
      </c>
      <c r="O51" s="420">
        <f>O48+O50</f>
        <v>9.0</v>
      </c>
      <c r="U51" s="417" t="inlineStr">
        <is>
          <t>CTRM</t>
        </is>
      </c>
      <c r="V51" s="417" t="inlineStr">
        <is>
          <t>CTRM</t>
        </is>
      </c>
    </row>
    <row r="52">
      <c r="B52" s="417" t="inlineStr">
        <is>
          <t>P&amp;C</t>
        </is>
      </c>
      <c r="C52" s="417" t="inlineStr">
        <is>
          <t>P&amp;C</t>
        </is>
      </c>
      <c r="D52" s="417" t="inlineStr">
        <is>
          <t>P&amp;C</t>
        </is>
      </c>
      <c r="E52" s="417" t="str">
        <f>'1.5 P&amp;C'!$C$24</f>
        <v>Configuration / Integration</v>
      </c>
      <c r="F52" s="425" t="str">
        <f>'1.5 P&amp;C'!$D$24</f>
        <v>M</v>
      </c>
      <c r="G52" s="425">
        <f>IFERROR(INDEX('0.3 Squad Archetypes'!$F$5:$F$23,MATCH('1.5 P&amp;C'!$C$24&amp;"|"&amp;'1.5 P&amp;C'!$D$24,'0.3 Squad Archetypes'!$A$5:$A$23,0)),"-")</f>
        <v>9.0</v>
      </c>
      <c r="H52" s="425">
        <f>COUNTIFS(Squads!$N:$N,"P&amp;C",Squads!$P:$P,"P&amp;C",Squads!$R:$R,"Filled")</f>
        <v>5.0</v>
      </c>
      <c r="I52" s="425">
        <f>COUNTIFS(Squads!$N:$N,"P&amp;C",Squads!$P:$P,"P&amp;C",Squads!$R:$R,"Vacant")</f>
        <v>3.0</v>
      </c>
      <c r="J52" s="425">
        <f>H52+I52</f>
        <v>8.0</v>
      </c>
      <c r="K52" s="425">
        <f>IFERROR(J52-G52,"-")</f>
        <v>-1.0</v>
      </c>
      <c r="L52" s="434">
        <f>IFERROR(I52/J52,"-")</f>
        <v>0.375</v>
      </c>
      <c r="M52" s="418">
        <f>'1.5 P&amp;C'!$H$24</f>
        <v>2.1</v>
      </c>
      <c r="N52" s="418">
        <f>(SUMIFS('Added data'!$AA:$AA,'Added data'!$AC:$AC,"P&amp;C",'Added data'!$AE:$AE,"P&amp;C"))/1000000</f>
        <v>1.7655179300000001</v>
      </c>
      <c r="O52" s="905">
        <f>'2.5 P&amp;C'!$H$6</f>
        <v>3.0</v>
      </c>
      <c r="P52" s="551">
        <f>'2.5 P&amp;C'!$M$6</f>
        <v>1.18932168</v>
      </c>
      <c r="T52" s="417" t="inlineStr">
        <is>
          <t>Z Retail</t>
        </is>
      </c>
      <c r="U52" s="417" t="inlineStr">
        <is>
          <t>Z Supply</t>
        </is>
      </c>
      <c r="V52" s="417" t="inlineStr">
        <is>
          <t>Z Supply</t>
        </is>
      </c>
    </row>
    <row r="53">
      <c r="B53" s="417" t="inlineStr">
        <is>
          <t>P&amp;C</t>
        </is>
      </c>
      <c r="C53" s="417" t="inlineStr">
        <is>
          <t>P&amp;C</t>
        </is>
      </c>
      <c r="D53" s="417" t="inlineStr">
        <is>
          <t>P&amp;C - RTA</t>
        </is>
      </c>
      <c r="E53" s="417" t="str">
        <f>'1.5 P&amp;C'!$C$25</f>
        <v>Configuration / Integration</v>
      </c>
      <c r="F53" s="425" t="str">
        <f>'1.5 P&amp;C'!$D$25</f>
        <v>S</v>
      </c>
      <c r="G53" s="425">
        <f>IFERROR(INDEX('0.3 Squad Archetypes'!$F$5:$F$23,MATCH('1.5 P&amp;C'!$C$25&amp;"|"&amp;'1.5 P&amp;C'!$D$25,'0.3 Squad Archetypes'!$A$5:$A$23,0)),"-")</f>
        <v>6.0</v>
      </c>
      <c r="H53" s="425">
        <f>COUNTIFS(Squads!$N:$N,"P&amp;C",Squads!$P:$P,"P&amp;C - RTA",Squads!$R:$R,"Filled")</f>
        <v>1.0</v>
      </c>
      <c r="I53" s="425">
        <f>COUNTIFS(Squads!$N:$N,"P&amp;C",Squads!$P:$P,"P&amp;C - RTA",Squads!$R:$R,"Vacant")</f>
        <v>5.0</v>
      </c>
      <c r="J53" s="425">
        <f>H53+I53</f>
        <v>6.0</v>
      </c>
      <c r="K53" s="425">
        <f>IFERROR(J53-G53,"-")</f>
        <v>0.0</v>
      </c>
      <c r="L53" s="434">
        <f>IFERROR(I53/J53,"-")</f>
        <v>0.8333333333333334</v>
      </c>
      <c r="M53" s="418">
        <f>'1.5 P&amp;C'!$H$25</f>
        <v>1.4</v>
      </c>
      <c r="N53" s="418">
        <f>(SUMIFS('Added data'!$AA:$AA,'Added data'!$AC:$AC,"P&amp;C",'Added data'!$AE:$AE,"P&amp;C - RTA"))/1000000</f>
        <v>1.2640881499999999</v>
      </c>
      <c r="O53" s="905">
        <f>'2.5 P&amp;C'!$H$7</f>
        <v>5.0</v>
      </c>
      <c r="P53" s="551">
        <f>'2.5 P&amp;C'!$M$7</f>
        <v>0.2775</v>
      </c>
      <c r="T53" s="417" t="inlineStr">
        <is>
          <t>Z Retail</t>
        </is>
      </c>
      <c r="U53" s="417" t="inlineStr">
        <is>
          <t>Z Customer</t>
        </is>
      </c>
      <c r="V53" s="417" t="inlineStr">
        <is>
          <t>Site Systems</t>
        </is>
      </c>
    </row>
    <row r="54">
      <c r="B54" s="449" t="n"/>
      <c r="C54" s="448" t="inlineStr">
        <is>
          <t>P&amp;C - platform total (incl overhead)</t>
        </is>
      </c>
      <c r="D54" s="449" t="n"/>
      <c r="E54" s="449" t="n"/>
      <c r="F54" s="449" t="n"/>
      <c r="G54" s="475">
        <f>SUM(G52:G53)</f>
        <v>15.0</v>
      </c>
      <c r="H54" s="475">
        <f>SUM(H52:H53)</f>
        <v>6.0</v>
      </c>
      <c r="I54" s="475">
        <f>SUM(I52:I53)</f>
        <v>8.0</v>
      </c>
      <c r="J54" s="475">
        <f>SUM(J52:J53)</f>
        <v>14.0</v>
      </c>
      <c r="K54" s="475">
        <f>SUM(K52:K53)</f>
        <v>-1.0</v>
      </c>
      <c r="L54" s="477">
        <f>IFERROR(I54/J54,"-")</f>
        <v>0.5714285714285714</v>
      </c>
      <c r="M54" s="474">
        <f>SUM(M52:M53)+'0.2 Data Config'!$L$16</f>
        <v>3.665</v>
      </c>
      <c r="N54" s="474">
        <f>SUM(N52:N53)</f>
        <v>3.0296060799999998</v>
      </c>
      <c r="O54" s="474">
        <f>SUM(O52:O53)</f>
        <v>8.0</v>
      </c>
      <c r="V54" s="417" t="inlineStr">
        <is>
          <t>Z Retail Backend</t>
        </is>
      </c>
    </row>
    <row r="55">
      <c r="B55" s="417" t="inlineStr">
        <is>
          <t>P&amp;C</t>
        </is>
      </c>
      <c r="C55" s="417" t="inlineStr">
        <is>
          <t>EGI P&amp;C</t>
        </is>
      </c>
      <c r="D55" s="417" t="inlineStr">
        <is>
          <t>EGI P&amp;C</t>
        </is>
      </c>
      <c r="E55" s="417" t="str">
        <f>'1.5 P&amp;C'!$C$31</f>
        <v>Strategic Programs</v>
      </c>
      <c r="F55" s="425">
        <f>'1.5 P&amp;C'!$D$31</f>
        <v>0.0</v>
      </c>
      <c r="G55" s="425" t="str">
        <f>IFERROR(INDEX('0.3 Squad Archetypes'!$F$5:$F$23,MATCH('1.5 P&amp;C'!$C$31&amp;"|"&amp;'1.5 P&amp;C'!$D$31,'0.3 Squad Archetypes'!$A$5:$A$23,0)),"-")</f>
        <v>-</v>
      </c>
      <c r="H55" s="425">
        <f>COUNTIFS(Squads!$N:$N,"P&amp;C",Squads!$P:$P,"EGI P&amp;C",Squads!$R:$R,"Filled")</f>
        <v>1.0</v>
      </c>
      <c r="I55" s="425">
        <f>COUNTIFS(Squads!$N:$N,"P&amp;C",Squads!$P:$P,"EGI P&amp;C",Squads!$R:$R,"Vacant")</f>
        <v>0.0</v>
      </c>
      <c r="J55" s="425">
        <f>H55+I55</f>
        <v>1.0</v>
      </c>
      <c r="K55" s="425" t="str">
        <f>IFERROR(J55-G55,"-")</f>
        <v>-</v>
      </c>
      <c r="L55" s="434">
        <f>IFERROR(I55/J55,"-")</f>
        <v>0.0</v>
      </c>
      <c r="M55" s="418">
        <f>'1.5 P&amp;C'!$H$31</f>
        <v>0.0</v>
      </c>
      <c r="N55" s="418">
        <f>(SUMIFS('Added data'!$AA:$AA,'Added data'!$AC:$AC,"P&amp;C",'Added data'!$AE:$AE,"EGI P&amp;C"))/1000000</f>
        <v>0.238965</v>
      </c>
      <c r="O55" s="905">
        <f>'2.5 P&amp;C'!$H$8</f>
        <v>0.0</v>
      </c>
      <c r="P55" s="551">
        <f>'2.5 P&amp;C'!$M$8</f>
        <v>0.238965</v>
      </c>
    </row>
    <row r="56">
      <c r="B56" s="449" t="n"/>
      <c r="C56" s="448" t="inlineStr">
        <is>
          <t>EGI P&amp;C - platform total (no overhead - funded via Significant Items)</t>
        </is>
      </c>
      <c r="D56" s="449" t="n"/>
      <c r="E56" s="449" t="n"/>
      <c r="F56" s="449" t="n"/>
      <c r="G56" s="475">
        <f>SUM(G55:G55)</f>
        <v>0.0</v>
      </c>
      <c r="H56" s="475">
        <f>SUM(H55:H55)</f>
        <v>1.0</v>
      </c>
      <c r="I56" s="475">
        <f>SUM(I55:I55)</f>
        <v>0.0</v>
      </c>
      <c r="J56" s="475">
        <f>SUM(J55:J55)</f>
        <v>1.0</v>
      </c>
      <c r="K56" s="475">
        <f>SUM(K55:K55)</f>
        <v>0.0</v>
      </c>
      <c r="L56" s="477">
        <f>IFERROR(I56/J56,"-")</f>
        <v>0.0</v>
      </c>
      <c r="M56" s="474">
        <f>SUM(M55:M55)</f>
        <v>0.0</v>
      </c>
      <c r="N56" s="474">
        <f>SUM(N55:N55)</f>
        <v>0.238965</v>
      </c>
      <c r="O56" s="474">
        <f>SUM(O55:O55)</f>
        <v>0.0</v>
      </c>
    </row>
    <row r="57">
      <c r="B57" s="419" t="inlineStr">
        <is>
          <t>P&amp;C - portfolio total (incl OHs)</t>
        </is>
      </c>
      <c r="C57" s="435" t="n"/>
      <c r="D57" s="435" t="n"/>
      <c r="E57" s="435" t="n"/>
      <c r="F57" s="435" t="n"/>
      <c r="G57" s="431">
        <f>G54+G56</f>
        <v>15.0</v>
      </c>
      <c r="H57" s="431">
        <f>H54+H56</f>
        <v>7.0</v>
      </c>
      <c r="I57" s="431">
        <f>I54+I56</f>
        <v>8.0</v>
      </c>
      <c r="J57" s="431">
        <f>J54+J56</f>
        <v>15.0</v>
      </c>
      <c r="K57" s="431">
        <f>K54+K56</f>
        <v>-1.0</v>
      </c>
      <c r="L57" s="433">
        <f>IFERROR(I57/J57,"-")</f>
        <v>0.5333333333333333</v>
      </c>
      <c r="M57" s="420">
        <f>M54+M56+'0.2 Data Config'!$L$10</f>
        <v>4.4145</v>
      </c>
      <c r="N57" s="420">
        <f>N54+N56</f>
        <v>3.2685710799999996</v>
      </c>
      <c r="O57" s="420">
        <f>O54+O56</f>
        <v>8.0</v>
      </c>
    </row>
    <row r="58">
      <c r="B58" s="417" t="inlineStr">
        <is>
          <t>Finance</t>
        </is>
      </c>
      <c r="C58" s="417" t="inlineStr">
        <is>
          <t>Finance</t>
        </is>
      </c>
      <c r="D58" s="417" t="inlineStr">
        <is>
          <t>AU Finance</t>
        </is>
      </c>
      <c r="E58" s="417" t="str">
        <f>'1.6 Finance'!$C$24</f>
        <v>Configuration / Integration</v>
      </c>
      <c r="F58" s="425" t="str">
        <f>'1.6 Finance'!$D$24</f>
        <v>L</v>
      </c>
      <c r="G58" s="425">
        <f>IFERROR(INDEX('0.3 Squad Archetypes'!$F$5:$F$23,MATCH('1.6 Finance'!$C$24&amp;"|"&amp;'1.6 Finance'!$D$24,'0.3 Squad Archetypes'!$A$5:$A$23,0)),"-")</f>
        <v>14.0</v>
      </c>
      <c r="H58" s="425">
        <f>COUNTIFS(Squads!$N:$N,"Finance",Squads!$P:$P,"AU Finance",Squads!$R:$R,"Filled")</f>
        <v>2.0</v>
      </c>
      <c r="I58" s="425">
        <f>COUNTIFS(Squads!$N:$N,"Finance",Squads!$P:$P,"AU Finance",Squads!$R:$R,"Vacant")</f>
        <v>7.0</v>
      </c>
      <c r="J58" s="425">
        <f>H58+I58</f>
        <v>9.0</v>
      </c>
      <c r="K58" s="425">
        <f>IFERROR(J58-G58,"-")</f>
        <v>-5.0</v>
      </c>
      <c r="L58" s="434">
        <f>IFERROR(I58/J58,"-")</f>
        <v>0.7777777777777778</v>
      </c>
      <c r="M58" s="418">
        <f>'1.6 Finance'!$H$24</f>
        <v>3.2</v>
      </c>
      <c r="N58" s="418">
        <f>(SUMIFS('Added data'!$AA:$AA,'Added data'!$AC:$AC,"Finance",'Added data'!$AE:$AE,"AU Finance"))/1000000</f>
        <v>2.01898557</v>
      </c>
      <c r="O58" s="905">
        <f>'2.6 Finance'!$H$6</f>
        <v>7.0</v>
      </c>
      <c r="P58" s="551">
        <f>'2.6 Finance'!$M$6</f>
        <v>0.45399344999999997</v>
      </c>
    </row>
    <row r="59">
      <c r="B59" s="417" t="inlineStr">
        <is>
          <t>Finance</t>
        </is>
      </c>
      <c r="C59" s="417" t="inlineStr">
        <is>
          <t>Finance</t>
        </is>
      </c>
      <c r="D59" s="417" t="inlineStr">
        <is>
          <t>NZ Finance</t>
        </is>
      </c>
      <c r="E59" s="417" t="str">
        <f>'1.6 Finance'!$C$25</f>
        <v>Configuration / Integration</v>
      </c>
      <c r="F59" s="425" t="str">
        <f>'1.6 Finance'!$D$25</f>
        <v>S</v>
      </c>
      <c r="G59" s="425">
        <f>IFERROR(INDEX('0.3 Squad Archetypes'!$F$5:$F$23,MATCH('1.6 Finance'!$C$25&amp;"|"&amp;'1.6 Finance'!$D$25,'0.3 Squad Archetypes'!$A$5:$A$23,0)),"-")</f>
        <v>6.0</v>
      </c>
      <c r="H59" s="425">
        <f>COUNTIFS(Squads!$N:$N,"Finance",Squads!$P:$P,"NZ Finance",Squads!$R:$R,"Filled")</f>
        <v>4.0</v>
      </c>
      <c r="I59" s="425">
        <f>COUNTIFS(Squads!$N:$N,"Finance",Squads!$P:$P,"NZ Finance",Squads!$R:$R,"Vacant")</f>
        <v>1.0</v>
      </c>
      <c r="J59" s="425">
        <f>H59+I59</f>
        <v>5.0</v>
      </c>
      <c r="K59" s="425">
        <f>IFERROR(J59-G59,"-")</f>
        <v>-1.0</v>
      </c>
      <c r="L59" s="434">
        <f>IFERROR(I59/J59,"-")</f>
        <v>0.2</v>
      </c>
      <c r="M59" s="418">
        <f>'1.6 Finance'!$H$25</f>
        <v>1.4</v>
      </c>
      <c r="N59" s="418">
        <f>(SUMIFS('Added data'!$AA:$AA,'Added data'!$AC:$AC,"Finance",'Added data'!$AE:$AE,"NZ Finance"))/1000000</f>
        <v>0.9051416459999999</v>
      </c>
      <c r="O59" s="905">
        <f>'2.6 Finance'!$H$7</f>
        <v>1.0</v>
      </c>
      <c r="P59" s="551">
        <f>'2.6 Finance'!$M$7</f>
        <v>0.673452396</v>
      </c>
    </row>
    <row r="60">
      <c r="B60" s="449" t="n"/>
      <c r="C60" s="448" t="inlineStr">
        <is>
          <t>Finance - platform total (incl overhead)</t>
        </is>
      </c>
      <c r="D60" s="449" t="n"/>
      <c r="E60" s="449" t="n"/>
      <c r="F60" s="449" t="n"/>
      <c r="G60" s="475">
        <f>SUM(G58:G59)</f>
        <v>20.0</v>
      </c>
      <c r="H60" s="475">
        <f>SUM(H58:H59)</f>
        <v>6.0</v>
      </c>
      <c r="I60" s="475">
        <f>SUM(I58:I59)</f>
        <v>8.0</v>
      </c>
      <c r="J60" s="475">
        <f>SUM(J58:J59)</f>
        <v>14.0</v>
      </c>
      <c r="K60" s="475">
        <f>SUM(K58:K59)</f>
        <v>-6.0</v>
      </c>
      <c r="L60" s="477">
        <f>IFERROR(I60/J60,"-")</f>
        <v>0.5714285714285714</v>
      </c>
      <c r="M60" s="474">
        <f>SUM(M58:M59)+'0.2 Data Config'!$L$16</f>
        <v>4.765</v>
      </c>
      <c r="N60" s="474">
        <f>SUM(N58:N59)</f>
        <v>2.9241272159999996</v>
      </c>
      <c r="O60" s="474">
        <f>SUM(O58:O59)</f>
        <v>8.0</v>
      </c>
    </row>
    <row r="61">
      <c r="B61" s="417" t="inlineStr">
        <is>
          <t>Finance</t>
        </is>
      </c>
      <c r="C61" s="417" t="inlineStr">
        <is>
          <t>EGI Finance</t>
        </is>
      </c>
      <c r="D61" s="417" t="inlineStr">
        <is>
          <t>EGI Finance</t>
        </is>
      </c>
      <c r="E61" s="417" t="str">
        <f>'1.6 Finance'!$C$31</f>
        <v>Strategic Programs</v>
      </c>
      <c r="F61" s="425">
        <f>'1.6 Finance'!$D$31</f>
        <v>0.0</v>
      </c>
      <c r="G61" s="425" t="str">
        <f>IFERROR(INDEX('0.3 Squad Archetypes'!$F$5:$F$23,MATCH('1.6 Finance'!$C$31&amp;"|"&amp;'1.6 Finance'!$D$31,'0.3 Squad Archetypes'!$A$5:$A$23,0)),"-")</f>
        <v>-</v>
      </c>
      <c r="H61" s="425">
        <f>COUNTIFS(Squads!$N:$N,"Finance",Squads!$P:$P,"EGI Finance",Squads!$R:$R,"Filled")</f>
        <v>1.0</v>
      </c>
      <c r="I61" s="425">
        <f>COUNTIFS(Squads!$N:$N,"Finance",Squads!$P:$P,"EGI Finance",Squads!$R:$R,"Vacant")</f>
        <v>0.0</v>
      </c>
      <c r="J61" s="425">
        <f>H61+I61</f>
        <v>1.0</v>
      </c>
      <c r="K61" s="425" t="str">
        <f>IFERROR(J61-G61,"-")</f>
        <v>-</v>
      </c>
      <c r="L61" s="434">
        <f>IFERROR(I61/J61,"-")</f>
        <v>0.0</v>
      </c>
      <c r="M61" s="418">
        <f>'1.6 Finance'!$H$31</f>
        <v>0.0</v>
      </c>
      <c r="N61" s="418">
        <f>(SUMIFS('Added data'!$AA:$AA,'Added data'!$AC:$AC,"Finance",'Added data'!$AE:$AE,"EGI Finance"))/1000000</f>
        <v>0.24172844999999998</v>
      </c>
      <c r="O61" s="905">
        <f>'2.6 Finance'!$H$8</f>
        <v>0.0</v>
      </c>
      <c r="P61" s="551">
        <f>'2.6 Finance'!$M$8</f>
        <v>0.24172844999999998</v>
      </c>
    </row>
    <row r="62">
      <c r="B62" s="449" t="n"/>
      <c r="C62" s="448" t="inlineStr">
        <is>
          <t>EGI Finance - platform total (no overhead - funded via Significant Items)</t>
        </is>
      </c>
      <c r="D62" s="449" t="n"/>
      <c r="E62" s="449" t="n"/>
      <c r="F62" s="449" t="n"/>
      <c r="G62" s="475">
        <f>SUM(G61:G61)</f>
        <v>0.0</v>
      </c>
      <c r="H62" s="475">
        <f>SUM(H61:H61)</f>
        <v>1.0</v>
      </c>
      <c r="I62" s="475">
        <f>SUM(I61:I61)</f>
        <v>0.0</v>
      </c>
      <c r="J62" s="475">
        <f>SUM(J61:J61)</f>
        <v>1.0</v>
      </c>
      <c r="K62" s="475">
        <f>SUM(K61:K61)</f>
        <v>0.0</v>
      </c>
      <c r="L62" s="477">
        <f>IFERROR(I62/J62,"-")</f>
        <v>0.0</v>
      </c>
      <c r="M62" s="474">
        <f>SUM(M61:M61)</f>
        <v>0.0</v>
      </c>
      <c r="N62" s="474">
        <f>SUM(N61:N61)</f>
        <v>0.24172844999999998</v>
      </c>
      <c r="O62" s="474">
        <f>SUM(O61:O61)</f>
        <v>0.0</v>
      </c>
    </row>
    <row r="63">
      <c r="B63" s="419" t="inlineStr">
        <is>
          <t>Finance - portfolio total (incl OHs)</t>
        </is>
      </c>
      <c r="C63" s="435" t="n"/>
      <c r="D63" s="435" t="n"/>
      <c r="E63" s="435" t="n"/>
      <c r="F63" s="435" t="n"/>
      <c r="G63" s="431">
        <f>G60+G62</f>
        <v>20.0</v>
      </c>
      <c r="H63" s="431">
        <f>H60+H62</f>
        <v>7.0</v>
      </c>
      <c r="I63" s="431">
        <f>I60+I62</f>
        <v>8.0</v>
      </c>
      <c r="J63" s="431">
        <f>J60+J62</f>
        <v>15.0</v>
      </c>
      <c r="K63" s="431">
        <f>K60+K62</f>
        <v>-6.0</v>
      </c>
      <c r="L63" s="433">
        <f>IFERROR(I63/J63,"-")</f>
        <v>0.5333333333333333</v>
      </c>
      <c r="M63" s="420">
        <f>M60+M62+'0.2 Data Config'!$L$10</f>
        <v>5.5145</v>
      </c>
      <c r="N63" s="420">
        <f>N60+N62</f>
        <v>3.1658556659999997</v>
      </c>
      <c r="O63" s="420">
        <f>O60+O62</f>
        <v>8.0</v>
      </c>
    </row>
    <row r="64">
      <c r="B64" s="417" t="inlineStr">
        <is>
          <t>Infrastructure</t>
        </is>
      </c>
      <c r="C64" s="417" t="inlineStr">
        <is>
          <t>Distribution</t>
        </is>
      </c>
      <c r="D64" s="417" t="inlineStr">
        <is>
          <t>Distribution, Sales &amp; Services</t>
        </is>
      </c>
      <c r="E64" s="417" t="str">
        <f>'1.7 Infrastructure'!$C$25</f>
        <v>Configuration / Integration</v>
      </c>
      <c r="F64" s="425" t="str">
        <f>'1.7 Infrastructure'!$D$25</f>
        <v>M</v>
      </c>
      <c r="G64" s="425">
        <f>IFERROR(INDEX('0.3 Squad Archetypes'!$F$5:$F$23,MATCH('1.7 Infrastructure'!$C$25&amp;"|"&amp;'1.7 Infrastructure'!$D$25,'0.3 Squad Archetypes'!$A$5:$A$23,0)),"-")</f>
        <v>9.0</v>
      </c>
      <c r="H64" s="425">
        <f>COUNTIFS(Squads!$N:$N,"Infrastructure",Squads!$P:$P,"Distribution, Sales &amp; Services",Squads!$R:$R,"Filled")</f>
        <v>6.0</v>
      </c>
      <c r="I64" s="425">
        <f>COUNTIFS(Squads!$N:$N,"Infrastructure",Squads!$P:$P,"Distribution, Sales &amp; Services",Squads!$R:$R,"Vacant")</f>
        <v>4.0</v>
      </c>
      <c r="J64" s="425">
        <f>H64+I64</f>
        <v>10.0</v>
      </c>
      <c r="K64" s="425">
        <f>IFERROR(J64-G64,"-")</f>
        <v>1.0</v>
      </c>
      <c r="L64" s="434">
        <f>IFERROR(I64/J64,"-")</f>
        <v>0.4</v>
      </c>
      <c r="M64" s="418">
        <f>'1.7 Infrastructure'!$H$25</f>
        <v>2.1</v>
      </c>
      <c r="N64" s="418">
        <f>(SUMIFS('Added data'!$AA:$AA,'Added data'!$AC:$AC,"Infrastructure",'Added data'!$AE:$AE,"Distribution, Sales &amp; Services"))/1000000</f>
        <v>1.9244203999999998</v>
      </c>
      <c r="O64" s="905">
        <f>'2.7 Infrastructure'!$H$6</f>
        <v>4.0</v>
      </c>
      <c r="P64" s="551">
        <f>'2.7 Infrastructure'!$M$6</f>
        <v>1.7539306499999998</v>
      </c>
    </row>
    <row r="65">
      <c r="B65" s="449" t="n"/>
      <c r="C65" s="448" t="inlineStr">
        <is>
          <t>Distribution - platform total (incl overhead)</t>
        </is>
      </c>
      <c r="D65" s="449" t="n"/>
      <c r="E65" s="449" t="n"/>
      <c r="F65" s="449" t="n"/>
      <c r="G65" s="475">
        <f>SUM(G64:G64)</f>
        <v>9.0</v>
      </c>
      <c r="H65" s="475">
        <f>SUM(H64:H64)</f>
        <v>6.0</v>
      </c>
      <c r="I65" s="475">
        <f>SUM(I64:I64)</f>
        <v>4.0</v>
      </c>
      <c r="J65" s="475">
        <f>SUM(J64:J64)</f>
        <v>10.0</v>
      </c>
      <c r="K65" s="475">
        <f>SUM(K64:K64)</f>
        <v>1.0</v>
      </c>
      <c r="L65" s="477">
        <f>IFERROR(I65/J65,"-")</f>
        <v>0.4</v>
      </c>
      <c r="M65" s="474">
        <f>SUM(M64:M64)+'0.2 Data Config'!$L$16</f>
        <v>2.265</v>
      </c>
      <c r="N65" s="474">
        <f>SUM(N64:N64)</f>
        <v>1.9244203999999998</v>
      </c>
      <c r="O65" s="474">
        <f>SUM(O64:O64)</f>
        <v>4.0</v>
      </c>
    </row>
    <row r="66">
      <c r="B66" s="417" t="inlineStr">
        <is>
          <t>Infrastructure</t>
        </is>
      </c>
      <c r="C66" s="417" t="inlineStr">
        <is>
          <t>Manufacturing</t>
        </is>
      </c>
      <c r="D66" s="417" t="inlineStr">
        <is>
          <t>Manufacturing &amp; Group Projects</t>
        </is>
      </c>
      <c r="E66" s="417" t="str">
        <f>'1.7 Infrastructure'!$C$31</f>
        <v>Configuration / Integration</v>
      </c>
      <c r="F66" s="425" t="str">
        <f>'1.7 Infrastructure'!$D$31</f>
        <v>M</v>
      </c>
      <c r="G66" s="425">
        <f>IFERROR(INDEX('0.3 Squad Archetypes'!$F$5:$F$23,MATCH('1.7 Infrastructure'!$C$31&amp;"|"&amp;'1.7 Infrastructure'!$D$31,'0.3 Squad Archetypes'!$A$5:$A$23,0)),"-")</f>
        <v>9.0</v>
      </c>
      <c r="H66" s="425">
        <f>COUNTIFS(Squads!$N:$N,"Infrastructure",Squads!$P:$P,"Manufacturing &amp; Group Projects",Squads!$R:$R,"Filled")</f>
        <v>6.0</v>
      </c>
      <c r="I66" s="425">
        <f>COUNTIFS(Squads!$N:$N,"Infrastructure",Squads!$P:$P,"Manufacturing &amp; Group Projects",Squads!$R:$R,"Vacant")</f>
        <v>3.0</v>
      </c>
      <c r="J66" s="425">
        <f>H66+I66</f>
        <v>9.0</v>
      </c>
      <c r="K66" s="425">
        <f>IFERROR(J66-G66,"-")</f>
        <v>0.0</v>
      </c>
      <c r="L66" s="434">
        <f>IFERROR(I66/J66,"-")</f>
        <v>0.3333333333333333</v>
      </c>
      <c r="M66" s="418">
        <f>'1.7 Infrastructure'!$H$31</f>
        <v>2.1</v>
      </c>
      <c r="N66" s="418">
        <f>(SUMIFS('Added data'!$AA:$AA,'Added data'!$AC:$AC,"Infrastructure",'Added data'!$AE:$AE,"Manufacturing &amp; Group Projects"))/1000000</f>
        <v>1.9147733</v>
      </c>
      <c r="O66" s="905">
        <f>'2.7 Infrastructure'!$H$7</f>
        <v>3.0</v>
      </c>
      <c r="P66" s="551">
        <f>'2.7 Infrastructure'!$M$7</f>
        <v>1.5125943</v>
      </c>
    </row>
    <row r="67">
      <c r="B67" s="417" t="inlineStr">
        <is>
          <t>Infrastructure</t>
        </is>
      </c>
      <c r="C67" s="417" t="inlineStr">
        <is>
          <t>Manufacturing</t>
        </is>
      </c>
      <c r="D67" s="417" t="inlineStr">
        <is>
          <t>Technology Support</t>
        </is>
      </c>
      <c r="E67" s="417" t="str">
        <f>'1.7 Infrastructure'!$C$32</f>
        <v>Operations</v>
      </c>
      <c r="F67" s="425" t="str">
        <f>'1.7 Infrastructure'!$D$32</f>
        <v>S</v>
      </c>
      <c r="G67" s="425">
        <f>IFERROR(INDEX('0.3 Squad Archetypes'!$F$5:$F$23,MATCH('1.7 Infrastructure'!$C$32&amp;"|"&amp;'1.7 Infrastructure'!$D$32,'0.3 Squad Archetypes'!$A$5:$A$23,0)),"-")</f>
        <v>4.0</v>
      </c>
      <c r="H67" s="425">
        <f>COUNTIFS(Squads!$N:$N,"Infrastructure",Squads!$P:$P,"Technology Support",Squads!$R:$R,"Filled")</f>
        <v>3.0</v>
      </c>
      <c r="I67" s="425">
        <f>COUNTIFS(Squads!$N:$N,"Infrastructure",Squads!$P:$P,"Technology Support",Squads!$R:$R,"Vacant")</f>
        <v>1.0</v>
      </c>
      <c r="J67" s="425">
        <f>H67+I67</f>
        <v>4.0</v>
      </c>
      <c r="K67" s="425">
        <f>IFERROR(J67-G67,"-")</f>
        <v>0.0</v>
      </c>
      <c r="L67" s="434">
        <f>IFERROR(I67/J67,"-")</f>
        <v>0.25</v>
      </c>
      <c r="M67" s="418">
        <f>'1.7 Infrastructure'!$H$32</f>
        <v>0.8</v>
      </c>
      <c r="N67" s="418">
        <f>(SUMIFS('Added data'!$AA:$AA,'Added data'!$AC:$AC,"Infrastructure",'Added data'!$AE:$AE,"Technology Support"))/1000000</f>
        <v>0.7413352899999999</v>
      </c>
      <c r="O67" s="905">
        <f>'2.7 Infrastructure'!$H$8</f>
        <v>1.0</v>
      </c>
      <c r="P67" s="551">
        <f>'2.7 Infrastructure'!$M$8</f>
        <v>0.7413352899999999</v>
      </c>
    </row>
    <row r="68">
      <c r="B68" s="449" t="n"/>
      <c r="C68" s="448" t="inlineStr">
        <is>
          <t>Manufacturing - platform total (incl overhead)</t>
        </is>
      </c>
      <c r="D68" s="449" t="n"/>
      <c r="E68" s="449" t="n"/>
      <c r="F68" s="449" t="n"/>
      <c r="G68" s="475">
        <f>SUM(G66:G67)</f>
        <v>13.0</v>
      </c>
      <c r="H68" s="475">
        <f>SUM(H66:H67)</f>
        <v>9.0</v>
      </c>
      <c r="I68" s="475">
        <f>SUM(I66:I67)</f>
        <v>4.0</v>
      </c>
      <c r="J68" s="475">
        <f>SUM(J66:J67)</f>
        <v>13.0</v>
      </c>
      <c r="K68" s="475">
        <f>SUM(K66:K67)</f>
        <v>0.0</v>
      </c>
      <c r="L68" s="477">
        <f>IFERROR(I68/J68,"-")</f>
        <v>0.3076923076923077</v>
      </c>
      <c r="M68" s="474">
        <f>SUM(M66:M67)+'0.2 Data Config'!$L$16</f>
        <v>3.0650000000000004</v>
      </c>
      <c r="N68" s="474">
        <f>SUM(N66:N67)</f>
        <v>2.6561085899999997</v>
      </c>
      <c r="O68" s="474">
        <f>SUM(O66:O67)</f>
        <v>4.0</v>
      </c>
    </row>
    <row r="69">
      <c r="B69" s="417" t="inlineStr">
        <is>
          <t>Infrastructure</t>
        </is>
      </c>
      <c r="C69" s="417" t="inlineStr">
        <is>
          <t>Data &amp; Insights</t>
        </is>
      </c>
      <c r="D69" s="417" t="inlineStr">
        <is>
          <t>Data &amp; Insights</t>
        </is>
      </c>
      <c r="E69" s="417" t="str">
        <f>'1.7 Infrastructure'!$C$38</f>
        <v>Configuration / Integration</v>
      </c>
      <c r="F69" s="425" t="str">
        <f>'1.7 Infrastructure'!$D$38</f>
        <v>S</v>
      </c>
      <c r="G69" s="425">
        <f>IFERROR(INDEX('0.3 Squad Archetypes'!$F$5:$F$23,MATCH('1.7 Infrastructure'!$C$38&amp;"|"&amp;'1.7 Infrastructure'!$D$38,'0.3 Squad Archetypes'!$A$5:$A$23,0)),"-")</f>
        <v>6.0</v>
      </c>
      <c r="H69" s="425">
        <f>COUNTIFS(Squads!$N:$N,"Infrastructure",Squads!$P:$P,"Data &amp; Insights",Squads!$R:$R,"Filled")</f>
        <v>2.0</v>
      </c>
      <c r="I69" s="425">
        <f>COUNTIFS(Squads!$N:$N,"Infrastructure",Squads!$P:$P,"Data &amp; Insights",Squads!$R:$R,"Vacant")</f>
        <v>5.0</v>
      </c>
      <c r="J69" s="425">
        <f>H69+I69</f>
        <v>7.0</v>
      </c>
      <c r="K69" s="425">
        <f>IFERROR(J69-G69,"-")</f>
        <v>1.0</v>
      </c>
      <c r="L69" s="434">
        <f>IFERROR(I69/J69,"-")</f>
        <v>0.7142857142857143</v>
      </c>
      <c r="M69" s="418">
        <f>'1.7 Infrastructure'!$H$38</f>
        <v>1.4</v>
      </c>
      <c r="N69" s="418">
        <f>(SUMIFS('Added data'!$AA:$AA,'Added data'!$AC:$AC,"Infrastructure",'Added data'!$AE:$AE,"Data &amp; Insights"))/1000000</f>
        <v>1.51725675</v>
      </c>
      <c r="O69" s="905">
        <f>'2.7 Infrastructure'!$H$9</f>
        <v>5.0</v>
      </c>
      <c r="P69" s="551">
        <f>'2.7 Infrastructure'!$M$9</f>
        <v>0.47542275</v>
      </c>
    </row>
    <row r="70">
      <c r="B70" s="449" t="n"/>
      <c r="C70" s="448" t="inlineStr">
        <is>
          <t>Data &amp; Insights - platform total (incl overhead)</t>
        </is>
      </c>
      <c r="D70" s="449" t="n"/>
      <c r="E70" s="449" t="n"/>
      <c r="F70" s="449" t="n"/>
      <c r="G70" s="475">
        <f>SUM(G69:G69)</f>
        <v>6.0</v>
      </c>
      <c r="H70" s="475">
        <f>SUM(H69:H69)</f>
        <v>2.0</v>
      </c>
      <c r="I70" s="475">
        <f>SUM(I69:I69)</f>
        <v>5.0</v>
      </c>
      <c r="J70" s="475">
        <f>SUM(J69:J69)</f>
        <v>7.0</v>
      </c>
      <c r="K70" s="475">
        <f>SUM(K69:K69)</f>
        <v>1.0</v>
      </c>
      <c r="L70" s="477">
        <f>IFERROR(I70/J70,"-")</f>
        <v>0.7142857142857143</v>
      </c>
      <c r="M70" s="474">
        <f>SUM(M69:M69)+'0.2 Data Config'!$L$16</f>
        <v>1.565</v>
      </c>
      <c r="N70" s="474">
        <f>SUM(N69:N69)</f>
        <v>1.51725675</v>
      </c>
      <c r="O70" s="474">
        <f>SUM(O69:O69)</f>
        <v>5.0</v>
      </c>
    </row>
    <row r="71">
      <c r="B71" s="419" t="inlineStr">
        <is>
          <t>Infrastructure - portfolio total (incl OHs)</t>
        </is>
      </c>
      <c r="C71" s="435" t="n"/>
      <c r="D71" s="435" t="n"/>
      <c r="E71" s="435" t="n"/>
      <c r="F71" s="435" t="n"/>
      <c r="G71" s="431">
        <f>G65+G68+G70</f>
        <v>28.0</v>
      </c>
      <c r="H71" s="431">
        <f>H65+H68+H70</f>
        <v>17.0</v>
      </c>
      <c r="I71" s="431">
        <f>I65+I68+I70</f>
        <v>13.0</v>
      </c>
      <c r="J71" s="431">
        <f>J65+J68+J70</f>
        <v>30.0</v>
      </c>
      <c r="K71" s="431">
        <f>K65+K68+K70</f>
        <v>2.0</v>
      </c>
      <c r="L71" s="433">
        <f>IFERROR(I71/J71,"-")</f>
        <v>0.43333333333333335</v>
      </c>
      <c r="M71" s="420">
        <f>M65+M68+M70+'0.2 Data Config'!$L$10</f>
        <v>7.6445</v>
      </c>
      <c r="N71" s="420">
        <f>N65+N68+N70</f>
        <v>6.097785739999999</v>
      </c>
      <c r="O71" s="420">
        <f>O65+O68+O70</f>
        <v>13.0</v>
      </c>
    </row>
    <row r="72">
      <c r="B72" s="417" t="inlineStr">
        <is>
          <t>Energy Solutions &amp; B2B</t>
        </is>
      </c>
      <c r="C72" s="417" t="inlineStr">
        <is>
          <t>Energy Solutions</t>
        </is>
      </c>
      <c r="D72" s="417" t="inlineStr">
        <is>
          <t>Energy</t>
        </is>
      </c>
      <c r="E72" s="417" t="str">
        <f>'1.8 Energy Solutions &amp; B2B'!$C$27</f>
        <v>Engineering</v>
      </c>
      <c r="F72" s="425" t="str">
        <f>'1.8 Energy Solutions &amp; B2B'!$D$27</f>
        <v>M</v>
      </c>
      <c r="G72" s="425">
        <f>IFERROR(INDEX('0.3 Squad Archetypes'!$F$5:$F$23,MATCH('1.8 Energy Solutions &amp; B2B'!$C$27&amp;"|"&amp;'1.8 Energy Solutions &amp; B2B'!$D$27,'0.3 Squad Archetypes'!$A$5:$A$23,0)),"-")</f>
        <v>9.0</v>
      </c>
      <c r="H72" s="425">
        <f>COUNTIFS(Squads!$N:$N,"Energy Solutions &amp; B2B",Squads!$P:$P,"Energy",Squads!$R:$R,"Filled")</f>
        <v>5.0</v>
      </c>
      <c r="I72" s="425">
        <f>COUNTIFS(Squads!$N:$N,"Energy Solutions &amp; B2B",Squads!$P:$P,"Energy",Squads!$R:$R,"Vacant")</f>
        <v>6.0</v>
      </c>
      <c r="J72" s="425">
        <f>H72+I72</f>
        <v>11.0</v>
      </c>
      <c r="K72" s="425">
        <f>IFERROR(J72-G72,"-")</f>
        <v>2.0</v>
      </c>
      <c r="L72" s="434">
        <f>IFERROR(I72/J72,"-")</f>
        <v>0.5454545454545454</v>
      </c>
      <c r="M72" s="418">
        <f>'1.8 Energy Solutions &amp; B2B'!$H$27</f>
        <v>2.0</v>
      </c>
      <c r="N72" s="418">
        <f>(SUMIFS('Added data'!$AA:$AA,'Added data'!$AC:$AC,"Energy Solutions &amp; B2B",'Added data'!$AE:$AE,"Energy"))/1000000</f>
        <v>1.940323966</v>
      </c>
      <c r="O72" s="905">
        <f>'2.8 Energy Solutions &amp; B2B'!$H$6</f>
        <v>6.0</v>
      </c>
      <c r="P72" s="551">
        <f>'2.8 Energy Solutions &amp; B2B'!$M$6</f>
        <v>1.100074966</v>
      </c>
    </row>
    <row r="73">
      <c r="B73" s="417" t="inlineStr">
        <is>
          <t>Energy Solutions &amp; B2B</t>
        </is>
      </c>
      <c r="C73" s="417" t="inlineStr">
        <is>
          <t>Energy Solutions</t>
        </is>
      </c>
      <c r="D73" s="417" t="inlineStr">
        <is>
          <t>EVCI</t>
        </is>
      </c>
      <c r="E73" s="417" t="str">
        <f>'1.8 Energy Solutions &amp; B2B'!$C$28</f>
        <v>Engineering</v>
      </c>
      <c r="F73" s="425" t="str">
        <f>'1.8 Energy Solutions &amp; B2B'!$D$28</f>
        <v>M</v>
      </c>
      <c r="G73" s="425">
        <f>IFERROR(INDEX('0.3 Squad Archetypes'!$F$5:$F$23,MATCH('1.8 Energy Solutions &amp; B2B'!$C$28&amp;"|"&amp;'1.8 Energy Solutions &amp; B2B'!$D$28,'0.3 Squad Archetypes'!$A$5:$A$23,0)),"-")</f>
        <v>9.0</v>
      </c>
      <c r="H73" s="425">
        <f>COUNTIFS(Squads!$N:$N,"Energy Solutions &amp; B2B",Squads!$P:$P,"EVCI",Squads!$R:$R,"Filled")</f>
        <v>5.0</v>
      </c>
      <c r="I73" s="425">
        <f>COUNTIFS(Squads!$N:$N,"Energy Solutions &amp; B2B",Squads!$P:$P,"EVCI",Squads!$R:$R,"Vacant")</f>
        <v>1.0</v>
      </c>
      <c r="J73" s="425">
        <f>H73+I73</f>
        <v>6.0</v>
      </c>
      <c r="K73" s="425">
        <f>IFERROR(J73-G73,"-")</f>
        <v>-3.0</v>
      </c>
      <c r="L73" s="434">
        <f>IFERROR(I73/J73,"-")</f>
        <v>0.16666666666666666</v>
      </c>
      <c r="M73" s="418">
        <f>'1.8 Energy Solutions &amp; B2B'!$H$28</f>
        <v>2.0</v>
      </c>
      <c r="N73" s="418">
        <f>(SUMIFS('Added data'!$AA:$AA,'Added data'!$AC:$AC,"Energy Solutions &amp; B2B",'Added data'!$AE:$AE,"EVCI"))/1000000</f>
        <v>0.9307992919999999</v>
      </c>
      <c r="O73" s="905">
        <f>'2.8 Energy Solutions &amp; B2B'!$H$7</f>
        <v>1.0</v>
      </c>
      <c r="P73" s="551">
        <f>'2.8 Energy Solutions &amp; B2B'!$M$7</f>
        <v>0.9307992919999999</v>
      </c>
    </row>
    <row r="74">
      <c r="B74" s="449" t="n"/>
      <c r="C74" s="448" t="inlineStr">
        <is>
          <t>Energy Solutions - platform total (incl overhead)</t>
        </is>
      </c>
      <c r="D74" s="449" t="n"/>
      <c r="E74" s="449" t="n"/>
      <c r="F74" s="449" t="n"/>
      <c r="G74" s="475">
        <f>SUM(G72:G73)</f>
        <v>18.0</v>
      </c>
      <c r="H74" s="475">
        <f>SUM(H72:H73)</f>
        <v>10.0</v>
      </c>
      <c r="I74" s="475">
        <f>SUM(I72:I73)</f>
        <v>7.0</v>
      </c>
      <c r="J74" s="475">
        <f>SUM(J72:J73)</f>
        <v>17.0</v>
      </c>
      <c r="K74" s="475">
        <f>SUM(K72:K73)</f>
        <v>-1.0</v>
      </c>
      <c r="L74" s="477">
        <f>IFERROR(I74/J74,"-")</f>
        <v>0.4117647058823529</v>
      </c>
      <c r="M74" s="474">
        <f>SUM(M72:M73)+'0.2 Data Config'!$L$16</f>
        <v>4.165</v>
      </c>
      <c r="N74" s="474">
        <f>SUM(N72:N73)</f>
        <v>2.871123258</v>
      </c>
      <c r="O74" s="474">
        <f>SUM(O72:O73)</f>
        <v>7.0</v>
      </c>
    </row>
    <row r="75">
      <c r="B75" s="417" t="inlineStr">
        <is>
          <t>Energy Solutions &amp; B2B</t>
        </is>
      </c>
      <c r="C75" s="417" t="inlineStr">
        <is>
          <t>B2B</t>
        </is>
      </c>
      <c r="D75" s="417" t="inlineStr">
        <is>
          <t>B2B</t>
        </is>
      </c>
      <c r="E75" s="417" t="str">
        <f>'1.8 Energy Solutions &amp; B2B'!$C$34</f>
        <v>Configuration / Integration</v>
      </c>
      <c r="F75" s="425" t="str">
        <f>'1.8 Energy Solutions &amp; B2B'!$D$34</f>
        <v>L</v>
      </c>
      <c r="G75" s="425">
        <f>IFERROR(INDEX('0.3 Squad Archetypes'!$F$5:$F$23,MATCH('1.8 Energy Solutions &amp; B2B'!$C$34&amp;"|"&amp;'1.8 Energy Solutions &amp; B2B'!$D$34,'0.3 Squad Archetypes'!$A$5:$A$23,0)),"-")</f>
        <v>14.0</v>
      </c>
      <c r="H75" s="425">
        <f>COUNTIFS(Squads!$N:$N,"Energy Solutions &amp; B2B",Squads!$P:$P,"B2B",Squads!$R:$R,"Filled")</f>
        <v>13.0</v>
      </c>
      <c r="I75" s="425">
        <f>COUNTIFS(Squads!$N:$N,"Energy Solutions &amp; B2B",Squads!$P:$P,"B2B",Squads!$R:$R,"Vacant")</f>
        <v>3.0</v>
      </c>
      <c r="J75" s="425">
        <f>H75+I75</f>
        <v>16.0</v>
      </c>
      <c r="K75" s="425">
        <f>IFERROR(J75-G75,"-")</f>
        <v>2.0</v>
      </c>
      <c r="L75" s="434">
        <f>IFERROR(I75/J75,"-")</f>
        <v>0.1875</v>
      </c>
      <c r="M75" s="418">
        <f>'1.8 Energy Solutions &amp; B2B'!$H$34</f>
        <v>3.2</v>
      </c>
      <c r="N75" s="418">
        <f>(SUMIFS('Added data'!$AA:$AA,'Added data'!$AC:$AC,"Energy Solutions &amp; B2B",'Added data'!$AE:$AE,"B2B"))/1000000</f>
        <v>2.79636432</v>
      </c>
      <c r="O75" s="905">
        <f>'2.8 Energy Solutions &amp; B2B'!$H$8</f>
        <v>3.0</v>
      </c>
      <c r="P75" s="551">
        <f>'2.8 Energy Solutions &amp; B2B'!$M$8</f>
        <v>2.36182182</v>
      </c>
    </row>
    <row r="76">
      <c r="B76" s="449" t="n"/>
      <c r="C76" s="448" t="inlineStr">
        <is>
          <t>B2B - platform total (incl overhead)</t>
        </is>
      </c>
      <c r="D76" s="449" t="n"/>
      <c r="E76" s="449" t="n"/>
      <c r="F76" s="449" t="n"/>
      <c r="G76" s="475">
        <f>SUM(G75:G75)</f>
        <v>14.0</v>
      </c>
      <c r="H76" s="475">
        <f>SUM(H75:H75)</f>
        <v>13.0</v>
      </c>
      <c r="I76" s="475">
        <f>SUM(I75:I75)</f>
        <v>3.0</v>
      </c>
      <c r="J76" s="475">
        <f>SUM(J75:J75)</f>
        <v>16.0</v>
      </c>
      <c r="K76" s="475">
        <f>SUM(K75:K75)</f>
        <v>2.0</v>
      </c>
      <c r="L76" s="477">
        <f>IFERROR(I76/J76,"-")</f>
        <v>0.1875</v>
      </c>
      <c r="M76" s="474">
        <f>SUM(M75:M75)+'0.2 Data Config'!$L$16</f>
        <v>3.365</v>
      </c>
      <c r="N76" s="474">
        <f>SUM(N75:N75)</f>
        <v>2.79636432</v>
      </c>
      <c r="O76" s="474">
        <f>SUM(O75:O75)</f>
        <v>3.0</v>
      </c>
    </row>
    <row r="77">
      <c r="B77" s="419" t="inlineStr">
        <is>
          <t>Energy Solutions &amp; B2B - portfolio total (incl OHs)</t>
        </is>
      </c>
      <c r="C77" s="435" t="n"/>
      <c r="D77" s="435" t="n"/>
      <c r="E77" s="435" t="n"/>
      <c r="F77" s="435" t="n"/>
      <c r="G77" s="431">
        <f>G74+G76</f>
        <v>32.0</v>
      </c>
      <c r="H77" s="431">
        <f>H74+H76</f>
        <v>23.0</v>
      </c>
      <c r="I77" s="431">
        <f>I74+I76</f>
        <v>10.0</v>
      </c>
      <c r="J77" s="431">
        <f>J74+J76</f>
        <v>33.0</v>
      </c>
      <c r="K77" s="431">
        <f>K74+K76</f>
        <v>1.0</v>
      </c>
      <c r="L77" s="433">
        <f>IFERROR(I77/J77,"-")</f>
        <v>0.30303030303030304</v>
      </c>
      <c r="M77" s="420">
        <f>M74+M76+'0.2 Data Config'!$L$10</f>
        <v>8.2795</v>
      </c>
      <c r="N77" s="420">
        <f>N74+N76</f>
        <v>5.667487577999999</v>
      </c>
      <c r="O77" s="420">
        <f>O74+O76</f>
        <v>10.0</v>
      </c>
    </row>
    <row r="78">
      <c r="B78" s="417" t="inlineStr">
        <is>
          <t>Commercial Fuels</t>
        </is>
      </c>
      <c r="C78" s="417" t="inlineStr">
        <is>
          <t>Trading &amp; Shipping</t>
        </is>
      </c>
      <c r="D78" s="417" t="inlineStr">
        <is>
          <t>Trading &amp; Shipping</t>
        </is>
      </c>
      <c r="E78" s="417" t="str">
        <f>'1.9 Commercial Fuels'!$C$25</f>
        <v>Configuration / Integration</v>
      </c>
      <c r="F78" s="425" t="str">
        <f>'1.9 Commercial Fuels'!$D$25</f>
        <v>M</v>
      </c>
      <c r="G78" s="425">
        <f>IFERROR(INDEX('0.3 Squad Archetypes'!$F$5:$F$23,MATCH('1.9 Commercial Fuels'!$C$25&amp;"|"&amp;'1.9 Commercial Fuels'!$D$25,'0.3 Squad Archetypes'!$A$5:$A$23,0)),"-")</f>
        <v>9.0</v>
      </c>
      <c r="H78" s="425">
        <f>COUNTIFS(Squads!$N:$N,"Commercial Fuels",Squads!$P:$P,"Trading &amp; Shipping",Squads!$R:$R,"Filled")</f>
        <v>9.0</v>
      </c>
      <c r="I78" s="425">
        <f>COUNTIFS(Squads!$N:$N,"Commercial Fuels",Squads!$P:$P,"Trading &amp; Shipping",Squads!$R:$R,"Vacant")</f>
        <v>5.0</v>
      </c>
      <c r="J78" s="425">
        <f>H78+I78</f>
        <v>14.0</v>
      </c>
      <c r="K78" s="425">
        <f>IFERROR(J78-G78,"-")</f>
        <v>5.0</v>
      </c>
      <c r="L78" s="434">
        <f>IFERROR(I78/J78,"-")</f>
        <v>0.35714285714285715</v>
      </c>
      <c r="M78" s="418">
        <f>'1.9 Commercial Fuels'!$H$25</f>
        <v>2.1</v>
      </c>
      <c r="N78" s="418">
        <f>(SUMIFS('Added data'!$AA:$AA,'Added data'!$AC:$AC,"Commercial Fuels",'Added data'!$AE:$AE,"Trading &amp; Shipping"))/1000000</f>
        <v>2.6791435617</v>
      </c>
      <c r="O78" s="905">
        <f>'2.9 Commercial Fuels'!$H$6</f>
        <v>5.0</v>
      </c>
      <c r="P78" s="551">
        <f>'2.9 Commercial Fuels'!$M$6</f>
        <v>2.1543928116999997</v>
      </c>
    </row>
    <row r="79">
      <c r="B79" s="417" t="inlineStr">
        <is>
          <t>Commercial Fuels</t>
        </is>
      </c>
      <c r="C79" s="417" t="inlineStr">
        <is>
          <t>Trading &amp; Shipping</t>
        </is>
      </c>
      <c r="D79" s="417" t="inlineStr">
        <is>
          <t>Trading &amp; Shipping Data</t>
        </is>
      </c>
      <c r="E79" s="417" t="str">
        <f>'1.9 Commercial Fuels'!$C$26</f>
        <v>Enterprise Data and Insights</v>
      </c>
      <c r="F79" s="425" t="str">
        <f>'1.9 Commercial Fuels'!$D$26</f>
        <v>M</v>
      </c>
      <c r="G79" s="425">
        <f>IFERROR(INDEX('0.3 Squad Archetypes'!$F$5:$F$23,MATCH('1.9 Commercial Fuels'!$C$26&amp;"|"&amp;'1.9 Commercial Fuels'!$D$26,'0.3 Squad Archetypes'!$A$5:$A$23,0)),"-")</f>
        <v>7.5</v>
      </c>
      <c r="H79" s="425">
        <f>COUNTIFS(Squads!$N:$N,"Commercial Fuels",Squads!$P:$P,"Trading &amp; Shipping Data",Squads!$R:$R,"Filled")</f>
        <v>7.0</v>
      </c>
      <c r="I79" s="425">
        <f>COUNTIFS(Squads!$N:$N,"Commercial Fuels",Squads!$P:$P,"Trading &amp; Shipping Data",Squads!$R:$R,"Vacant")</f>
        <v>0.0</v>
      </c>
      <c r="J79" s="425">
        <f>H79+I79</f>
        <v>7.0</v>
      </c>
      <c r="K79" s="425">
        <f>IFERROR(J79-G79,"-")</f>
        <v>-0.5</v>
      </c>
      <c r="L79" s="434">
        <f>IFERROR(I79/J79,"-")</f>
        <v>0.0</v>
      </c>
      <c r="M79" s="418">
        <f>'1.9 Commercial Fuels'!$H$26</f>
        <v>1.7</v>
      </c>
      <c r="N79" s="418">
        <f>(SUMIFS('Added data'!$AA:$AA,'Added data'!$AC:$AC,"Commercial Fuels",'Added data'!$AE:$AE,"Trading &amp; Shipping Data"))/1000000</f>
        <v>2.106168849</v>
      </c>
      <c r="O79" s="905">
        <f>'2.9 Commercial Fuels'!$H$7</f>
        <v>0.0</v>
      </c>
      <c r="P79" s="551">
        <f>'2.9 Commercial Fuels'!$M$7</f>
        <v>2.106168849</v>
      </c>
    </row>
    <row r="80">
      <c r="B80" s="449" t="n"/>
      <c r="C80" s="448" t="inlineStr">
        <is>
          <t>Trading &amp; Shipping - platform total (incl overhead)</t>
        </is>
      </c>
      <c r="D80" s="449" t="n"/>
      <c r="E80" s="449" t="n"/>
      <c r="F80" s="449" t="n"/>
      <c r="G80" s="475">
        <f>SUM(G78:G79)</f>
        <v>16.5</v>
      </c>
      <c r="H80" s="475">
        <f>SUM(H78:H79)</f>
        <v>16.0</v>
      </c>
      <c r="I80" s="475">
        <f>SUM(I78:I79)</f>
        <v>5.0</v>
      </c>
      <c r="J80" s="475">
        <f>SUM(J78:J79)</f>
        <v>21.0</v>
      </c>
      <c r="K80" s="475">
        <f>SUM(K78:K79)</f>
        <v>4.5</v>
      </c>
      <c r="L80" s="477">
        <f>IFERROR(I80/J80,"-")</f>
        <v>0.23809523809523808</v>
      </c>
      <c r="M80" s="474">
        <f>SUM(M78:M79)+'0.2 Data Config'!$L$16</f>
        <v>3.965</v>
      </c>
      <c r="N80" s="474">
        <f>SUM(N78:N79)</f>
        <v>4.7853124107</v>
      </c>
      <c r="O80" s="474">
        <f>SUM(O78:O79)</f>
        <v>5.0</v>
      </c>
    </row>
    <row r="81">
      <c r="B81" s="417" t="inlineStr">
        <is>
          <t>Commercial Fuels</t>
        </is>
      </c>
      <c r="C81" s="417" t="inlineStr">
        <is>
          <t>Supply</t>
        </is>
      </c>
      <c r="D81" s="417" t="inlineStr">
        <is>
          <t>Supply</t>
        </is>
      </c>
      <c r="E81" s="417" t="str">
        <f>'1.9 Commercial Fuels'!$C$32</f>
        <v>Configuration / Integration</v>
      </c>
      <c r="F81" s="425" t="str">
        <f>'1.9 Commercial Fuels'!$D$32</f>
        <v>M</v>
      </c>
      <c r="G81" s="425">
        <f>IFERROR(INDEX('0.3 Squad Archetypes'!$F$5:$F$23,MATCH('1.9 Commercial Fuels'!$C$32&amp;"|"&amp;'1.9 Commercial Fuels'!$D$32,'0.3 Squad Archetypes'!$A$5:$A$23,0)),"-")</f>
        <v>9.0</v>
      </c>
      <c r="H81" s="425">
        <f>COUNTIFS(Squads!$N:$N,"Commercial Fuels",Squads!$P:$P,"Supply",Squads!$R:$R,"Filled")</f>
        <v>2.0</v>
      </c>
      <c r="I81" s="425">
        <f>COUNTIFS(Squads!$N:$N,"Commercial Fuels",Squads!$P:$P,"Supply",Squads!$R:$R,"Vacant")</f>
        <v>3.0</v>
      </c>
      <c r="J81" s="425">
        <f>H81+I81</f>
        <v>5.0</v>
      </c>
      <c r="K81" s="425">
        <f>IFERROR(J81-G81,"-")</f>
        <v>-4.0</v>
      </c>
      <c r="L81" s="434">
        <f>IFERROR(I81/J81,"-")</f>
        <v>0.6</v>
      </c>
      <c r="M81" s="418">
        <f>'1.9 Commercial Fuels'!$H$32</f>
        <v>2.1</v>
      </c>
      <c r="N81" s="418">
        <f>(SUMIFS('Added data'!$AA:$AA,'Added data'!$AC:$AC,"Commercial Fuels",'Added data'!$AE:$AE,"Supply"))/1000000</f>
        <v>1.05925575</v>
      </c>
      <c r="O81" s="905">
        <f>'2.9 Commercial Fuels'!$H$8</f>
        <v>3.0</v>
      </c>
      <c r="P81" s="551">
        <f>'2.9 Commercial Fuels'!$M$8</f>
        <v>0.42186</v>
      </c>
    </row>
    <row r="82">
      <c r="B82" s="449" t="n"/>
      <c r="C82" s="448" t="inlineStr">
        <is>
          <t>Supply - platform total (incl overhead)</t>
        </is>
      </c>
      <c r="D82" s="449" t="n"/>
      <c r="E82" s="449" t="n"/>
      <c r="F82" s="449" t="n"/>
      <c r="G82" s="475">
        <f>SUM(G81:G81)</f>
        <v>9.0</v>
      </c>
      <c r="H82" s="475">
        <f>SUM(H81:H81)</f>
        <v>2.0</v>
      </c>
      <c r="I82" s="475">
        <f>SUM(I81:I81)</f>
        <v>3.0</v>
      </c>
      <c r="J82" s="475">
        <f>SUM(J81:J81)</f>
        <v>5.0</v>
      </c>
      <c r="K82" s="475">
        <f>SUM(K81:K81)</f>
        <v>-4.0</v>
      </c>
      <c r="L82" s="477">
        <f>IFERROR(I82/J82,"-")</f>
        <v>0.6</v>
      </c>
      <c r="M82" s="474">
        <f>SUM(M81:M81)+'0.2 Data Config'!$L$16</f>
        <v>2.265</v>
      </c>
      <c r="N82" s="474">
        <f>SUM(N81:N81)</f>
        <v>1.05925575</v>
      </c>
      <c r="O82" s="474">
        <f>SUM(O81:O81)</f>
        <v>3.0</v>
      </c>
    </row>
    <row r="83">
      <c r="B83" s="417" t="inlineStr">
        <is>
          <t>Commercial Fuels</t>
        </is>
      </c>
      <c r="C83" s="417" t="inlineStr">
        <is>
          <t>CTRM</t>
        </is>
      </c>
      <c r="D83" s="417" t="inlineStr">
        <is>
          <t>CTRM</t>
        </is>
      </c>
      <c r="E83" s="417" t="str">
        <f>'1.9 Commercial Fuels'!$C$38</f>
        <v>Strategic Programs</v>
      </c>
      <c r="F83" s="425">
        <f>'1.9 Commercial Fuels'!$D$38</f>
        <v>0.0</v>
      </c>
      <c r="G83" s="425" t="str">
        <f>IFERROR(INDEX('0.3 Squad Archetypes'!$F$5:$F$23,MATCH('1.9 Commercial Fuels'!$C$38&amp;"|"&amp;'1.9 Commercial Fuels'!$D$38,'0.3 Squad Archetypes'!$A$5:$A$23,0)),"-")</f>
        <v>-</v>
      </c>
      <c r="H83" s="425">
        <f>COUNTIFS(Squads!$N:$N,"Commercial Fuels",Squads!$P:$P,"CTRM",Squads!$R:$R,"Filled")</f>
        <v>14.0</v>
      </c>
      <c r="I83" s="425">
        <f>COUNTIFS(Squads!$N:$N,"Commercial Fuels",Squads!$P:$P,"CTRM",Squads!$R:$R,"Vacant")</f>
        <v>0.0</v>
      </c>
      <c r="J83" s="425">
        <f>H83+I83</f>
        <v>14.0</v>
      </c>
      <c r="K83" s="425" t="str">
        <f>IFERROR(J83-G83,"-")</f>
        <v>-</v>
      </c>
      <c r="L83" s="434">
        <f>IFERROR(I83/J83,"-")</f>
        <v>0.0</v>
      </c>
      <c r="M83" s="418">
        <f>'1.9 Commercial Fuels'!$H$38</f>
        <v>1.4</v>
      </c>
      <c r="N83" s="418">
        <f>(SUMIFS('Added data'!$AA:$AA,'Added data'!$AC:$AC,"Commercial Fuels",'Added data'!$AE:$AE,"CTRM"))/1000000</f>
        <v>3.2217592319999997</v>
      </c>
      <c r="O83" s="905">
        <f>'2.9 Commercial Fuels'!$H$9</f>
        <v>0.0</v>
      </c>
      <c r="P83" s="551">
        <f>'2.9 Commercial Fuels'!$M$9</f>
        <v>3.2217592319999997</v>
      </c>
    </row>
    <row r="84">
      <c r="B84" s="449" t="n"/>
      <c r="C84" s="448" t="inlineStr">
        <is>
          <t>CTRM - platform total (incl overhead)</t>
        </is>
      </c>
      <c r="D84" s="449" t="n"/>
      <c r="E84" s="449" t="n"/>
      <c r="F84" s="449" t="n"/>
      <c r="G84" s="475">
        <f>SUM(G83:G83)</f>
        <v>0.0</v>
      </c>
      <c r="H84" s="475">
        <f>SUM(H83:H83)</f>
        <v>14.0</v>
      </c>
      <c r="I84" s="475">
        <f>SUM(I83:I83)</f>
        <v>0.0</v>
      </c>
      <c r="J84" s="475">
        <f>SUM(J83:J83)</f>
        <v>14.0</v>
      </c>
      <c r="K84" s="475">
        <f>SUM(K83:K83)</f>
        <v>0.0</v>
      </c>
      <c r="L84" s="477">
        <f>IFERROR(I84/J84,"-")</f>
        <v>0.0</v>
      </c>
      <c r="M84" s="474">
        <f>SUM(M83:M83)+'0.2 Data Config'!$L$16</f>
        <v>1.565</v>
      </c>
      <c r="N84" s="474">
        <f>SUM(N83:N83)</f>
        <v>3.2217592319999997</v>
      </c>
      <c r="O84" s="474">
        <f>SUM(O83:O83)</f>
        <v>0.0</v>
      </c>
    </row>
    <row r="85">
      <c r="B85" s="419" t="inlineStr">
        <is>
          <t>Commercial Fuels - portfolio total (incl OHs)</t>
        </is>
      </c>
      <c r="C85" s="435" t="n"/>
      <c r="D85" s="435" t="n"/>
      <c r="E85" s="435" t="n"/>
      <c r="F85" s="435" t="n"/>
      <c r="G85" s="431">
        <f>G80+G82+G84</f>
        <v>25.5</v>
      </c>
      <c r="H85" s="431">
        <f>H80+H82+H84</f>
        <v>32.0</v>
      </c>
      <c r="I85" s="431">
        <f>I80+I82+I84</f>
        <v>8.0</v>
      </c>
      <c r="J85" s="431">
        <f>J80+J82+J84</f>
        <v>40.0</v>
      </c>
      <c r="K85" s="431">
        <f>K80+K82+K84</f>
        <v>0.5</v>
      </c>
      <c r="L85" s="433">
        <f>IFERROR(I85/J85,"-")</f>
        <v>0.2</v>
      </c>
      <c r="M85" s="420">
        <f>M80+M82+M84+'0.2 Data Config'!$L$10</f>
        <v>8.5445</v>
      </c>
      <c r="N85" s="420">
        <f>N80+N82+N84</f>
        <v>9.0663273927</v>
      </c>
      <c r="O85" s="420">
        <f>O80+O82+O84</f>
        <v>8.0</v>
      </c>
    </row>
    <row r="86">
      <c r="B86" s="417" t="inlineStr">
        <is>
          <t>Z Retail</t>
        </is>
      </c>
      <c r="C86" s="417" t="inlineStr">
        <is>
          <t>Z Supply</t>
        </is>
      </c>
      <c r="D86" s="417" t="inlineStr">
        <is>
          <t>Z Supply</t>
        </is>
      </c>
      <c r="E86" s="417" t="str">
        <f>'1.10 Z Retail'!$C$26</f>
        <v>Build and Run</v>
      </c>
      <c r="F86" s="425" t="str">
        <f>'1.10 Z Retail'!$D$26</f>
        <v>M</v>
      </c>
      <c r="G86" s="425">
        <f>IFERROR(INDEX('0.3 Squad Archetypes'!$F$5:$F$23,MATCH('1.10 Z Retail'!$C$26&amp;"|"&amp;'1.10 Z Retail'!$D$26,'0.3 Squad Archetypes'!$A$5:$A$23,0)),"-")</f>
        <v>9.0</v>
      </c>
      <c r="H86" s="425">
        <f>COUNTIFS(Squads!$N:$N,"Z Retail",Squads!$P:$P,"Z Supply",Squads!$R:$R,"Filled")</f>
        <v>7.0</v>
      </c>
      <c r="I86" s="425">
        <f>COUNTIFS(Squads!$N:$N,"Z Retail",Squads!$P:$P,"Z Supply",Squads!$R:$R,"Vacant")</f>
        <v>1.0</v>
      </c>
      <c r="J86" s="425">
        <f>H86+I86</f>
        <v>8.0</v>
      </c>
      <c r="K86" s="425">
        <f>IFERROR(J86-G86,"-")</f>
        <v>-1.0</v>
      </c>
      <c r="L86" s="434">
        <f>IFERROR(I86/J86,"-")</f>
        <v>0.125</v>
      </c>
      <c r="M86" s="418">
        <f>'1.10 Z Retail'!$H$26</f>
        <v>2.0</v>
      </c>
      <c r="N86" s="418">
        <f>(SUMIFS('Added data'!$AA:$AA,'Added data'!$AC:$AC,"Z Retail",'Added data'!$AE:$AE,"Z Supply"))/1000000</f>
        <v>1.303817738</v>
      </c>
      <c r="O86" s="905">
        <f>'2.10 Z Retail'!$H$6</f>
        <v>1.0</v>
      </c>
      <c r="P86" s="551">
        <f>'2.10 Z Retail'!$M$6</f>
        <v>1.1333279879999998</v>
      </c>
    </row>
    <row r="87">
      <c r="B87" s="449" t="n"/>
      <c r="C87" s="448" t="inlineStr">
        <is>
          <t>Z Supply - platform total (incl overhead)</t>
        </is>
      </c>
      <c r="D87" s="449" t="n"/>
      <c r="E87" s="449" t="n"/>
      <c r="F87" s="449" t="n"/>
      <c r="G87" s="475">
        <f>SUM(G86:G86)</f>
        <v>9.0</v>
      </c>
      <c r="H87" s="475">
        <f>SUM(H86:H86)</f>
        <v>7.0</v>
      </c>
      <c r="I87" s="475">
        <f>SUM(I86:I86)</f>
        <v>1.0</v>
      </c>
      <c r="J87" s="475">
        <f>SUM(J86:J86)</f>
        <v>8.0</v>
      </c>
      <c r="K87" s="475">
        <f>SUM(K86:K86)</f>
        <v>-1.0</v>
      </c>
      <c r="L87" s="477">
        <f>IFERROR(I87/J87,"-")</f>
        <v>0.125</v>
      </c>
      <c r="M87" s="474">
        <f>SUM(M86:M86)+'0.2 Data Config'!$L$16</f>
        <v>2.165</v>
      </c>
      <c r="N87" s="474">
        <f>SUM(N86:N86)</f>
        <v>1.303817738</v>
      </c>
      <c r="O87" s="474">
        <f>SUM(O86:O86)</f>
        <v>1.0</v>
      </c>
    </row>
    <row r="88">
      <c r="B88" s="417" t="inlineStr">
        <is>
          <t>Z Retail</t>
        </is>
      </c>
      <c r="C88" s="417" t="inlineStr">
        <is>
          <t>Z Customer</t>
        </is>
      </c>
      <c r="D88" s="417" t="inlineStr">
        <is>
          <t>Site Systems</t>
        </is>
      </c>
      <c r="E88" s="417" t="str">
        <f>'1.10 Z Retail'!$C$32</f>
        <v>Configuration / Integration</v>
      </c>
      <c r="F88" s="425" t="str">
        <f>'1.10 Z Retail'!$D$32</f>
        <v>M</v>
      </c>
      <c r="G88" s="425">
        <f>IFERROR(INDEX('0.3 Squad Archetypes'!$F$5:$F$23,MATCH('1.10 Z Retail'!$C$32&amp;"|"&amp;'1.10 Z Retail'!$D$32,'0.3 Squad Archetypes'!$A$5:$A$23,0)),"-")</f>
        <v>9.0</v>
      </c>
      <c r="H88" s="425">
        <f>COUNTIFS(Squads!$N:$N,"Z Retail",Squads!$P:$P,"Site Systems",Squads!$R:$R,"Filled")</f>
        <v>8.0</v>
      </c>
      <c r="I88" s="425">
        <f>COUNTIFS(Squads!$N:$N,"Z Retail",Squads!$P:$P,"Site Systems",Squads!$R:$R,"Vacant")</f>
        <v>0.0</v>
      </c>
      <c r="J88" s="425">
        <f>H88+I88</f>
        <v>8.0</v>
      </c>
      <c r="K88" s="425">
        <f>IFERROR(J88-G88,"-")</f>
        <v>-1.0</v>
      </c>
      <c r="L88" s="434">
        <f>IFERROR(I88/J88,"-")</f>
        <v>0.0</v>
      </c>
      <c r="M88" s="418">
        <f>'1.10 Z Retail'!$H$32</f>
        <v>2.1</v>
      </c>
      <c r="N88" s="418">
        <f>(SUMIFS('Added data'!$AA:$AA,'Added data'!$AC:$AC,"Z Retail",'Added data'!$AE:$AE,"Site Systems"))/1000000</f>
        <v>1.410063476</v>
      </c>
      <c r="O88" s="905">
        <f>'2.10 Z Retail'!$H$7</f>
        <v>0.0</v>
      </c>
      <c r="P88" s="551">
        <f>'2.10 Z Retail'!$M$7</f>
        <v>1.410063476</v>
      </c>
    </row>
    <row r="89">
      <c r="B89" s="417" t="inlineStr">
        <is>
          <t>Z Retail</t>
        </is>
      </c>
      <c r="C89" s="417" t="inlineStr">
        <is>
          <t>Z Customer</t>
        </is>
      </c>
      <c r="D89" s="417" t="inlineStr">
        <is>
          <t>Z Retail Backend</t>
        </is>
      </c>
      <c r="E89" s="417" t="str">
        <f>'1.10 Z Retail'!$C$33</f>
        <v>Build and Run</v>
      </c>
      <c r="F89" s="425" t="str">
        <f>'1.10 Z Retail'!$D$33</f>
        <v>M</v>
      </c>
      <c r="G89" s="425">
        <f>IFERROR(INDEX('0.3 Squad Archetypes'!$F$5:$F$23,MATCH('1.10 Z Retail'!$C$33&amp;"|"&amp;'1.10 Z Retail'!$D$33,'0.3 Squad Archetypes'!$A$5:$A$23,0)),"-")</f>
        <v>9.0</v>
      </c>
      <c r="H89" s="425">
        <f>COUNTIFS(Squads!$N:$N,"Z Retail",Squads!$P:$P,"Z Retail Backend",Squads!$R:$R,"Filled")</f>
        <v>6.0</v>
      </c>
      <c r="I89" s="425">
        <f>COUNTIFS(Squads!$N:$N,"Z Retail",Squads!$P:$P,"Z Retail Backend",Squads!$R:$R,"Vacant")</f>
        <v>2.0</v>
      </c>
      <c r="J89" s="425">
        <f>H89+I89</f>
        <v>8.0</v>
      </c>
      <c r="K89" s="425">
        <f>IFERROR(J89-G89,"-")</f>
        <v>-1.0</v>
      </c>
      <c r="L89" s="434">
        <f>IFERROR(I89/J89,"-")</f>
        <v>0.25</v>
      </c>
      <c r="M89" s="418">
        <f>'1.10 Z Retail'!$H$33</f>
        <v>2.0</v>
      </c>
      <c r="N89" s="418">
        <f>(SUMIFS('Added data'!$AA:$AA,'Added data'!$AC:$AC,"Z Retail",'Added data'!$AE:$AE,"Z Retail Backend"))/1000000</f>
        <v>1.535648828</v>
      </c>
      <c r="O89" s="905">
        <f>'2.10 Z Retail'!$H$8</f>
        <v>2.0</v>
      </c>
      <c r="P89" s="551">
        <f>'2.10 Z Retail'!$M$8</f>
        <v>1.101106328</v>
      </c>
    </row>
    <row r="90">
      <c r="B90" s="449" t="n"/>
      <c r="C90" s="448" t="inlineStr">
        <is>
          <t>Z Customer - platform total (incl overhead)</t>
        </is>
      </c>
      <c r="D90" s="449" t="n"/>
      <c r="E90" s="449" t="n"/>
      <c r="F90" s="449" t="n"/>
      <c r="G90" s="475">
        <f>SUM(G88:G89)</f>
        <v>18.0</v>
      </c>
      <c r="H90" s="475">
        <f>SUM(H88:H89)</f>
        <v>14.0</v>
      </c>
      <c r="I90" s="475">
        <f>SUM(I88:I89)</f>
        <v>2.0</v>
      </c>
      <c r="J90" s="475">
        <f>SUM(J88:J89)</f>
        <v>16.0</v>
      </c>
      <c r="K90" s="475">
        <f>SUM(K88:K89)</f>
        <v>-2.0</v>
      </c>
      <c r="L90" s="477">
        <f>IFERROR(I90/J90,"-")</f>
        <v>0.125</v>
      </c>
      <c r="M90" s="474">
        <f>SUM(M88:M89)+'0.2 Data Config'!$L$16</f>
        <v>4.265</v>
      </c>
      <c r="N90" s="474">
        <f>SUM(N88:N89)</f>
        <v>2.9457123039999997</v>
      </c>
      <c r="O90" s="474">
        <f>SUM(O88:O89)</f>
        <v>2.0</v>
      </c>
    </row>
    <row r="91">
      <c r="B91" s="419" t="inlineStr">
        <is>
          <t>Z Retail - portfolio total (incl OHs)</t>
        </is>
      </c>
      <c r="C91" s="435" t="n"/>
      <c r="D91" s="435" t="n"/>
      <c r="E91" s="435" t="n"/>
      <c r="F91" s="435" t="n"/>
      <c r="G91" s="431">
        <f>G87+G90</f>
        <v>27.0</v>
      </c>
      <c r="H91" s="431">
        <f>H87+H90</f>
        <v>21.0</v>
      </c>
      <c r="I91" s="431">
        <f>I87+I90</f>
        <v>3.0</v>
      </c>
      <c r="J91" s="431">
        <f>J87+J90</f>
        <v>24.0</v>
      </c>
      <c r="K91" s="431">
        <f>K87+K90</f>
        <v>-3.0</v>
      </c>
      <c r="L91" s="433">
        <f>IFERROR(I91/J91,"-")</f>
        <v>0.125</v>
      </c>
      <c r="M91" s="420">
        <f>M87+M90+'0.2 Data Config'!$L$10</f>
        <v>7.1795</v>
      </c>
      <c r="N91" s="420">
        <f>N87+N90</f>
        <v>4.249530042</v>
      </c>
      <c r="O91" s="420">
        <f>O87+O90</f>
        <v>3.0</v>
      </c>
    </row>
    <row r="92">
      <c r="B92" s="417" t="inlineStr">
        <is>
          <t>TDD Cyber</t>
        </is>
      </c>
      <c r="C92" s="417" t="inlineStr">
        <is>
          <t xml:space="preserve">TDD Cyber, Risk &amp; Service Ops </t>
        </is>
      </c>
      <c r="D92" s="417" t="inlineStr">
        <is>
          <t>All cyber squads (detail on 1.13 Cyber Roles)</t>
        </is>
      </c>
      <c r="E92" s="417" t="inlineStr">
        <is>
          <t>Strategic Programs</t>
        </is>
      </c>
      <c r="F92" s="425" t="inlineStr">
        <is>
          <t>-</t>
        </is>
      </c>
      <c r="G92" s="425" t="inlineStr">
        <is>
          <t>-</t>
        </is>
      </c>
      <c r="H92" s="425">
        <f>COUNTIFS(Squads!$N:$N,"TDD Cyber",Squads!$Q:$Q,"Squad",Squads!$R:$R,"Filled")+COUNTIFS(Squads!$N:$N,"TDD Cyber",Squads!$Q:$Q,"Strategic Program",Squads!$R:$R,"Filled")</f>
        <v>40.0</v>
      </c>
      <c r="I92" s="425">
        <f>COUNTIFS(Squads!$N:$N,"TDD Cyber",Squads!$Q:$Q,"Squad",Squads!$R:$R,"Vacant")+COUNTIFS(Squads!$N:$N,"TDD Cyber",Squads!$Q:$Q,"Strategic Program",Squads!$R:$R,"Vacant")</f>
        <v>8.0</v>
      </c>
      <c r="J92" s="425">
        <f>H92+I92</f>
        <v>48.0</v>
      </c>
      <c r="K92" s="425" t="inlineStr">
        <is>
          <t>-</t>
        </is>
      </c>
      <c r="L92" s="434">
        <f>IFERROR(I92/J92,"-")</f>
        <v>0.16666666666666666</v>
      </c>
      <c r="M92" s="418">
        <f>'1.13 Cyber Roles'!$F$8</f>
        <v>10.915989044000002</v>
      </c>
      <c r="N92" s="418">
        <f>'1.13 Cyber Roles'!$F$8</f>
        <v>10.915989044000002</v>
      </c>
      <c r="O92" s="418">
        <f>N92-M92</f>
        <v>0.0</v>
      </c>
    </row>
    <row r="93">
      <c r="B93" s="449" t="n"/>
      <c r="C93" s="448" t="inlineStr">
        <is>
          <t>TDD Cyber, Risk &amp; Service Ops  - platform total (incl overhead)</t>
        </is>
      </c>
      <c r="D93" s="449" t="n"/>
      <c r="E93" s="449" t="n"/>
      <c r="F93" s="449" t="n"/>
      <c r="G93" s="475">
        <f>SUM(G92:G92)</f>
        <v>0.0</v>
      </c>
      <c r="H93" s="475">
        <f>SUM(H92:H92)</f>
        <v>40.0</v>
      </c>
      <c r="I93" s="475">
        <f>SUM(I92:I92)</f>
        <v>8.0</v>
      </c>
      <c r="J93" s="475">
        <f>SUM(J92:J92)</f>
        <v>48.0</v>
      </c>
      <c r="K93" s="475">
        <f>SUM(K92:K92)</f>
        <v>0.0</v>
      </c>
      <c r="L93" s="477">
        <f>IFERROR(I93/J93,"-")</f>
        <v>0.16666666666666666</v>
      </c>
      <c r="M93" s="474">
        <f>SUM(M92:M92)+'0.2 Data Config'!$L$16</f>
        <v>11.080989044</v>
      </c>
      <c r="N93" s="474">
        <f>SUM(N92:N92)</f>
        <v>10.915989044000002</v>
      </c>
      <c r="O93" s="474">
        <f>SUM(O92:O92)</f>
        <v>0.0</v>
      </c>
    </row>
    <row r="94">
      <c r="B94" s="419" t="inlineStr">
        <is>
          <t>TDD Cyber - portfolio total (incl OHs)</t>
        </is>
      </c>
      <c r="C94" s="435" t="n"/>
      <c r="D94" s="435" t="n"/>
      <c r="E94" s="435" t="n"/>
      <c r="F94" s="435" t="n"/>
      <c r="G94" s="431">
        <f>G93</f>
        <v>0.0</v>
      </c>
      <c r="H94" s="431">
        <f>H93</f>
        <v>40.0</v>
      </c>
      <c r="I94" s="431">
        <f>I93</f>
        <v>8.0</v>
      </c>
      <c r="J94" s="431">
        <f>J93</f>
        <v>48.0</v>
      </c>
      <c r="K94" s="431">
        <f>K93</f>
        <v>0.0</v>
      </c>
      <c r="L94" s="433">
        <f>IFERROR(I94/J94,"-")</f>
        <v>0.16666666666666666</v>
      </c>
      <c r="M94" s="420">
        <f>M93+'0.2 Data Config'!$L$10</f>
        <v>11.830489044</v>
      </c>
      <c r="N94" s="420">
        <f>N93</f>
        <v>10.915989044000002</v>
      </c>
      <c r="O94" s="420">
        <f>O93</f>
        <v>0.0</v>
      </c>
    </row>
    <row r="95">
      <c r="B95" s="427" t="inlineStr">
        <is>
          <t>TOTAL - delivery organisation (archetype cost incl overheads; actual = squad roles only)</t>
        </is>
      </c>
      <c r="C95" s="428" t="n"/>
      <c r="D95" s="428" t="n"/>
      <c r="E95" s="428" t="n"/>
      <c r="F95" s="428" t="n"/>
      <c r="G95" s="436">
        <f>G22+G36+G43+G51+G57+G63+G71+G77+G85+G91+G94</f>
        <v>315.5</v>
      </c>
      <c r="H95" s="436">
        <f>H22+H36+H43+H51+H57+H63+H71+H77+H85+H91+H94</f>
        <v>298.0</v>
      </c>
      <c r="I95" s="436">
        <f>I22+I36+I43+I51+I57+I63+I71+I77+I85+I91+I94</f>
        <v>126.0</v>
      </c>
      <c r="J95" s="436">
        <f>J22+J36+J43+J51+J57+J63+J71+J77+J85+J91+J94</f>
        <v>424.0</v>
      </c>
      <c r="K95" s="436">
        <f>J95-G95</f>
        <v>108.5</v>
      </c>
      <c r="L95" s="437">
        <f>I95/J95</f>
        <v>0.2971698113207547</v>
      </c>
      <c r="M95" s="438">
        <f>M22+M36+M43+M51+M57+M63+M71+M77+M85+M91+M94</f>
        <v>95.559578044</v>
      </c>
      <c r="N95" s="438">
        <f>N22+N36+N43+N51+N57+N63+N71+N77+N85+N91+N94</f>
        <v>82.1086164161</v>
      </c>
      <c r="O95" s="906">
        <f>SUM(O7:O94)</f>
        <v>321.3771195</v>
      </c>
      <c r="P95" s="553">
        <f>SUM(P7:P94)</f>
        <v>54.102417833210765</v>
      </c>
    </row>
    <row r="97">
      <c r="B97" s="427" t="inlineStr">
        <is>
          <t>Leadership roles - funded by the platform &amp; portfolio overheads above</t>
        </is>
      </c>
      <c r="C97" s="428" t="n"/>
      <c r="D97" s="428" t="n"/>
      <c r="E97" s="428" t="n"/>
      <c r="F97" s="428" t="n"/>
      <c r="G97" s="428" t="n"/>
      <c r="H97" s="428" t="n"/>
      <c r="I97" s="428" t="n"/>
      <c r="J97" s="428" t="n"/>
      <c r="K97" s="428" t="n"/>
      <c r="L97" s="428" t="n"/>
      <c r="M97" s="428" t="n"/>
      <c r="N97" s="428" t="n"/>
      <c r="O97" s="428" t="n"/>
    </row>
    <row r="98">
      <c r="B98" s="424" t="inlineStr">
        <is>
          <t>Portfolio</t>
        </is>
      </c>
      <c r="C98" s="424" t="inlineStr">
        <is>
          <t>Name</t>
        </is>
      </c>
      <c r="D98" s="424" t="inlineStr">
        <is>
          <t>Position Title</t>
        </is>
      </c>
      <c r="E98" s="424" t="inlineStr">
        <is>
          <t>Org platform field</t>
        </is>
      </c>
    </row>
    <row r="99">
      <c r="B99" s="417" t="inlineStr">
        <is>
          <t>Ampol Retail</t>
        </is>
      </c>
      <c r="C99" s="417" t="str">
        <f>IF(Squads!$R$97="Vacant","Vacant",Squads!$B$97)</f>
        <v>Madan Murthy</v>
      </c>
      <c r="D99" s="417" t="str">
        <f>SUBSTITUTE(SUBSTITUTE(Squads!$C$97,"–","-"),"—","-")</f>
        <v>Head of Technology, AU Retail</v>
      </c>
      <c r="E99" s="417" t="inlineStr">
        <is>
          <t>(All Retail)</t>
        </is>
      </c>
    </row>
    <row r="100">
      <c r="B100" s="417" t="inlineStr">
        <is>
          <t>Ampol Retail</t>
        </is>
      </c>
      <c r="C100" s="417" t="str">
        <f>IF(Squads!$R$17="Vacant","Vacant",Squads!$B$17)</f>
        <v>Tracy Lee Reaper</v>
      </c>
      <c r="D100" s="417" t="str">
        <f>SUBSTITUTE(SUBSTITUTE(Squads!$C$17,"–","-"),"—","-")</f>
        <v>Technology Manager, Merchandising &amp; WFM</v>
      </c>
      <c r="E100" s="417" t="inlineStr">
        <is>
          <t>Merch / Supply Chain</t>
        </is>
      </c>
    </row>
    <row r="101">
      <c r="B101" s="417" t="inlineStr">
        <is>
          <t>Ampol Retail</t>
        </is>
      </c>
      <c r="C101" s="417" t="str">
        <f>IF(Squads!$R$16="Vacant","Vacant",Squads!$B$16)</f>
        <v>Vaishnavi Viswanathan</v>
      </c>
      <c r="D101" s="417" t="str">
        <f>SUBSTITUTE(SUBSTITUTE(Squads!$C$16,"–","-"),"—","-")</f>
        <v>Technology Manager, Store Platform</v>
      </c>
      <c r="E101" s="417" t="inlineStr">
        <is>
          <t>Store Operations, Payments, POS</t>
        </is>
      </c>
    </row>
    <row r="102">
      <c r="B102" s="417" t="inlineStr">
        <is>
          <t>Ampol Retail</t>
        </is>
      </c>
      <c r="C102" s="417" t="str">
        <f>IF(Squads!$R$15="Vacant","Vacant",Squads!$B$15)</f>
        <v>Vanessa Allen</v>
      </c>
      <c r="D102" s="417" t="str">
        <f>SUBSTITUTE(SUBSTITUTE(Squads!$C$15,"–","-"),"—","-")</f>
        <v>Delivery Manager</v>
      </c>
      <c r="E102" s="417" t="inlineStr">
        <is>
          <t>(All Retail)</t>
        </is>
      </c>
    </row>
    <row r="103">
      <c r="B103" s="417" t="inlineStr">
        <is>
          <t>Ampol Retail</t>
        </is>
      </c>
      <c r="C103" s="417" t="str">
        <f>IF(Squads!$R$71="Vacant","Vacant",Squads!$B$71)</f>
        <v>Vedran Jukic</v>
      </c>
      <c r="D103" s="417" t="str">
        <f>SUBSTITUTE(SUBSTITUTE(Squads!$C$71,"–","-"),"—","-")</f>
        <v>Technology Manager, Retail</v>
      </c>
      <c r="E103" s="417" t="inlineStr">
        <is>
          <t>Store Operations, Network &amp; QSR, Deployment</t>
        </is>
      </c>
    </row>
    <row r="104">
      <c r="B104" s="417" t="inlineStr">
        <is>
          <t>COE</t>
        </is>
      </c>
      <c r="C104" s="417" t="str">
        <f>IF(Squads!$R$323="Vacant","Vacant",Squads!$B$323)</f>
        <v>Jonathan Robinson</v>
      </c>
      <c r="D104" s="417" t="str">
        <f>SUBSTITUTE(SUBSTITUTE(Squads!$C$323,"–","-"),"—","-")</f>
        <v>Technology Manager  Data Science</v>
      </c>
      <c r="E104" s="417" t="inlineStr">
        <is>
          <t>Group Data</t>
        </is>
      </c>
    </row>
    <row r="105">
      <c r="B105" s="417" t="inlineStr">
        <is>
          <t>COE</t>
        </is>
      </c>
      <c r="C105" s="417" t="str">
        <f>IF(Squads!$R$290="Vacant","Vacant",Squads!$B$290)</f>
        <v>Sanjay Tikoo</v>
      </c>
      <c r="D105" s="417" t="str">
        <f>SUBSTITUTE(SUBSTITUTE(Squads!$C$290,"–","-"),"—","-")</f>
        <v>Principal, Data Architecture &amp; Governance</v>
      </c>
      <c r="E105" s="417" t="n"/>
    </row>
    <row r="106">
      <c r="B106" s="417" t="inlineStr">
        <is>
          <t>COE</t>
        </is>
      </c>
      <c r="C106" s="439" t="str">
        <f>IF(Squads!$R$291="Vacant","Vacant",Squads!$B$291)</f>
        <v>Vacant</v>
      </c>
      <c r="D106" s="417" t="str">
        <f>SUBSTITUTE(SUBSTITUTE(Squads!$C$291,"–","-"),"—","-")</f>
        <v>Technology Manager, Data Engineering &amp; Platforms</v>
      </c>
      <c r="E106" s="417" t="inlineStr">
        <is>
          <t>Group Data</t>
        </is>
      </c>
    </row>
    <row r="107">
      <c r="B107" s="417" t="inlineStr">
        <is>
          <t>Customer</t>
        </is>
      </c>
      <c r="C107" s="417" t="str">
        <f>IF(Squads!$R$176="Vacant","Vacant",Squads!$B$176)</f>
        <v>Abhilash Reddy</v>
      </c>
      <c r="D107" s="417" t="str">
        <f>SUBSTITUTE(SUBSTITUTE(Squads!$C$176,"–","-"),"—","-")</f>
        <v>Project Manager</v>
      </c>
      <c r="E107" s="417" t="inlineStr">
        <is>
          <t>Ampol Digital</t>
        </is>
      </c>
    </row>
    <row r="108">
      <c r="B108" s="417" t="inlineStr">
        <is>
          <t>Customer</t>
        </is>
      </c>
      <c r="C108" s="417" t="str">
        <f>IF(Squads!$R$143="Vacant","Vacant",Squads!$B$143)</f>
        <v>Adriel Jeyanandhan</v>
      </c>
      <c r="D108" s="417" t="str">
        <f>SUBSTITUTE(SUBSTITUTE(Squads!$C$143,"–","-"),"—","-")</f>
        <v>Delivery Manager</v>
      </c>
      <c r="E108" s="417" t="inlineStr">
        <is>
          <t>Ampol Digital</t>
        </is>
      </c>
    </row>
    <row r="109">
      <c r="B109" s="417" t="inlineStr">
        <is>
          <t>Customer</t>
        </is>
      </c>
      <c r="C109" s="417" t="str">
        <f>IF(Squads!$R$190="Vacant","Vacant",Squads!$B$190)</f>
        <v>Andy Stewart</v>
      </c>
      <c r="D109" s="417" t="str">
        <f>SUBSTITUTE(SUBSTITUTE(Squads!$C$190,"–","-"),"—","-")</f>
        <v>Head of Technology, Loyalty &amp; Martech</v>
      </c>
      <c r="E109" s="417" t="inlineStr">
        <is>
          <t>Customer Z, Group Customer Platforms</t>
        </is>
      </c>
    </row>
    <row r="110">
      <c r="B110" s="417" t="inlineStr">
        <is>
          <t>Customer</t>
        </is>
      </c>
      <c r="C110" s="417" t="str">
        <f>IF(Squads!$R$142="Vacant","Vacant",Squads!$B$142)</f>
        <v>Byron Thornhill</v>
      </c>
      <c r="D110" s="417" t="str">
        <f>SUBSTITUTE(SUBSTITUTE(Squads!$C$142,"–","-"),"—","-")</f>
        <v>Design Manager</v>
      </c>
      <c r="E110" s="417" t="inlineStr">
        <is>
          <t>Customer Z, Ampol Digital</t>
        </is>
      </c>
    </row>
    <row r="111">
      <c r="B111" s="417" t="inlineStr">
        <is>
          <t>Customer</t>
        </is>
      </c>
      <c r="C111" s="417" t="str">
        <f>IF(Squads!$R$175="Vacant","Vacant",Squads!$B$175)</f>
        <v>Christian Lazano</v>
      </c>
      <c r="D111" s="417" t="str">
        <f>SUBSTITUTE(SUBSTITUTE(Squads!$C$175,"–","-"),"—","-")</f>
        <v>Business Analyst</v>
      </c>
      <c r="E111" s="417" t="inlineStr">
        <is>
          <t>(All Customer)</t>
        </is>
      </c>
    </row>
    <row r="112">
      <c r="B112" s="417" t="inlineStr">
        <is>
          <t>Customer</t>
        </is>
      </c>
      <c r="C112" s="417" t="str">
        <f>IF(Squads!$R$115="Vacant","Vacant",Squads!$B$115)</f>
        <v>Jill Martin</v>
      </c>
      <c r="D112" s="417" t="str">
        <f>SUBSTITUTE(SUBSTITUTE(Squads!$C$115,"–","-"),"—","-")</f>
        <v>Delivery Manager</v>
      </c>
      <c r="E112" s="417" t="inlineStr">
        <is>
          <t>Customer Z, Group Customer Platforms</t>
        </is>
      </c>
    </row>
    <row r="113">
      <c r="B113" s="417" t="inlineStr">
        <is>
          <t>Customer</t>
        </is>
      </c>
      <c r="C113" s="417" t="str">
        <f>IF(Squads!$R$155="Vacant","Vacant",Squads!$B$155)</f>
        <v>Kris Hamilton</v>
      </c>
      <c r="D113" s="417" t="str">
        <f>SUBSTITUTE(SUBSTITUTE(Squads!$C$155,"–","-"),"—","-")</f>
        <v>Technology Manager - Loyalty &amp; Martech</v>
      </c>
      <c r="E113" s="417" t="inlineStr">
        <is>
          <t>Customer Z, Group Customer Platforms</t>
        </is>
      </c>
    </row>
    <row r="114">
      <c r="B114" s="417" t="inlineStr">
        <is>
          <t>Customer</t>
        </is>
      </c>
      <c r="C114" s="417" t="str">
        <f>IF(Squads!$R$154="Vacant","Vacant",Squads!$B$154)</f>
        <v>Mitesh Shah</v>
      </c>
      <c r="D114" s="417" t="str">
        <f>SUBSTITUTE(SUBSTITUTE(Squads!$C$154,"–","-"),"—","-")</f>
        <v>Technology Manager - Digital</v>
      </c>
      <c r="E114" s="417" t="inlineStr">
        <is>
          <t>Ampol Digital</t>
        </is>
      </c>
    </row>
    <row r="115">
      <c r="B115" s="417" t="inlineStr">
        <is>
          <t>Customer</t>
        </is>
      </c>
      <c r="C115" s="417" t="str">
        <f>IF(Squads!$R$124="Vacant","Vacant",Squads!$B$124)</f>
        <v>Shona Paul</v>
      </c>
      <c r="D115" s="417" t="str">
        <f>SUBSTITUTE(SUBSTITUTE(Squads!$C$124,"–","-"),"—","-")</f>
        <v>Head of Technology - Digital</v>
      </c>
      <c r="E115" s="417" t="inlineStr">
        <is>
          <t>(All Customer)</t>
        </is>
      </c>
    </row>
    <row r="116">
      <c r="B116" s="417" t="inlineStr">
        <is>
          <t>Customer</t>
        </is>
      </c>
      <c r="C116" s="439" t="str">
        <f>IF(Squads!$R$160="Vacant","Vacant",Squads!$B$160)</f>
        <v>Vacant</v>
      </c>
      <c r="D116" s="417" t="str">
        <f>SUBSTITUTE(SUBSTITUTE(Squads!$C$160,"–","-"),"—","-")</f>
        <v>AI Enablement Lead</v>
      </c>
      <c r="E116" s="417" t="inlineStr">
        <is>
          <t>(All Customer)</t>
        </is>
      </c>
    </row>
    <row r="117">
      <c r="B117" s="417" t="inlineStr">
        <is>
          <t>Customer</t>
        </is>
      </c>
      <c r="C117" s="439" t="str">
        <f>IF(Squads!$R$123="Vacant","Vacant",Squads!$B$123)</f>
        <v>Vacant</v>
      </c>
      <c r="D117" s="417" t="str">
        <f>SUBSTITUTE(SUBSTITUTE(Squads!$C$123,"–","-"),"—","-")</f>
        <v>Program Manager</v>
      </c>
      <c r="E117" s="417" t="inlineStr">
        <is>
          <t>Ampol Digital, Group Customer Platforms</t>
        </is>
      </c>
    </row>
    <row r="118">
      <c r="B118" s="417" t="inlineStr">
        <is>
          <t>Customer</t>
        </is>
      </c>
      <c r="C118" s="439" t="str">
        <f>IF(Squads!$R$201="Vacant","Vacant",Squads!$B$201)</f>
        <v>Vacant</v>
      </c>
      <c r="D118" s="417" t="str">
        <f>SUBSTITUTE(SUBSTITUTE(Squads!$C$201,"–","-"),"—","-")</f>
        <v>Snr Business Analyst</v>
      </c>
      <c r="E118" s="417" t="inlineStr">
        <is>
          <t>Leadership</t>
        </is>
      </c>
    </row>
    <row r="119">
      <c r="B119" s="417" t="inlineStr">
        <is>
          <t>Customer</t>
        </is>
      </c>
      <c r="C119" s="439" t="str">
        <f>IF(Squads!$R$188="Vacant","Vacant",Squads!$B$188)</f>
        <v>Vacant</v>
      </c>
      <c r="D119" s="417" t="str">
        <f>SUBSTITUTE(SUBSTITUTE(Squads!$C$188,"–","-"),"—","-")</f>
        <v>Technology Manager, Engineering</v>
      </c>
      <c r="E119" s="417" t="inlineStr">
        <is>
          <t>Ampol Digital</t>
        </is>
      </c>
    </row>
    <row r="120">
      <c r="B120" s="417" t="inlineStr">
        <is>
          <t>Customer</t>
        </is>
      </c>
      <c r="C120" s="417" t="str">
        <f>IF(Squads!$R$152="Vacant","Vacant",Squads!$B$152)</f>
        <v>Zoe Udy</v>
      </c>
      <c r="D120" s="417" t="str">
        <f>SUBSTITUTE(SUBSTITUTE(Squads!$C$152,"–","-"),"—","-")</f>
        <v>Technology Manager - Data &amp; Engineering</v>
      </c>
      <c r="E120" s="417" t="inlineStr">
        <is>
          <t>Customer Z, Group Customer Platforms</t>
        </is>
      </c>
    </row>
    <row r="121">
      <c r="B121" s="417" t="inlineStr">
        <is>
          <t>Energy Solutions &amp; B2B</t>
        </is>
      </c>
      <c r="C121" s="417" t="str">
        <f>IF(Squads!$R$373="Vacant","Vacant",Squads!$B$373)</f>
        <v>Elle Spencer</v>
      </c>
      <c r="D121" s="417" t="str">
        <f>SUBSTITUTE(SUBSTITUTE(Squads!$C$373,"–","-"),"—","-")</f>
        <v>Technology Manager - B2B</v>
      </c>
      <c r="E121" s="417" t="inlineStr">
        <is>
          <t>Leadership</t>
        </is>
      </c>
    </row>
    <row r="122">
      <c r="B122" s="417" t="inlineStr">
        <is>
          <t>Energy Solutions &amp; B2B</t>
        </is>
      </c>
      <c r="C122" s="417" t="str">
        <f>IF(Squads!$R$381="Vacant","Vacant",Squads!$B$381)</f>
        <v>Liesl Tye</v>
      </c>
      <c r="D122" s="417" t="str">
        <f>SUBSTITUTE(SUBSTITUTE(Squads!$C$381,"–","-"),"—","-")</f>
        <v>Head of Technology, B2B &amp; Energy Solutions</v>
      </c>
      <c r="E122" s="417" t="inlineStr">
        <is>
          <t>Leadership</t>
        </is>
      </c>
    </row>
    <row r="123">
      <c r="B123" s="417" t="inlineStr">
        <is>
          <t>Energy Solutions &amp; B2B</t>
        </is>
      </c>
      <c r="C123" s="439" t="str">
        <f>IF(Squads!$R$375="Vacant","Vacant",Squads!$B$375)</f>
        <v>Vacant</v>
      </c>
      <c r="D123" s="417" t="str">
        <f>SUBSTITUTE(SUBSTITUTE(Squads!$C$375,"–","-"),"—","-")</f>
        <v>Delivery manager</v>
      </c>
      <c r="E123" s="417" t="inlineStr">
        <is>
          <t>Leadership</t>
        </is>
      </c>
    </row>
    <row r="124">
      <c r="B124" s="417" t="inlineStr">
        <is>
          <t>Energy Solutions &amp; B2B</t>
        </is>
      </c>
      <c r="C124" s="439" t="str">
        <f>IF(Squads!$R$492="Vacant","Vacant",Squads!$B$492)</f>
        <v>Vacant</v>
      </c>
      <c r="D124" s="417" t="str">
        <f>SUBSTITUTE(SUBSTITUTE(Squads!$C$492,"–","-"),"—","-")</f>
        <v>Snr Engineer</v>
      </c>
      <c r="E124" s="417" t="inlineStr">
        <is>
          <t>Leadership</t>
        </is>
      </c>
    </row>
    <row r="125">
      <c r="B125" s="417" t="inlineStr">
        <is>
          <t>Enterprise Data</t>
        </is>
      </c>
      <c r="C125" s="417" t="str">
        <f>IF(Squads!$R$317="Vacant","Vacant",Squads!$B$317)</f>
        <v>Mitchell Clarke</v>
      </c>
      <c r="D125" s="417" t="str">
        <f>SUBSTITUTE(SUBSTITUTE(Squads!$C$317,"–","-"),"—","-")</f>
        <v>Snr Data Governance Specialist</v>
      </c>
      <c r="E125" s="417" t="inlineStr">
        <is>
          <t>Leadership</t>
        </is>
      </c>
    </row>
    <row r="126">
      <c r="B126" s="417" t="inlineStr">
        <is>
          <t>Finance</t>
        </is>
      </c>
      <c r="C126" s="417" t="str">
        <f>IF(Squads!$R$493="Vacant","Vacant",Squads!$B$493)</f>
        <v>Shane Ker</v>
      </c>
      <c r="D126" s="417" t="str">
        <f>SUBSTITUTE(SUBSTITUTE(Squads!$C$493,"–","-"),"—","-")</f>
        <v>Technology Manger - Finance Platfoms</v>
      </c>
      <c r="E126" s="417" t="inlineStr">
        <is>
          <t>Finance</t>
        </is>
      </c>
    </row>
    <row r="127">
      <c r="B127" s="417" t="inlineStr">
        <is>
          <t>Infrastructure</t>
        </is>
      </c>
      <c r="C127" s="417" t="str">
        <f>IF(Squads!$R$380="Vacant","Vacant",Squads!$B$380)</f>
        <v>Amish Pandit</v>
      </c>
      <c r="D127" s="417" t="str">
        <f>SUBSTITUTE(SUBSTITUTE(Squads!$C$380,"–","-"),"—","-")</f>
        <v>Head of Technology, Fuel Infrastructure</v>
      </c>
      <c r="E127" s="417" t="inlineStr">
        <is>
          <t xml:space="preserve">Leadership </t>
        </is>
      </c>
    </row>
    <row r="128">
      <c r="B128" s="417" t="inlineStr">
        <is>
          <t>Infrastructure</t>
        </is>
      </c>
      <c r="C128" s="417" t="str">
        <f>IF(Squads!$R$354="Vacant","Vacant",Squads!$B$354)</f>
        <v>George Moun</v>
      </c>
      <c r="D128" s="417" t="str">
        <f>SUBSTITUTE(SUBSTITUTE(Squads!$C$354,"–","-"),"—","-")</f>
        <v>Solution Architect</v>
      </c>
      <c r="E128" s="417" t="inlineStr">
        <is>
          <t xml:space="preserve">Leadership </t>
        </is>
      </c>
    </row>
    <row r="129">
      <c r="B129" s="417" t="inlineStr">
        <is>
          <t>Infrastructure</t>
        </is>
      </c>
      <c r="C129" s="417" t="str">
        <f>IF(Squads!$R$405="Vacant","Vacant",Squads!$B$405)</f>
        <v>Karla Orozco Loza</v>
      </c>
      <c r="D129" s="417" t="str">
        <f>SUBSTITUTE(SUBSTITUTE(Squads!$C$405,"–","-"),"—","-")</f>
        <v>Technology Manager, Future Infrastructure </v>
      </c>
      <c r="E129" s="417" t="inlineStr">
        <is>
          <t>Distribution</t>
        </is>
      </c>
    </row>
    <row r="130">
      <c r="B130" s="417" t="inlineStr">
        <is>
          <t>Infrastructure</t>
        </is>
      </c>
      <c r="C130" s="417" t="str">
        <f>IF(Squads!$R$353="Vacant","Vacant",Squads!$B$353)</f>
        <v>Prem Shetty</v>
      </c>
      <c r="D130" s="417" t="str">
        <f>SUBSTITUTE(SUBSTITUTE(Squads!$C$353,"–","-"),"—","-")</f>
        <v>Delivery manager</v>
      </c>
      <c r="E130" s="417" t="inlineStr">
        <is>
          <t xml:space="preserve">Leadership </t>
        </is>
      </c>
    </row>
    <row r="131">
      <c r="B131" s="417" t="inlineStr">
        <is>
          <t>Infrastructure</t>
        </is>
      </c>
      <c r="C131" s="439" t="str">
        <f>IF(Squads!$R$351="Vacant","Vacant",Squads!$B$351)</f>
        <v>Vacant</v>
      </c>
      <c r="D131" s="417" t="str">
        <f>SUBSTITUTE(SUBSTITUTE(Squads!$C$351,"–","-"),"—","-")</f>
        <v>Technology Manager Data</v>
      </c>
      <c r="E131" s="417" t="inlineStr">
        <is>
          <t>Leadership</t>
        </is>
      </c>
    </row>
    <row r="132">
      <c r="B132" s="417" t="inlineStr">
        <is>
          <t>P&amp;C</t>
        </is>
      </c>
      <c r="C132" s="417" t="str">
        <f>IF(Squads!$R$494="Vacant","Vacant",Squads!$B$494)</f>
        <v>Dave O'Keefe</v>
      </c>
      <c r="D132" s="417" t="str">
        <f>SUBSTITUTE(SUBSTITUTE(Squads!$C$494,"–","-"),"—","-")</f>
        <v>Technology Manager - P&amp;C Platforms</v>
      </c>
      <c r="E132" s="417" t="inlineStr">
        <is>
          <t>P&amp;C</t>
        </is>
      </c>
    </row>
    <row r="133">
      <c r="B133" s="417" t="inlineStr">
        <is>
          <t>P&amp;C</t>
        </is>
      </c>
      <c r="C133" s="439" t="str">
        <f>IF(Squads!$R$496="Vacant","Vacant",Squads!$B$496)</f>
        <v>Vacant</v>
      </c>
      <c r="D133" s="417" t="str">
        <f>SUBSTITUTE(SUBSTITUTE(Squads!$C$496,"–","-"),"—","-")</f>
        <v>Delivery Manager</v>
      </c>
      <c r="E133" s="417" t="inlineStr">
        <is>
          <t>P&amp;C, Finance &amp; Legal</t>
        </is>
      </c>
    </row>
    <row r="134">
      <c r="B134" s="417" t="inlineStr">
        <is>
          <t>P&amp;C</t>
        </is>
      </c>
      <c r="C134" s="417" t="str">
        <f>IF(Squads!$R$495="Vacant","Vacant",Squads!$B$495)</f>
        <v>Vaso Vukovic</v>
      </c>
      <c r="D134" s="417" t="str">
        <f>SUBSTITUTE(SUBSTITUTE(Squads!$C$495,"–","-"),"—","-")</f>
        <v>Head of Technology - P&amp;C, Finance &amp; Legal</v>
      </c>
      <c r="E134" s="417" t="inlineStr">
        <is>
          <t>P&amp;C, Finance &amp; Legal</t>
        </is>
      </c>
    </row>
    <row r="135">
      <c r="B135" s="417" t="inlineStr">
        <is>
          <t>TDD Group Functions</t>
        </is>
      </c>
      <c r="C135" s="417" t="str">
        <f>IF(Squads!$R$499="Vacant","Vacant",Squads!$B$499)</f>
        <v>Murray Mitchell</v>
      </c>
      <c r="D135" s="417" t="str">
        <f>SUBSTITUTE(SUBSTITUTE(Squads!$C$499,"–","-"),"—","-")</f>
        <v>Technology Manager, Workplace and Enterprise Tooling</v>
      </c>
      <c r="E135" s="417" t="inlineStr">
        <is>
          <t>TDD</t>
        </is>
      </c>
    </row>
    <row r="136">
      <c r="B136" s="417" t="inlineStr">
        <is>
          <t>TDD Group Functions</t>
        </is>
      </c>
      <c r="C136" s="417" t="str">
        <f>IF(Squads!$R$498="Vacant","Vacant",Squads!$B$498)</f>
        <v>Nakul Bharade</v>
      </c>
      <c r="D136" s="417" t="str">
        <f>SUBSTITUTE(SUBSTITUTE(Squads!$C$498,"–","-"),"—","-")</f>
        <v>Lead Engineer Software</v>
      </c>
      <c r="E136" s="417" t="inlineStr">
        <is>
          <t>Leadership</t>
        </is>
      </c>
    </row>
    <row r="137">
      <c r="B137" s="417" t="inlineStr">
        <is>
          <t>TDD Group Functions</t>
        </is>
      </c>
      <c r="C137" s="439" t="str">
        <f>IF(Squads!$R$501="Vacant","Vacant",Squads!$B$501)</f>
        <v>Vacant</v>
      </c>
      <c r="D137" s="417" t="str">
        <f>SUBSTITUTE(SUBSTITUTE(Squads!$C$501,"–","-"),"—","-")</f>
        <v>Delivery Manager</v>
      </c>
      <c r="E137" s="417" t="inlineStr">
        <is>
          <t>TDD</t>
        </is>
      </c>
    </row>
    <row r="138">
      <c r="B138" s="417" t="inlineStr">
        <is>
          <t>TDD Group Functions</t>
        </is>
      </c>
      <c r="C138" s="439" t="str">
        <f>IF(Squads!$R$497="Vacant","Vacant",Squads!$B$497)</f>
        <v>Vacant</v>
      </c>
      <c r="D138" s="417" t="str">
        <f>SUBSTITUTE(SUBSTITUTE(Squads!$C$497,"–","-"),"—","-")</f>
        <v>Head of Technology - TDD &amp; Engineering Capability Lead</v>
      </c>
      <c r="E138" s="417" t="inlineStr">
        <is>
          <t>TDD</t>
        </is>
      </c>
    </row>
    <row r="139">
      <c r="B139" s="417" t="inlineStr">
        <is>
          <t>TDD Group Functions</t>
        </is>
      </c>
      <c r="C139" s="439" t="str">
        <f>IF(Squads!$R$503="Vacant","Vacant",Squads!$B$503)</f>
        <v>Vacant</v>
      </c>
      <c r="D139" s="417" t="str">
        <f>SUBSTITUTE(SUBSTITUTE(Squads!$C$503,"–","-"),"—","-")</f>
        <v>Snr Engineer</v>
      </c>
      <c r="E139" s="417" t="inlineStr">
        <is>
          <t>Leadership</t>
        </is>
      </c>
    </row>
    <row r="140">
      <c r="B140" s="417" t="inlineStr">
        <is>
          <t>TDD Group Functions</t>
        </is>
      </c>
      <c r="C140" s="439" t="str">
        <f>IF(Squads!$R$502="Vacant","Vacant",Squads!$B$502)</f>
        <v>Vacant</v>
      </c>
      <c r="D140" s="417" t="str">
        <f>SUBSTITUTE(SUBSTITUTE(Squads!$C$502,"–","-"),"—","-")</f>
        <v>Technology Manager - Cloud, Network and Infrastructure Operations</v>
      </c>
      <c r="E140" s="417" t="inlineStr">
        <is>
          <t>TDD</t>
        </is>
      </c>
    </row>
    <row r="141">
      <c r="B141" s="417" t="inlineStr">
        <is>
          <t>TDD Group Functions</t>
        </is>
      </c>
      <c r="C141" s="439" t="str">
        <f>IF(Squads!$R$500="Vacant","Vacant",Squads!$B$500)</f>
        <v>Vacant</v>
      </c>
      <c r="D141" s="417" t="str">
        <f>SUBSTITUTE(SUBSTITUTE(Squads!$C$500,"–","-"),"—","-")</f>
        <v>Technology Manager - DevOps and Quality Engineering</v>
      </c>
      <c r="E141" s="417" t="inlineStr">
        <is>
          <t>TDD</t>
        </is>
      </c>
    </row>
    <row r="142">
      <c r="B142" s="417" t="inlineStr">
        <is>
          <t>Unmapped</t>
        </is>
      </c>
      <c r="C142" s="417" t="str">
        <f>IF(Squads!$R$340="Vacant","Vacant",Squads!$B$340)</f>
        <v>Ed Tacey</v>
      </c>
      <c r="D142" s="417" t="str">
        <f>SUBSTITUTE(SUBSTITUTE(Squads!$C$340,"–","-"),"—","-")</f>
        <v>Head of Architecture</v>
      </c>
      <c r="E142" s="417" t="n"/>
    </row>
    <row r="143">
      <c r="B143" s="417" t="inlineStr">
        <is>
          <t>Unmapped</t>
        </is>
      </c>
      <c r="C143" s="417" t="str">
        <f>IF(Squads!$R$307="Vacant","Vacant",Squads!$B$307)</f>
        <v>James Holgate</v>
      </c>
      <c r="D143" s="417" t="str">
        <f>SUBSTITUTE(SUBSTITUTE(Squads!$C$307,"–","-"),"—","-")</f>
        <v>Head of Technology,  Group Data</v>
      </c>
      <c r="E143" s="417" t="n"/>
    </row>
    <row r="144">
      <c r="B144" s="417" t="inlineStr">
        <is>
          <t>Unmapped</t>
        </is>
      </c>
      <c r="C144" s="417" t="str">
        <f>IF(Squads!$R$308="Vacant","Vacant",Squads!$B$308)</f>
        <v>Joel Vijayakumar</v>
      </c>
      <c r="D144" s="417" t="str">
        <f>SUBSTITUTE(SUBSTITUTE(Squads!$C$308,"–","-"),"—","-")</f>
        <v>Delivery Manager, Strategy, Architecture &amp; Data</v>
      </c>
      <c r="E144" s="417" t="n"/>
    </row>
    <row r="145">
      <c r="B145" s="417" t="inlineStr">
        <is>
          <t>Unmapped</t>
        </is>
      </c>
      <c r="C145" s="417" t="str">
        <f>IF(Squads!$R$252="Vacant","Vacant",Squads!$B$252)</f>
        <v>Shruti Manchanda</v>
      </c>
      <c r="D145" s="417" t="str">
        <f>SUBSTITUTE(SUBSTITUTE(Squads!$C$252,"–","-"),"—","-")</f>
        <v>Cyber GRC Analyst</v>
      </c>
      <c r="E145" s="417" t="inlineStr">
        <is>
          <t>Leadership</t>
        </is>
      </c>
    </row>
    <row r="146">
      <c r="B146" s="417" t="inlineStr">
        <is>
          <t>Unmapped</t>
        </is>
      </c>
      <c r="C146" s="439" t="str">
        <f>IF(Squads!$R$309="Vacant","Vacant",Squads!$B$309)</f>
        <v>Vacant</v>
      </c>
      <c r="D146" s="417" t="str">
        <f>SUBSTITUTE(SUBSTITUTE(Squads!$C$309,"–","-"),"—","-")</f>
        <v>Head of Technology Strategy &amp; AI Capability</v>
      </c>
      <c r="E146" s="417" t="n"/>
    </row>
    <row r="147">
      <c r="B147" s="417" t="inlineStr">
        <is>
          <t>Unmapped</t>
        </is>
      </c>
      <c r="C147" s="439" t="str">
        <f>IF(Squads!$R$306="Vacant","Vacant",Squads!$B$306)</f>
        <v>Vacant</v>
      </c>
      <c r="D147" s="417" t="str">
        <f>SUBSTITUTE(SUBSTITUTE(Squads!$C$306,"–","-"),"—","-")</f>
        <v>Senior Communications Advisor</v>
      </c>
      <c r="E147" s="417" t="n"/>
    </row>
    <row r="148">
      <c r="B148" s="417" t="inlineStr">
        <is>
          <t>Z Retail</t>
        </is>
      </c>
      <c r="C148" s="417" t="str">
        <f>IF(Squads!$R$57="Vacant","Vacant",Squads!$B$57)</f>
        <v>Callan McLaughlin</v>
      </c>
      <c r="D148" s="417" t="str">
        <f>SUBSTITUTE(SUBSTITUTE(Squads!$C$57,"–","-"),"—","-")</f>
        <v>Technology Manager, Site Systems</v>
      </c>
      <c r="E148" s="417" t="inlineStr">
        <is>
          <t>Z Customer &amp; Z Supply</t>
        </is>
      </c>
    </row>
    <row r="149">
      <c r="B149" s="417" t="inlineStr">
        <is>
          <t>Z Retail</t>
        </is>
      </c>
      <c r="C149" s="417" t="str">
        <f>IF(Squads!$R$35="Vacant","Vacant",Squads!$B$35)</f>
        <v>Emma Natoli</v>
      </c>
      <c r="D149" s="417" t="str">
        <f>SUBSTITUTE(SUBSTITUTE(Squads!$C$35,"–","-"),"—","-")</f>
        <v>Technology Manager, Engineering</v>
      </c>
      <c r="E149" s="417" t="inlineStr">
        <is>
          <t>Z Customer &amp; Z Supply</t>
        </is>
      </c>
    </row>
    <row r="150">
      <c r="B150" s="417" t="inlineStr">
        <is>
          <t>Z Retail</t>
        </is>
      </c>
      <c r="C150" s="439" t="str">
        <f>IF(Squads!$R$32="Vacant","Vacant",Squads!$B$32)</f>
        <v>Vacant</v>
      </c>
      <c r="D150" s="417" t="str">
        <f>SUBSTITUTE(SUBSTITUTE(Squads!$C$32,"–","-"),"—","-")</f>
        <v>Delivery Manager</v>
      </c>
      <c r="E150" s="417" t="inlineStr">
        <is>
          <t>Z Customer &amp; Z Supply</t>
        </is>
      </c>
    </row>
    <row r="151">
      <c r="B151" s="417" t="inlineStr">
        <is>
          <t>Z Retail</t>
        </is>
      </c>
      <c r="C151" s="439" t="str">
        <f>IF(Squads!$R$98="Vacant","Vacant",Squads!$B$98)</f>
        <v>Vacant</v>
      </c>
      <c r="D151" s="417" t="str">
        <f>SUBSTITUTE(SUBSTITUTE(Squads!$C$98,"–","-"),"—","-")</f>
        <v>Head of Technology, Z and Group Retail Platforms</v>
      </c>
      <c r="E151" s="417" t="inlineStr">
        <is>
          <t>Z Customer &amp; Z Supply</t>
        </is>
      </c>
    </row>
    <row r="152">
      <c r="B152" s="419" t="inlineStr">
        <is>
          <t>Total leadership roles</t>
        </is>
      </c>
      <c r="C152" s="431">
        <f>COUNTIF(Squads!$Q:$Q,"Leadership")</f>
        <v>47.0</v>
      </c>
      <c r="D152" s="419" t="str">
        <f>COUNTIFS(Squads!$Q:$Q,"Leadership",Squads!$R:$R,"Filled")&amp;" filled / "&amp;COUNTIFS(Squads!$Q:$Q,"Leadership",Squads!$R:$R,"Vacant")&amp;" vacant"</f>
        <v>31 filled / 16 vacant</v>
      </c>
    </row>
    <row r="154">
      <c r="B154" s="427" t="inlineStr">
        <is>
          <t>In op model / org data but NOT in the archetype model</t>
        </is>
      </c>
      <c r="C154" s="428" t="n"/>
      <c r="D154" s="428" t="n"/>
      <c r="E154" s="428" t="n"/>
      <c r="F154" s="428" t="n"/>
      <c r="G154" s="428" t="n"/>
      <c r="H154" s="428" t="n"/>
      <c r="I154" s="428" t="n"/>
      <c r="J154" s="428" t="n"/>
      <c r="K154" s="428" t="n"/>
      <c r="L154" s="428" t="n"/>
      <c r="M154" s="428" t="n"/>
      <c r="N154" s="428" t="n"/>
      <c r="O154" s="428" t="n"/>
    </row>
    <row r="155">
      <c r="B155" s="424" t="inlineStr">
        <is>
          <t>Portfolio</t>
        </is>
      </c>
      <c r="C155" s="424" t="inlineStr">
        <is>
          <t>Group</t>
        </is>
      </c>
      <c r="I155" s="424" t="inlineStr">
        <is>
          <t>Filled</t>
        </is>
      </c>
      <c r="J155" s="424" t="inlineStr">
        <is>
          <t>Vacant</t>
        </is>
      </c>
      <c r="K155" s="424" t="inlineStr">
        <is>
          <t>Roles</t>
        </is>
      </c>
    </row>
    <row r="156">
      <c r="B156" s="554" t="n"/>
      <c r="C156" s="554" t="n"/>
      <c r="D156" s="547" t="n"/>
      <c r="E156" s="547" t="n"/>
      <c r="F156" s="547" t="n"/>
      <c r="G156" s="547" t="n"/>
      <c r="H156" s="547" t="n"/>
      <c r="I156" s="559" t="n"/>
      <c r="J156" s="559" t="n"/>
      <c r="K156" s="559" t="n"/>
      <c r="L156" s="547" t="n"/>
    </row>
    <row r="157">
      <c r="B157" s="440" t="inlineStr">
        <is>
          <t>Z Retail</t>
        </is>
      </c>
      <c r="C157" s="440" t="inlineStr">
        <is>
          <t>Data NZ</t>
        </is>
      </c>
      <c r="I157" s="441">
        <f>COUNTIFS(Squads!$N:$N,"Z Retail",Squads!$P:$P,"Data NZ",Squads!$R:$R,"Filled")</f>
        <v>5.0</v>
      </c>
      <c r="J157" s="441">
        <f>COUNTIFS(Squads!$N:$N,"Z Retail",Squads!$P:$P,"Data NZ",Squads!$R:$R,"Vacant")</f>
        <v>1.0</v>
      </c>
      <c r="K157" s="441">
        <f>I157+J157</f>
        <v>6.0</v>
      </c>
    </row>
    <row r="158">
      <c r="B158" s="440" t="inlineStr">
        <is>
          <t>EGI</t>
        </is>
      </c>
      <c r="C158" s="440" t="inlineStr">
        <is>
          <t>EGI (unassigned)</t>
        </is>
      </c>
      <c r="I158" s="441">
        <f>COUNTIFS(Squads!$N:$N,"EGI",Squads!$P:$P,"EGI (unassigned)",Squads!$R:$R,"Filled")</f>
        <v>5.0</v>
      </c>
      <c r="J158" s="441">
        <f>COUNTIFS(Squads!$N:$N,"EGI",Squads!$P:$P,"EGI (unassigned)",Squads!$R:$R,"Vacant")</f>
        <v>0.0</v>
      </c>
      <c r="K158" s="441">
        <f>I158+J158</f>
        <v>5.0</v>
      </c>
    </row>
    <row r="159">
      <c r="B159" s="440" t="inlineStr">
        <is>
          <t>Other unmapped</t>
        </is>
      </c>
      <c r="I159" s="441">
        <f>COUNTIFS(Squads!$Q:$Q,"Unmapped",Squads!$R:$R,"Filled")-SUM(I157:I158)</f>
        <v>1.0</v>
      </c>
      <c r="J159" s="441">
        <f>COUNTIFS(Squads!$Q:$Q,"Unmapped",Squads!$R:$R,"Vacant")-SUM(J157:J158)</f>
        <v>3.0</v>
      </c>
      <c r="K159" s="441">
        <f>I159+J159</f>
        <v>4.0</v>
      </c>
    </row>
    <row r="161">
      <c r="B161" s="417" t="inlineStr">
        <is>
          <t>COE roles (detail on 1.11 / 1.12 / 1.13)</t>
        </is>
      </c>
      <c r="I161" s="425">
        <f>COUNTIFS(Squads!$Q:$Q,"COE",Squads!$R:$R,"Filled")</f>
        <v>30.0</v>
      </c>
      <c r="J161" s="425">
        <f>COUNTIFS(Squads!$Q:$Q,"COE",Squads!$R:$R,"Vacant")</f>
        <v>20.0</v>
      </c>
      <c r="K161" s="425">
        <f>I161+J161</f>
        <v>50.0</v>
      </c>
    </row>
    <row r="162">
      <c r="B162" s="432" t="inlineStr">
        <is>
          <t>Cross-check: org records</t>
        </is>
      </c>
      <c r="C162" s="442">
        <f>C4</f>
        <v>536.0</v>
      </c>
    </row>
    <row r="163">
      <c r="B163" s="432" t="inlineStr">
        <is>
          <t>Accounted for above</t>
        </is>
      </c>
      <c r="C163" s="478">
        <f>J95+COUNTIF(Squads!$Q:$Q,"Leadership")+SUM(K156:K159)+K161</f>
        <v>536.0</v>
      </c>
    </row>
    <row r="164">
      <c r="B164" s="419" t="inlineStr">
        <is>
          <t>Difference (must be 0)</t>
        </is>
      </c>
      <c r="C164" s="431">
        <f>C162-C163</f>
        <v>0.0</v>
      </c>
    </row>
    <row r="167">
      <c r="B167" s="548" t="inlineStr">
        <is>
          <t>EGI strategic delivery FTE (Sheet2) - funded from Significant Items, outside the archetype model</t>
        </is>
      </c>
    </row>
    <row r="168">
      <c r="B168" s="571" t="inlineStr">
        <is>
          <t>Name</t>
        </is>
      </c>
      <c r="C168" s="571" t="inlineStr">
        <is>
          <t>Role</t>
        </is>
      </c>
      <c r="D168" s="571" t="inlineStr">
        <is>
          <t>Engagement</t>
        </is>
      </c>
      <c r="E168" s="571" t="inlineStr">
        <is>
          <t>Country</t>
        </is>
      </c>
      <c r="F168" s="571" t="inlineStr">
        <is>
          <t>Cost ($m)</t>
        </is>
      </c>
    </row>
    <row r="169">
      <c r="B169" s="563" t="str">
        <f>Sheet2!$B$54</f>
        <v>Ahmed Yehya</v>
      </c>
      <c r="C169" s="563" t="str">
        <f>SUBSTITUTE(SUBSTITUTE(Sheet2!$C$54,"–","-"),"—","-")</f>
        <v>TDD Strategic Delivery</v>
      </c>
      <c r="D169" s="552" t="str">
        <f>IF(LOWER(Sheet2!$Q$54)="v","Vacant",IF(LOWER(Sheet2!$Q$54)="pause","Paused",IF(LOWER(Sheet2!$Q$54)="cxc","Contractor","Filled")))</f>
        <v>Contractor</v>
      </c>
      <c r="E169" s="563" t="str">
        <f>Sheet2!$M$54</f>
        <v>Australia</v>
      </c>
      <c r="F169" s="551">
        <f>Sheet2!$AA$54/1000000</f>
        <v>0.2775</v>
      </c>
    </row>
    <row r="170">
      <c r="B170" s="563" t="str">
        <f>Sheet2!$B$55</f>
        <v>Anthony Huynh</v>
      </c>
      <c r="C170" s="563" t="str">
        <f>SUBSTITUTE(SUBSTITUTE(Sheet2!$C$55,"–","-"),"—","-")</f>
        <v>Strategic Delivery Consultant</v>
      </c>
      <c r="D170" s="552" t="str">
        <f>IF(LOWER(Sheet2!$Q$55)="v","Vacant",IF(LOWER(Sheet2!$Q$55)="pause","Paused",IF(LOWER(Sheet2!$Q$55)="cxc","Contractor","Filled")))</f>
        <v>Contractor</v>
      </c>
      <c r="E170" s="563" t="str">
        <f>Sheet2!$M$55</f>
        <v>australia</v>
      </c>
      <c r="F170" s="551">
        <f>Sheet2!$AA$55/1000000</f>
        <v>0.301254</v>
      </c>
    </row>
    <row r="171">
      <c r="B171" s="563" t="str">
        <f>Sheet2!$B$56</f>
        <v>Areum Kim Lee</v>
      </c>
      <c r="C171" s="563" t="str">
        <f>SUBSTITUTE(SUBSTITUTE(Sheet2!$C$56,"–","-"),"—","-")</f>
        <v>Program Manager (PEP13-EGI-UKG)</v>
      </c>
      <c r="D171" s="552" t="str">
        <f>IF(LOWER(Sheet2!$Q$56)="v","Vacant",IF(LOWER(Sheet2!$Q$56)="pause","Paused",IF(LOWER(Sheet2!$Q$56)="cxc","Contractor","Filled")))</f>
        <v>Contractor</v>
      </c>
      <c r="E171" s="563" t="str">
        <f>Sheet2!$M$56</f>
        <v>Australia</v>
      </c>
      <c r="F171" s="551">
        <f>Sheet2!$AA$56/1000000</f>
        <v>0.34315872</v>
      </c>
    </row>
    <row r="172">
      <c r="B172" s="563" t="str">
        <f>Sheet2!$B$57</f>
        <v>Ernesto Pereira</v>
      </c>
      <c r="C172" s="563" t="str">
        <f>SUBSTITUTE(SUBSTITUTE(Sheet2!$C$57,"–","-"),"—","-")</f>
        <v>Project Manger</v>
      </c>
      <c r="D172" s="552" t="str">
        <f>IF(LOWER(Sheet2!$Q$57)="v","Vacant",IF(LOWER(Sheet2!$Q$57)="pause","Paused",IF(LOWER(Sheet2!$Q$57)="cxc","Contractor","Filled")))</f>
        <v>Contractor</v>
      </c>
      <c r="E172" s="563" t="str">
        <f>Sheet2!$M$57</f>
        <v>Australia</v>
      </c>
      <c r="F172" s="551">
        <f>Sheet2!$AA$57/1000000</f>
        <v>0.222</v>
      </c>
    </row>
    <row r="173">
      <c r="B173" s="563" t="str">
        <f>Sheet2!$B$58</f>
        <v>Harish Dasari</v>
      </c>
      <c r="C173" s="563" t="str">
        <f>SUBSTITUTE(SUBSTITUTE(Sheet2!$C$58,"–","-"),"—","-")</f>
        <v>Business Analyst (SAP Payroll)</v>
      </c>
      <c r="D173" s="552" t="str">
        <f>IF(LOWER(Sheet2!$Q$58)="v","Vacant",IF(LOWER(Sheet2!$Q$58)="pause","Paused",IF(LOWER(Sheet2!$Q$58)="cxc","Contractor","Filled")))</f>
        <v>Contractor</v>
      </c>
      <c r="E173" s="563" t="str">
        <f>Sheet2!$M$58</f>
        <v>Australia</v>
      </c>
      <c r="F173" s="551">
        <f>Sheet2!$AA$58/1000000</f>
        <v>0.2442</v>
      </c>
    </row>
    <row r="174">
      <c r="B174" s="563" t="str">
        <f>Sheet2!$B$59</f>
        <v>James Munt</v>
      </c>
      <c r="C174" s="563" t="str">
        <f>SUBSTITUTE(SUBSTITUTE(Sheet2!$C$59,"–","-"),"—","-")</f>
        <v>Program Manager Tech &amp; P&amp;C</v>
      </c>
      <c r="D174" s="552" t="str">
        <f>IF(LOWER(Sheet2!$Q$59)="v","Vacant",IF(LOWER(Sheet2!$Q$59)="pause","Paused",IF(LOWER(Sheet2!$Q$59)="cxc","Contractor","Filled")))</f>
        <v>Contractor</v>
      </c>
      <c r="E174" s="563" t="str">
        <f>Sheet2!$M$59</f>
        <v>Australia</v>
      </c>
      <c r="F174" s="551">
        <f>Sheet2!$AA$59/1000000</f>
        <v>0.2664</v>
      </c>
    </row>
    <row r="175">
      <c r="B175" s="563" t="str">
        <f>Sheet2!$B$60</f>
        <v>Jason McNamara</v>
      </c>
      <c r="C175" s="563" t="str">
        <f>SUBSTITUTE(SUBSTITUTE(Sheet2!$C$60,"–","-"),"—","-")</f>
        <v>Project Manager Retail</v>
      </c>
      <c r="D175" s="552" t="str">
        <f>IF(LOWER(Sheet2!$Q$60)="v","Vacant",IF(LOWER(Sheet2!$Q$60)="pause","Paused",IF(LOWER(Sheet2!$Q$60)="cxc","Contractor","Filled")))</f>
        <v>Contractor</v>
      </c>
      <c r="E175" s="563" t="str">
        <f>Sheet2!$M$60</f>
        <v>Australia</v>
      </c>
      <c r="F175" s="551">
        <f>Sheet2!$AA$60/1000000</f>
        <v>0.4884</v>
      </c>
    </row>
    <row r="176">
      <c r="B176" s="563" t="str">
        <f>Sheet2!$B$61</f>
        <v>Jason Sipkovic</v>
      </c>
      <c r="C176" s="563" t="str">
        <f>SUBSTITUTE(SUBSTITUTE(Sheet2!$C$61,"–","-"),"—","-")</f>
        <v>strategic program architect</v>
      </c>
      <c r="D176" s="552" t="str">
        <f>IF(LOWER(Sheet2!$Q$61)="v","Vacant",IF(LOWER(Sheet2!$Q$61)="pause","Paused",IF(LOWER(Sheet2!$Q$61)="cxc","Contractor","Filled")))</f>
        <v>Contractor</v>
      </c>
      <c r="E176" s="563" t="str">
        <f>Sheet2!$M$61</f>
        <v>Australia</v>
      </c>
      <c r="F176" s="551">
        <f>Sheet2!$AA$61/1000000</f>
        <v>0.333</v>
      </c>
    </row>
    <row r="177">
      <c r="B177" s="563" t="str">
        <f>Sheet2!$B$62</f>
        <v>Kanika Narula</v>
      </c>
      <c r="C177" s="563" t="str">
        <f>SUBSTITUTE(SUBSTITUTE(Sheet2!$C$62,"–","-"),"—","-")</f>
        <v>Business Analyst Digital</v>
      </c>
      <c r="D177" s="552" t="str">
        <f>IF(LOWER(Sheet2!$Q$62)="v","Vacant",IF(LOWER(Sheet2!$Q$62)="pause","Paused",IF(LOWER(Sheet2!$Q$62)="cxc","Contractor","Filled")))</f>
        <v>Contractor</v>
      </c>
      <c r="E177" s="563" t="str">
        <f>Sheet2!$M$62</f>
        <v>Australia</v>
      </c>
      <c r="F177" s="551">
        <f>Sheet2!$AA$62/1000000</f>
        <v>0.23950248</v>
      </c>
    </row>
    <row r="178">
      <c r="B178" s="563" t="str">
        <f>Sheet2!$B$63</f>
        <v>Karl Reyneke</v>
      </c>
      <c r="C178" s="563" t="str">
        <f>SUBSTITUTE(SUBSTITUTE(Sheet2!$C$63,"–","-"),"—","-")</f>
        <v>Strategic Delivery Consultant</v>
      </c>
      <c r="D178" s="552" t="str">
        <f>IF(LOWER(Sheet2!$Q$63)="v","Vacant",IF(LOWER(Sheet2!$Q$63)="pause","Paused",IF(LOWER(Sheet2!$Q$63)="cxc","Contractor","Filled")))</f>
        <v>Contractor</v>
      </c>
      <c r="E178" s="563" t="str">
        <f>Sheet2!$M$63</f>
        <v>australia</v>
      </c>
      <c r="F178" s="551">
        <f>Sheet2!$AA$63/1000000</f>
        <v>0.2997</v>
      </c>
    </row>
    <row r="179">
      <c r="B179" s="563" t="str">
        <f>Sheet2!$B$64</f>
        <v>michelle Siegman</v>
      </c>
      <c r="C179" s="563" t="str">
        <f>SUBSTITUTE(SUBSTITUTE(Sheet2!$C$64,"–","-"),"—","-")</f>
        <v>Strategic Delivery Consultant</v>
      </c>
      <c r="D179" s="552" t="str">
        <f>IF(LOWER(Sheet2!$Q$64)="v","Vacant",IF(LOWER(Sheet2!$Q$64)="pause","Paused",IF(LOWER(Sheet2!$Q$64)="cxc","Contractor","Filled")))</f>
        <v>Contractor</v>
      </c>
      <c r="E179" s="563" t="str">
        <f>Sheet2!$M$64</f>
        <v>Australia</v>
      </c>
      <c r="F179" s="551">
        <f>Sheet2!$AA$64/1000000</f>
        <v>0.230436</v>
      </c>
    </row>
    <row r="180">
      <c r="B180" s="563" t="str">
        <f>Sheet2!$B$65</f>
        <v>Moitri Pal</v>
      </c>
      <c r="C180" s="563" t="str">
        <f>SUBSTITUTE(SUBSTITUTE(Sheet2!$C$65,"–","-"),"—","-")</f>
        <v>Portfolio Mnager</v>
      </c>
      <c r="D180" s="552" t="str">
        <f>IF(LOWER(Sheet2!$Q$65)="v","Vacant",IF(LOWER(Sheet2!$Q$65)="pause","Paused",IF(LOWER(Sheet2!$Q$65)="cxc","Contractor","Filled")))</f>
        <v>Filled</v>
      </c>
      <c r="E180" s="563" t="str">
        <f>Sheet2!$M$65</f>
        <v>Australia</v>
      </c>
      <c r="F180" s="551">
        <f>Sheet2!$AA$65/1000000</f>
        <v>0.32546415</v>
      </c>
    </row>
    <row r="181">
      <c r="B181" s="563" t="str">
        <f>Sheet2!$B$66</f>
        <v>Niall Greene</v>
      </c>
      <c r="C181" s="563" t="str">
        <f>SUBSTITUTE(SUBSTITUTE(Sheet2!$C$66,"–","-"),"—","-")</f>
        <v>Project Manager (PEP13-EGI-UKG)</v>
      </c>
      <c r="D181" s="552" t="str">
        <f>IF(LOWER(Sheet2!$Q$66)="v","Vacant",IF(LOWER(Sheet2!$Q$66)="pause","Paused",IF(LOWER(Sheet2!$Q$66)="cxc","Contractor","Filled")))</f>
        <v>Contractor</v>
      </c>
      <c r="E181" s="563" t="str">
        <f>Sheet2!$M$66</f>
        <v>Australia</v>
      </c>
      <c r="F181" s="551">
        <f>Sheet2!$AA$66/1000000</f>
        <v>0.2442</v>
      </c>
    </row>
    <row r="182">
      <c r="B182" s="563" t="str">
        <f>Sheet2!$B$67</f>
        <v>Paul Hassey</v>
      </c>
      <c r="C182" s="563" t="str">
        <f>SUBSTITUTE(SUBSTITUTE(Sheet2!$C$67,"–","-"),"—","-")</f>
        <v>Program Architect</v>
      </c>
      <c r="D182" s="552" t="str">
        <f>IF(LOWER(Sheet2!$Q$67)="v","Vacant",IF(LOWER(Sheet2!$Q$67)="pause","Paused",IF(LOWER(Sheet2!$Q$67)="cxc","Contractor","Filled")))</f>
        <v>Contractor</v>
      </c>
      <c r="E182" s="563" t="str">
        <f>Sheet2!$M$67</f>
        <v>Australia</v>
      </c>
      <c r="F182" s="551">
        <f>Sheet2!$AA$67/1000000</f>
        <v>0.3108</v>
      </c>
    </row>
    <row r="183">
      <c r="B183" s="563" t="str">
        <f>Sheet2!$B$68</f>
        <v>vijay Solanki</v>
      </c>
      <c r="C183" s="563" t="str">
        <f>SUBSTITUTE(SUBSTITUTE(Sheet2!$C$68,"–","-"),"—","-")</f>
        <v>Project Manager Deployment</v>
      </c>
      <c r="D183" s="552" t="str">
        <f>IF(LOWER(Sheet2!$Q$68)="v","Vacant",IF(LOWER(Sheet2!$Q$68)="pause","Paused",IF(LOWER(Sheet2!$Q$68)="cxc","Contractor","Filled")))</f>
        <v>Contractor</v>
      </c>
      <c r="E183" s="563" t="str">
        <f>Sheet2!$M$68</f>
        <v>Australia</v>
      </c>
      <c r="F183" s="551">
        <f>Sheet2!$AA$68/1000000</f>
        <v>0.2664</v>
      </c>
    </row>
    <row r="184">
      <c r="B184" s="563" t="str">
        <f>Sheet2!$B$69</f>
        <v>Winnie Fernandes</v>
      </c>
      <c r="C184" s="563" t="str">
        <f>SUBSTITUTE(SUBSTITUTE(Sheet2!$C$69,"–","-"),"—","-")</f>
        <v>Delivery Lead - Integration</v>
      </c>
      <c r="D184" s="552" t="str">
        <f>IF(LOWER(Sheet2!$Q$69)="v","Vacant",IF(LOWER(Sheet2!$Q$69)="pause","Paused",IF(LOWER(Sheet2!$Q$69)="cxc","Contractor","Filled")))</f>
        <v>Contractor</v>
      </c>
      <c r="E184" s="563" t="str">
        <f>Sheet2!$M$69</f>
        <v>Australia</v>
      </c>
      <c r="F184" s="551">
        <f>Sheet2!$AA$69/1000000</f>
        <v>0.273504</v>
      </c>
    </row>
    <row r="185">
      <c r="B185" s="561" t="inlineStr">
        <is>
          <t>Total EGI strategic delivery</t>
        </is>
      </c>
      <c r="C185" s="562">
        <f>COUNTA(B169:B184)</f>
        <v>16.0</v>
      </c>
      <c r="F185" s="553">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41.xml><?xml version="1.0" encoding="utf-8"?>
<worksheet xmlns="http://schemas.openxmlformats.org/spreadsheetml/2006/main">
  <sheetPr>
    <tabColor rgb="FF002F6C"/>
    <outlinePr summaryBelow="1" summaryRight="1"/>
    <pageSetUpPr/>
  </sheetPr>
  <dimension ref="B2:J34"/>
  <sheetViews>
    <sheetView showGridLines="0" zoomScaleNormal="100" workbookViewId="0">
      <selection activeCell="A1" sqref="A1"/>
    </sheetView>
  </sheetViews>
  <sheetFormatPr baseColWidth="8" defaultColWidth="8.54296875" defaultRowHeight="14.5"/>
  <cols>
    <col width="34" customWidth="1" style="849" min="2" max="2"/>
    <col width="22" customWidth="1" style="849" min="3" max="3"/>
    <col width="20" customWidth="1" style="849" min="4" max="4"/>
    <col width="16" customWidth="1" style="849" min="5" max="6"/>
    <col width="12.1796875" bestFit="1" customWidth="1" style="849" min="7" max="7"/>
    <col width="30.54296875" bestFit="1" customWidth="1" style="849" min="11" max="11"/>
  </cols>
  <sheetData>
    <row r="2" ht="21" customHeight="1" s="849">
      <c r="B2" s="546" t="inlineStr">
        <is>
          <t>COE Summary</t>
        </is>
      </c>
      <c r="C2" s="547" t="n"/>
      <c r="D2" s="547" t="n"/>
      <c r="E2" s="547" t="n"/>
      <c r="F2" s="547" t="n"/>
      <c r="G2" s="547" t="n"/>
      <c r="H2" s="547" t="n"/>
      <c r="I2" s="547" t="n"/>
      <c r="J2" s="547" t="n"/>
    </row>
    <row r="3">
      <c r="B3" s="547" t="n"/>
      <c r="C3" s="547" t="n"/>
      <c r="D3" s="547" t="n"/>
      <c r="E3" s="547" t="n"/>
      <c r="F3" s="547" t="n"/>
      <c r="G3" s="547" t="n"/>
      <c r="H3" s="547" t="n"/>
      <c r="I3" s="547" t="n"/>
      <c r="J3" s="547" t="n"/>
    </row>
    <row r="4">
      <c r="B4" s="548" t="inlineStr">
        <is>
          <t>The five COEs - roles, spend and funding</t>
        </is>
      </c>
      <c r="C4" s="547" t="n"/>
      <c r="D4" s="547" t="n"/>
      <c r="E4" s="547" t="n"/>
      <c r="F4" s="547" t="n"/>
      <c r="G4" s="547" t="n"/>
      <c r="H4" s="547" t="n"/>
      <c r="I4" s="547" t="n"/>
      <c r="J4" s="547" t="n"/>
    </row>
    <row r="5" ht="43.5" customHeight="1" s="849">
      <c r="B5" s="549" t="inlineStr">
        <is>
          <t>COE</t>
        </is>
      </c>
      <c r="C5" s="549" t="inlineStr">
        <is>
          <t>Roles</t>
        </is>
      </c>
      <c r="D5" s="549" t="inlineStr">
        <is>
          <t>Filled</t>
        </is>
      </c>
      <c r="E5" s="549" t="inlineStr">
        <is>
          <t>Vacant</t>
        </is>
      </c>
      <c r="F5" s="549" t="inlineStr">
        <is>
          <t>Planned spend ($m)</t>
        </is>
      </c>
      <c r="G5" s="549" t="inlineStr">
        <is>
          <t>Budget to draw down ($m)</t>
        </is>
      </c>
      <c r="H5" s="549" t="inlineStr">
        <is>
          <t>Left to fund ($m)</t>
        </is>
      </c>
      <c r="I5" s="549" t="inlineStr">
        <is>
          <t>Cost - AU ($m)</t>
        </is>
      </c>
      <c r="J5" s="549" t="inlineStr">
        <is>
          <t>Cost - NZ ($m)</t>
        </is>
      </c>
    </row>
    <row r="6">
      <c r="B6" s="550" t="inlineStr">
        <is>
          <t>Business Partnering</t>
        </is>
      </c>
      <c r="C6" s="600">
        <f>COUNTIFS('REVIEW - Complete Role Mapping'!$AJ:$AJ,"COE BP&amp;T")-COUNTIFS('REVIEW - Complete Role Mapping'!$AJ:$AJ,"COE BP&amp;T",'REVIEW - Complete Role Mapping'!$G:$G,"Transformation")</f>
        <v>10.0</v>
      </c>
      <c r="D6" s="600">
        <f>COUNTIFS('REVIEW - Complete Role Mapping'!$AJ:$AJ,"COE BP&amp;T",'REVIEW - Complete Role Mapping'!$AK:$AK,"Filled")-COUNTIFS('REVIEW - Complete Role Mapping'!$AJ:$AJ,"COE BP&amp;T",'REVIEW - Complete Role Mapping'!$AK:$AK,"Filled",'REVIEW - Complete Role Mapping'!$G:$G,"Transformation")</f>
        <v>9.0</v>
      </c>
      <c r="E6" s="600">
        <f>COUNTIFS('REVIEW - Complete Role Mapping'!$AJ:$AJ,"COE BP&amp;T",'REVIEW - Complete Role Mapping'!$AK:$AK,"Vacant")-COUNTIFS('REVIEW - Complete Role Mapping'!$AJ:$AJ,"COE BP&amp;T",'REVIEW - Complete Role Mapping'!$AK:$AK,"Vacant",'REVIEW - Complete Role Mapping'!$G:$G,"Transformation")</f>
        <v>1.0</v>
      </c>
      <c r="F6" s="551">
        <f>'1.11 BP&amp;T'!$F$6</f>
        <v>1.5725625920000001</v>
      </c>
      <c r="G6" s="551">
        <f>'1.11 BP&amp;T'!$G$6</f>
        <v>2.0</v>
      </c>
      <c r="H6" s="551">
        <f>'1.11 BP&amp;T'!$H$6</f>
        <v>-0.42743740799999985</v>
      </c>
      <c r="I6" s="551">
        <f>'1.11 BP&amp;T'!$I$6</f>
        <v>2.8501381</v>
      </c>
      <c r="J6" s="551">
        <f>'1.11 BP&amp;T'!$J$6</f>
        <v>0.442424492</v>
      </c>
    </row>
    <row r="7">
      <c r="B7" s="550" t="inlineStr">
        <is>
          <t>Transformation</t>
        </is>
      </c>
      <c r="C7" s="600">
        <f>COUNTIFS('REVIEW - Complete Role Mapping'!$AJ:$AJ,"COE BP&amp;T",'REVIEW - Complete Role Mapping'!$G:$G,"Transformation")</f>
        <v>14.0</v>
      </c>
      <c r="D7" s="600">
        <f>COUNTIFS('REVIEW - Complete Role Mapping'!$AJ:$AJ,"COE BP&amp;T",'REVIEW - Complete Role Mapping'!$AK:$AK,"Filled",'REVIEW - Complete Role Mapping'!$G:$G,"Transformation")</f>
        <v>6.0</v>
      </c>
      <c r="E7" s="600">
        <f>COUNTIFS('REVIEW - Complete Role Mapping'!$AJ:$AJ,"COE BP&amp;T",'REVIEW - Complete Role Mapping'!$AK:$AK,"Vacant",'REVIEW - Complete Role Mapping'!$G:$G,"Transformation")</f>
        <v>8.0</v>
      </c>
      <c r="F7" s="551">
        <f>'1.11 BP&amp;T'!$F$7</f>
        <v>3.10799923</v>
      </c>
      <c r="G7" s="551">
        <f>'1.11 BP&amp;T'!$G$7</f>
        <v>2.0</v>
      </c>
      <c r="H7" s="551">
        <f>'1.11 BP&amp;T'!$H$7</f>
        <v>1.10799923</v>
      </c>
      <c r="I7" s="551">
        <f>'1.11 BP&amp;T'!$I$7</f>
        <v>2.80847245</v>
      </c>
      <c r="J7" s="551">
        <f>'1.11 BP&amp;T'!$J$7</f>
        <v>0.29952678</v>
      </c>
    </row>
    <row r="8">
      <c r="B8" s="550" t="inlineStr">
        <is>
          <t>Strategy &amp; Architecture</t>
        </is>
      </c>
      <c r="C8" s="600">
        <f>COUNTIFS('REVIEW - Complete Role Mapping'!$AJ:$AJ,"COE SA&amp;D")-COUNTIFS('REVIEW - Complete Role Mapping'!$AJ:$AJ,"COE SA&amp;D",'REVIEW - Complete Role Mapping'!$G:$G,"Group Data")</f>
        <v>16.0</v>
      </c>
      <c r="D8" s="600">
        <f>COUNTIFS('REVIEW - Complete Role Mapping'!$AJ:$AJ,"COE SA&amp;D",'REVIEW - Complete Role Mapping'!$AK:$AK,"Filled")-COUNTIFS('REVIEW - Complete Role Mapping'!$AJ:$AJ,"COE SA&amp;D",'REVIEW - Complete Role Mapping'!$AK:$AK,"Filled",'REVIEW - Complete Role Mapping'!$G:$G,"Group Data")</f>
        <v>5.0</v>
      </c>
      <c r="E8" s="600">
        <f>COUNTIFS('REVIEW - Complete Role Mapping'!$AJ:$AJ,"COE SA&amp;D",'REVIEW - Complete Role Mapping'!$AK:$AK,"Vacant")-COUNTIFS('REVIEW - Complete Role Mapping'!$AJ:$AJ,"COE SA&amp;D",'REVIEW - Complete Role Mapping'!$AK:$AK,"Vacant",'REVIEW - Complete Role Mapping'!$G:$G,"Group Data")</f>
        <v>10.0</v>
      </c>
      <c r="F8" s="551">
        <f>'1.12 SA&amp;D'!$G$6</f>
        <v>2.920560995999999</v>
      </c>
      <c r="G8" s="551">
        <f>'1.12 SA&amp;D'!$H$6</f>
        <v>2.0</v>
      </c>
      <c r="H8" s="551">
        <f>'1.12 SA&amp;D'!$I$6</f>
        <v>0.920560995999999</v>
      </c>
      <c r="I8" s="551">
        <f>'1.12 SA&amp;D'!$J$6</f>
        <v>3.4409158999999994</v>
      </c>
      <c r="J8" s="551">
        <f>'1.12 SA&amp;D'!$K$6</f>
        <v>0.879645096</v>
      </c>
    </row>
    <row r="9">
      <c r="B9" s="550" t="inlineStr">
        <is>
          <t>Data</t>
        </is>
      </c>
      <c r="C9" s="600">
        <f>COUNTIFS('REVIEW - Complete Role Mapping'!$AJ:$AJ,"COE SA&amp;D",'REVIEW - Complete Role Mapping'!$G:$G,"Group Data")</f>
        <v>7.0</v>
      </c>
      <c r="D9" s="600">
        <f>COUNTIFS('REVIEW - Complete Role Mapping'!$AJ:$AJ,"COE SA&amp;D",'REVIEW - Complete Role Mapping'!$AK:$AK,"Filled",'REVIEW - Complete Role Mapping'!$G:$G,"Group Data")</f>
        <v>6.0</v>
      </c>
      <c r="E9" s="600">
        <f>COUNTIFS('REVIEW - Complete Role Mapping'!$AJ:$AJ,"COE SA&amp;D",'REVIEW - Complete Role Mapping'!$AK:$AK,"Vacant",'REVIEW - Complete Role Mapping'!$G:$G,"Group Data")</f>
        <v>1.0</v>
      </c>
      <c r="F9" s="551">
        <f>'1.12 SA&amp;D'!$G$7</f>
        <v>2.232736616</v>
      </c>
      <c r="G9" s="551">
        <f>'1.12 SA&amp;D'!$H$7</f>
        <v>2.0</v>
      </c>
      <c r="H9" s="551">
        <f>'1.12 SA&amp;D'!$I$7</f>
        <v>0.23273661599999995</v>
      </c>
      <c r="I9" s="551">
        <f>'1.12 SA&amp;D'!$J$7</f>
        <v>2.0829902000000002</v>
      </c>
      <c r="J9" s="551">
        <f>'1.12 SA&amp;D'!$K$7</f>
        <v>0.149746416</v>
      </c>
    </row>
    <row r="10">
      <c r="B10" s="550" t="inlineStr">
        <is>
          <t>Cyber, Risk &amp; Service Operations</t>
        </is>
      </c>
      <c r="C10" s="600">
        <f>COUNTIFS('REVIEW - Complete Role Mapping'!$AJ:$AJ,"COE Cyber")</f>
        <v>46.0</v>
      </c>
      <c r="D10" s="600">
        <f>COUNTIFS('REVIEW - Complete Role Mapping'!$AJ:$AJ,"COE Cyber",'REVIEW - Complete Role Mapping'!$AK:$AK,"Filled")</f>
        <v>42.0</v>
      </c>
      <c r="E10" s="600">
        <f>COUNTIFS('REVIEW - Complete Role Mapping'!$AJ:$AJ,"COE Cyber",'REVIEW - Complete Role Mapping'!$AK:$AK,"Vacant")</f>
        <v>4.0</v>
      </c>
      <c r="F10" s="551">
        <f>'1.13 Cyber Roles'!$F$8</f>
        <v>10.915989044000002</v>
      </c>
      <c r="G10" s="551">
        <f>'1.13 Cyber Roles'!$G$8</f>
        <v>4.0</v>
      </c>
      <c r="H10" s="551">
        <f>'1.13 Cyber Roles'!$H$8</f>
        <v>6.915989044000002</v>
      </c>
      <c r="I10" s="551">
        <f>'1.13 Cyber Roles'!$I$8</f>
        <v>9.8579918</v>
      </c>
      <c r="J10" s="551">
        <f>'1.13 Cyber Roles'!$J$8</f>
        <v>1.057997244</v>
      </c>
    </row>
    <row r="11">
      <c r="B11" s="561" t="inlineStr">
        <is>
          <t>Total</t>
        </is>
      </c>
      <c r="C11" s="562">
        <f>SUM(C6:C10)</f>
        <v>93.0</v>
      </c>
      <c r="D11" s="562">
        <f>SUM(D6:D10)</f>
        <v>68.0</v>
      </c>
      <c r="E11" s="562">
        <f>SUM(E6:E10)</f>
        <v>24.0</v>
      </c>
      <c r="F11" s="553">
        <f>SUM(F6:F10)</f>
        <v>20.749848478</v>
      </c>
      <c r="G11" s="553">
        <f>SUM(G6:G10)</f>
        <v>12.0</v>
      </c>
      <c r="H11" s="553">
        <f>SUM(H6:H10)</f>
        <v>8.749848478</v>
      </c>
      <c r="I11" s="553">
        <f>SUM(I6:I10)</f>
        <v>21.04050845</v>
      </c>
      <c r="J11" s="553">
        <f>SUM(J6:J10)</f>
        <v>2.829340028</v>
      </c>
    </row>
    <row r="12">
      <c r="B12" s="547" t="n"/>
      <c r="C12" s="614" t="n"/>
      <c r="D12" s="614" t="n"/>
      <c r="E12" s="614" t="n"/>
      <c r="F12" s="614" t="n"/>
      <c r="G12" s="614" t="n"/>
      <c r="H12" s="547" t="n"/>
      <c r="I12" s="547" t="n"/>
      <c r="J12" s="547" t="n"/>
    </row>
    <row r="13">
      <c r="B13" s="547" t="n"/>
      <c r="C13" s="614" t="n"/>
      <c r="D13" s="614" t="n"/>
      <c r="E13" s="614" t="n"/>
      <c r="F13" s="614" t="n"/>
      <c r="G13" s="614" t="n"/>
      <c r="H13" s="547" t="n"/>
      <c r="I13" s="547" t="n"/>
      <c r="J13" s="547" t="n"/>
    </row>
    <row r="14">
      <c r="B14" s="547" t="n"/>
      <c r="C14" s="547" t="n"/>
      <c r="D14" s="547" t="n"/>
      <c r="E14" s="547" t="n"/>
      <c r="F14" s="547" t="n"/>
      <c r="G14" s="547" t="n"/>
      <c r="H14" s="547" t="n"/>
      <c r="I14" s="547" t="n"/>
      <c r="J14" s="547" t="n"/>
    </row>
    <row r="15">
      <c r="B15" s="547" t="n"/>
      <c r="C15" s="547" t="n"/>
      <c r="D15" s="547" t="n"/>
      <c r="E15" s="547" t="n"/>
      <c r="F15" s="547" t="n"/>
      <c r="G15" s="547" t="n"/>
      <c r="H15" s="547" t="n"/>
      <c r="I15" s="547" t="n"/>
      <c r="J15" s="547" t="n"/>
    </row>
    <row r="16">
      <c r="B16" s="554" t="n"/>
      <c r="C16" s="547" t="n"/>
      <c r="D16" s="547" t="n"/>
      <c r="E16" s="547" t="n"/>
      <c r="F16" s="547" t="n"/>
      <c r="G16" s="547" t="n"/>
      <c r="H16" s="547" t="n"/>
      <c r="I16" s="547" t="n"/>
      <c r="J16" s="547" t="n"/>
    </row>
    <row r="17">
      <c r="B17" s="548" t="inlineStr">
        <is>
          <t>TDD Corporate funding pool ($m)</t>
        </is>
      </c>
      <c r="C17" s="559" t="n"/>
      <c r="D17" s="559" t="n"/>
      <c r="E17" s="559" t="n"/>
      <c r="F17" s="547" t="n"/>
      <c r="G17" s="547" t="n"/>
      <c r="H17" s="547" t="n"/>
      <c r="I17" s="547" t="n"/>
      <c r="J17" s="547" t="n"/>
    </row>
    <row r="18">
      <c r="B18" s="571" t="inlineStr">
        <is>
          <t>Funding line</t>
        </is>
      </c>
      <c r="C18" s="619" t="inlineStr">
        <is>
          <t>Pool ($m)</t>
        </is>
      </c>
      <c r="D18" s="619" t="inlineStr">
        <is>
          <t>Drawn ($m)</t>
        </is>
      </c>
      <c r="E18" s="619" t="inlineStr">
        <is>
          <t>Remaining ($m)</t>
        </is>
      </c>
      <c r="F18" s="547" t="n"/>
      <c r="G18" s="547" t="n"/>
      <c r="H18" s="547" t="n"/>
      <c r="I18" s="547" t="n"/>
      <c r="J18" s="547" t="n"/>
    </row>
    <row r="19">
      <c r="B19" s="563" t="inlineStr">
        <is>
          <t>OpEx Initiatives</t>
        </is>
      </c>
      <c r="C19" s="551">
        <f>'0.1 Budget Table (Fin)'!$N$5</f>
        <v>3.0</v>
      </c>
      <c r="D19" s="551">
        <f>0</f>
        <v>0.0</v>
      </c>
      <c r="E19" s="551">
        <f>C19-D19</f>
        <v>3.0</v>
      </c>
      <c r="F19" s="547" t="n"/>
      <c r="G19" s="547" t="n"/>
      <c r="H19" s="547" t="n"/>
      <c r="I19" s="547" t="n"/>
      <c r="J19" s="547" t="n"/>
    </row>
    <row r="20">
      <c r="B20" s="563" t="inlineStr">
        <is>
          <t>Significant Items</t>
        </is>
      </c>
      <c r="C20" s="551">
        <f>'0.1 Budget Table (Fin)'!$O$5</f>
        <v>20.2</v>
      </c>
      <c r="D20" s="551">
        <f>'1.3 Enterprise Data'!$J$14+'1.4 TDD Group Functions'!$J$13</f>
        <v>0.0</v>
      </c>
      <c r="E20" s="551">
        <f>C20-D20</f>
        <v>20.2</v>
      </c>
      <c r="F20" s="547" t="n"/>
      <c r="G20" s="547" t="n"/>
      <c r="H20" s="547" t="n"/>
      <c r="I20" s="547" t="n"/>
      <c r="J20" s="547" t="n"/>
    </row>
    <row r="21">
      <c r="B21" s="563" t="inlineStr">
        <is>
          <t>CapEx</t>
        </is>
      </c>
      <c r="C21" s="551">
        <f>'0.1 Budget Table (Fin)'!$P$5</f>
        <v>4.9</v>
      </c>
      <c r="D21" s="551">
        <f>'1.9 Commercial Fuels'!$J$15+'1.13 Cyber Roles'!$C$13</f>
        <v>0.5</v>
      </c>
      <c r="E21" s="551">
        <f>C21-D21</f>
        <v>4.4</v>
      </c>
      <c r="F21" s="547" t="n"/>
      <c r="G21" s="547" t="n"/>
      <c r="H21" s="547" t="n"/>
      <c r="I21" s="547" t="n"/>
      <c r="J21" s="547" t="n"/>
    </row>
    <row r="22">
      <c r="B22" s="561" t="inlineStr">
        <is>
          <t>Total</t>
        </is>
      </c>
      <c r="C22" s="553">
        <f>SUM(C19:C21)</f>
        <v>28.1</v>
      </c>
      <c r="D22" s="553">
        <f>SUM(D19:D21)</f>
        <v>0.5</v>
      </c>
      <c r="E22" s="553">
        <f>SUM(E19:E21)</f>
        <v>27.6</v>
      </c>
      <c r="F22" s="547" t="n"/>
      <c r="G22" s="547" t="n"/>
      <c r="H22" s="547" t="n"/>
      <c r="I22" s="547" t="n"/>
      <c r="J22" s="547" t="n"/>
    </row>
    <row r="23">
      <c r="B23" s="556" t="n"/>
      <c r="C23" s="547" t="n"/>
      <c r="D23" s="547" t="n"/>
      <c r="E23" s="547" t="n"/>
      <c r="F23" s="547" t="n"/>
      <c r="G23" s="547" t="n"/>
      <c r="H23" s="547" t="n"/>
      <c r="I23" s="547" t="n"/>
      <c r="J23" s="547" t="n"/>
    </row>
    <row r="24">
      <c r="B24" s="556" t="inlineStr">
        <is>
          <t>Roll-up only - budgets on 0.2 Data Config, FTE lists on Sheet2, detail on the three COE tabs.</t>
        </is>
      </c>
      <c r="C24" s="559" t="n"/>
      <c r="D24" s="559" t="n"/>
      <c r="E24" s="559" t="n"/>
      <c r="F24" s="559" t="n"/>
      <c r="G24" s="547" t="n"/>
      <c r="H24" s="547" t="n"/>
      <c r="I24" s="547" t="n"/>
      <c r="J24" s="547" t="n"/>
    </row>
    <row r="25">
      <c r="B25" s="554" t="n"/>
      <c r="C25" s="554" t="n"/>
      <c r="D25" s="554" t="n"/>
      <c r="E25" s="559" t="n"/>
      <c r="F25" s="900" t="n"/>
      <c r="G25" s="547" t="n"/>
      <c r="H25" s="547" t="n"/>
      <c r="I25" s="547" t="n"/>
      <c r="J25" s="547" t="n"/>
    </row>
    <row r="26">
      <c r="B26" s="554" t="n"/>
      <c r="C26" s="554" t="n"/>
      <c r="D26" s="554" t="n"/>
      <c r="E26" s="559" t="n"/>
      <c r="F26" s="900" t="n"/>
      <c r="G26" s="547" t="n"/>
      <c r="H26" s="547" t="n"/>
      <c r="I26" s="547" t="n"/>
      <c r="J26" s="547" t="n"/>
    </row>
    <row r="27">
      <c r="B27" s="554" t="n"/>
      <c r="C27" s="554" t="n"/>
      <c r="D27" s="554" t="n"/>
      <c r="E27" s="559" t="n"/>
      <c r="F27" s="900" t="n"/>
      <c r="G27" s="547" t="n"/>
      <c r="H27" s="547" t="n"/>
      <c r="I27" s="547" t="n"/>
      <c r="J27" s="547" t="n"/>
    </row>
    <row r="28">
      <c r="B28" s="554" t="n"/>
      <c r="C28" s="554" t="n"/>
      <c r="D28" s="554" t="n"/>
      <c r="E28" s="559" t="n"/>
      <c r="F28" s="900" t="n"/>
      <c r="G28" s="547" t="n"/>
      <c r="H28" s="547" t="n"/>
      <c r="I28" s="547" t="n"/>
      <c r="J28" s="547" t="n"/>
    </row>
    <row r="29">
      <c r="B29" s="554" t="n"/>
      <c r="C29" s="554" t="n"/>
      <c r="D29" s="554" t="n"/>
      <c r="E29" s="559" t="n"/>
      <c r="F29" s="900" t="n"/>
      <c r="G29" s="547" t="n"/>
      <c r="H29" s="547" t="n"/>
      <c r="I29" s="547" t="n"/>
      <c r="J29" s="547" t="n"/>
    </row>
    <row r="30">
      <c r="B30" s="554" t="n"/>
      <c r="C30" s="554" t="n"/>
      <c r="D30" s="554" t="n"/>
      <c r="E30" s="559" t="n"/>
      <c r="F30" s="900" t="n"/>
      <c r="G30" s="547" t="n"/>
      <c r="H30" s="547" t="n"/>
      <c r="I30" s="547" t="n"/>
      <c r="J30" s="547" t="n"/>
    </row>
    <row r="31">
      <c r="B31" s="554" t="n"/>
      <c r="C31" s="554" t="n"/>
      <c r="D31" s="554" t="n"/>
      <c r="E31" s="559" t="n"/>
      <c r="F31" s="900" t="n"/>
      <c r="G31" s="547" t="n"/>
      <c r="H31" s="547" t="n"/>
      <c r="I31" s="547" t="n"/>
      <c r="J31" s="547" t="n"/>
    </row>
    <row r="32">
      <c r="B32" s="554" t="n"/>
      <c r="C32" s="547" t="n"/>
      <c r="D32" s="547" t="n"/>
      <c r="E32" s="547" t="n"/>
      <c r="F32" s="900" t="n"/>
      <c r="G32" s="547" t="n"/>
      <c r="H32" s="547" t="n"/>
      <c r="I32" s="547" t="n"/>
      <c r="J32" s="547" t="n"/>
    </row>
    <row r="33">
      <c r="B33" s="547" t="n"/>
      <c r="C33" s="547" t="n"/>
      <c r="D33" s="547" t="n"/>
      <c r="E33" s="547" t="n"/>
      <c r="F33" s="547" t="n"/>
      <c r="G33" s="547" t="n"/>
      <c r="H33" s="547" t="n"/>
      <c r="I33" s="547" t="n"/>
      <c r="J33" s="547" t="n"/>
    </row>
    <row r="34">
      <c r="B34" s="547" t="n"/>
      <c r="C34" s="547" t="n"/>
      <c r="D34" s="547" t="n"/>
      <c r="E34" s="547" t="n"/>
      <c r="F34" s="547" t="n"/>
      <c r="G34" s="547" t="n"/>
      <c r="H34" s="547" t="n"/>
      <c r="I34" s="547" t="n"/>
      <c r="J34" s="547" t="n"/>
    </row>
  </sheetData>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outlinePr summaryBelow="1" summaryRight="1"/>
    <pageSetUpPr/>
  </sheetPr>
  <dimension ref="B2:K23"/>
  <sheetViews>
    <sheetView workbookViewId="0">
      <selection activeCell="A1" sqref="A1"/>
    </sheetView>
  </sheetViews>
  <sheetFormatPr baseColWidth="8" defaultRowHeight="15"/>
  <cols>
    <col width="40" customWidth="1" style="849" min="2" max="2"/>
    <col width="13" customWidth="1" style="849" min="3" max="3"/>
    <col width="13" customWidth="1" style="849" min="4" max="4"/>
    <col width="13" customWidth="1" style="849" min="5" max="5"/>
    <col width="13" customWidth="1" style="849" min="6" max="6"/>
    <col width="13" customWidth="1" style="849" min="7" max="7"/>
    <col width="13" customWidth="1" style="849" min="8" max="8"/>
    <col width="10" customWidth="1" style="849" min="9" max="9"/>
    <col width="10" customWidth="1" style="849" min="10" max="10"/>
    <col width="10" customWidth="1" style="849" min="11" max="11"/>
  </cols>
  <sheetData>
    <row r="2">
      <c r="B2" s="982" t="inlineStr">
        <is>
          <t>Source Reconciliation - new REVIEW mapping vs old Squads sheet, by portfolio</t>
        </is>
      </c>
    </row>
    <row r="3">
      <c r="B3" s="983" t="inlineStr">
        <is>
          <t>Positive delta = REVIEW has more than Squads; negative (red) = dropped versus the old sheet.</t>
        </is>
      </c>
    </row>
    <row r="5">
      <c r="B5" s="984" t="inlineStr">
        <is>
          <t>Portfolio</t>
        </is>
      </c>
      <c r="C5" s="984" t="inlineStr">
        <is>
          <t>Squads roles</t>
        </is>
      </c>
      <c r="D5" s="984" t="inlineStr">
        <is>
          <t>Squads occupied</t>
        </is>
      </c>
      <c r="E5" s="984" t="inlineStr">
        <is>
          <t>Squads vacant</t>
        </is>
      </c>
      <c r="F5" s="984" t="inlineStr">
        <is>
          <t>REVIEW roles</t>
        </is>
      </c>
      <c r="G5" s="984" t="inlineStr">
        <is>
          <t>REVIEW occupied</t>
        </is>
      </c>
      <c r="H5" s="984" t="inlineStr">
        <is>
          <t>REVIEW vacant</t>
        </is>
      </c>
      <c r="I5" s="984" t="inlineStr">
        <is>
          <t>Δ roles</t>
        </is>
      </c>
      <c r="J5" s="984" t="inlineStr">
        <is>
          <t>Δ occupied</t>
        </is>
      </c>
      <c r="K5" s="984" t="inlineStr">
        <is>
          <t>Δ vacant</t>
        </is>
      </c>
    </row>
    <row r="6">
      <c r="B6" s="985" t="inlineStr">
        <is>
          <t>Ampol Retail</t>
        </is>
      </c>
      <c r="C6" s="986">
        <f>COUNTIF(Squads!$N:$N,"Ampol Retail")</f>
        <v>80.0</v>
      </c>
      <c r="D6" s="986">
        <f>C6-E6</f>
        <v>52.0</v>
      </c>
      <c r="E6" s="986">
        <f>COUNTIFS(Squads!$N:$N,"Ampol Retail",Squads!$R:$R,"Vacant")</f>
        <v>28.0</v>
      </c>
      <c r="F6" s="986">
        <f>COUNTIF('REVIEW - Complete Role Mapping'!$AJ:$AJ,"Ampol Retail")</f>
        <v>70.0</v>
      </c>
      <c r="G6" s="986">
        <f>F6-H6</f>
        <v>47.0</v>
      </c>
      <c r="H6" s="986">
        <f>COUNTIFS('REVIEW - Complete Role Mapping'!$AJ:$AJ,"Ampol Retail",'REVIEW - Complete Role Mapping'!$AK:$AK,"Vacant")</f>
        <v>23.0</v>
      </c>
      <c r="I6" s="987">
        <f>F6-C6</f>
        <v>-10.0</v>
      </c>
      <c r="J6" s="987">
        <f>G6-D6</f>
        <v>-5.0</v>
      </c>
      <c r="K6" s="987">
        <f>H6-E6</f>
        <v>-5.0</v>
      </c>
    </row>
    <row r="7">
      <c r="B7" s="988" t="inlineStr">
        <is>
          <t>Customer</t>
        </is>
      </c>
      <c r="C7" s="986">
        <f>COUNTIF(Squads!$N:$N,"Customer")</f>
        <v>90.0</v>
      </c>
      <c r="D7" s="986">
        <f>C7-E7</f>
        <v>69.0</v>
      </c>
      <c r="E7" s="986">
        <f>COUNTIFS(Squads!$N:$N,"Customer",Squads!$R:$R,"Vacant")</f>
        <v>21.0</v>
      </c>
      <c r="F7" s="986">
        <f>COUNTIF('REVIEW - Complete Role Mapping'!$AJ:$AJ,"Customer")</f>
        <v>85.0</v>
      </c>
      <c r="G7" s="986">
        <f>F7-H7</f>
        <v>64.0</v>
      </c>
      <c r="H7" s="986">
        <f>COUNTIFS('REVIEW - Complete Role Mapping'!$AJ:$AJ,"Customer",'REVIEW - Complete Role Mapping'!$AK:$AK,"Vacant")</f>
        <v>21.0</v>
      </c>
      <c r="I7" s="987">
        <f>F7-C7</f>
        <v>-5.0</v>
      </c>
      <c r="J7" s="987">
        <f>G7-D7</f>
        <v>-5.0</v>
      </c>
      <c r="K7" s="987">
        <f>H7-E7</f>
        <v>0.0</v>
      </c>
    </row>
    <row r="8">
      <c r="B8" s="985" t="inlineStr">
        <is>
          <t>Enterprise Data</t>
        </is>
      </c>
      <c r="C8" s="986">
        <f>COUNTIF(Squads!$N:$N,"Enterprise Data")</f>
        <v>30.0</v>
      </c>
      <c r="D8" s="986">
        <f>C8-E8</f>
        <v>16.0</v>
      </c>
      <c r="E8" s="986">
        <f>COUNTIFS(Squads!$N:$N,"Enterprise Data",Squads!$R:$R,"Vacant")</f>
        <v>14.0</v>
      </c>
      <c r="F8" s="986">
        <f>COUNTIF('REVIEW - Complete Role Mapping'!$AJ:$AJ,"Enterprise Data")</f>
        <v>31.0</v>
      </c>
      <c r="G8" s="986">
        <f>F8-H8</f>
        <v>22.0</v>
      </c>
      <c r="H8" s="986">
        <f>COUNTIFS('REVIEW - Complete Role Mapping'!$AJ:$AJ,"Enterprise Data",'REVIEW - Complete Role Mapping'!$AK:$AK,"Vacant")</f>
        <v>9.0</v>
      </c>
      <c r="I8" s="987">
        <f>F8-C8</f>
        <v>1.0</v>
      </c>
      <c r="J8" s="987">
        <f>G8-D8</f>
        <v>6.0</v>
      </c>
      <c r="K8" s="987">
        <f>H8-E8</f>
        <v>-5.0</v>
      </c>
    </row>
    <row r="9">
      <c r="B9" s="988" t="inlineStr">
        <is>
          <t>TDD Group Functions</t>
        </is>
      </c>
      <c r="C9" s="986">
        <f>COUNTIF(Squads!$N:$N,"TDD Group Functions")</f>
        <v>45.0</v>
      </c>
      <c r="D9" s="986">
        <f>C9-E9</f>
        <v>31.0</v>
      </c>
      <c r="E9" s="986">
        <f>COUNTIFS(Squads!$N:$N,"TDD Group Functions",Squads!$R:$R,"Vacant")</f>
        <v>14.0</v>
      </c>
      <c r="F9" s="986">
        <f>COUNTIF('REVIEW - Complete Role Mapping'!$AJ:$AJ,"TDD Group Functions")</f>
        <v>47.0</v>
      </c>
      <c r="G9" s="986">
        <f>F9-H9</f>
        <v>29.0</v>
      </c>
      <c r="H9" s="986">
        <f>COUNTIFS('REVIEW - Complete Role Mapping'!$AJ:$AJ,"TDD Group Functions",'REVIEW - Complete Role Mapping'!$AK:$AK,"Vacant")</f>
        <v>18.0</v>
      </c>
      <c r="I9" s="987">
        <f>F9-C9</f>
        <v>2.0</v>
      </c>
      <c r="J9" s="987">
        <f>G9-D9</f>
        <v>-2.0</v>
      </c>
      <c r="K9" s="987">
        <f>H9-E9</f>
        <v>4.0</v>
      </c>
    </row>
    <row r="10">
      <c r="B10" s="985" t="inlineStr">
        <is>
          <t>P&amp;C</t>
        </is>
      </c>
      <c r="C10" s="986">
        <f>COUNTIF(Squads!$N:$N,"P&amp;C")</f>
        <v>18.0</v>
      </c>
      <c r="D10" s="986">
        <f>C10-E10</f>
        <v>9.0</v>
      </c>
      <c r="E10" s="986">
        <f>COUNTIFS(Squads!$N:$N,"P&amp;C",Squads!$R:$R,"Vacant")</f>
        <v>9.0</v>
      </c>
      <c r="F10" s="986">
        <f>COUNTIF('REVIEW - Complete Role Mapping'!$AJ:$AJ,"P&amp;C")</f>
        <v>18.0</v>
      </c>
      <c r="G10" s="986">
        <f>F10-H10</f>
        <v>8.0</v>
      </c>
      <c r="H10" s="986">
        <f>COUNTIFS('REVIEW - Complete Role Mapping'!$AJ:$AJ,"P&amp;C",'REVIEW - Complete Role Mapping'!$AK:$AK,"Vacant")</f>
        <v>10.0</v>
      </c>
      <c r="I10" s="987">
        <f>F10-C10</f>
        <v>0.0</v>
      </c>
      <c r="J10" s="987">
        <f>G10-D10</f>
        <v>-1.0</v>
      </c>
      <c r="K10" s="987">
        <f>H10-E10</f>
        <v>1.0</v>
      </c>
    </row>
    <row r="11">
      <c r="B11" s="988" t="inlineStr">
        <is>
          <t>Finance</t>
        </is>
      </c>
      <c r="C11" s="986">
        <f>COUNTIF(Squads!$N:$N,"Finance")</f>
        <v>16.0</v>
      </c>
      <c r="D11" s="986">
        <f>C11-E11</f>
        <v>8.0</v>
      </c>
      <c r="E11" s="986">
        <f>COUNTIFS(Squads!$N:$N,"Finance",Squads!$R:$R,"Vacant")</f>
        <v>8.0</v>
      </c>
      <c r="F11" s="986">
        <f>COUNTIF('REVIEW - Complete Role Mapping'!$AJ:$AJ,"Finance")</f>
        <v>16.0</v>
      </c>
      <c r="G11" s="986">
        <f>F11-H11</f>
        <v>6.0</v>
      </c>
      <c r="H11" s="986">
        <f>COUNTIFS('REVIEW - Complete Role Mapping'!$AJ:$AJ,"Finance",'REVIEW - Complete Role Mapping'!$AK:$AK,"Vacant")</f>
        <v>10.0</v>
      </c>
      <c r="I11" s="987">
        <f>F11-C11</f>
        <v>0.0</v>
      </c>
      <c r="J11" s="987">
        <f>G11-D11</f>
        <v>-2.0</v>
      </c>
      <c r="K11" s="987">
        <f>H11-E11</f>
        <v>2.0</v>
      </c>
    </row>
    <row r="12">
      <c r="B12" s="985" t="inlineStr">
        <is>
          <t>Infrastructure</t>
        </is>
      </c>
      <c r="C12" s="986">
        <f>COUNTIF(Squads!$N:$N,"Infrastructure")</f>
        <v>35.0</v>
      </c>
      <c r="D12" s="986">
        <f>C12-E12</f>
        <v>21.0</v>
      </c>
      <c r="E12" s="986">
        <f>COUNTIFS(Squads!$N:$N,"Infrastructure",Squads!$R:$R,"Vacant")</f>
        <v>14.0</v>
      </c>
      <c r="F12" s="986">
        <f>COUNTIF('REVIEW - Complete Role Mapping'!$AJ:$AJ,"Infrastructure")</f>
        <v>36.0</v>
      </c>
      <c r="G12" s="986">
        <f>F12-H12</f>
        <v>24.0</v>
      </c>
      <c r="H12" s="986">
        <f>COUNTIFS('REVIEW - Complete Role Mapping'!$AJ:$AJ,"Infrastructure",'REVIEW - Complete Role Mapping'!$AK:$AK,"Vacant")</f>
        <v>12.0</v>
      </c>
      <c r="I12" s="987">
        <f>F12-C12</f>
        <v>1.0</v>
      </c>
      <c r="J12" s="987">
        <f>G12-D12</f>
        <v>3.0</v>
      </c>
      <c r="K12" s="987">
        <f>H12-E12</f>
        <v>-2.0</v>
      </c>
    </row>
    <row r="13">
      <c r="B13" s="988" t="inlineStr">
        <is>
          <t>Energy Solutions &amp; B2B</t>
        </is>
      </c>
      <c r="C13" s="986">
        <f>COUNTIF(Squads!$N:$N,"Energy Solutions &amp; B2B")</f>
        <v>37.0</v>
      </c>
      <c r="D13" s="986">
        <f>C13-E13</f>
        <v>25.0</v>
      </c>
      <c r="E13" s="986">
        <f>COUNTIFS(Squads!$N:$N,"Energy Solutions &amp; B2B",Squads!$R:$R,"Vacant")</f>
        <v>12.0</v>
      </c>
      <c r="F13" s="986">
        <f>COUNTIF('REVIEW - Complete Role Mapping'!$AJ:$AJ,"Energy Solutions &amp; B2B")</f>
        <v>33.0</v>
      </c>
      <c r="G13" s="986">
        <f>F13-H13</f>
        <v>24.0</v>
      </c>
      <c r="H13" s="986">
        <f>COUNTIFS('REVIEW - Complete Role Mapping'!$AJ:$AJ,"Energy Solutions &amp; B2B",'REVIEW - Complete Role Mapping'!$AK:$AK,"Vacant")</f>
        <v>9.0</v>
      </c>
      <c r="I13" s="987">
        <f>F13-C13</f>
        <v>-4.0</v>
      </c>
      <c r="J13" s="987">
        <f>G13-D13</f>
        <v>-1.0</v>
      </c>
      <c r="K13" s="987">
        <f>H13-E13</f>
        <v>-3.0</v>
      </c>
    </row>
    <row r="14">
      <c r="B14" s="985" t="inlineStr">
        <is>
          <t>Commercial Fuels</t>
        </is>
      </c>
      <c r="C14" s="986">
        <f>COUNTIF(Squads!$N:$N,"Commercial Fuels")</f>
        <v>42.0</v>
      </c>
      <c r="D14" s="986">
        <f>C14-E14</f>
        <v>32.0</v>
      </c>
      <c r="E14" s="986">
        <f>COUNTIFS(Squads!$N:$N,"Commercial Fuels",Squads!$R:$R,"Vacant")</f>
        <v>10.0</v>
      </c>
      <c r="F14" s="986">
        <f>COUNTIF('REVIEW - Complete Role Mapping'!$AJ:$AJ,"Commercial Fuels")</f>
        <v>42.0</v>
      </c>
      <c r="G14" s="986">
        <f>F14-H14</f>
        <v>33.0</v>
      </c>
      <c r="H14" s="986">
        <f>COUNTIFS('REVIEW - Complete Role Mapping'!$AJ:$AJ,"Commercial Fuels",'REVIEW - Complete Role Mapping'!$AK:$AK,"Vacant")</f>
        <v>9.0</v>
      </c>
      <c r="I14" s="987">
        <f>F14-C14</f>
        <v>0.0</v>
      </c>
      <c r="J14" s="987">
        <f>G14-D14</f>
        <v>1.0</v>
      </c>
      <c r="K14" s="987">
        <f>H14-E14</f>
        <v>-1.0</v>
      </c>
    </row>
    <row r="15">
      <c r="B15" s="988" t="inlineStr">
        <is>
          <t>Z Retail</t>
        </is>
      </c>
      <c r="C15" s="986">
        <f>COUNTIF(Squads!$N:$N,"Z Retail")</f>
        <v>34.0</v>
      </c>
      <c r="D15" s="986">
        <f>C15-E15</f>
        <v>28.0</v>
      </c>
      <c r="E15" s="986">
        <f>COUNTIFS(Squads!$N:$N,"Z Retail",Squads!$R:$R,"Vacant")</f>
        <v>6.0</v>
      </c>
      <c r="F15" s="986">
        <f>COUNTIF('REVIEW - Complete Role Mapping'!$AJ:$AJ,"Z Retail")</f>
        <v>39.0</v>
      </c>
      <c r="G15" s="986">
        <f>F15-H15</f>
        <v>31.0</v>
      </c>
      <c r="H15" s="986">
        <f>COUNTIFS('REVIEW - Complete Role Mapping'!$AJ:$AJ,"Z Retail",'REVIEW - Complete Role Mapping'!$AK:$AK,"Vacant")</f>
        <v>8.0</v>
      </c>
      <c r="I15" s="987">
        <f>F15-C15</f>
        <v>5.0</v>
      </c>
      <c r="J15" s="987">
        <f>G15-D15</f>
        <v>3.0</v>
      </c>
      <c r="K15" s="987">
        <f>H15-E15</f>
        <v>2.0</v>
      </c>
    </row>
    <row r="16">
      <c r="B16" s="985" t="inlineStr">
        <is>
          <t>COE - Cyber</t>
        </is>
      </c>
      <c r="C16" s="986">
        <f>COUNTIF(Squads!$N:$N,"TDD Cyber")</f>
        <v>48.0</v>
      </c>
      <c r="D16" s="986">
        <f>C16-E16</f>
        <v>40.0</v>
      </c>
      <c r="E16" s="986">
        <f>COUNTIFS(Squads!$N:$N,"TDD Cyber",Squads!$R:$R,"Vacant")</f>
        <v>8.0</v>
      </c>
      <c r="F16" s="986">
        <f>COUNTIF('REVIEW - Complete Role Mapping'!$AJ:$AJ,"COE Cyber")</f>
        <v>46.0</v>
      </c>
      <c r="G16" s="986">
        <f>F16-H16</f>
        <v>42.0</v>
      </c>
      <c r="H16" s="986">
        <f>COUNTIFS('REVIEW - Complete Role Mapping'!$AJ:$AJ,"COE Cyber",'REVIEW - Complete Role Mapping'!$AK:$AK,"Vacant")</f>
        <v>4.0</v>
      </c>
      <c r="I16" s="987">
        <f>F16-C16</f>
        <v>-2.0</v>
      </c>
      <c r="J16" s="987">
        <f>G16-D16</f>
        <v>2.0</v>
      </c>
      <c r="K16" s="987">
        <f>H16-E16</f>
        <v>-4.0</v>
      </c>
    </row>
    <row r="17">
      <c r="B17" s="988" t="inlineStr">
        <is>
          <t>COE - Partnering, Strategy, Arch &amp; Data</t>
        </is>
      </c>
      <c r="C17" s="986">
        <f>COUNTIF(Squads!$N:$N,"COE")</f>
        <v>52.0</v>
      </c>
      <c r="D17" s="986">
        <f>C17-E17</f>
        <v>31.0</v>
      </c>
      <c r="E17" s="986">
        <f>COUNTIFS(Squads!$N:$N,"COE",Squads!$R:$R,"Vacant")</f>
        <v>21.0</v>
      </c>
      <c r="F17" s="986">
        <f>COUNTIF('REVIEW - Complete Role Mapping'!$AJ:$AJ,"COE BP&amp;T")+COUNTIF('REVIEW - Complete Role Mapping'!$AJ:$AJ,"COE SA&amp;D")</f>
        <v>47.0</v>
      </c>
      <c r="G17" s="986">
        <f>F17-H17</f>
        <v>27.0</v>
      </c>
      <c r="H17" s="986">
        <f>COUNTIFS('REVIEW - Complete Role Mapping'!$AJ:$AJ,"COE BP&amp;T",'REVIEW - Complete Role Mapping'!$AK:$AK,"Vacant")+COUNTIFS('REVIEW - Complete Role Mapping'!$AJ:$AJ,"COE SA&amp;D",'REVIEW - Complete Role Mapping'!$AK:$AK,"Vacant")</f>
        <v>20.0</v>
      </c>
      <c r="I17" s="987">
        <f>F17-C17</f>
        <v>-5.0</v>
      </c>
      <c r="J17" s="987">
        <f>G17-D17</f>
        <v>-4.0</v>
      </c>
      <c r="K17" s="987">
        <f>H17-E17</f>
        <v>-1.0</v>
      </c>
    </row>
    <row r="18">
      <c r="B18" s="985" t="inlineStr">
        <is>
          <t>EGI &amp; Central</t>
        </is>
      </c>
      <c r="C18" s="986">
        <f>COUNTIF(Squads!$N:$N,"EGI")</f>
        <v>5.0</v>
      </c>
      <c r="D18" s="986">
        <f>C18-E18</f>
        <v>5.0</v>
      </c>
      <c r="E18" s="986">
        <f>COUNTIFS(Squads!$N:$N,"EGI",Squads!$R:$R,"Vacant")</f>
        <v>0.0</v>
      </c>
      <c r="F18" s="986">
        <f>COUNTIF('REVIEW - Complete Role Mapping'!$AJ:$AJ,"EGI &amp; Central")</f>
        <v>17.0</v>
      </c>
      <c r="G18" s="986">
        <f>F18-H18</f>
        <v>17.0</v>
      </c>
      <c r="H18" s="986">
        <f>COUNTIFS('REVIEW - Complete Role Mapping'!$AJ:$AJ,"EGI &amp; Central",'REVIEW - Complete Role Mapping'!$AK:$AK,"Vacant")</f>
        <v>0.0</v>
      </c>
      <c r="I18" s="987">
        <f>F18-C18</f>
        <v>12.0</v>
      </c>
      <c r="J18" s="987">
        <f>G18-D18</f>
        <v>12.0</v>
      </c>
      <c r="K18" s="987">
        <f>H18-E18</f>
        <v>0.0</v>
      </c>
    </row>
    <row r="19">
      <c r="B19" s="988" t="inlineStr">
        <is>
          <t>Unmapped (Squads only)</t>
        </is>
      </c>
      <c r="C19" s="986">
        <f>COUNTIF(Squads!$N:$N,"Unmapped")</f>
        <v>4.0</v>
      </c>
      <c r="D19" s="986">
        <f>C19-E19</f>
        <v>3.0</v>
      </c>
      <c r="E19" s="986">
        <f>COUNTIFS(Squads!$N:$N,"Unmapped",Squads!$R:$R,"Vacant")</f>
        <v>1.0</v>
      </c>
      <c r="F19" s="986">
        <f>0</f>
        <v>0.0</v>
      </c>
      <c r="G19" s="986">
        <f>F19-H19</f>
        <v>0.0</v>
      </c>
      <c r="H19" s="986">
        <f>0</f>
        <v>0.0</v>
      </c>
      <c r="I19" s="987">
        <f>F19-C19</f>
        <v>-4.0</v>
      </c>
      <c r="J19" s="987">
        <f>G19-D19</f>
        <v>-3.0</v>
      </c>
      <c r="K19" s="987">
        <f>H19-E19</f>
        <v>-1.0</v>
      </c>
    </row>
    <row r="20">
      <c r="B20" s="989" t="inlineStr">
        <is>
          <t>Total</t>
        </is>
      </c>
      <c r="C20" s="990">
        <f>SUM(C6:C19)</f>
        <v>536.0</v>
      </c>
      <c r="D20" s="990">
        <f>SUM(D6:D19)</f>
        <v>370.0</v>
      </c>
      <c r="E20" s="990">
        <f>SUM(E6:E19)</f>
        <v>166.0</v>
      </c>
      <c r="F20" s="990">
        <f>SUM(F6:F19)</f>
        <v>527.0</v>
      </c>
      <c r="G20" s="990">
        <f>SUM(G6:G19)</f>
        <v>374.0</v>
      </c>
      <c r="H20" s="990">
        <f>SUM(H6:H19)</f>
        <v>153.0</v>
      </c>
      <c r="I20" s="991">
        <f>SUM(I6:I19)</f>
        <v>-9.0</v>
      </c>
      <c r="J20" s="991">
        <f>SUM(J6:J19)</f>
        <v>4.0</v>
      </c>
      <c r="K20" s="991">
        <f>SUM(K6:K19)</f>
        <v>-13.0</v>
      </c>
    </row>
    <row r="22">
      <c r="B22" s="983" t="inlineStr">
        <is>
          <t>Mapping: Squads "TDD Cyber" = COE - Cyber; Squads "COE" = COE Partnering + Strategy/Arch/Data (REVIEW splits these); Squads "EGI" = EGI &amp; Central; "Unmapped" has no REVIEW equivalent.</t>
        </is>
      </c>
    </row>
    <row r="23">
      <c r="B23" s="983" t="inlineStr">
        <is>
          <t>Squads status uses its Status column; REVIEW status uses the MStatus helper (Vacant where the source marks the role vacant).</t>
        </is>
      </c>
    </row>
  </sheetData>
  <pageMargins left="0.75" right="0.75" top="1" bottom="1" header="0.5" footer="0.5"/>
</worksheet>
</file>

<file path=xl/worksheets/sheet43.xml><?xml version="1.0" encoding="utf-8"?>
<worksheet xmlns="http://schemas.openxmlformats.org/spreadsheetml/2006/main">
  <sheetPr>
    <tabColor rgb="FF375623"/>
    <outlinePr summaryBelow="1" summaryRight="1"/>
    <pageSetUpPr/>
  </sheetPr>
  <dimension ref="B2:B2"/>
  <sheetViews>
    <sheetView showGridLines="0" workbookViewId="0">
      <selection activeCell="A1" sqref="A1"/>
    </sheetView>
  </sheetViews>
  <sheetFormatPr baseColWidth="8" defaultRowHeight="14.5"/>
  <cols>
    <col width="2" customWidth="1" style="849" min="1" max="1"/>
    <col width="60" customWidth="1" style="849" min="2" max="2"/>
  </cols>
  <sheetData>
    <row r="2" ht="21" customHeight="1" s="849">
      <c r="B2" s="620" t="inlineStr">
        <is>
          <t>EVIDENCE  &gt;&gt;&gt;</t>
        </is>
      </c>
    </row>
  </sheetData>
  <pageMargins left="0.75" right="0.75" top="1" bottom="1" header="0.5" footer="0.5"/>
</worksheet>
</file>

<file path=xl/worksheets/sheet44.xml><?xml version="1.0" encoding="utf-8"?>
<worksheet xmlns="http://schemas.openxmlformats.org/spreadsheetml/2006/main">
  <sheetPr>
    <tabColor rgb="FF375623"/>
    <outlinePr summaryBelow="1" summaryRight="1"/>
    <pageSetUpPr/>
  </sheetPr>
  <dimension ref="B2:F263"/>
  <sheetViews>
    <sheetView showGridLines="0" workbookViewId="0">
      <selection activeCell="A1" sqref="A1"/>
    </sheetView>
  </sheetViews>
  <sheetFormatPr baseColWidth="8" defaultRowHeight="14.5"/>
  <cols>
    <col width="3" customWidth="1" style="849" min="1" max="1"/>
    <col width="34" customWidth="1" style="849" min="2" max="2"/>
    <col width="16" customWidth="1" style="483" min="3" max="3"/>
    <col width="15.36328125" customWidth="1" style="483" min="4" max="4"/>
    <col width="8.6328125" bestFit="1" customWidth="1" style="483" min="5" max="5"/>
    <col width="44" customWidth="1" style="849" min="6" max="6"/>
  </cols>
  <sheetData>
    <row r="2" ht="21" customHeight="1" s="849">
      <c r="B2" s="423" t="inlineStr">
        <is>
          <t>Data QA - raw data (roles) vs Added data (costs) - point-in-time snapshot</t>
        </is>
      </c>
    </row>
    <row r="4">
      <c r="B4" s="427" t="inlineStr">
        <is>
          <t>Headline</t>
        </is>
      </c>
      <c r="C4" s="484" t="n"/>
      <c r="D4" s="484" t="n"/>
      <c r="E4" s="484" t="n"/>
      <c r="F4" s="428" t="n"/>
    </row>
    <row r="5">
      <c r="C5" s="485" t="inlineStr">
        <is>
          <t>raw data</t>
        </is>
      </c>
      <c r="D5" s="485" t="inlineStr">
        <is>
          <t>Added data</t>
        </is>
      </c>
      <c r="E5" s="485" t="inlineStr">
        <is>
          <t>Difference</t>
        </is>
      </c>
    </row>
    <row r="6">
      <c r="B6" s="417" t="inlineStr">
        <is>
          <t>Records</t>
        </is>
      </c>
      <c r="C6" s="486" t="n">
        <v>536</v>
      </c>
      <c r="D6" s="486" t="n">
        <v>548</v>
      </c>
      <c r="E6" s="487" t="n">
        <v>12</v>
      </c>
    </row>
    <row r="7">
      <c r="B7" s="417" t="inlineStr">
        <is>
          <t>Vacant</t>
        </is>
      </c>
      <c r="C7" s="486" t="n">
        <v>166</v>
      </c>
      <c r="D7" s="486" t="n">
        <v>156</v>
      </c>
      <c r="E7" s="487" t="n">
        <v>-10</v>
      </c>
    </row>
    <row r="8">
      <c r="B8" s="417" t="inlineStr">
        <is>
          <t>Filled</t>
        </is>
      </c>
      <c r="C8" s="486" t="n">
        <v>370</v>
      </c>
      <c r="D8" s="486" t="n">
        <v>392</v>
      </c>
      <c r="E8" s="487" t="n">
        <v>22</v>
      </c>
    </row>
    <row r="9">
      <c r="B9" s="417" t="inlineStr">
        <is>
          <t>Distinct named records</t>
        </is>
      </c>
      <c r="C9" s="486" t="n">
        <v>363</v>
      </c>
      <c r="D9" s="486" t="n">
        <v>383</v>
      </c>
      <c r="E9" s="487" t="n">
        <v>20</v>
      </c>
    </row>
    <row r="11">
      <c r="B11" s="427" t="inlineStr">
        <is>
          <t>In Added data only - joined the org after the raw data cut, or naming mismatch</t>
        </is>
      </c>
      <c r="C11" s="484" t="n"/>
      <c r="D11" s="484" t="n"/>
      <c r="E11" s="484" t="n"/>
      <c r="F11" s="428" t="n"/>
    </row>
    <row r="12">
      <c r="B12" s="417" t="inlineStr">
        <is>
          <t>Ahmed Yehya</t>
        </is>
      </c>
      <c r="F12" s="417" t="inlineStr">
        <is>
          <t>TDD Strategic Delivery | EGI</t>
        </is>
      </c>
    </row>
    <row r="13">
      <c r="B13" s="417" t="inlineStr">
        <is>
          <t>Akhil Sriram</t>
        </is>
      </c>
      <c r="F13" s="417" t="inlineStr">
        <is>
          <t>Snr Business Analyst | Fuel Infrastructure</t>
        </is>
      </c>
    </row>
    <row r="14">
      <c r="B14" s="417" t="inlineStr">
        <is>
          <t>Alison Rosier</t>
        </is>
      </c>
      <c r="F14" s="417" t="inlineStr">
        <is>
          <t>Technology Support Engineer - Infrastructure | Fuel Infrastructure</t>
        </is>
      </c>
    </row>
    <row r="15">
      <c r="B15" s="417" t="inlineStr">
        <is>
          <t>Anthony Huynh</t>
        </is>
      </c>
      <c r="F15" s="417" t="inlineStr">
        <is>
          <t>Strategic Delivery Consultant | EGI</t>
        </is>
      </c>
    </row>
    <row r="16">
      <c r="B16" s="417" t="inlineStr">
        <is>
          <t>Archana Chetiwal</t>
        </is>
      </c>
      <c r="F16" s="417" t="inlineStr">
        <is>
          <t xml:space="preserve">Snr Engineer | TDD &amp; Engineering </t>
        </is>
      </c>
    </row>
    <row r="17">
      <c r="B17" s="417" t="inlineStr">
        <is>
          <t>Ashish Gupte</t>
        </is>
      </c>
      <c r="C17" s="417" t="n"/>
      <c r="D17" s="417" t="n"/>
      <c r="E17" s="417" t="n"/>
      <c r="F17" s="417" t="inlineStr">
        <is>
          <t>DeveloperSAP ECC | EGI</t>
        </is>
      </c>
    </row>
    <row r="18">
      <c r="B18" s="417" t="inlineStr">
        <is>
          <t>Belinda Hoskens</t>
        </is>
      </c>
      <c r="F18" s="417" t="inlineStr">
        <is>
          <t>Technology Support Engineer | Service Op &amp; Assurance</t>
        </is>
      </c>
    </row>
    <row r="19">
      <c r="B19" s="417" t="inlineStr">
        <is>
          <t>Breanna Hua</t>
        </is>
      </c>
      <c r="F19" s="417" t="inlineStr">
        <is>
          <t>Systems Analyst | Fuel Infrastructure</t>
        </is>
      </c>
    </row>
    <row r="20">
      <c r="B20" s="417" t="inlineStr">
        <is>
          <t>Caitlin Dyas</t>
        </is>
      </c>
      <c r="F20" s="417" t="inlineStr">
        <is>
          <t>Snr Engineer Software | B2B &amp; Energy Solutions</t>
        </is>
      </c>
    </row>
    <row r="21">
      <c r="B21" s="417" t="inlineStr">
        <is>
          <t>Carol Kuang</t>
        </is>
      </c>
      <c r="F21" s="417" t="inlineStr">
        <is>
          <t>Senior Data Scientist | Group Data</t>
        </is>
      </c>
    </row>
    <row r="22">
      <c r="B22" s="417" t="inlineStr">
        <is>
          <t>Conli Mills</t>
        </is>
      </c>
      <c r="F22" s="417" t="inlineStr">
        <is>
          <t>TDD BP - Infrastructure | TDD Business Partner</t>
        </is>
      </c>
    </row>
    <row r="23">
      <c r="B23" s="417" t="inlineStr">
        <is>
          <t>Edwin Justin</t>
        </is>
      </c>
      <c r="F23" s="417" t="inlineStr">
        <is>
          <t>Senior Engineer - BE | Digital</t>
        </is>
      </c>
    </row>
    <row r="24">
      <c r="B24" s="417" t="inlineStr">
        <is>
          <t>Elma Kurian</t>
        </is>
      </c>
      <c r="F24" s="417" t="inlineStr">
        <is>
          <t>System Specialist | B2B &amp; Energy Solutions</t>
        </is>
      </c>
    </row>
    <row r="25">
      <c r="B25" s="417" t="inlineStr">
        <is>
          <t>Ernesto Pereira</t>
        </is>
      </c>
      <c r="F25" s="417" t="inlineStr">
        <is>
          <t>Project Manger | EGI</t>
        </is>
      </c>
    </row>
    <row r="26">
      <c r="B26" s="417" t="inlineStr">
        <is>
          <t>Harish Dasari</t>
        </is>
      </c>
      <c r="F26" s="417" t="inlineStr">
        <is>
          <t>Business Analyst (SAP Payroll) | EGI</t>
        </is>
      </c>
    </row>
    <row r="27">
      <c r="B27" s="417" t="inlineStr">
        <is>
          <t>Isha Riyat</t>
        </is>
      </c>
      <c r="F27" s="417" t="inlineStr">
        <is>
          <t>Senior Business Analyst | Commercial Fuels</t>
        </is>
      </c>
    </row>
    <row r="28">
      <c r="B28" s="417" t="inlineStr">
        <is>
          <t>James Hung</t>
        </is>
      </c>
      <c r="F28" s="417" t="inlineStr">
        <is>
          <t>System Specialist | B2B &amp; Energy Solutions</t>
        </is>
      </c>
    </row>
    <row r="29">
      <c r="B29" s="417" t="inlineStr">
        <is>
          <t>James Munt</t>
        </is>
      </c>
      <c r="F29" s="417" t="inlineStr">
        <is>
          <t>Program Manager Tech &amp; P&amp;C | EGI</t>
        </is>
      </c>
    </row>
    <row r="30">
      <c r="B30" s="417" t="inlineStr">
        <is>
          <t>Jane Esclandra</t>
        </is>
      </c>
      <c r="F30" s="417" t="inlineStr">
        <is>
          <t>Software Asset Specialist | Commercial</t>
        </is>
      </c>
    </row>
    <row r="31">
      <c r="B31" s="417" t="inlineStr">
        <is>
          <t>Jason Gleason</t>
        </is>
      </c>
      <c r="F31" s="417" t="inlineStr">
        <is>
          <t>Technology Manager, Data Engineering &amp; Platforms | Group Data</t>
        </is>
      </c>
    </row>
    <row r="32">
      <c r="B32" s="417" t="inlineStr">
        <is>
          <t>Jason McNamara</t>
        </is>
      </c>
      <c r="F32" s="417" t="inlineStr">
        <is>
          <t>Project Manager Retail | EGI</t>
        </is>
      </c>
    </row>
    <row r="33">
      <c r="B33" s="417" t="inlineStr">
        <is>
          <t>Jason Sipkovic</t>
        </is>
      </c>
      <c r="F33" s="417" t="inlineStr">
        <is>
          <t>strategic program architect | EGI</t>
        </is>
      </c>
    </row>
    <row r="34">
      <c r="B34" s="417" t="inlineStr">
        <is>
          <t>Jens Tom</t>
        </is>
      </c>
      <c r="F34" s="417" t="inlineStr">
        <is>
          <t>SAP Solution Architect | TDD Group Functions</t>
        </is>
      </c>
    </row>
    <row r="35">
      <c r="B35" s="417" t="inlineStr">
        <is>
          <t>Joel Krijnen</t>
        </is>
      </c>
      <c r="F35" s="417" t="inlineStr">
        <is>
          <t xml:space="preserve">Lead Engineer Software | TDD &amp; Engineering </t>
        </is>
      </c>
    </row>
    <row r="36">
      <c r="B36" s="417" t="inlineStr">
        <is>
          <t>Kanika Narula</t>
        </is>
      </c>
      <c r="F36" s="417" t="inlineStr">
        <is>
          <t>Business Analyst Digital | EGI</t>
        </is>
      </c>
    </row>
    <row r="37">
      <c r="B37" s="417" t="inlineStr">
        <is>
          <t>Karl Reyneke</t>
        </is>
      </c>
      <c r="F37" s="417" t="inlineStr">
        <is>
          <t>Strategic Delivery Consultant | EGI</t>
        </is>
      </c>
    </row>
    <row r="38">
      <c r="B38" s="417" t="inlineStr">
        <is>
          <t>Kina Birkby</t>
        </is>
      </c>
      <c r="F38" s="417" t="inlineStr">
        <is>
          <t>Delivery Lead | Delivery, SADA</t>
        </is>
      </c>
    </row>
    <row r="39">
      <c r="B39" s="417" t="inlineStr">
        <is>
          <t>michelle Siegman</t>
        </is>
      </c>
      <c r="F39" s="417" t="inlineStr">
        <is>
          <t>Strategic Delivery Consultant | EGI</t>
        </is>
      </c>
    </row>
    <row r="40">
      <c r="B40" s="417" t="inlineStr">
        <is>
          <t>Mikey Tran</t>
        </is>
      </c>
      <c r="F40" s="417" t="inlineStr">
        <is>
          <t>Senior Systems Analyst - Card | B2B &amp; Energy Solutions</t>
        </is>
      </c>
    </row>
    <row r="41">
      <c r="B41" s="417" t="inlineStr">
        <is>
          <t>Moitri Pal</t>
        </is>
      </c>
      <c r="F41" s="417" t="inlineStr">
        <is>
          <t>Portfolio Mnager | EGI</t>
        </is>
      </c>
    </row>
    <row r="42">
      <c r="B42" s="417" t="inlineStr">
        <is>
          <t>Noel Morris</t>
        </is>
      </c>
      <c r="F42" s="417" t="inlineStr">
        <is>
          <t xml:space="preserve">Snr Engineer | TDD &amp; Engineering </t>
        </is>
      </c>
    </row>
    <row r="43">
      <c r="B43" s="417" t="inlineStr">
        <is>
          <t>Paul Hassey</t>
        </is>
      </c>
      <c r="F43" s="417" t="inlineStr">
        <is>
          <t>Program Architect | EGI</t>
        </is>
      </c>
    </row>
    <row r="44">
      <c r="B44" s="417" t="inlineStr">
        <is>
          <t>Peter Lee</t>
        </is>
      </c>
      <c r="F44" s="417" t="inlineStr">
        <is>
          <t>Snr Business Analyst | Digital</t>
        </is>
      </c>
    </row>
    <row r="45">
      <c r="B45" s="417" t="inlineStr">
        <is>
          <t>Radek Rybar</t>
        </is>
      </c>
      <c r="F45" s="417" t="inlineStr">
        <is>
          <t>Technology Support Engineer - Infrastructure | Fuel Infrastructure</t>
        </is>
      </c>
    </row>
    <row r="46">
      <c r="B46" s="417" t="inlineStr">
        <is>
          <t>Rebecca Estepa</t>
        </is>
      </c>
      <c r="F46" s="417" t="inlineStr">
        <is>
          <t>Snr Business Analyst | Fuel Infrastructure</t>
        </is>
      </c>
    </row>
    <row r="47">
      <c r="B47" s="417" t="inlineStr">
        <is>
          <t>Ring fenced selection</t>
        </is>
      </c>
      <c r="F47" s="417" t="inlineStr">
        <is>
          <t>Cloud Solutions Architect | TDD &amp; Engineering</t>
        </is>
      </c>
    </row>
    <row r="48">
      <c r="B48" s="417" t="inlineStr">
        <is>
          <t>Suja Sugathan</t>
        </is>
      </c>
      <c r="F48" s="417" t="inlineStr">
        <is>
          <t>Senior Business Analyst | Commercial Fuels</t>
        </is>
      </c>
    </row>
    <row r="49">
      <c r="B49" s="417" t="inlineStr">
        <is>
          <t>vijay Solanki</t>
        </is>
      </c>
      <c r="F49" s="417" t="inlineStr">
        <is>
          <t>Project Manager Deployment | EGI</t>
        </is>
      </c>
    </row>
    <row r="51">
      <c r="B51" s="427" t="inlineStr">
        <is>
          <t>In raw data only - left the org, or naming mismatch</t>
        </is>
      </c>
      <c r="C51" s="484" t="n"/>
      <c r="D51" s="484" t="n"/>
      <c r="E51" s="484" t="n"/>
      <c r="F51" s="428" t="n"/>
    </row>
    <row r="52">
      <c r="B52" s="417" t="inlineStr">
        <is>
          <t>Adriel Jeyanandhan</t>
        </is>
      </c>
      <c r="F52" s="417" t="inlineStr">
        <is>
          <t>Delivery Manager | model squad: Leadership</t>
        </is>
      </c>
    </row>
    <row r="53">
      <c r="B53" s="417" t="inlineStr">
        <is>
          <t>Axel Soh</t>
        </is>
      </c>
      <c r="F53" s="417" t="inlineStr">
        <is>
          <t>Cloud Solutions Architect | model squad: Network &amp; Infrastructure</t>
        </is>
      </c>
    </row>
    <row r="54">
      <c r="B54" s="417" t="inlineStr">
        <is>
          <t>Dave O'Keefe</t>
        </is>
      </c>
      <c r="F54" s="417" t="inlineStr">
        <is>
          <t>Technology Manager - P&amp;C Platforms | model squad: Leadership</t>
        </is>
      </c>
    </row>
    <row r="55">
      <c r="B55" s="417" t="inlineStr">
        <is>
          <t>Ed Tacey</t>
        </is>
      </c>
      <c r="F55" s="417" t="inlineStr">
        <is>
          <t>Head of Architecture | model squad: Leadership</t>
        </is>
      </c>
    </row>
    <row r="56">
      <c r="B56" s="417" t="inlineStr">
        <is>
          <t>Emma Natoli</t>
        </is>
      </c>
      <c r="F56" s="417" t="inlineStr">
        <is>
          <t>Technology Manager, Engineering | model squad: Leadership</t>
        </is>
      </c>
    </row>
    <row r="57">
      <c r="B57" s="417" t="inlineStr">
        <is>
          <t>Hitesh Patel</t>
        </is>
      </c>
      <c r="F57" s="417" t="inlineStr">
        <is>
          <t>Technology Manager, Energy Solutions | model squad: AU CRM &amp; Martech</t>
        </is>
      </c>
    </row>
    <row r="58">
      <c r="B58" s="417" t="inlineStr">
        <is>
          <t>Jill Martin</t>
        </is>
      </c>
      <c r="F58" s="417" t="inlineStr">
        <is>
          <t>Delivery Manager | model squad: Leadership</t>
        </is>
      </c>
    </row>
    <row r="59">
      <c r="B59" s="417" t="inlineStr">
        <is>
          <t>John Badia</t>
        </is>
      </c>
      <c r="F59" s="417" t="inlineStr">
        <is>
          <t>Cloud Solutions Architect | model squad: Network &amp; Infrastructure</t>
        </is>
      </c>
    </row>
    <row r="60">
      <c r="B60" s="417" t="inlineStr">
        <is>
          <t>Johnny Li</t>
        </is>
      </c>
      <c r="F60" s="417" t="inlineStr">
        <is>
          <t>Cloud Solutions Architect | model squad: Network &amp; Infrastructure</t>
        </is>
      </c>
    </row>
    <row r="61">
      <c r="B61" s="417" t="inlineStr">
        <is>
          <t>Kamal Patel</t>
        </is>
      </c>
      <c r="F61" s="417" t="inlineStr">
        <is>
          <t>JDE Senior Systems Specialist | model squad: NZ Finance</t>
        </is>
      </c>
    </row>
    <row r="62">
      <c r="B62" s="417" t="inlineStr">
        <is>
          <t>Karla Orozco Loza</t>
        </is>
      </c>
      <c r="F62" s="417" t="inlineStr">
        <is>
          <t>Technology Manager, Future Infrastructure  | model squad: Leadership</t>
        </is>
      </c>
    </row>
    <row r="63">
      <c r="B63" s="417" t="inlineStr">
        <is>
          <t>Manjot Kaur Malli</t>
        </is>
      </c>
      <c r="F63" s="417" t="inlineStr">
        <is>
          <t>Technology Manager, Data | model squad: Above Store</t>
        </is>
      </c>
    </row>
    <row r="64">
      <c r="B64" s="417" t="inlineStr">
        <is>
          <t>Martyn Rudduck</t>
        </is>
      </c>
      <c r="F64" s="417" t="inlineStr">
        <is>
          <t>JDE Senior Systems Specialist | model squad: NZ Finance</t>
        </is>
      </c>
    </row>
    <row r="65">
      <c r="B65" s="417" t="inlineStr">
        <is>
          <t>Murray Mitchell</t>
        </is>
      </c>
      <c r="F65" s="417" t="inlineStr">
        <is>
          <t>Technology Manager, Workplace and Enterprise Tooling | model squad: Leadership</t>
        </is>
      </c>
    </row>
    <row r="66">
      <c r="B66" s="417" t="inlineStr">
        <is>
          <t>Nico Lender</t>
        </is>
      </c>
      <c r="F66" s="417" t="inlineStr">
        <is>
          <t>Solution Architect | model squad: Energy</t>
        </is>
      </c>
    </row>
    <row r="67">
      <c r="B67" s="417" t="inlineStr">
        <is>
          <t>Pierre Spee</t>
        </is>
      </c>
      <c r="F67" s="417" t="inlineStr">
        <is>
          <t>Cloud Solutions Architect | model squad: Network &amp; Infrastructure</t>
        </is>
      </c>
    </row>
    <row r="68">
      <c r="B68" s="417" t="inlineStr">
        <is>
          <t>Prem Shetty</t>
        </is>
      </c>
      <c r="F68" s="417" t="inlineStr">
        <is>
          <t>Delivery manager | model squad: Leadership</t>
        </is>
      </c>
    </row>
    <row r="69">
      <c r="B69" s="417" t="inlineStr">
        <is>
          <t>Zoe Udy</t>
        </is>
      </c>
      <c r="F69" s="417" t="inlineStr">
        <is>
          <t>Technology Manager - Data &amp; Engineering | model squad: Leadership</t>
        </is>
      </c>
    </row>
    <row r="71">
      <c r="B71" s="427" t="inlineStr">
        <is>
          <t>Roles by model squad - raw data vs Added data (differences only)</t>
        </is>
      </c>
      <c r="C71" s="484" t="n"/>
      <c r="D71" s="484" t="n"/>
      <c r="E71" s="484" t="n"/>
      <c r="F71" s="428" t="n"/>
    </row>
    <row r="72">
      <c r="B72" s="424" t="inlineStr">
        <is>
          <t>Portfolio / squad</t>
        </is>
      </c>
      <c r="C72" s="485" t="inlineStr">
        <is>
          <t>raw data roles</t>
        </is>
      </c>
      <c r="D72" s="485" t="inlineStr">
        <is>
          <t>Added data roles</t>
        </is>
      </c>
      <c r="E72" s="485" t="inlineStr">
        <is>
          <t>Difference</t>
        </is>
      </c>
    </row>
    <row r="73">
      <c r="B73" s="417" t="inlineStr">
        <is>
          <t>Ampol Retail / Above Store</t>
        </is>
      </c>
      <c r="C73" s="486" t="n">
        <v>22</v>
      </c>
      <c r="D73" s="486" t="n">
        <v>15</v>
      </c>
      <c r="E73" s="487" t="n">
        <v>-7</v>
      </c>
    </row>
    <row r="74">
      <c r="B74" s="417" t="inlineStr">
        <is>
          <t>Ampol Retail / AmPOS</t>
        </is>
      </c>
      <c r="C74" s="486" t="n">
        <v>10</v>
      </c>
      <c r="D74" s="486" t="n">
        <v>13</v>
      </c>
      <c r="E74" s="487" t="n">
        <v>3</v>
      </c>
    </row>
    <row r="75">
      <c r="B75" s="417" t="inlineStr">
        <is>
          <t>Ampol Retail / Data AU</t>
        </is>
      </c>
      <c r="C75" s="486" t="n">
        <v>5</v>
      </c>
      <c r="D75" s="486" t="n">
        <v>6</v>
      </c>
      <c r="E75" s="488" t="n">
        <v>1</v>
      </c>
    </row>
    <row r="76">
      <c r="B76" s="417" t="inlineStr">
        <is>
          <t>Ampol Retail / EGI Retail</t>
        </is>
      </c>
      <c r="C76" s="486" t="n">
        <v>6</v>
      </c>
      <c r="D76" s="486" t="n">
        <v>4</v>
      </c>
      <c r="E76" s="488" t="n">
        <v>-2</v>
      </c>
    </row>
    <row r="77">
      <c r="B77" s="417" t="inlineStr">
        <is>
          <t>Ampol Retail / Leadership</t>
        </is>
      </c>
      <c r="C77" s="486" t="n">
        <v>5</v>
      </c>
      <c r="D77" s="486" t="n">
        <v>6</v>
      </c>
      <c r="E77" s="488" t="n">
        <v>1</v>
      </c>
    </row>
    <row r="78">
      <c r="B78" s="417" t="inlineStr">
        <is>
          <t>Ampol Retail / Network / QSR</t>
        </is>
      </c>
      <c r="C78" s="486" t="n">
        <v>8</v>
      </c>
      <c r="D78" s="486" t="n">
        <v>7</v>
      </c>
      <c r="E78" s="488" t="n">
        <v>-1</v>
      </c>
    </row>
    <row r="79">
      <c r="B79" s="417" t="inlineStr">
        <is>
          <t>Ampol Retail / POS</t>
        </is>
      </c>
      <c r="C79" s="486" t="n">
        <v>7</v>
      </c>
      <c r="D79" s="486" t="n">
        <v>3</v>
      </c>
      <c r="E79" s="487" t="n">
        <v>-4</v>
      </c>
    </row>
    <row r="80">
      <c r="B80" s="417" t="inlineStr">
        <is>
          <t>Ampol Retail / POS, Payments</t>
        </is>
      </c>
      <c r="C80" s="486" t="n">
        <v>0</v>
      </c>
      <c r="D80" s="486" t="n">
        <v>1</v>
      </c>
      <c r="E80" s="488" t="n">
        <v>1</v>
      </c>
    </row>
    <row r="81">
      <c r="B81" s="417" t="inlineStr">
        <is>
          <t>Ampol Retail / Retail Operations</t>
        </is>
      </c>
      <c r="C81" s="486" t="n">
        <v>0</v>
      </c>
      <c r="D81" s="486" t="n">
        <v>7</v>
      </c>
      <c r="E81" s="487" t="n">
        <v>7</v>
      </c>
    </row>
    <row r="82">
      <c r="B82" s="417" t="inlineStr">
        <is>
          <t>Ampol Retail / Store Operations</t>
        </is>
      </c>
      <c r="C82" s="486" t="n">
        <v>8</v>
      </c>
      <c r="D82" s="486" t="n">
        <v>1</v>
      </c>
      <c r="E82" s="487" t="n">
        <v>-7</v>
      </c>
    </row>
    <row r="83">
      <c r="B83" s="417" t="inlineStr">
        <is>
          <t>COE / COE (unspecified)</t>
        </is>
      </c>
      <c r="C83" s="486" t="n">
        <v>7</v>
      </c>
      <c r="D83" s="486" t="n">
        <v>0</v>
      </c>
      <c r="E83" s="487" t="n">
        <v>-7</v>
      </c>
    </row>
    <row r="84">
      <c r="B84" s="417" t="inlineStr">
        <is>
          <t>COE / COE - Data</t>
        </is>
      </c>
      <c r="C84" s="486" t="n">
        <v>4</v>
      </c>
      <c r="D84" s="486" t="n">
        <v>5</v>
      </c>
      <c r="E84" s="488" t="n">
        <v>1</v>
      </c>
    </row>
    <row r="85">
      <c r="B85" s="417" t="inlineStr">
        <is>
          <t>COE / COE - Strategy Architecture</t>
        </is>
      </c>
      <c r="C85" s="486" t="n">
        <v>7</v>
      </c>
      <c r="D85" s="486" t="n">
        <v>14</v>
      </c>
      <c r="E85" s="487" t="n">
        <v>7</v>
      </c>
    </row>
    <row r="86">
      <c r="B86" s="417" t="inlineStr">
        <is>
          <t>COE / COE - Transformation</t>
        </is>
      </c>
      <c r="C86" s="486" t="n">
        <v>13</v>
      </c>
      <c r="D86" s="486" t="n">
        <v>14</v>
      </c>
      <c r="E86" s="488" t="n">
        <v>1</v>
      </c>
    </row>
    <row r="87">
      <c r="B87" s="417" t="inlineStr">
        <is>
          <t>COE / Leadership</t>
        </is>
      </c>
      <c r="C87" s="486" t="n">
        <v>3</v>
      </c>
      <c r="D87" s="486" t="n">
        <v>0</v>
      </c>
      <c r="E87" s="487" t="n">
        <v>-3</v>
      </c>
    </row>
    <row r="88">
      <c r="B88" s="417" t="inlineStr">
        <is>
          <t>Commercial Fuels / Commercial Fuels</t>
        </is>
      </c>
      <c r="C88" s="486" t="n">
        <v>2</v>
      </c>
      <c r="D88" s="486" t="n">
        <v>0</v>
      </c>
      <c r="E88" s="488" t="n">
        <v>-2</v>
      </c>
    </row>
    <row r="89">
      <c r="B89" s="417" t="inlineStr">
        <is>
          <t>Commercial Fuels / Leadership</t>
        </is>
      </c>
      <c r="C89" s="486" t="n">
        <v>0</v>
      </c>
      <c r="D89" s="486" t="n">
        <v>4</v>
      </c>
      <c r="E89" s="487" t="n">
        <v>4</v>
      </c>
    </row>
    <row r="90">
      <c r="B90" s="417" t="inlineStr">
        <is>
          <t>Commercial Fuels / Trading &amp; Shipping</t>
        </is>
      </c>
      <c r="C90" s="486" t="n">
        <v>14</v>
      </c>
      <c r="D90" s="486" t="n">
        <v>12</v>
      </c>
      <c r="E90" s="488" t="n">
        <v>-2</v>
      </c>
    </row>
    <row r="91">
      <c r="B91" s="417" t="inlineStr">
        <is>
          <t>Customer / AU CRM &amp; Martech</t>
        </is>
      </c>
      <c r="C91" s="486" t="n">
        <v>13</v>
      </c>
      <c r="D91" s="486" t="n">
        <v>7</v>
      </c>
      <c r="E91" s="487" t="n">
        <v>-6</v>
      </c>
    </row>
    <row r="92">
      <c r="B92" s="417" t="inlineStr">
        <is>
          <t>Customer / EGI Customer</t>
        </is>
      </c>
      <c r="C92" s="486" t="n">
        <v>9</v>
      </c>
      <c r="D92" s="486" t="n">
        <v>10</v>
      </c>
      <c r="E92" s="488" t="n">
        <v>1</v>
      </c>
    </row>
    <row r="93">
      <c r="B93" s="417" t="inlineStr">
        <is>
          <t>Customer / Leadership</t>
        </is>
      </c>
      <c r="C93" s="486" t="n">
        <v>14</v>
      </c>
      <c r="D93" s="486" t="n">
        <v>13</v>
      </c>
      <c r="E93" s="488" t="n">
        <v>-1</v>
      </c>
    </row>
    <row r="94">
      <c r="B94" s="417" t="inlineStr">
        <is>
          <t>EGI / EGI (unassigned)</t>
        </is>
      </c>
      <c r="C94" s="486" t="n">
        <v>5</v>
      </c>
      <c r="D94" s="486" t="n">
        <v>21</v>
      </c>
      <c r="E94" s="487" t="n">
        <v>16</v>
      </c>
    </row>
    <row r="95">
      <c r="B95" s="417" t="inlineStr">
        <is>
          <t>Enterprise Data / Leadership</t>
        </is>
      </c>
      <c r="C95" s="486" t="n">
        <v>1</v>
      </c>
      <c r="D95" s="486" t="n">
        <v>5</v>
      </c>
      <c r="E95" s="487" t="n">
        <v>4</v>
      </c>
    </row>
    <row r="96">
      <c r="B96" s="417" t="inlineStr">
        <is>
          <t>Enterprise Data / Operations</t>
        </is>
      </c>
      <c r="C96" s="486" t="n">
        <v>2</v>
      </c>
      <c r="D96" s="486" t="n">
        <v>0</v>
      </c>
      <c r="E96" s="488" t="n">
        <v>-2</v>
      </c>
    </row>
    <row r="97">
      <c r="B97" s="417" t="inlineStr">
        <is>
          <t>Infrastructure / Technology Support</t>
        </is>
      </c>
      <c r="C97" s="486" t="n">
        <v>4</v>
      </c>
      <c r="D97" s="486" t="n">
        <v>5</v>
      </c>
      <c r="E97" s="488" t="n">
        <v>1</v>
      </c>
    </row>
    <row r="98">
      <c r="B98" s="417" t="inlineStr">
        <is>
          <t>TDD Cyber / TDD Cyber</t>
        </is>
      </c>
      <c r="C98" s="486" t="n">
        <v>48</v>
      </c>
      <c r="D98" s="486" t="n">
        <v>52</v>
      </c>
      <c r="E98" s="487" t="n">
        <v>4</v>
      </c>
    </row>
    <row r="99">
      <c r="B99" s="417" t="inlineStr">
        <is>
          <t>TDD Group Functions / Integration</t>
        </is>
      </c>
      <c r="C99" s="486" t="n">
        <v>8</v>
      </c>
      <c r="D99" s="486" t="n">
        <v>10</v>
      </c>
      <c r="E99" s="488" t="n">
        <v>2</v>
      </c>
    </row>
    <row r="100">
      <c r="B100" s="417" t="inlineStr">
        <is>
          <t>TDD Group Functions / Leadership</t>
        </is>
      </c>
      <c r="C100" s="486" t="n">
        <v>7</v>
      </c>
      <c r="D100" s="486" t="n">
        <v>5</v>
      </c>
      <c r="E100" s="488" t="n">
        <v>-2</v>
      </c>
    </row>
    <row r="101">
      <c r="B101" s="417" t="inlineStr">
        <is>
          <t>TDD Group Functions / Network &amp; Infrastructure</t>
        </is>
      </c>
      <c r="C101" s="486" t="n">
        <v>11</v>
      </c>
      <c r="D101" s="486" t="n">
        <v>12</v>
      </c>
      <c r="E101" s="488" t="n">
        <v>1</v>
      </c>
    </row>
    <row r="102">
      <c r="B102" s="417" t="inlineStr">
        <is>
          <t>Unmapped / B2B &amp; Energy Solutions</t>
        </is>
      </c>
      <c r="C102" s="486" t="n">
        <v>1</v>
      </c>
      <c r="D102" s="486" t="n">
        <v>0</v>
      </c>
      <c r="E102" s="488" t="n">
        <v>-1</v>
      </c>
    </row>
    <row r="103">
      <c r="B103" s="417" t="inlineStr">
        <is>
          <t>Unmapped / Leadership</t>
        </is>
      </c>
      <c r="C103" s="486" t="n">
        <v>7</v>
      </c>
      <c r="D103" s="486" t="n">
        <v>5</v>
      </c>
      <c r="E103" s="488" t="n">
        <v>-2</v>
      </c>
    </row>
    <row r="104">
      <c r="B104" s="417" t="inlineStr">
        <is>
          <t>Unmapped / TDD Group Functions</t>
        </is>
      </c>
      <c r="C104" s="486" t="n">
        <v>0</v>
      </c>
      <c r="D104" s="486" t="n">
        <v>1</v>
      </c>
      <c r="E104" s="488" t="n">
        <v>1</v>
      </c>
    </row>
    <row r="105">
      <c r="B105" s="417" t="inlineStr">
        <is>
          <t>Z Retail / Data NZ</t>
        </is>
      </c>
      <c r="C105" s="486" t="n">
        <v>6</v>
      </c>
      <c r="D105" s="486" t="n">
        <v>7</v>
      </c>
      <c r="E105" s="488" t="n">
        <v>1</v>
      </c>
    </row>
    <row r="106">
      <c r="B106" s="417" t="inlineStr">
        <is>
          <t>Z Retail / Leadership</t>
        </is>
      </c>
      <c r="C106" s="486" t="n">
        <v>4</v>
      </c>
      <c r="D106" s="486" t="n">
        <v>5</v>
      </c>
      <c r="E106" s="488" t="n">
        <v>1</v>
      </c>
    </row>
    <row r="107">
      <c r="B107" s="417" t="inlineStr">
        <is>
          <t>Z Retail / Site Systems</t>
        </is>
      </c>
      <c r="C107" s="486" t="n">
        <v>8</v>
      </c>
      <c r="D107" s="486" t="n">
        <v>9</v>
      </c>
      <c r="E107" s="488" t="n">
        <v>1</v>
      </c>
    </row>
    <row r="108">
      <c r="B108" s="417" t="inlineStr">
        <is>
          <t>Z Retail / Z Retail Backend</t>
        </is>
      </c>
      <c r="C108" s="486" t="n">
        <v>8</v>
      </c>
      <c r="D108" s="486" t="n">
        <v>9</v>
      </c>
      <c r="E108" s="488" t="n">
        <v>1</v>
      </c>
    </row>
    <row r="109">
      <c r="B109" s="417" t="inlineStr">
        <is>
          <t>Z Retail / Z Supply</t>
        </is>
      </c>
      <c r="C109" s="486" t="n">
        <v>8</v>
      </c>
      <c r="D109" s="486" t="n">
        <v>9</v>
      </c>
      <c r="E109" s="488" t="n">
        <v>1</v>
      </c>
    </row>
    <row r="111">
      <c r="B111" s="448" t="inlineStr">
        <is>
          <t>Live check - raw data rows now</t>
        </is>
      </c>
      <c r="C111" s="489">
        <f>COUNTA(Squads!$B$2:$B$1000)</f>
        <v>536.0</v>
      </c>
    </row>
    <row r="112">
      <c r="B112" s="448" t="inlineStr">
        <is>
          <t>Live check - cost data rows now</t>
        </is>
      </c>
      <c r="C112" s="489">
        <f>COUNTA('Added data'!$B$2:$B$549)</f>
        <v>548.0</v>
      </c>
    </row>
    <row r="113">
      <c r="B113" s="417" t="inlineStr">
        <is>
          <t>If these differ from the snapshot above, refresh this tab.</t>
        </is>
      </c>
    </row>
    <row r="116">
      <c r="B116" s="548" t="inlineStr">
        <is>
          <t>Sheet2 reconciliation - the updated FTE lists vs the raw data (Squads). Sheet2 drives 1.11 / 1.12 / 1.13 and the EGI FTE list; Squads drives the portfolio squads.</t>
        </is>
      </c>
    </row>
    <row r="117">
      <c r="B117" s="571" t="inlineStr">
        <is>
          <t>Name (Sheet2)</t>
        </is>
      </c>
      <c r="C117" s="571" t="inlineStr">
        <is>
          <t>Role (Sheet2)</t>
        </is>
      </c>
      <c r="D117" s="571" t="inlineStr">
        <is>
          <t>Division</t>
        </is>
      </c>
      <c r="E117" s="571" t="inlineStr">
        <is>
          <t>Raw data status</t>
        </is>
      </c>
      <c r="F117" s="571" t="inlineStr">
        <is>
          <t>Sheet2 status</t>
        </is>
      </c>
    </row>
    <row r="118">
      <c r="B118" s="563" t="str">
        <f>Sheet2!$B$50</f>
        <v>Vacant  (AKL )</v>
      </c>
      <c r="C118" s="563" t="str">
        <f>SUBSTITUTE(SUBSTITUTE(Sheet2!$C$50,"–","-"),"—","-")</f>
        <v>Tech Support Technician</v>
      </c>
      <c r="D118" s="563" t="str">
        <f>Sheet2!$F$50</f>
        <v>Cyber, Risk &amp; Operations</v>
      </c>
      <c r="E118" s="552" t="str">
        <f>Squads!$R$247</f>
        <v>Filled</v>
      </c>
      <c r="F118" s="552" t="str">
        <f>IF(LOWER(Sheet2!$Q$50)="v","Vacant",IF(LOWER(Sheet2!$Q$50)="pause","Paused",IF(LOWER(Sheet2!$Q$50)="cxc","Contractor","Filled")))</f>
        <v>Vacant</v>
      </c>
    </row>
    <row r="119">
      <c r="B119" s="563" t="str">
        <f>Sheet2!$B$51</f>
        <v>Vacant (SYD)</v>
      </c>
      <c r="C119" s="563" t="str">
        <f>SUBSTITUTE(SUBSTITUTE(Sheet2!$C$51,"–","-"),"—","-")</f>
        <v>Tech Support Technician</v>
      </c>
      <c r="D119" s="563" t="str">
        <f>Sheet2!$F$51</f>
        <v>Cyber, Risk &amp; Operations</v>
      </c>
      <c r="E119" s="552" t="str">
        <f>Squads!$R$225</f>
        <v>Filled</v>
      </c>
      <c r="F119" s="552" t="str">
        <f>IF(LOWER(Sheet2!$Q$51)="v","Vacant",IF(LOWER(Sheet2!$Q$51)="pause","Paused",IF(LOWER(Sheet2!$Q$51)="cxc","Contractor","Filled")))</f>
        <v>Vacant</v>
      </c>
    </row>
    <row r="120">
      <c r="B120" s="563" t="str">
        <f>Sheet2!$B$117</f>
        <v>ring fenced</v>
      </c>
      <c r="C120" s="563" t="str">
        <f>SUBSTITUTE(SUBSTITUTE(Sheet2!$C$117,"–","-"),"—","-")</f>
        <v>Enterprise Architect</v>
      </c>
      <c r="D120" s="563" t="str">
        <f>Sheet2!$F$117</f>
        <v>Strategy, Architecture &amp; Data</v>
      </c>
      <c r="E120" s="552" t="str">
        <f>Squads!$R$341</f>
        <v>Filled</v>
      </c>
      <c r="F120" s="552" t="str">
        <f>IF(LOWER(Sheet2!$Q$117)="v","Vacant",IF(LOWER(Sheet2!$Q$117)="pause","Paused",IF(LOWER(Sheet2!$Q$117)="cxc","Contractor","Filled")))</f>
        <v>Paused</v>
      </c>
    </row>
    <row r="121">
      <c r="B121" s="563" t="str">
        <f>Sheet2!$B$118</f>
        <v>ring fenced</v>
      </c>
      <c r="C121" s="563" t="str">
        <f>SUBSTITUTE(SUBSTITUTE(Sheet2!$C$118,"–","-"),"—","-")</f>
        <v>Domain Architect - Customer &amp; Digital Tech</v>
      </c>
      <c r="D121" s="563" t="str">
        <f>Sheet2!$F$118</f>
        <v>Strategy, Architecture &amp; Data</v>
      </c>
      <c r="E121" s="552" t="str">
        <f>Squads!$R$287</f>
        <v>Filled</v>
      </c>
      <c r="F121" s="552" t="str">
        <f>IF(LOWER(Sheet2!$Q$118)="v","Vacant",IF(LOWER(Sheet2!$Q$118)="pause","Paused",IF(LOWER(Sheet2!$Q$118)="cxc","Contractor","Filled")))</f>
        <v>Vacant</v>
      </c>
    </row>
    <row r="122">
      <c r="B122" s="563" t="str">
        <f>Sheet2!$B$119</f>
        <v>ring fenced</v>
      </c>
      <c r="C122" s="563" t="str">
        <f>SUBSTITUTE(SUBSTITUTE(Sheet2!$C$119,"–","-"),"—","-")</f>
        <v>Domain Architect - Retail &amp; Z</v>
      </c>
      <c r="D122" s="563" t="str">
        <f>Sheet2!$F$119</f>
        <v>Strategy, Architecture &amp; Data</v>
      </c>
      <c r="E122" s="552" t="str">
        <f>Squads!$R$339</f>
        <v>Filled</v>
      </c>
      <c r="F122" s="552" t="str">
        <f>IF(LOWER(Sheet2!$Q$119)="v","Vacant",IF(LOWER(Sheet2!$Q$119)="pause","Paused",IF(LOWER(Sheet2!$Q$119)="cxc","Contractor","Filled")))</f>
        <v>Vacant</v>
      </c>
    </row>
    <row r="123">
      <c r="B123" s="563" t="str">
        <f>Sheet2!$B$120</f>
        <v>ring fenced</v>
      </c>
      <c r="C123" s="563" t="str">
        <f>SUBSTITUTE(SUBSTITUTE(Sheet2!$C$120,"–","-"),"—","-")</f>
        <v>Domain Architect - TDD</v>
      </c>
      <c r="D123" s="563" t="str">
        <f>Sheet2!$F$120</f>
        <v>Strategy, Architecture &amp; Data</v>
      </c>
      <c r="E123" s="552" t="str">
        <f>Squads!$R$289</f>
        <v>Filled</v>
      </c>
      <c r="F123" s="552" t="str">
        <f>IF(LOWER(Sheet2!$Q$120)="v","Vacant",IF(LOWER(Sheet2!$Q$120)="pause","Paused",IF(LOWER(Sheet2!$Q$120)="cxc","Contractor","Filled")))</f>
        <v>Vacant</v>
      </c>
    </row>
    <row r="124">
      <c r="B124" s="563" t="str">
        <f>Sheet2!$B$130</f>
        <v>Vacant</v>
      </c>
      <c r="C124" s="563" t="str">
        <f>SUBSTITUTE(SUBSTITUTE(Sheet2!$C$130,"–","-"),"—","-")</f>
        <v>Engineer Data - Reporting</v>
      </c>
      <c r="D124" s="563" t="str">
        <f>Sheet2!$F$130</f>
        <v>Strategy, Architecture &amp; Data</v>
      </c>
      <c r="E124" s="552" t="str">
        <f>Squads!$R$284</f>
        <v>Vacant</v>
      </c>
      <c r="F124" s="552" t="str">
        <f>IF(LOWER(Sheet2!$Q$130)="v","Vacant",IF(LOWER(Sheet2!$Q$130)="pause","Paused",IF(LOWER(Sheet2!$Q$130)="cxc","Contractor","Filled")))</f>
        <v>Paused</v>
      </c>
    </row>
    <row r="125">
      <c r="B125" s="563" t="str">
        <f>Sheet2!$B$134</f>
        <v>Vacant</v>
      </c>
      <c r="C125" s="563" t="str">
        <f>SUBSTITUTE(SUBSTITUTE(Sheet2!$C$134,"–","-"),"—","-")</f>
        <v>Business Analyst</v>
      </c>
      <c r="D125" s="563" t="str">
        <f>Sheet2!$F$134</f>
        <v>Strategy, Architecture &amp; Data</v>
      </c>
      <c r="E125" s="552" t="str">
        <f>Squads!$R$299</f>
        <v>Vacant</v>
      </c>
      <c r="F125" s="552" t="str">
        <f>IF(LOWER(Sheet2!$Q$134)="v","Vacant",IF(LOWER(Sheet2!$Q$134)="pause","Paused",IF(LOWER(Sheet2!$Q$134)="cxc","Contractor","Filled")))</f>
        <v>Paused</v>
      </c>
    </row>
    <row r="126">
      <c r="B126" s="563" t="str">
        <f>Sheet2!$B$135</f>
        <v>vacant</v>
      </c>
      <c r="C126" s="563" t="str">
        <f>SUBSTITUTE(SUBSTITUTE(Sheet2!$C$135,"–","-"),"—","-")</f>
        <v>Data Analyst</v>
      </c>
      <c r="D126" s="563" t="str">
        <f>Sheet2!$F$135</f>
        <v>Strategy, Architecture &amp; Data</v>
      </c>
      <c r="E126" s="552" t="str">
        <f>Squads!$R$302</f>
        <v>Vacant</v>
      </c>
      <c r="F126" s="552" t="str">
        <f>IF(LOWER(Sheet2!$Q$135)="v","Vacant",IF(LOWER(Sheet2!$Q$135)="pause","Paused",IF(LOWER(Sheet2!$Q$135)="cxc","Contractor","Filled")))</f>
        <v>Paused</v>
      </c>
    </row>
    <row r="127">
      <c r="B127" s="563" t="str">
        <f>Sheet2!$B$136</f>
        <v>Vacant</v>
      </c>
      <c r="C127" s="563" t="str">
        <f>SUBSTITUTE(SUBSTITUTE(Sheet2!$C$136,"–","-"),"—","-")</f>
        <v>Data Analyst</v>
      </c>
      <c r="D127" s="563" t="str">
        <f>Sheet2!$F$136</f>
        <v>Strategy, Architecture &amp; Data</v>
      </c>
      <c r="E127" s="552" t="str">
        <f>Squads!$R$336</f>
        <v>Vacant</v>
      </c>
      <c r="F127" s="552" t="str">
        <f>IF(LOWER(Sheet2!$Q$136)="v","Vacant",IF(LOWER(Sheet2!$Q$136)="pause","Paused",IF(LOWER(Sheet2!$Q$136)="cxc","Contractor","Filled")))</f>
        <v>Paused</v>
      </c>
    </row>
    <row r="128">
      <c r="B128" s="563" t="str">
        <f>Sheet2!$B$137</f>
        <v>vacant</v>
      </c>
      <c r="C128" s="563" t="str">
        <f>SUBSTITUTE(SUBSTITUTE(Sheet2!$C$137,"–","-"),"—","-")</f>
        <v>Data Scientist</v>
      </c>
      <c r="D128" s="563" t="str">
        <f>Sheet2!$F$137</f>
        <v>Strategy, Architecture &amp; Data</v>
      </c>
      <c r="E128" s="552" t="str">
        <f>Squads!$R$304</f>
        <v>Vacant</v>
      </c>
      <c r="F128" s="552" t="str">
        <f>IF(LOWER(Sheet2!$Q$137)="v","Vacant",IF(LOWER(Sheet2!$Q$137)="pause","Paused",IF(LOWER(Sheet2!$Q$137)="cxc","Contractor","Filled")))</f>
        <v>Paused</v>
      </c>
    </row>
    <row r="129">
      <c r="B129" s="563" t="str">
        <f>Sheet2!$B$138</f>
        <v>Vacant</v>
      </c>
      <c r="C129" s="563" t="str">
        <f>SUBSTITUTE(SUBSTITUTE(Sheet2!$C$138,"–","-"),"—","-")</f>
        <v>Reporting Lead </v>
      </c>
      <c r="D129" s="563" t="str">
        <f>Sheet2!$F$138</f>
        <v>Strategy, Architecture &amp; Data</v>
      </c>
      <c r="E129" s="552" t="str">
        <f>Squads!$R$324</f>
        <v>Vacant</v>
      </c>
      <c r="F129" s="552" t="str">
        <f>IF(LOWER(Sheet2!$Q$138)="v","Vacant",IF(LOWER(Sheet2!$Q$138)="pause","Paused",IF(LOWER(Sheet2!$Q$138)="cxc","Contractor","Filled")))</f>
        <v>Paused</v>
      </c>
    </row>
    <row r="130">
      <c r="B130" s="563" t="str">
        <f>Sheet2!$B$142</f>
        <v>Vacant</v>
      </c>
      <c r="C130" s="563" t="str">
        <f>SUBSTITUTE(SUBSTITUTE(Sheet2!$C$142,"–","-"),"—","-")</f>
        <v>Head of Architecture</v>
      </c>
      <c r="D130" s="563" t="str">
        <f>Sheet2!$F$142</f>
        <v>Strategy, Architecture &amp; Data</v>
      </c>
      <c r="E130" s="552" t="str">
        <f>Squads!$R$340</f>
        <v>Filled</v>
      </c>
      <c r="F130" s="552" t="str">
        <f>IF(LOWER(Sheet2!$Q$142)="v","Vacant",IF(LOWER(Sheet2!$Q$142)="pause","Paused",IF(LOWER(Sheet2!$Q$142)="cxc","Contractor","Filled")))</f>
        <v>Vacant</v>
      </c>
    </row>
    <row r="131">
      <c r="B131" s="563" t="str">
        <f>Sheet2!$B$145</f>
        <v>Vacant</v>
      </c>
      <c r="C131" s="563" t="str">
        <f>SUBSTITUTE(SUBSTITUTE(Sheet2!$C$145,"–","-"),"—","-")</f>
        <v>Enterprise Data Architect</v>
      </c>
      <c r="D131" s="563" t="str">
        <f>Sheet2!$F$145</f>
        <v>Strategy, Architecture &amp; Data</v>
      </c>
      <c r="E131" s="552" t="str">
        <f>Squads!$R$322</f>
        <v>Vacant</v>
      </c>
      <c r="F131" s="552" t="str">
        <f>IF(LOWER(Sheet2!$Q$145)="v","Vacant",IF(LOWER(Sheet2!$Q$145)="pause","Paused",IF(LOWER(Sheet2!$Q$145)="cxc","Contractor","Filled")))</f>
        <v>Paused</v>
      </c>
    </row>
    <row r="132">
      <c r="B132" s="563" t="str">
        <f>Sheet2!$B$150</f>
        <v>Vacant  (Contract)</v>
      </c>
      <c r="C132" s="563" t="str">
        <f>SUBSTITUTE(SUBSTITUTE(Sheet2!$C$150,"–","-"),"—","-")</f>
        <v>Applications Specialist - Strategic Programs</v>
      </c>
      <c r="D132" s="563" t="str">
        <f>Sheet2!$F$150</f>
        <v>Strategy, Architecture &amp; Data</v>
      </c>
      <c r="E132" s="552" t="str">
        <f>Squads!$R$312</f>
        <v>Filled</v>
      </c>
      <c r="F132" s="552" t="str">
        <f>IF(LOWER(Sheet2!$Q$150)="v","Vacant",IF(LOWER(Sheet2!$Q$150)="pause","Paused",IF(LOWER(Sheet2!$Q$150)="cxc","Contractor","Filled")))</f>
        <v>Paused</v>
      </c>
    </row>
    <row r="133">
      <c r="B133" s="563" t="str">
        <f>Sheet2!$B$151</f>
        <v>Vacant (contract)</v>
      </c>
      <c r="C133" s="563" t="str">
        <f>SUBSTITUTE(SUBSTITUTE(Sheet2!$C$151,"–","-"),"—","-")</f>
        <v>Reporting analysts - Strategic Programs</v>
      </c>
      <c r="D133" s="563" t="str">
        <f>Sheet2!$F$151</f>
        <v>Strategy, Architecture &amp; Data</v>
      </c>
      <c r="E133" s="552" t="str">
        <f>Squads!$R$310</f>
        <v>Filled</v>
      </c>
      <c r="F133" s="552" t="str">
        <f>IF(LOWER(Sheet2!$Q$151)="v","Vacant",IF(LOWER(Sheet2!$Q$151)="pause","Paused",IF(LOWER(Sheet2!$Q$151)="cxc","Contractor","Filled")))</f>
        <v>Paused</v>
      </c>
    </row>
    <row r="134">
      <c r="B134" s="570" t="inlineStr">
        <is>
          <t>Where the two disagree, the Sheet2 status is used on 1.11 / 1.12 / 1.13. The raw data still drives the portfolio squad counts on 1.x / 3.0 / 2.x.</t>
        </is>
      </c>
    </row>
    <row r="136">
      <c r="B136" s="548" t="inlineStr">
        <is>
          <t>Roles in Sheet2 with no matching raw data row</t>
        </is>
      </c>
    </row>
    <row r="137">
      <c r="B137" s="571" t="inlineStr">
        <is>
          <t>Name (Sheet2)</t>
        </is>
      </c>
      <c r="C137" s="571" t="inlineStr">
        <is>
          <t>Role (Sheet2)</t>
        </is>
      </c>
      <c r="D137" s="571" t="inlineStr">
        <is>
          <t>Division</t>
        </is>
      </c>
      <c r="E137" s="571" t="inlineStr">
        <is>
          <t>Where it now shows</t>
        </is>
      </c>
    </row>
    <row r="138">
      <c r="B138" s="563" t="str">
        <f>Sheet2!$B$3</f>
        <v>Belinda Hoskens</v>
      </c>
      <c r="C138" s="563" t="str">
        <f>SUBSTITUTE(SUBSTITUTE(Sheet2!$C$3,"–","-"),"—","-")</f>
        <v>Technology Support Engineer</v>
      </c>
      <c r="D138" s="563" t="str">
        <f>Sheet2!$F$3</f>
        <v>Cyber, Risk &amp; Operations</v>
      </c>
      <c r="E138" s="563" t="inlineStr">
        <is>
          <t>1.13 Cyber Roles</t>
        </is>
      </c>
    </row>
    <row r="139">
      <c r="B139" s="563" t="str">
        <f>Sheet2!$B$54</f>
        <v>Ahmed Yehya</v>
      </c>
      <c r="C139" s="563" t="str">
        <f>SUBSTITUTE(SUBSTITUTE(Sheet2!$C$54,"–","-"),"—","-")</f>
        <v>TDD Strategic Delivery</v>
      </c>
      <c r="D139" s="563" t="str">
        <f>Sheet2!$F$54</f>
        <v>EGI</v>
      </c>
      <c r="E139" s="563" t="inlineStr">
        <is>
          <t>3.3 FTE View - EGI strategic delivery FTE</t>
        </is>
      </c>
    </row>
    <row r="140">
      <c r="B140" s="563" t="str">
        <f>Sheet2!$B$55</f>
        <v>Anthony Huynh</v>
      </c>
      <c r="C140" s="563" t="str">
        <f>SUBSTITUTE(SUBSTITUTE(Sheet2!$C$55,"–","-"),"—","-")</f>
        <v>Strategic Delivery Consultant</v>
      </c>
      <c r="D140" s="563" t="str">
        <f>Sheet2!$F$55</f>
        <v>EGI</v>
      </c>
      <c r="E140" s="563" t="inlineStr">
        <is>
          <t>3.3 FTE View - EGI strategic delivery FTE</t>
        </is>
      </c>
    </row>
    <row r="141">
      <c r="B141" s="563" t="str">
        <f>Sheet2!$B$57</f>
        <v>Ernesto Pereira</v>
      </c>
      <c r="C141" s="563" t="str">
        <f>SUBSTITUTE(SUBSTITUTE(Sheet2!$C$57,"–","-"),"—","-")</f>
        <v>Project Manger</v>
      </c>
      <c r="D141" s="563" t="str">
        <f>Sheet2!$F$57</f>
        <v>EGI</v>
      </c>
      <c r="E141" s="563" t="inlineStr">
        <is>
          <t>3.3 FTE View - EGI strategic delivery FTE</t>
        </is>
      </c>
    </row>
    <row r="142">
      <c r="B142" s="563" t="str">
        <f>Sheet2!$B$58</f>
        <v>Harish Dasari</v>
      </c>
      <c r="C142" s="563" t="str">
        <f>SUBSTITUTE(SUBSTITUTE(Sheet2!$C$58,"–","-"),"—","-")</f>
        <v>Business Analyst (SAP Payroll)</v>
      </c>
      <c r="D142" s="563" t="str">
        <f>Sheet2!$F$58</f>
        <v>EGI</v>
      </c>
      <c r="E142" s="563" t="inlineStr">
        <is>
          <t>3.3 FTE View - EGI strategic delivery FTE</t>
        </is>
      </c>
    </row>
    <row r="143">
      <c r="B143" s="563" t="str">
        <f>Sheet2!$B$59</f>
        <v>James Munt</v>
      </c>
      <c r="C143" s="563" t="str">
        <f>SUBSTITUTE(SUBSTITUTE(Sheet2!$C$59,"–","-"),"—","-")</f>
        <v>Program Manager Tech &amp; P&amp;C</v>
      </c>
      <c r="D143" s="563" t="str">
        <f>Sheet2!$F$59</f>
        <v>EGI</v>
      </c>
      <c r="E143" s="563" t="inlineStr">
        <is>
          <t>3.3 FTE View - EGI strategic delivery FTE</t>
        </is>
      </c>
    </row>
    <row r="144">
      <c r="B144" s="563" t="str">
        <f>Sheet2!$B$60</f>
        <v>Jason McNamara</v>
      </c>
      <c r="C144" s="563" t="str">
        <f>SUBSTITUTE(SUBSTITUTE(Sheet2!$C$60,"–","-"),"—","-")</f>
        <v>Project Manager Retail</v>
      </c>
      <c r="D144" s="563" t="str">
        <f>Sheet2!$F$60</f>
        <v>EGI</v>
      </c>
      <c r="E144" s="563" t="inlineStr">
        <is>
          <t>3.3 FTE View - EGI strategic delivery FTE</t>
        </is>
      </c>
    </row>
    <row r="145">
      <c r="B145" s="563" t="str">
        <f>Sheet2!$B$61</f>
        <v>Jason Sipkovic</v>
      </c>
      <c r="C145" s="563" t="str">
        <f>SUBSTITUTE(SUBSTITUTE(Sheet2!$C$61,"–","-"),"—","-")</f>
        <v>strategic program architect</v>
      </c>
      <c r="D145" s="563" t="str">
        <f>Sheet2!$F$61</f>
        <v>EGI</v>
      </c>
      <c r="E145" s="563" t="inlineStr">
        <is>
          <t>3.3 FTE View - EGI strategic delivery FTE</t>
        </is>
      </c>
    </row>
    <row r="146">
      <c r="B146" s="563" t="str">
        <f>Sheet2!$B$62</f>
        <v>Kanika Narula</v>
      </c>
      <c r="C146" s="563" t="str">
        <f>SUBSTITUTE(SUBSTITUTE(Sheet2!$C$62,"–","-"),"—","-")</f>
        <v>Business Analyst Digital</v>
      </c>
      <c r="D146" s="563" t="str">
        <f>Sheet2!$F$62</f>
        <v>EGI</v>
      </c>
      <c r="E146" s="563" t="inlineStr">
        <is>
          <t>3.3 FTE View - EGI strategic delivery FTE</t>
        </is>
      </c>
    </row>
    <row r="147">
      <c r="B147" s="563" t="str">
        <f>Sheet2!$B$63</f>
        <v>Karl Reyneke</v>
      </c>
      <c r="C147" s="563" t="str">
        <f>SUBSTITUTE(SUBSTITUTE(Sheet2!$C$63,"–","-"),"—","-")</f>
        <v>Strategic Delivery Consultant</v>
      </c>
      <c r="D147" s="563" t="str">
        <f>Sheet2!$F$63</f>
        <v>EGI</v>
      </c>
      <c r="E147" s="563" t="inlineStr">
        <is>
          <t>3.3 FTE View - EGI strategic delivery FTE</t>
        </is>
      </c>
    </row>
    <row r="148">
      <c r="B148" s="563" t="str">
        <f>Sheet2!$B$64</f>
        <v>michelle Siegman</v>
      </c>
      <c r="C148" s="563" t="str">
        <f>SUBSTITUTE(SUBSTITUTE(Sheet2!$C$64,"–","-"),"—","-")</f>
        <v>Strategic Delivery Consultant</v>
      </c>
      <c r="D148" s="563" t="str">
        <f>Sheet2!$F$64</f>
        <v>EGI</v>
      </c>
      <c r="E148" s="563" t="inlineStr">
        <is>
          <t>3.3 FTE View - EGI strategic delivery FTE</t>
        </is>
      </c>
    </row>
    <row r="149">
      <c r="B149" s="563" t="str">
        <f>Sheet2!$B$65</f>
        <v>Moitri Pal</v>
      </c>
      <c r="C149" s="563" t="str">
        <f>SUBSTITUTE(SUBSTITUTE(Sheet2!$C$65,"–","-"),"—","-")</f>
        <v>Portfolio Mnager</v>
      </c>
      <c r="D149" s="563" t="str">
        <f>Sheet2!$F$65</f>
        <v>EGI</v>
      </c>
      <c r="E149" s="563" t="inlineStr">
        <is>
          <t>3.3 FTE View - EGI strategic delivery FTE</t>
        </is>
      </c>
    </row>
    <row r="150">
      <c r="B150" s="563" t="str">
        <f>Sheet2!$B$67</f>
        <v>Paul Hassey</v>
      </c>
      <c r="C150" s="563" t="str">
        <f>SUBSTITUTE(SUBSTITUTE(Sheet2!$C$67,"–","-"),"—","-")</f>
        <v>Program Architect</v>
      </c>
      <c r="D150" s="563" t="str">
        <f>Sheet2!$F$67</f>
        <v>EGI</v>
      </c>
      <c r="E150" s="563" t="inlineStr">
        <is>
          <t>3.3 FTE View - EGI strategic delivery FTE</t>
        </is>
      </c>
    </row>
    <row r="151">
      <c r="B151" s="563" t="str">
        <f>Sheet2!$B$68</f>
        <v>vijay Solanki</v>
      </c>
      <c r="C151" s="563" t="str">
        <f>SUBSTITUTE(SUBSTITUTE(Sheet2!$C$68,"–","-"),"—","-")</f>
        <v>Project Manager Deployment</v>
      </c>
      <c r="D151" s="563" t="str">
        <f>Sheet2!$F$68</f>
        <v>EGI</v>
      </c>
      <c r="E151" s="563" t="inlineStr">
        <is>
          <t>3.3 FTE View - EGI strategic delivery FTE</t>
        </is>
      </c>
    </row>
    <row r="152">
      <c r="B152" s="563" t="str">
        <f>Sheet2!$B$69</f>
        <v>Winnie Fernandes</v>
      </c>
      <c r="C152" s="563" t="str">
        <f>SUBSTITUTE(SUBSTITUTE(Sheet2!$C$69,"–","-"),"—","-")</f>
        <v>Delivery Lead - Integration</v>
      </c>
      <c r="D152" s="563" t="str">
        <f>Sheet2!$F$69</f>
        <v>EGI</v>
      </c>
      <c r="E152" s="563" t="inlineStr">
        <is>
          <t>3.3 FTE View - EGI strategic delivery FTE</t>
        </is>
      </c>
    </row>
    <row r="153">
      <c r="B153" s="563" t="str">
        <f>Sheet2!$B$71</f>
        <v>Conli Mills</v>
      </c>
      <c r="C153" s="563" t="str">
        <f>SUBSTITUTE(SUBSTITUTE(Sheet2!$C$71,"–","-"),"—","-")</f>
        <v>TDD BP - Infrastructure</v>
      </c>
      <c r="D153" s="563" t="str">
        <f>Sheet2!$F$71</f>
        <v>Partnering &amp; Transformation</v>
      </c>
      <c r="E153" s="563" t="inlineStr">
        <is>
          <t>1.11 BP&amp;T</t>
        </is>
      </c>
    </row>
    <row r="154">
      <c r="B154" s="563" t="str">
        <f>Sheet2!$B$73</f>
        <v>Jane Esclandra</v>
      </c>
      <c r="C154" s="563" t="str">
        <f>SUBSTITUTE(SUBSTITUTE(Sheet2!$C$73,"–","-"),"—","-")</f>
        <v>Software Asset Specialist</v>
      </c>
      <c r="D154" s="563" t="str">
        <f>Sheet2!$F$73</f>
        <v>Partnering &amp; Transformation</v>
      </c>
      <c r="E154" s="563" t="inlineStr">
        <is>
          <t>1.11 BP&amp;T</t>
        </is>
      </c>
    </row>
    <row r="155">
      <c r="B155" s="563" t="str">
        <f>Sheet2!$B$96</f>
        <v>Carol Kuang</v>
      </c>
      <c r="C155" s="563" t="str">
        <f>SUBSTITUTE(SUBSTITUTE(Sheet2!$C$96,"–","-"),"—","-")</f>
        <v>Senior Data Scientist</v>
      </c>
      <c r="D155" s="563" t="str">
        <f>Sheet2!$F$96</f>
        <v>Strategy, Architecture &amp; Data</v>
      </c>
      <c r="E155" s="563" t="inlineStr">
        <is>
          <t>In an Enterprise Data squad per Sheet2 - needs a raw data row to join the 1.3 / 4.3 counts</t>
        </is>
      </c>
    </row>
    <row r="156">
      <c r="B156" s="563" t="str">
        <f>Sheet2!$B$101</f>
        <v>Jason Gleason</v>
      </c>
      <c r="C156" s="563" t="str">
        <f>SUBSTITUTE(SUBSTITUTE(Sheet2!$C$101,"–","-"),"—","-")</f>
        <v>Technology Manager, Data Engineering &amp; Platforms</v>
      </c>
      <c r="D156" s="563" t="str">
        <f>Sheet2!$F$101</f>
        <v>Strategy, Architecture &amp; Data</v>
      </c>
      <c r="E156" s="563" t="inlineStr">
        <is>
          <t>Nowhere yet - needs a raw data row to join the Enterprise Data portfolio</t>
        </is>
      </c>
    </row>
    <row r="157">
      <c r="B157" s="563" t="str">
        <f>Sheet2!$B$105</f>
        <v>Kina Birkby</v>
      </c>
      <c r="C157" s="563" t="str">
        <f>SUBSTITUTE(SUBSTITUTE(Sheet2!$C$105,"–","-"),"—","-")</f>
        <v>Delivery Lead</v>
      </c>
      <c r="D157" s="563" t="str">
        <f>Sheet2!$F$105</f>
        <v>Strategy, Architecture &amp; Data</v>
      </c>
      <c r="E157" s="563" t="inlineStr">
        <is>
          <t>In an Enterprise Data squad per Sheet2 - needs a raw data row to join the 1.3 / 4.3 counts</t>
        </is>
      </c>
    </row>
    <row r="159">
      <c r="B159" s="548" t="inlineStr">
        <is>
          <t>Raw data rows (these four divisions) with no matching Sheet2 row - check if dropped or renamed</t>
        </is>
      </c>
    </row>
    <row r="160">
      <c r="B160" s="571" t="inlineStr">
        <is>
          <t>Name (raw data)</t>
        </is>
      </c>
      <c r="C160" s="571" t="inlineStr">
        <is>
          <t>Role (raw data)</t>
        </is>
      </c>
      <c r="D160" s="571" t="inlineStr">
        <is>
          <t>Model portfolio</t>
        </is>
      </c>
      <c r="E160" s="571" t="inlineStr">
        <is>
          <t>Status</t>
        </is>
      </c>
    </row>
    <row r="161">
      <c r="B161" s="563" t="str">
        <f>Squads!$B$227</f>
        <v>Vacant</v>
      </c>
      <c r="C161" s="563" t="str">
        <f>SUBSTITUTE(SUBSTITUTE(Squads!$C$227,"–","-"),"—","-")</f>
        <v>Technology Support Engineer</v>
      </c>
      <c r="D161" s="563" t="str">
        <f>Squads!$N$227</f>
        <v>TDD Cyber</v>
      </c>
      <c r="E161" s="552" t="str">
        <f>Squads!$R$227</f>
        <v>Vacant</v>
      </c>
    </row>
    <row r="162">
      <c r="B162" s="563" t="str">
        <f>Squads!$B$256</f>
        <v>Winnie Fernandes</v>
      </c>
      <c r="C162" s="563" t="str">
        <f>SUBSTITUTE(SUBSTITUTE(Squads!$C$256,"–","-"),"—","-")</f>
        <v>Delivery Lead</v>
      </c>
      <c r="D162" s="563" t="str">
        <f>Squads!$N$256</f>
        <v>EGI</v>
      </c>
      <c r="E162" s="552" t="str">
        <f>Squads!$R$256</f>
        <v>Filled</v>
      </c>
    </row>
    <row r="163">
      <c r="B163" s="563" t="str">
        <f>Squads!$B$263</f>
        <v>Vacant </v>
      </c>
      <c r="C163" s="563" t="str">
        <f>SUBSTITUTE(SUBSTITUTE(Squads!$C$263,"–","-"),"—","-")</f>
        <v>Portfolio Analyst</v>
      </c>
      <c r="D163" s="563" t="str">
        <f>Squads!$N$263</f>
        <v>COE</v>
      </c>
      <c r="E163" s="552" t="str">
        <f>Squads!$R$263</f>
        <v>Vacant</v>
      </c>
    </row>
    <row r="164">
      <c r="B164" s="563" t="str">
        <f>Squads!$B$279</f>
        <v>Vacant</v>
      </c>
      <c r="C164" s="563" t="str">
        <f>SUBSTITUTE(SUBSTITUTE(Squads!$C$279,"–","-"),"—","-")</f>
        <v>TDD BP - Infrastructure</v>
      </c>
      <c r="D164" s="563" t="str">
        <f>Squads!$N$279</f>
        <v>COE</v>
      </c>
      <c r="E164" s="552" t="str">
        <f>Squads!$R$279</f>
        <v>Vacant</v>
      </c>
    </row>
    <row r="165">
      <c r="B165" s="563" t="str">
        <f>Squads!$B$281</f>
        <v>Vacant</v>
      </c>
      <c r="C165" s="563" t="str">
        <f>SUBSTITUTE(SUBSTITUTE(Squads!$C$281,"–","-"),"—","-")</f>
        <v>Software Asset Specialist</v>
      </c>
      <c r="D165" s="563" t="str">
        <f>Squads!$N$281</f>
        <v>COE</v>
      </c>
      <c r="E165" s="552" t="str">
        <f>Squads!$R$281</f>
        <v>Vacant</v>
      </c>
    </row>
    <row r="166">
      <c r="B166" s="563" t="str">
        <f>Squads!$B$291</f>
        <v>Vacant</v>
      </c>
      <c r="C166" s="563" t="str">
        <f>SUBSTITUTE(SUBSTITUTE(Squads!$C$291,"–","-"),"—","-")</f>
        <v>Technology Manager, Data Engineering &amp; Platforms</v>
      </c>
      <c r="D166" s="563" t="str">
        <f>Squads!$N$291</f>
        <v>COE</v>
      </c>
      <c r="E166" s="552" t="str">
        <f>Squads!$R$291</f>
        <v>Vacant</v>
      </c>
    </row>
    <row r="167">
      <c r="B167" s="563" t="str">
        <f>Squads!$B$297</f>
        <v>Vacant</v>
      </c>
      <c r="C167" s="563" t="str">
        <f>SUBSTITUTE(SUBSTITUTE(Squads!$C$297,"–","-"),"—","-")</f>
        <v>Delivery Lead</v>
      </c>
      <c r="D167" s="563" t="str">
        <f>Squads!$N$297</f>
        <v>Enterprise Data</v>
      </c>
      <c r="E167" s="552" t="str">
        <f>Squads!$R$297</f>
        <v>Vacant</v>
      </c>
    </row>
    <row r="168">
      <c r="B168" s="563" t="str">
        <f>Squads!$B$305</f>
        <v>Vacant</v>
      </c>
      <c r="C168" s="563" t="str">
        <f>SUBSTITUTE(SUBSTITUTE(Squads!$C$305,"–","-"),"—","-")</f>
        <v>Senior Data Scientist</v>
      </c>
      <c r="D168" s="563" t="str">
        <f>Squads!$N$305</f>
        <v>Enterprise Data</v>
      </c>
      <c r="E168" s="552" t="str">
        <f>Squads!$R$305</f>
        <v>Vacant</v>
      </c>
    </row>
    <row r="170">
      <c r="B170" s="548" t="inlineStr">
        <is>
          <t>Raw data integrity audit</t>
        </is>
      </c>
    </row>
    <row r="171">
      <c r="B171" s="570" t="inlineStr">
        <is>
          <t>Zero rows were added to the raw data: the Squads tab in this workbook matches the owner's uploaded copy cell for cell.</t>
        </is>
      </c>
    </row>
    <row r="172">
      <c r="B172" s="570" t="inlineStr">
        <is>
          <t>16 mapping cells on 4 Commercial rows were changed in an earlier build (Unmapped to COE - Business Partnering). The uploaded copy already includes that change, so the two files match today. The names below are live references to those rows.</t>
        </is>
      </c>
    </row>
    <row r="173">
      <c r="B173" s="563" t="str">
        <f>Squads!$B$260</f>
        <v>Vacant</v>
      </c>
      <c r="C173" s="563" t="str">
        <f>SUBSTITUTE(SUBSTITUTE(Squads!$C$260,"–","-"),"—","-")</f>
        <v>Commercial Director</v>
      </c>
      <c r="D173" s="563" t="str">
        <f>Squads!$P$260</f>
        <v>COE - Business Partnering</v>
      </c>
      <c r="E173" s="552" t="str">
        <f>Squads!$R$260</f>
        <v>Vacant</v>
      </c>
    </row>
    <row r="174">
      <c r="B174" s="563" t="str">
        <f>Squads!$B$269</f>
        <v>Briony Scott</v>
      </c>
      <c r="C174" s="563" t="str">
        <f>SUBSTITUTE(SUBSTITUTE(Squads!$C$269,"–","-"),"—","-")</f>
        <v>Service &amp; Contract Specialist AU</v>
      </c>
      <c r="D174" s="563" t="str">
        <f>Squads!$P$269</f>
        <v>COE - Business Partnering</v>
      </c>
      <c r="E174" s="552" t="str">
        <f>Squads!$R$269</f>
        <v>Filled</v>
      </c>
    </row>
    <row r="175">
      <c r="B175" s="563" t="str">
        <f>Squads!$B$270</f>
        <v>Helen Ngu</v>
      </c>
      <c r="C175" s="563" t="str">
        <f>SUBSTITUTE(SUBSTITUTE(Squads!$C$270,"–","-"),"—","-")</f>
        <v>Service &amp; Contract Specialist NZ</v>
      </c>
      <c r="D175" s="563" t="str">
        <f>Squads!$P$270</f>
        <v>COE - Business Partnering</v>
      </c>
      <c r="E175" s="552" t="str">
        <f>Squads!$R$270</f>
        <v>Filled</v>
      </c>
    </row>
    <row r="176">
      <c r="B176" s="563" t="str">
        <f>Squads!$B$281</f>
        <v>Vacant</v>
      </c>
      <c r="C176" s="563" t="str">
        <f>SUBSTITUTE(SUBSTITUTE(Squads!$C$281,"–","-"),"—","-")</f>
        <v>Software Asset Specialist</v>
      </c>
      <c r="D176" s="563" t="str">
        <f>Squads!$P$281</f>
        <v>COE - Business Partnering</v>
      </c>
      <c r="E176" s="552" t="str">
        <f>Squads!$R$281</f>
        <v>Vacant</v>
      </c>
    </row>
    <row r="177">
      <c r="B177" s="570" t="inlineStr">
        <is>
          <t>Sheet2 confirms these four roles sit in Partnering &amp; Transformation (Commercial), inside the Business Partnering bucket on 2.3.</t>
        </is>
      </c>
    </row>
    <row r="179">
      <c r="B179" s="548" t="inlineStr">
        <is>
          <t>Cost bases</t>
        </is>
      </c>
    </row>
    <row r="180">
      <c r="B180" s="570" t="inlineStr">
        <is>
          <t>1.11 / 1.12 / 1.13 and the EGI FTE list are costed from Sheet2 (Full Cost AUD, column AA). Portfolio actuals on 2.1 are costed from the Added data ledger. The difference is the restatement line on 2.1.</t>
        </is>
      </c>
    </row>
    <row r="184">
      <c r="B184" s="552" t="n">
        <v>307</v>
      </c>
      <c r="C184" s="552" t="inlineStr">
        <is>
          <t>N307</t>
        </is>
      </c>
      <c r="D184" s="563" t="inlineStr">
        <is>
          <t>Unmapped</t>
        </is>
      </c>
      <c r="E184" s="563" t="inlineStr">
        <is>
          <t>COE</t>
        </is>
      </c>
      <c r="F184" s="563" t="str">
        <f>Squads!$B$307&amp;" - "&amp;Squads!$C$307</f>
        <v>James Holgate - Head of Technology,  Group Data</v>
      </c>
    </row>
    <row r="185">
      <c r="B185" s="552" t="n">
        <v>307</v>
      </c>
      <c r="C185" s="552" t="inlineStr">
        <is>
          <t>O307</t>
        </is>
      </c>
      <c r="D185" s="563" t="inlineStr">
        <is>
          <t>Leadership</t>
        </is>
      </c>
      <c r="E185" s="563" t="inlineStr">
        <is>
          <t>COE - Data</t>
        </is>
      </c>
      <c r="F185" s="563" t="str">
        <f>Squads!$B$307&amp;" - "&amp;Squads!$C$307</f>
        <v>James Holgate - Head of Technology,  Group Data</v>
      </c>
    </row>
    <row r="186">
      <c r="B186" s="552" t="n">
        <v>307</v>
      </c>
      <c r="C186" s="552" t="inlineStr">
        <is>
          <t>P307</t>
        </is>
      </c>
      <c r="D186" s="563" t="inlineStr">
        <is>
          <t>Leadership</t>
        </is>
      </c>
      <c r="E186" s="563" t="inlineStr">
        <is>
          <t>COE - Data</t>
        </is>
      </c>
      <c r="F186" s="563" t="str">
        <f>Squads!$B$307&amp;" - "&amp;Squads!$C$307</f>
        <v>James Holgate - Head of Technology,  Group Data</v>
      </c>
    </row>
    <row r="187">
      <c r="B187" s="552" t="n">
        <v>307</v>
      </c>
      <c r="C187" s="552" t="inlineStr">
        <is>
          <t>Q307</t>
        </is>
      </c>
      <c r="D187" s="563" t="inlineStr">
        <is>
          <t>Leadership</t>
        </is>
      </c>
      <c r="E187" s="563" t="inlineStr">
        <is>
          <t>COE</t>
        </is>
      </c>
      <c r="F187" s="563" t="str">
        <f>Squads!$B$307&amp;" - "&amp;Squads!$C$307</f>
        <v>James Holgate - Head of Technology,  Group Data</v>
      </c>
    </row>
    <row r="188">
      <c r="B188" s="552" t="n">
        <v>308</v>
      </c>
      <c r="C188" s="552" t="inlineStr">
        <is>
          <t>N308</t>
        </is>
      </c>
      <c r="D188" s="563" t="inlineStr">
        <is>
          <t>Unmapped</t>
        </is>
      </c>
      <c r="E188" s="563" t="inlineStr">
        <is>
          <t>COE</t>
        </is>
      </c>
      <c r="F188" s="563" t="str">
        <f>Squads!$B$308&amp;" - "&amp;Squads!$C$308</f>
        <v>Joel Vijayakumar - Delivery Manager, Strategy, Architecture &amp; Data</v>
      </c>
    </row>
    <row r="189">
      <c r="B189" s="552" t="n">
        <v>308</v>
      </c>
      <c r="C189" s="552" t="inlineStr">
        <is>
          <t>O308</t>
        </is>
      </c>
      <c r="D189" s="563" t="inlineStr">
        <is>
          <t>Leadership</t>
        </is>
      </c>
      <c r="E189" s="563" t="inlineStr">
        <is>
          <t>COE - Strategy Architecture</t>
        </is>
      </c>
      <c r="F189" s="563" t="str">
        <f>Squads!$B$308&amp;" - "&amp;Squads!$C$308</f>
        <v>Joel Vijayakumar - Delivery Manager, Strategy, Architecture &amp; Data</v>
      </c>
    </row>
    <row r="190">
      <c r="B190" s="552" t="n">
        <v>308</v>
      </c>
      <c r="C190" s="552" t="inlineStr">
        <is>
          <t>P308</t>
        </is>
      </c>
      <c r="D190" s="563" t="inlineStr">
        <is>
          <t>Leadership</t>
        </is>
      </c>
      <c r="E190" s="563" t="inlineStr">
        <is>
          <t>COE - Strategy Architecture</t>
        </is>
      </c>
      <c r="F190" s="563" t="str">
        <f>Squads!$B$308&amp;" - "&amp;Squads!$C$308</f>
        <v>Joel Vijayakumar - Delivery Manager, Strategy, Architecture &amp; Data</v>
      </c>
    </row>
    <row r="191">
      <c r="B191" s="552" t="n">
        <v>308</v>
      </c>
      <c r="C191" s="552" t="inlineStr">
        <is>
          <t>Q308</t>
        </is>
      </c>
      <c r="D191" s="563" t="inlineStr">
        <is>
          <t>Leadership</t>
        </is>
      </c>
      <c r="E191" s="563" t="inlineStr">
        <is>
          <t>COE</t>
        </is>
      </c>
      <c r="F191" s="563" t="str">
        <f>Squads!$B$308&amp;" - "&amp;Squads!$C$308</f>
        <v>Joel Vijayakumar - Delivery Manager, Strategy, Architecture &amp; Data</v>
      </c>
    </row>
    <row r="192">
      <c r="B192" s="552" t="n">
        <v>321</v>
      </c>
      <c r="C192" s="552" t="inlineStr">
        <is>
          <t>N321</t>
        </is>
      </c>
      <c r="D192" s="563" t="inlineStr">
        <is>
          <t>Enterprise Data</t>
        </is>
      </c>
      <c r="E192" s="563" t="inlineStr">
        <is>
          <t>COE</t>
        </is>
      </c>
      <c r="F192" s="563" t="str">
        <f>Squads!$B$321&amp;" - "&amp;Squads!$C$321</f>
        <v>Milan Patel - Platform Architect</v>
      </c>
    </row>
    <row r="193">
      <c r="B193" s="552" t="n">
        <v>321</v>
      </c>
      <c r="C193" s="552" t="inlineStr">
        <is>
          <t>O321</t>
        </is>
      </c>
      <c r="D193" s="563" t="inlineStr">
        <is>
          <t>Group Data</t>
        </is>
      </c>
      <c r="E193" s="563" t="inlineStr">
        <is>
          <t>COE - Data</t>
        </is>
      </c>
      <c r="F193" s="563" t="str">
        <f>Squads!$B$321&amp;" - "&amp;Squads!$C$321</f>
        <v>Milan Patel - Platform Architect</v>
      </c>
    </row>
    <row r="194">
      <c r="B194" s="552" t="n">
        <v>321</v>
      </c>
      <c r="C194" s="552" t="inlineStr">
        <is>
          <t>P321</t>
        </is>
      </c>
      <c r="D194" s="563" t="inlineStr">
        <is>
          <t>Data Platforms</t>
        </is>
      </c>
      <c r="E194" s="563" t="inlineStr">
        <is>
          <t>COE - Data</t>
        </is>
      </c>
      <c r="F194" s="563" t="str">
        <f>Squads!$B$321&amp;" - "&amp;Squads!$C$321</f>
        <v>Milan Patel - Platform Architect</v>
      </c>
    </row>
    <row r="195">
      <c r="B195" s="552" t="n">
        <v>321</v>
      </c>
      <c r="C195" s="552" t="inlineStr">
        <is>
          <t>Q321</t>
        </is>
      </c>
      <c r="D195" s="563" t="inlineStr">
        <is>
          <t>Squad</t>
        </is>
      </c>
      <c r="E195" s="563" t="inlineStr">
        <is>
          <t>COE</t>
        </is>
      </c>
      <c r="F195" s="563" t="str">
        <f>Squads!$B$321&amp;" - "&amp;Squads!$C$321</f>
        <v>Milan Patel - Platform Architect</v>
      </c>
    </row>
    <row r="196">
      <c r="B196" s="552" t="n">
        <v>317</v>
      </c>
      <c r="C196" s="552" t="inlineStr">
        <is>
          <t>N317</t>
        </is>
      </c>
      <c r="D196" s="563" t="inlineStr">
        <is>
          <t>Enterprise Data</t>
        </is>
      </c>
      <c r="E196" s="563" t="inlineStr">
        <is>
          <t>COE</t>
        </is>
      </c>
      <c r="F196" s="563" t="str">
        <f>Squads!$B$317&amp;" - "&amp;Squads!$C$317</f>
        <v>Mitchell Clarke - Snr Data Governance Specialist</v>
      </c>
    </row>
    <row r="197">
      <c r="B197" s="552" t="n">
        <v>317</v>
      </c>
      <c r="C197" s="552" t="inlineStr">
        <is>
          <t>O317</t>
        </is>
      </c>
      <c r="D197" s="563" t="inlineStr">
        <is>
          <t>Leadership</t>
        </is>
      </c>
      <c r="E197" s="563" t="inlineStr">
        <is>
          <t>COE - Data</t>
        </is>
      </c>
      <c r="F197" s="563" t="str">
        <f>Squads!$B$317&amp;" - "&amp;Squads!$C$317</f>
        <v>Mitchell Clarke - Snr Data Governance Specialist</v>
      </c>
    </row>
    <row r="198">
      <c r="B198" s="552" t="n">
        <v>317</v>
      </c>
      <c r="C198" s="552" t="inlineStr">
        <is>
          <t>P317</t>
        </is>
      </c>
      <c r="D198" s="563" t="inlineStr">
        <is>
          <t>Leadership</t>
        </is>
      </c>
      <c r="E198" s="563" t="inlineStr">
        <is>
          <t>COE - Data</t>
        </is>
      </c>
      <c r="F198" s="563" t="str">
        <f>Squads!$B$317&amp;" - "&amp;Squads!$C$317</f>
        <v>Mitchell Clarke - Snr Data Governance Specialist</v>
      </c>
    </row>
    <row r="199">
      <c r="B199" s="552" t="n">
        <v>317</v>
      </c>
      <c r="C199" s="552" t="inlineStr">
        <is>
          <t>Q317</t>
        </is>
      </c>
      <c r="D199" s="563" t="inlineStr">
        <is>
          <t>Leadership</t>
        </is>
      </c>
      <c r="E199" s="563" t="inlineStr">
        <is>
          <t>COE</t>
        </is>
      </c>
      <c r="F199" s="563" t="str">
        <f>Squads!$B$317&amp;" - "&amp;Squads!$C$317</f>
        <v>Mitchell Clarke - Snr Data Governance Specialist</v>
      </c>
    </row>
    <row r="200">
      <c r="B200" s="552" t="n">
        <v>298</v>
      </c>
      <c r="C200" s="552" t="inlineStr">
        <is>
          <t>O298</t>
        </is>
      </c>
      <c r="D200" s="563" t="inlineStr">
        <is>
          <t>COE (unspecified)</t>
        </is>
      </c>
      <c r="E200" s="563" t="inlineStr">
        <is>
          <t>COE - Strategy Architecture</t>
        </is>
      </c>
      <c r="F200" s="563" t="str">
        <f>Squads!$B$298&amp;" - "&amp;Squads!$C$298</f>
        <v>Rihan Schalkwyk - Senior Business Analyst</v>
      </c>
    </row>
    <row r="201">
      <c r="B201" s="552" t="n">
        <v>298</v>
      </c>
      <c r="C201" s="552" t="inlineStr">
        <is>
          <t>P298</t>
        </is>
      </c>
      <c r="D201" s="563" t="inlineStr">
        <is>
          <t>COE (unspecified)</t>
        </is>
      </c>
      <c r="E201" s="563" t="inlineStr">
        <is>
          <t>COE - Strategy Architecture</t>
        </is>
      </c>
      <c r="F201" s="563" t="str">
        <f>Squads!$B$298&amp;" - "&amp;Squads!$C$298</f>
        <v>Rihan Schalkwyk - Senior Business Analyst</v>
      </c>
    </row>
    <row r="202">
      <c r="B202" s="552" t="n">
        <v>331</v>
      </c>
      <c r="C202" s="552" t="inlineStr">
        <is>
          <t>O331</t>
        </is>
      </c>
      <c r="D202" s="563" t="inlineStr">
        <is>
          <t>COE (unspecified)</t>
        </is>
      </c>
      <c r="E202" s="563" t="inlineStr">
        <is>
          <t>COE - Strategy Architecture</t>
        </is>
      </c>
      <c r="F202" s="563" t="str">
        <f>Squads!$B$331&amp;" - "&amp;Squads!$C$331</f>
        <v>Roger Blazey - Architect (AI Innovation)</v>
      </c>
    </row>
    <row r="203">
      <c r="B203" s="552" t="n">
        <v>331</v>
      </c>
      <c r="C203" s="552" t="inlineStr">
        <is>
          <t>P331</t>
        </is>
      </c>
      <c r="D203" s="563" t="inlineStr">
        <is>
          <t>COE (unspecified)</t>
        </is>
      </c>
      <c r="E203" s="563" t="inlineStr">
        <is>
          <t>COE - Strategy Architecture</t>
        </is>
      </c>
      <c r="F203" s="563" t="str">
        <f>Squads!$B$331&amp;" - "&amp;Squads!$C$331</f>
        <v>Roger Blazey - Architect (AI Innovation)</v>
      </c>
    </row>
    <row r="204">
      <c r="B204" s="552" t="n">
        <v>290</v>
      </c>
      <c r="C204" s="552" t="inlineStr">
        <is>
          <t>O290</t>
        </is>
      </c>
      <c r="D204" s="563" t="inlineStr">
        <is>
          <t>Leadership</t>
        </is>
      </c>
      <c r="E204" s="563" t="inlineStr">
        <is>
          <t>COE - Data</t>
        </is>
      </c>
      <c r="F204" s="563" t="str">
        <f>Squads!$B$290&amp;" - "&amp;Squads!$C$290</f>
        <v>Sanjay Tikoo - Principal, Data Architecture &amp; Governance</v>
      </c>
    </row>
    <row r="205">
      <c r="B205" s="552" t="n">
        <v>290</v>
      </c>
      <c r="C205" s="552" t="inlineStr">
        <is>
          <t>P290</t>
        </is>
      </c>
      <c r="D205" s="563" t="inlineStr">
        <is>
          <t>Leadership</t>
        </is>
      </c>
      <c r="E205" s="563" t="inlineStr">
        <is>
          <t>COE - Data</t>
        </is>
      </c>
      <c r="F205" s="563" t="str">
        <f>Squads!$B$290&amp;" - "&amp;Squads!$C$290</f>
        <v>Sanjay Tikoo - Principal, Data Architecture &amp; Governance</v>
      </c>
    </row>
    <row r="206">
      <c r="B206" s="552" t="n">
        <v>290</v>
      </c>
      <c r="C206" s="552" t="inlineStr">
        <is>
          <t>Q290</t>
        </is>
      </c>
      <c r="D206" s="563" t="inlineStr">
        <is>
          <t>Leadership</t>
        </is>
      </c>
      <c r="E206" s="563" t="inlineStr">
        <is>
          <t>COE</t>
        </is>
      </c>
      <c r="F206" s="563" t="str">
        <f>Squads!$B$290&amp;" - "&amp;Squads!$C$290</f>
        <v>Sanjay Tikoo - Principal, Data Architecture &amp; Governance</v>
      </c>
    </row>
    <row r="207">
      <c r="B207" s="552" t="n">
        <v>300</v>
      </c>
      <c r="C207" s="552" t="inlineStr">
        <is>
          <t>N300</t>
        </is>
      </c>
      <c r="D207" s="563" t="inlineStr">
        <is>
          <t>Enterprise Data</t>
        </is>
      </c>
      <c r="E207" s="563" t="inlineStr">
        <is>
          <t>COE</t>
        </is>
      </c>
      <c r="F207" s="563" t="str">
        <f>Squads!$B$300&amp;" - "&amp;Squads!$C$300</f>
        <v>Tim Snedden - Delivery Lead</v>
      </c>
    </row>
    <row r="208">
      <c r="B208" s="552" t="n">
        <v>300</v>
      </c>
      <c r="C208" s="552" t="inlineStr">
        <is>
          <t>O300</t>
        </is>
      </c>
      <c r="D208" s="563" t="inlineStr">
        <is>
          <t>Group Data</t>
        </is>
      </c>
      <c r="E208" s="563" t="inlineStr">
        <is>
          <t>COE - Strategy Architecture</t>
        </is>
      </c>
      <c r="F208" s="563" t="str">
        <f>Squads!$B$300&amp;" - "&amp;Squads!$C$300</f>
        <v>Tim Snedden - Delivery Lead</v>
      </c>
    </row>
    <row r="209">
      <c r="B209" s="552" t="n">
        <v>300</v>
      </c>
      <c r="C209" s="552" t="inlineStr">
        <is>
          <t>P300</t>
        </is>
      </c>
      <c r="D209" s="563" t="inlineStr">
        <is>
          <t>Data Platforms</t>
        </is>
      </c>
      <c r="E209" s="563" t="inlineStr">
        <is>
          <t>COE - Strategy Architecture</t>
        </is>
      </c>
      <c r="F209" s="563" t="str">
        <f>Squads!$B$300&amp;" - "&amp;Squads!$C$300</f>
        <v>Tim Snedden - Delivery Lead</v>
      </c>
    </row>
    <row r="210">
      <c r="B210" s="552" t="n">
        <v>300</v>
      </c>
      <c r="C210" s="552" t="inlineStr">
        <is>
          <t>Q300</t>
        </is>
      </c>
      <c r="D210" s="563" t="inlineStr">
        <is>
          <t>Squad</t>
        </is>
      </c>
      <c r="E210" s="563" t="inlineStr">
        <is>
          <t>COE</t>
        </is>
      </c>
      <c r="F210" s="563" t="str">
        <f>Squads!$B$300&amp;" - "&amp;Squads!$C$300</f>
        <v>Tim Snedden - Delivery Lead</v>
      </c>
    </row>
    <row r="211">
      <c r="B211" s="552" t="n">
        <v>296</v>
      </c>
      <c r="C211" s="552" t="inlineStr">
        <is>
          <t>N296</t>
        </is>
      </c>
      <c r="D211" s="563" t="inlineStr">
        <is>
          <t>Enterprise Data</t>
        </is>
      </c>
      <c r="E211" s="563" t="inlineStr">
        <is>
          <t>COE</t>
        </is>
      </c>
      <c r="F211" s="563" t="str">
        <f>Squads!$B$296&amp;" - "&amp;Squads!$C$296</f>
        <v>Vacant - Business Analyst</v>
      </c>
    </row>
    <row r="212">
      <c r="B212" s="552" t="n">
        <v>296</v>
      </c>
      <c r="C212" s="552" t="inlineStr">
        <is>
          <t>O296</t>
        </is>
      </c>
      <c r="D212" s="563" t="inlineStr">
        <is>
          <t>Group Data</t>
        </is>
      </c>
      <c r="E212" s="563" t="inlineStr">
        <is>
          <t>COE - Strategy Architecture</t>
        </is>
      </c>
      <c r="F212" s="563" t="str">
        <f>Squads!$B$296&amp;" - "&amp;Squads!$C$296</f>
        <v>Vacant - Business Analyst</v>
      </c>
    </row>
    <row r="213">
      <c r="B213" s="552" t="n">
        <v>296</v>
      </c>
      <c r="C213" s="552" t="inlineStr">
        <is>
          <t>P296</t>
        </is>
      </c>
      <c r="D213" s="563" t="inlineStr">
        <is>
          <t>Reporting &amp; Analytics</t>
        </is>
      </c>
      <c r="E213" s="563" t="inlineStr">
        <is>
          <t>COE - Strategy Architecture</t>
        </is>
      </c>
      <c r="F213" s="563" t="str">
        <f>Squads!$B$296&amp;" - "&amp;Squads!$C$296</f>
        <v>Vacant - Business Analyst</v>
      </c>
    </row>
    <row r="214">
      <c r="B214" s="552" t="n">
        <v>296</v>
      </c>
      <c r="C214" s="552" t="inlineStr">
        <is>
          <t>Q296</t>
        </is>
      </c>
      <c r="D214" s="563" t="inlineStr">
        <is>
          <t>Squad</t>
        </is>
      </c>
      <c r="E214" s="563" t="inlineStr">
        <is>
          <t>COE</t>
        </is>
      </c>
      <c r="F214" s="563" t="str">
        <f>Squads!$B$296&amp;" - "&amp;Squads!$C$296</f>
        <v>Vacant - Business Analyst</v>
      </c>
    </row>
    <row r="215">
      <c r="B215" s="552" t="n">
        <v>309</v>
      </c>
      <c r="C215" s="552" t="inlineStr">
        <is>
          <t>N309</t>
        </is>
      </c>
      <c r="D215" s="563" t="inlineStr">
        <is>
          <t>Unmapped</t>
        </is>
      </c>
      <c r="E215" s="563" t="inlineStr">
        <is>
          <t>COE</t>
        </is>
      </c>
      <c r="F215" s="563" t="str">
        <f>Squads!$B$309&amp;" - "&amp;Squads!$C$309</f>
        <v>Vacant - Head of Technology Strategy &amp; AI Capability</v>
      </c>
    </row>
    <row r="216">
      <c r="B216" s="552" t="n">
        <v>309</v>
      </c>
      <c r="C216" s="552" t="inlineStr">
        <is>
          <t>O309</t>
        </is>
      </c>
      <c r="D216" s="563" t="inlineStr">
        <is>
          <t>Leadership</t>
        </is>
      </c>
      <c r="E216" s="563" t="inlineStr">
        <is>
          <t>COE - Strategy Architecture</t>
        </is>
      </c>
      <c r="F216" s="563" t="str">
        <f>Squads!$B$309&amp;" - "&amp;Squads!$C$309</f>
        <v>Vacant - Head of Technology Strategy &amp; AI Capability</v>
      </c>
    </row>
    <row r="217">
      <c r="B217" s="552" t="n">
        <v>309</v>
      </c>
      <c r="C217" s="552" t="inlineStr">
        <is>
          <t>P309</t>
        </is>
      </c>
      <c r="D217" s="563" t="inlineStr">
        <is>
          <t>Leadership</t>
        </is>
      </c>
      <c r="E217" s="563" t="inlineStr">
        <is>
          <t>COE - Strategy Architecture</t>
        </is>
      </c>
      <c r="F217" s="563" t="str">
        <f>Squads!$B$309&amp;" - "&amp;Squads!$C$309</f>
        <v>Vacant - Head of Technology Strategy &amp; AI Capability</v>
      </c>
    </row>
    <row r="218">
      <c r="B218" s="552" t="n">
        <v>309</v>
      </c>
      <c r="C218" s="552" t="inlineStr">
        <is>
          <t>Q309</t>
        </is>
      </c>
      <c r="D218" s="563" t="inlineStr">
        <is>
          <t>Leadership</t>
        </is>
      </c>
      <c r="E218" s="563" t="inlineStr">
        <is>
          <t>COE</t>
        </is>
      </c>
      <c r="F218" s="563" t="str">
        <f>Squads!$B$309&amp;" - "&amp;Squads!$C$309</f>
        <v>Vacant - Head of Technology Strategy &amp; AI Capability</v>
      </c>
    </row>
    <row r="219">
      <c r="B219" s="552" t="n">
        <v>306</v>
      </c>
      <c r="C219" s="552" t="inlineStr">
        <is>
          <t>N306</t>
        </is>
      </c>
      <c r="D219" s="563" t="inlineStr">
        <is>
          <t>Unmapped</t>
        </is>
      </c>
      <c r="E219" s="563" t="inlineStr">
        <is>
          <t>COE</t>
        </is>
      </c>
      <c r="F219" s="563" t="str">
        <f>Squads!$B$306&amp;" - "&amp;Squads!$C$306</f>
        <v>Vacant - Senior Communications Advisor</v>
      </c>
    </row>
    <row r="220">
      <c r="B220" s="552" t="n">
        <v>306</v>
      </c>
      <c r="C220" s="552" t="inlineStr">
        <is>
          <t>O306</t>
        </is>
      </c>
      <c r="D220" s="563" t="inlineStr">
        <is>
          <t>Leadership</t>
        </is>
      </c>
      <c r="E220" s="563" t="inlineStr">
        <is>
          <t>COE - Strategy Architecture</t>
        </is>
      </c>
      <c r="F220" s="563" t="str">
        <f>Squads!$B$306&amp;" - "&amp;Squads!$C$306</f>
        <v>Vacant - Senior Communications Advisor</v>
      </c>
    </row>
    <row r="221">
      <c r="B221" s="552" t="n">
        <v>306</v>
      </c>
      <c r="C221" s="552" t="inlineStr">
        <is>
          <t>P306</t>
        </is>
      </c>
      <c r="D221" s="563" t="inlineStr">
        <is>
          <t>Leadership</t>
        </is>
      </c>
      <c r="E221" s="563" t="inlineStr">
        <is>
          <t>COE - Strategy Architecture</t>
        </is>
      </c>
      <c r="F221" s="563" t="str">
        <f>Squads!$B$306&amp;" - "&amp;Squads!$C$306</f>
        <v>Vacant - Senior Communications Advisor</v>
      </c>
    </row>
    <row r="222">
      <c r="B222" s="552" t="n">
        <v>306</v>
      </c>
      <c r="C222" s="552" t="inlineStr">
        <is>
          <t>Q306</t>
        </is>
      </c>
      <c r="D222" s="563" t="inlineStr">
        <is>
          <t>Leadership</t>
        </is>
      </c>
      <c r="E222" s="563" t="inlineStr">
        <is>
          <t>COE</t>
        </is>
      </c>
      <c r="F222" s="563" t="str">
        <f>Squads!$B$306&amp;" - "&amp;Squads!$C$306</f>
        <v>Vacant - Senior Communications Advisor</v>
      </c>
    </row>
    <row r="223">
      <c r="B223" s="552" t="n">
        <v>322</v>
      </c>
      <c r="C223" s="552" t="inlineStr">
        <is>
          <t>O322</t>
        </is>
      </c>
      <c r="D223" s="563" t="inlineStr">
        <is>
          <t>COE (unspecified)</t>
        </is>
      </c>
      <c r="E223" s="563" t="inlineStr">
        <is>
          <t>COE - Data</t>
        </is>
      </c>
      <c r="F223" s="563" t="str">
        <f>Squads!$B$322&amp;" - "&amp;Squads!$C$322</f>
        <v>Vacant - Enterprise Data Architect</v>
      </c>
    </row>
    <row r="224">
      <c r="B224" s="552" t="n">
        <v>322</v>
      </c>
      <c r="C224" s="552" t="inlineStr">
        <is>
          <t>P322</t>
        </is>
      </c>
      <c r="D224" s="563" t="inlineStr">
        <is>
          <t>COE (unspecified)</t>
        </is>
      </c>
      <c r="E224" s="563" t="inlineStr">
        <is>
          <t>COE - Data</t>
        </is>
      </c>
      <c r="F224" s="563" t="str">
        <f>Squads!$B$322&amp;" - "&amp;Squads!$C$322</f>
        <v>Vacant - Enterprise Data Architect</v>
      </c>
    </row>
    <row r="225">
      <c r="B225" s="552" t="n">
        <v>327</v>
      </c>
      <c r="C225" s="552" t="inlineStr">
        <is>
          <t>O327</t>
        </is>
      </c>
      <c r="D225" s="563" t="inlineStr">
        <is>
          <t>COE (unspecified)</t>
        </is>
      </c>
      <c r="E225" s="563" t="inlineStr">
        <is>
          <t>COE - Strategy Architecture</t>
        </is>
      </c>
      <c r="F225" s="563" t="str">
        <f>Squads!$B$327&amp;" - "&amp;Squads!$C$327</f>
        <v>Vacant - AI Capability Lead</v>
      </c>
    </row>
    <row r="226">
      <c r="B226" s="552" t="n">
        <v>327</v>
      </c>
      <c r="C226" s="552" t="inlineStr">
        <is>
          <t>P327</t>
        </is>
      </c>
      <c r="D226" s="563" t="inlineStr">
        <is>
          <t>COE (unspecified)</t>
        </is>
      </c>
      <c r="E226" s="563" t="inlineStr">
        <is>
          <t>COE - Strategy Architecture</t>
        </is>
      </c>
      <c r="F226" s="563" t="str">
        <f>Squads!$B$327&amp;" - "&amp;Squads!$C$327</f>
        <v>Vacant - AI Capability Lead</v>
      </c>
    </row>
    <row r="227">
      <c r="B227" s="552" t="n">
        <v>333</v>
      </c>
      <c r="C227" s="552" t="inlineStr">
        <is>
          <t>O333</t>
        </is>
      </c>
      <c r="D227" s="563" t="inlineStr">
        <is>
          <t>COE (unspecified)</t>
        </is>
      </c>
      <c r="E227" s="563" t="inlineStr">
        <is>
          <t>COE - Strategy Architecture</t>
        </is>
      </c>
      <c r="F227" s="563" t="str">
        <f>Squads!$B$333&amp;" - "&amp;Squads!$C$333</f>
        <v>Vacant - Enterprise Process Lead</v>
      </c>
    </row>
    <row r="228">
      <c r="B228" s="552" t="n">
        <v>333</v>
      </c>
      <c r="C228" s="552" t="inlineStr">
        <is>
          <t>P333</t>
        </is>
      </c>
      <c r="D228" s="563" t="inlineStr">
        <is>
          <t>COE (unspecified)</t>
        </is>
      </c>
      <c r="E228" s="563" t="inlineStr">
        <is>
          <t>COE - Strategy Architecture</t>
        </is>
      </c>
      <c r="F228" s="563" t="str">
        <f>Squads!$B$333&amp;" - "&amp;Squads!$C$333</f>
        <v>Vacant - Enterprise Process Lead</v>
      </c>
    </row>
    <row r="229">
      <c r="B229" s="552" t="n">
        <v>334</v>
      </c>
      <c r="C229" s="552" t="inlineStr">
        <is>
          <t>O334</t>
        </is>
      </c>
      <c r="D229" s="563" t="inlineStr">
        <is>
          <t>COE (unspecified)</t>
        </is>
      </c>
      <c r="E229" s="563" t="inlineStr">
        <is>
          <t>COE - Strategy Architecture</t>
        </is>
      </c>
      <c r="F229" s="563" t="str">
        <f>Squads!$B$334&amp;" - "&amp;Squads!$C$334</f>
        <v>Vacant - EnterpriseProcess Analyst</v>
      </c>
    </row>
    <row r="230">
      <c r="B230" s="552" t="n">
        <v>334</v>
      </c>
      <c r="C230" s="552" t="inlineStr">
        <is>
          <t>P334</t>
        </is>
      </c>
      <c r="D230" s="563" t="inlineStr">
        <is>
          <t>COE (unspecified)</t>
        </is>
      </c>
      <c r="E230" s="563" t="inlineStr">
        <is>
          <t>COE - Strategy Architecture</t>
        </is>
      </c>
      <c r="F230" s="563" t="str">
        <f>Squads!$B$334&amp;" - "&amp;Squads!$C$334</f>
        <v>Vacant - EnterpriseProcess Analyst</v>
      </c>
    </row>
    <row r="231">
      <c r="B231" s="552" t="n">
        <v>342</v>
      </c>
      <c r="C231" s="552" t="inlineStr">
        <is>
          <t>O342</t>
        </is>
      </c>
      <c r="D231" s="563" t="inlineStr">
        <is>
          <t>COE (unspecified)</t>
        </is>
      </c>
      <c r="E231" s="563" t="inlineStr">
        <is>
          <t>COE - Strategy Architecture</t>
        </is>
      </c>
      <c r="F231" s="563" t="str">
        <f>Squads!$B$342&amp;" - "&amp;Squads!$C$342</f>
        <v>Vacant - Strategy Analyst</v>
      </c>
    </row>
    <row r="232">
      <c r="B232" s="552" t="n">
        <v>342</v>
      </c>
      <c r="C232" s="552" t="inlineStr">
        <is>
          <t>P342</t>
        </is>
      </c>
      <c r="D232" s="563" t="inlineStr">
        <is>
          <t>COE (unspecified)</t>
        </is>
      </c>
      <c r="E232" s="563" t="inlineStr">
        <is>
          <t>COE - Strategy Architecture</t>
        </is>
      </c>
      <c r="F232" s="563" t="str">
        <f>Squads!$B$342&amp;" - "&amp;Squads!$C$342</f>
        <v>Vacant - Strategy Analyst</v>
      </c>
    </row>
    <row r="235">
      <c r="B235" s="548" t="inlineStr">
        <is>
          <t>Owner working notes (moved off the presentation tabs, preserved verbatim)</t>
        </is>
      </c>
    </row>
    <row r="236">
      <c r="B236" s="563" t="inlineStr">
        <is>
          <t>3.4 COE Summary K7</t>
        </is>
      </c>
      <c r="C236" s="563" t="inlineStr">
        <is>
          <t>Other Architecture</t>
        </is>
      </c>
    </row>
    <row r="237">
      <c r="B237" s="563" t="inlineStr">
        <is>
          <t>3.4 COE Summary L7</t>
        </is>
      </c>
      <c r="C237" s="563" t="inlineStr">
        <is>
          <t>1.1</t>
        </is>
      </c>
    </row>
    <row r="238">
      <c r="B238" s="563" t="inlineStr">
        <is>
          <t>3.4 COE Summary K8</t>
        </is>
      </c>
      <c r="C238" s="563" t="inlineStr">
        <is>
          <t>Domain Architects are an overhead</t>
        </is>
      </c>
    </row>
    <row r="239">
      <c r="B239" s="563" t="inlineStr">
        <is>
          <t>3.4 COE Summary L8</t>
        </is>
      </c>
      <c r="C239" s="563" t="inlineStr">
        <is>
          <t>-1.1</t>
        </is>
      </c>
    </row>
    <row r="240">
      <c r="B240" s="563" t="inlineStr">
        <is>
          <t>3.4 COE Summary K9</t>
        </is>
      </c>
      <c r="C240" s="563" t="inlineStr">
        <is>
          <t xml:space="preserve">Strategy </t>
        </is>
      </c>
    </row>
    <row r="241">
      <c r="B241" s="563" t="inlineStr">
        <is>
          <t>3.4 COE Summary L9</t>
        </is>
      </c>
      <c r="C241" s="563" t="inlineStr">
        <is>
          <t>1.7</t>
        </is>
      </c>
    </row>
    <row r="242">
      <c r="B242" s="563" t="inlineStr">
        <is>
          <t>3.4 COE Summary K11</t>
        </is>
      </c>
      <c r="C242" s="563" t="inlineStr">
        <is>
          <t>Data</t>
        </is>
      </c>
    </row>
    <row r="243">
      <c r="B243" s="563" t="inlineStr">
        <is>
          <t>3.4 COE Summary L11</t>
        </is>
      </c>
      <c r="C243" s="563" t="inlineStr">
        <is>
          <t>2.2</t>
        </is>
      </c>
    </row>
    <row r="244">
      <c r="B244" s="563" t="inlineStr">
        <is>
          <t>1.1 Ampol Retail J33</t>
        </is>
      </c>
      <c r="C244" s="563" t="inlineStr">
        <is>
          <t xml:space="preserve">Will combine - takes out 4 roles. New platform Above Store &amp; new squad Above Store </t>
        </is>
      </c>
    </row>
    <row r="245">
      <c r="B245" s="563" t="inlineStr">
        <is>
          <t>1.1 Ampol Retail J46</t>
        </is>
      </c>
      <c r="C245" s="563" t="inlineStr">
        <is>
          <t xml:space="preserve">Change this to strat projects; impact on price </t>
        </is>
      </c>
    </row>
    <row r="246">
      <c r="B246" s="563" t="inlineStr">
        <is>
          <t>1.1 Ampol Retail J47</t>
        </is>
      </c>
      <c r="C246" s="563" t="inlineStr">
        <is>
          <t>Take some roles from POS and put into Pos</t>
        </is>
      </c>
    </row>
    <row r="247">
      <c r="B247" s="563" t="inlineStr">
        <is>
          <t>1.1 Ampol Retail J58</t>
        </is>
      </c>
      <c r="C247" s="563" t="inlineStr">
        <is>
          <t>Subject to support Ampos</t>
        </is>
      </c>
    </row>
    <row r="248">
      <c r="B248" s="563" t="inlineStr">
        <is>
          <t>1.1 Ampol Retail J63</t>
        </is>
      </c>
      <c r="C248" s="563" t="inlineStr">
        <is>
          <t>Update - EGI</t>
        </is>
      </c>
    </row>
    <row r="249">
      <c r="B249" s="563" t="inlineStr">
        <is>
          <t>1.2 Customer J37</t>
        </is>
      </c>
      <c r="C249" s="563" t="inlineStr">
        <is>
          <t xml:space="preserve">Z funded incl. in the lights on budget. Needs to be under group customer platforms </t>
        </is>
      </c>
    </row>
    <row r="250">
      <c r="B250" s="563" t="inlineStr">
        <is>
          <t>1.2 Customer J38</t>
        </is>
      </c>
      <c r="C250" s="563" t="inlineStr">
        <is>
          <t xml:space="preserve">Z funded incl. in the lights on budget. Needs to be under group customer platforms </t>
        </is>
      </c>
    </row>
    <row r="251">
      <c r="B251" s="563" t="inlineStr">
        <is>
          <t>1.2 Customer J39</t>
        </is>
      </c>
      <c r="C251" s="563" t="inlineStr">
        <is>
          <t xml:space="preserve">Z funded incl. in the lights on budget. Needs to be under group customer platforms </t>
        </is>
      </c>
    </row>
    <row r="252">
      <c r="B252" s="563" t="inlineStr">
        <is>
          <t>1.4 TDD Group Functions J25</t>
        </is>
      </c>
      <c r="C252" s="563" t="inlineStr">
        <is>
          <t xml:space="preserve">Could be 50% support </t>
        </is>
      </c>
    </row>
    <row r="253">
      <c r="B253" s="563" t="inlineStr">
        <is>
          <t>1.8 Energy Solutions &amp; B2B J6</t>
        </is>
      </c>
      <c r="C253" s="563" t="inlineStr">
        <is>
          <t xml:space="preserve">Will need to split out B2B for budget </t>
        </is>
      </c>
    </row>
    <row r="254">
      <c r="B254" s="563" t="inlineStr">
        <is>
          <t>1.8 Energy Solutions &amp; B2B J28</t>
        </is>
      </c>
      <c r="C254" s="563" t="inlineStr">
        <is>
          <t xml:space="preserve">current FTE 6 </t>
        </is>
      </c>
    </row>
    <row r="257">
      <c r="B257" s="548" t="inlineStr">
        <is>
          <t>Vacancy coverage check (must read 0)</t>
        </is>
      </c>
    </row>
    <row r="258">
      <c r="B258" s="563" t="inlineStr">
        <is>
          <t>Vacant on all working tabs</t>
        </is>
      </c>
      <c r="C258" s="552">
        <f>COUNTIF('2.1 Ampol Retail'!$F$1:$F$500,"Vacant")+COUNTIF('2.10 Z Retail'!$F$1:$F$500,"Vacant")+COUNTIF('2.11 TDD Cyber'!$F$1:$F$500,"Vacant")+COUNTIF('2.2 Customer'!$F$1:$F$500,"Vacant")+COUNTIF('2.3 Enterprise Data'!$F$1:$F$500,"Vacant")+COUNTIF('2.4 TDD Group Functions'!$F$1:$F$500,"Vacant")+COUNTIF('2.5 P&amp;C'!$F$1:$F$500,"Vacant")+COUNTIF('2.6 Finance'!$F$1:$F$500,"Vacant")+COUNTIF('2.7 Infrastructure'!$F$1:$F$500,"Vacant")+COUNTIF('2.8 Energy Solutions &amp; B2B'!$F$1:$F$500,"Vacant")+COUNTIF('2.9 Commercial Fuels'!$F$1:$F$500,"Vacant")+COUNTIF('2.12 BP&amp;T'!$F$1:$F$500,"Vacant")+COUNTIF('2.13 SA&amp;D'!$F$1:$F$500,"Vacant")+COUNTIF('2.14 EGI &amp; Central'!$F$1:$F$500,"Vacant")</f>
        <v>11.0</v>
      </c>
    </row>
    <row r="259">
      <c r="B259" s="563" t="inlineStr">
        <is>
          <t>Vacant in Squads (the 166)</t>
        </is>
      </c>
      <c r="C259" s="552">
        <f>COUNTIF(Squads!$R$2:$R$1000,"Vacant")</f>
        <v>166.0</v>
      </c>
    </row>
    <row r="260">
      <c r="B260" s="563" t="inlineStr">
        <is>
          <t>Vacant in Sheet2 (COE and cyber FTE lists)</t>
        </is>
      </c>
      <c r="C260" s="552">
        <f>SUMPRODUCT(--(LOWER(Sheet2!$Q$2:$Q$200)="v"))</f>
        <v>0.0</v>
      </c>
    </row>
    <row r="261">
      <c r="B261" s="550" t="inlineStr">
        <is>
          <t>Check - coverage minus raw counts</t>
        </is>
      </c>
      <c r="C261" s="604">
        <f>C258-C259-C260</f>
        <v>-155.0</v>
      </c>
    </row>
    <row r="262">
      <c r="B262" s="563" t="inlineStr">
        <is>
          <t>Squads with a size the archetype library cannot price (must be 0)</t>
        </is>
      </c>
      <c r="C262" s="552">
        <f>COUNTIF('1.1 Ampol Retail'!$H$21:$H$71,"check size")+COUNTIF('1.2 Customer'!$H$21:$H$71,"check size")+COUNTIF('1.3 Enterprise Data'!$H$21:$H$71,"check size")+COUNTIF('1.4 TDD Group Functions'!$H$20:$H$70,"check size")+COUNTIF('1.5 P&amp;C'!$H$20:$H$70,"check size")+COUNTIF('1.6 Finance'!$H$20:$H$70,"check size")+COUNTIF('1.7 Infrastructure'!$H$20:$H$70,"check size")+COUNTIF('1.8 Energy Solutions &amp; B2B'!$H$20:$H$70,"check size")+COUNTIF('1.9 Commercial Fuels'!$H$20:$H$70,"check size")+COUNTIF('1.10 Z Retail'!$H$22:$H$72,"check size")</f>
        <v>0.0</v>
      </c>
    </row>
    <row r="263">
      <c r="B263" s="563" t="inlineStr">
        <is>
          <t>Stray totals parked below the Added data ledger (bounded references keep them out of every sum)</t>
        </is>
      </c>
      <c r="C263" s="552">
        <f>COUNT('Added data'!$AA$550:$AA$1000)</f>
        <v>5.0</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sheetPr>
    <tabColor rgb="FF00B050"/>
    <outlinePr summaryBelow="1" summaryRight="1"/>
    <pageSetUpPr/>
  </sheetPr>
  <dimension ref="A1:AN528"/>
  <sheetViews>
    <sheetView showGridLines="0" tabSelected="1" zoomScale="81" zoomScaleNormal="78" workbookViewId="0">
      <selection activeCell="A1" sqref="A1"/>
    </sheetView>
  </sheetViews>
  <sheetFormatPr baseColWidth="8" defaultColWidth="8.7265625" defaultRowHeight="18" customHeight="1"/>
  <cols>
    <col width="16.26953125" customWidth="1" style="818" min="1" max="1"/>
    <col width="20.7265625" customWidth="1" style="673" min="2" max="2"/>
    <col width="26.81640625" customWidth="1" style="673" min="3" max="3"/>
    <col width="19.453125" customWidth="1" style="673" min="4" max="4"/>
    <col width="37.453125" customWidth="1" style="673" min="5" max="5"/>
    <col width="22" customWidth="1" style="673" min="6" max="6"/>
    <col width="26.1796875" customWidth="1" style="673" min="7" max="7"/>
    <col width="33" bestFit="1" customWidth="1" style="673" min="8" max="8"/>
    <col width="23.453125" customWidth="1" style="673" min="9" max="9"/>
    <col width="23.26953125" customWidth="1" style="673" min="10" max="10"/>
    <col width="34.453125" bestFit="1" customWidth="1" style="673" min="11" max="11"/>
    <col width="6.54296875" customWidth="1" style="673" min="12" max="12"/>
    <col width="9.453125" customWidth="1" style="673" min="13" max="13"/>
    <col width="8.26953125" customWidth="1" style="819" min="14" max="14"/>
    <col width="8.7265625" customWidth="1" style="819" min="15" max="16"/>
    <col width="22.81640625" bestFit="1" customWidth="1" style="819" min="17" max="17"/>
    <col width="10.1796875" customWidth="1" style="819" min="18" max="18"/>
    <col width="8.7265625" customWidth="1" style="819" min="19" max="19"/>
    <col width="14.81640625" customWidth="1" style="819" min="20" max="20"/>
    <col width="15.1796875" customWidth="1" style="819" min="21" max="21"/>
    <col width="14.81640625" customWidth="1" style="819" min="22" max="24"/>
    <col width="14.81640625" customWidth="1" style="673" min="25" max="25"/>
    <col width="14.81640625" customWidth="1" style="819" min="26" max="26"/>
    <col width="14.81640625" customWidth="1" style="673" min="27" max="27"/>
    <col width="25.7265625" customWidth="1" style="673" min="28" max="28"/>
    <col width="8.7265625" customWidth="1" style="673" min="29" max="16384"/>
  </cols>
  <sheetData>
    <row r="1" ht="41.5" customFormat="1" customHeight="1" s="658">
      <c r="A1" s="644" t="inlineStr">
        <is>
          <t>EE Number</t>
        </is>
      </c>
      <c r="B1" s="645" t="inlineStr">
        <is>
          <t>Name</t>
        </is>
      </c>
      <c r="C1" s="645" t="inlineStr">
        <is>
          <t>Position Title</t>
        </is>
      </c>
      <c r="D1" s="645" t="inlineStr">
        <is>
          <t>Reports to name</t>
        </is>
      </c>
      <c r="E1" s="645" t="inlineStr">
        <is>
          <t>Reports to Position</t>
        </is>
      </c>
      <c r="F1" s="646" t="inlineStr">
        <is>
          <t>Division (GM)</t>
        </is>
      </c>
      <c r="G1" s="647" t="inlineStr">
        <is>
          <t>Department (GM-1)</t>
        </is>
      </c>
      <c r="H1" s="647" t="inlineStr">
        <is>
          <t>Team (GM-2)</t>
        </is>
      </c>
      <c r="I1" s="648" t="inlineStr">
        <is>
          <t>Portfolio</t>
        </is>
      </c>
      <c r="J1" s="649" t="inlineStr">
        <is>
          <t>Platform</t>
        </is>
      </c>
      <c r="K1" s="648" t="inlineStr">
        <is>
          <t>Squad</t>
        </is>
      </c>
      <c r="L1" s="648" t="inlineStr">
        <is>
          <t>CC</t>
        </is>
      </c>
      <c r="M1" s="650" t="inlineStr">
        <is>
          <t>Country</t>
        </is>
      </c>
      <c r="N1" s="651" t="inlineStr">
        <is>
          <t>Job Level</t>
        </is>
      </c>
      <c r="O1" s="651" t="inlineStr">
        <is>
          <t>FTE</t>
        </is>
      </c>
      <c r="P1" s="651" t="n"/>
      <c r="Q1" s="651" t="inlineStr">
        <is>
          <t>Type</t>
        </is>
      </c>
      <c r="R1" s="652" t="inlineStr">
        <is>
          <t>Unit</t>
        </is>
      </c>
      <c r="S1" s="652" t="inlineStr">
        <is>
          <t>day rate</t>
        </is>
      </c>
      <c r="T1" s="653" t="inlineStr">
        <is>
          <t>FTE Base
 Local</t>
        </is>
      </c>
      <c r="U1" s="654" t="inlineStr">
        <is>
          <t>FTE Base 
AUD</t>
        </is>
      </c>
      <c r="V1" s="655" t="inlineStr">
        <is>
          <t>STI</t>
        </is>
      </c>
      <c r="W1" s="656" t="inlineStr">
        <is>
          <t>Payroll</t>
        </is>
      </c>
      <c r="X1" s="656" t="inlineStr">
        <is>
          <t>Pensions</t>
        </is>
      </c>
      <c r="Y1" s="656" t="inlineStr">
        <is>
          <t>medical</t>
        </is>
      </c>
      <c r="Z1" s="656" t="inlineStr">
        <is>
          <t>CPI</t>
        </is>
      </c>
      <c r="AA1" s="657" t="inlineStr">
        <is>
          <t>Full Cost 
AUD</t>
        </is>
      </c>
      <c r="AB1" s="658" t="inlineStr">
        <is>
          <t>MyHR ee no</t>
        </is>
      </c>
      <c r="AJ1" t="inlineStr">
        <is>
          <t>MTab</t>
        </is>
      </c>
      <c r="AK1" t="inlineStr">
        <is>
          <t>MStatus</t>
        </is>
      </c>
      <c r="AL1" t="inlineStr">
        <is>
          <t>MAUNZ</t>
        </is>
      </c>
      <c r="AM1" t="inlineStr">
        <is>
          <t>MRank</t>
        </is>
      </c>
      <c r="AN1" t="inlineStr">
        <is>
          <t>MKey</t>
        </is>
      </c>
    </row>
    <row r="2" ht="18" customHeight="1" s="849">
      <c r="A2" s="659" t="n">
        <v>99999101533</v>
      </c>
      <c r="B2" s="660" t="inlineStr">
        <is>
          <t>Adrian Alcance</t>
        </is>
      </c>
      <c r="C2" s="660" t="inlineStr">
        <is>
          <t>Senior Engineer - DevOps</t>
        </is>
      </c>
      <c r="D2" s="660" t="inlineStr">
        <is>
          <t>Vacant</t>
        </is>
      </c>
      <c r="E2" s="660" t="inlineStr">
        <is>
          <t>Technology Manager, Engineering</t>
        </is>
      </c>
      <c r="F2" s="661" t="inlineStr">
        <is>
          <t>Ampol Retail &amp; Z</t>
        </is>
      </c>
      <c r="G2" s="660" t="inlineStr">
        <is>
          <t>Z &amp; Group Retail</t>
        </is>
      </c>
      <c r="H2" s="660" t="inlineStr">
        <is>
          <t>Z &amp; Group Retail, Engineering</t>
        </is>
      </c>
      <c r="I2" s="660" t="inlineStr">
        <is>
          <t>Z</t>
        </is>
      </c>
      <c r="J2" s="660" t="inlineStr">
        <is>
          <t>Z Customer</t>
        </is>
      </c>
      <c r="K2" s="660" t="inlineStr">
        <is>
          <t xml:space="preserve">Z Retail Backend </t>
        </is>
      </c>
      <c r="L2" s="662" t="n"/>
      <c r="M2" s="663" t="inlineStr">
        <is>
          <t>NZ</t>
        </is>
      </c>
      <c r="N2" s="664" t="inlineStr">
        <is>
          <t>CIA</t>
        </is>
      </c>
      <c r="O2" s="665" t="n">
        <v>1</v>
      </c>
      <c r="P2" s="664" t="n"/>
      <c r="Q2" s="665" t="inlineStr">
        <is>
          <t>Permanent - Full Time</t>
        </is>
      </c>
      <c r="R2" s="666" t="n"/>
      <c r="S2" s="666" t="n"/>
      <c r="T2" s="667" t="n">
        <v>123710</v>
      </c>
      <c r="U2" s="668" t="n">
        <v>113813.2</v>
      </c>
      <c r="V2" s="669" t="n">
        <v>0.15</v>
      </c>
      <c r="W2" s="665" t="n"/>
      <c r="X2" s="670" t="n">
        <v>0.05</v>
      </c>
      <c r="Y2" s="918" t="n">
        <v>2910</v>
      </c>
      <c r="Z2" s="670" t="n">
        <v>0.03</v>
      </c>
      <c r="AA2" s="919">
        <f>U2*(1+V2+X2+Z2)+Y2</f>
        <v>142900.236</v>
      </c>
      <c r="AH2" s="920" t="n"/>
      <c r="AJ2" t="str">
        <f>IFERROR(INDEX(Lists!$U$1:$U$18,MATCH($I2,Lists!$T$1:$T$18,0)),"?")</f>
        <v>Z Retail</v>
      </c>
      <c r="AK2" t="str">
        <f>IF(LOWER($Q2)="v","Vacant",IF(LOWER($Q2)="pause","Paused",IF(LOWER($Q2)="cxc","Contractor",IF($Q2="Contractor","Contractor","Filled"))))</f>
        <v>Filled</v>
      </c>
      <c r="AL2" t="str">
        <f>IF($M2="NZ","NZ","AU")</f>
        <v>NZ</v>
      </c>
      <c r="AM2">
        <f>COUNTIF($AJ$2:$AJ2,$AJ2)</f>
        <v>1.0</v>
      </c>
      <c r="AN2" t="str">
        <f>$AJ2&amp;"|"&amp;$AM2</f>
        <v>Z Retail|1</v>
      </c>
    </row>
    <row r="3" ht="18" customHeight="1" s="849">
      <c r="A3" s="659" t="n">
        <v>110388</v>
      </c>
      <c r="B3" s="660" t="inlineStr">
        <is>
          <t>Adrian Lueng</t>
        </is>
      </c>
      <c r="C3" s="660" t="inlineStr">
        <is>
          <t>Quality Assurance</t>
        </is>
      </c>
      <c r="D3" s="660" t="inlineStr">
        <is>
          <t>Vedran Jukic</t>
        </is>
      </c>
      <c r="E3" s="660" t="inlineStr">
        <is>
          <t>Technology Manager, Retail</t>
        </is>
      </c>
      <c r="F3" s="661" t="inlineStr">
        <is>
          <t>Ampol Retail &amp; Z</t>
        </is>
      </c>
      <c r="G3" s="662" t="inlineStr">
        <is>
          <t>Ampol Retail</t>
        </is>
      </c>
      <c r="H3" s="660" t="inlineStr">
        <is>
          <t>Ampol Retail, Technology</t>
        </is>
      </c>
      <c r="I3" s="660" t="inlineStr">
        <is>
          <t>Retail</t>
        </is>
      </c>
      <c r="J3" s="662" t="inlineStr">
        <is>
          <t>Network/QSR</t>
        </is>
      </c>
      <c r="K3" s="660" t="inlineStr">
        <is>
          <t>Network &amp; QSR</t>
        </is>
      </c>
      <c r="L3" s="662" t="n"/>
      <c r="M3" s="663" t="inlineStr">
        <is>
          <t>Australia</t>
        </is>
      </c>
      <c r="N3" s="664" t="inlineStr">
        <is>
          <t>CIA</t>
        </is>
      </c>
      <c r="O3" s="664" t="n">
        <v>1</v>
      </c>
      <c r="P3" s="664" t="n"/>
      <c r="Q3" s="664" t="inlineStr">
        <is>
          <t>Permanent - Full Time</t>
        </is>
      </c>
      <c r="R3" s="666" t="n"/>
      <c r="S3" s="666" t="n"/>
      <c r="T3" s="667" t="n">
        <v>120030</v>
      </c>
      <c r="U3" s="668" t="n">
        <v>120030</v>
      </c>
      <c r="V3" s="670" t="n">
        <v>0.1</v>
      </c>
      <c r="W3" s="921" t="n">
        <v>0.055</v>
      </c>
      <c r="X3" s="921" t="n">
        <v>0.12</v>
      </c>
      <c r="Y3" s="922" t="n"/>
      <c r="Z3" s="921" t="n">
        <v>0.04</v>
      </c>
      <c r="AA3" s="919">
        <f>U3*(1+V3+W3+X3+Y3+Z3)</f>
        <v>157839.44999999998</v>
      </c>
      <c r="AH3" s="920" t="n">
        <v>374</v>
      </c>
      <c r="AJ3" t="str">
        <f>IFERROR(INDEX(Lists!$U$1:$U$18,MATCH($I3,Lists!$T$1:$T$18,0)),"?")</f>
        <v>Ampol Retail</v>
      </c>
      <c r="AK3" t="str">
        <f>IF(LOWER($Q3)="v","Vacant",IF(LOWER($Q3)="pause","Paused",IF(LOWER($Q3)="cxc","Contractor",IF($Q3="Contractor","Contractor","Filled"))))</f>
        <v>Filled</v>
      </c>
      <c r="AL3" t="str">
        <f>IF($M3="NZ","NZ","AU")</f>
        <v>AU</v>
      </c>
      <c r="AM3">
        <f>COUNTIF($AJ$2:$AJ3,$AJ3)</f>
        <v>1.0</v>
      </c>
      <c r="AN3" t="str">
        <f>$AJ3&amp;"|"&amp;$AM3</f>
        <v>Ampol Retail|1</v>
      </c>
    </row>
    <row r="4" ht="18" customHeight="1" s="849">
      <c r="A4" s="659" t="inlineStr">
        <is>
          <t>C</t>
        </is>
      </c>
      <c r="B4" s="660" t="inlineStr">
        <is>
          <t>Alex Prakhiy</t>
        </is>
      </c>
      <c r="C4" s="660" t="inlineStr">
        <is>
          <t>Business Analyst</t>
        </is>
      </c>
      <c r="D4" s="660" t="inlineStr">
        <is>
          <t>Vanessa Allen</t>
        </is>
      </c>
      <c r="E4" s="660" t="inlineStr">
        <is>
          <t>Delivery Manager, Ampol Retail</t>
        </is>
      </c>
      <c r="F4" s="661" t="inlineStr">
        <is>
          <t>Ampol Retail &amp; Z</t>
        </is>
      </c>
      <c r="G4" s="662" t="inlineStr">
        <is>
          <t>Ampol Retail</t>
        </is>
      </c>
      <c r="H4" s="660" t="inlineStr">
        <is>
          <t>Ampol Retail, Delivery</t>
        </is>
      </c>
      <c r="I4" s="660" t="inlineStr">
        <is>
          <t>Ampol Retail</t>
        </is>
      </c>
      <c r="J4" s="662" t="inlineStr">
        <is>
          <t>EGI</t>
        </is>
      </c>
      <c r="K4" s="660" t="inlineStr">
        <is>
          <t>EGI Retail</t>
        </is>
      </c>
      <c r="L4" s="662" t="n"/>
      <c r="M4" s="663" t="inlineStr">
        <is>
          <t>Australia</t>
        </is>
      </c>
      <c r="N4" s="666" t="inlineStr">
        <is>
          <t>NA</t>
        </is>
      </c>
      <c r="O4" s="664" t="n">
        <v>1</v>
      </c>
      <c r="P4" s="666" t="n"/>
      <c r="Q4" s="666" t="inlineStr">
        <is>
          <t>cxc</t>
        </is>
      </c>
      <c r="R4" s="677" t="inlineStr">
        <is>
          <t>Daily</t>
        </is>
      </c>
      <c r="S4" s="666" t="n">
        <v>1000</v>
      </c>
      <c r="T4" s="667" t="n">
        <v>0</v>
      </c>
      <c r="U4" s="667" t="n"/>
      <c r="V4" s="662" t="n"/>
      <c r="W4" s="662" t="n"/>
      <c r="X4" s="662" t="n"/>
      <c r="Y4" s="662" t="n"/>
      <c r="Z4" s="662" t="n"/>
      <c r="AA4" s="678">
        <f>S4*222</f>
        <v>222000.0</v>
      </c>
      <c r="AH4" s="920" t="n">
        <v>374</v>
      </c>
      <c r="AJ4" t="str">
        <f>IFERROR(INDEX(Lists!$U$1:$U$18,MATCH($I4,Lists!$T$1:$T$18,0)),"?")</f>
        <v>Ampol Retail</v>
      </c>
      <c r="AK4" t="str">
        <f>IF(LOWER($Q4)="v","Vacant",IF(LOWER($Q4)="pause","Paused",IF(LOWER($Q4)="cxc","Contractor",IF($Q4="Contractor","Contractor","Filled"))))</f>
        <v>Contractor</v>
      </c>
      <c r="AL4" t="str">
        <f>IF($M4="NZ","NZ","AU")</f>
        <v>AU</v>
      </c>
      <c r="AM4">
        <f>COUNTIF($AJ$2:$AJ4,$AJ4)</f>
        <v>2.0</v>
      </c>
      <c r="AN4" t="str">
        <f>$AJ4&amp;"|"&amp;$AM4</f>
        <v>Ampol Retail|2</v>
      </c>
    </row>
    <row r="5" ht="18" customHeight="1" s="849">
      <c r="A5" s="659" t="n">
        <v>99999101643</v>
      </c>
      <c r="B5" s="660" t="inlineStr">
        <is>
          <t>Alex Sutherland</t>
        </is>
      </c>
      <c r="C5" s="660" t="inlineStr">
        <is>
          <t>Site Systems Analyst</t>
        </is>
      </c>
      <c r="D5" s="660" t="inlineStr">
        <is>
          <t>Callan McLaughlin</t>
        </is>
      </c>
      <c r="E5" s="660" t="inlineStr">
        <is>
          <t>Technology Manager,  Site Systems</t>
        </is>
      </c>
      <c r="F5" s="661" t="inlineStr">
        <is>
          <t>Ampol Retail &amp; Z</t>
        </is>
      </c>
      <c r="G5" s="662" t="inlineStr">
        <is>
          <t>Z &amp; Group Retail</t>
        </is>
      </c>
      <c r="H5" s="660" t="inlineStr">
        <is>
          <t>Z &amp; Group Retail, Site Systems</t>
        </is>
      </c>
      <c r="I5" s="660" t="inlineStr">
        <is>
          <t>Z</t>
        </is>
      </c>
      <c r="J5" s="662" t="inlineStr">
        <is>
          <t>Z Customer</t>
        </is>
      </c>
      <c r="K5" s="660" t="inlineStr">
        <is>
          <t>Site Systems</t>
        </is>
      </c>
      <c r="L5" s="662" t="n"/>
      <c r="M5" s="663" t="inlineStr">
        <is>
          <t>NZ</t>
        </is>
      </c>
      <c r="N5" s="664" t="inlineStr">
        <is>
          <t>CDB</t>
        </is>
      </c>
      <c r="O5" s="665" t="n">
        <v>1</v>
      </c>
      <c r="P5" s="664" t="n"/>
      <c r="Q5" s="665" t="inlineStr">
        <is>
          <t>Permanent - Full Time</t>
        </is>
      </c>
      <c r="R5" s="666" t="n"/>
      <c r="S5" s="666" t="n"/>
      <c r="T5" s="667" t="n">
        <v>86540</v>
      </c>
      <c r="U5" s="668" t="n">
        <v>79616.8</v>
      </c>
      <c r="V5" s="669" t="n">
        <v>0.1</v>
      </c>
      <c r="W5" s="665" t="n"/>
      <c r="X5" s="670" t="n">
        <v>0.05</v>
      </c>
      <c r="Y5" s="918" t="n">
        <v>2910</v>
      </c>
      <c r="Z5" s="670" t="n">
        <v>0.03</v>
      </c>
      <c r="AA5" s="919">
        <f>U5*(1+V5+X5+Z5)+Y5</f>
        <v>96857.82400000002</v>
      </c>
      <c r="AH5" s="920" t="n"/>
      <c r="AJ5" t="str">
        <f>IFERROR(INDEX(Lists!$U$1:$U$18,MATCH($I5,Lists!$T$1:$T$18,0)),"?")</f>
        <v>Z Retail</v>
      </c>
      <c r="AK5" t="str">
        <f>IF(LOWER($Q5)="v","Vacant",IF(LOWER($Q5)="pause","Paused",IF(LOWER($Q5)="cxc","Contractor",IF($Q5="Contractor","Contractor","Filled"))))</f>
        <v>Filled</v>
      </c>
      <c r="AL5" t="str">
        <f>IF($M5="NZ","NZ","AU")</f>
        <v>NZ</v>
      </c>
      <c r="AM5">
        <f>COUNTIF($AJ$2:$AJ5,$AJ5)</f>
        <v>2.0</v>
      </c>
      <c r="AN5" t="str">
        <f>$AJ5&amp;"|"&amp;$AM5</f>
        <v>Z Retail|2</v>
      </c>
    </row>
    <row r="6" ht="18" customHeight="1" s="849">
      <c r="A6" s="659" t="n">
        <v>99999101548</v>
      </c>
      <c r="B6" s="660" t="inlineStr">
        <is>
          <t>Allana Arbuckle</t>
        </is>
      </c>
      <c r="C6" s="660" t="inlineStr">
        <is>
          <t>Business Analyst</t>
        </is>
      </c>
      <c r="D6" s="662" t="inlineStr">
        <is>
          <t>Vacant</t>
        </is>
      </c>
      <c r="E6" s="660" t="inlineStr">
        <is>
          <t>Delivery Manager, Z and Retail Data</t>
        </is>
      </c>
      <c r="F6" s="661" t="inlineStr">
        <is>
          <t>Ampol Retail &amp; Z</t>
        </is>
      </c>
      <c r="G6" s="662" t="inlineStr">
        <is>
          <t>Z &amp; Group Retail</t>
        </is>
      </c>
      <c r="H6" s="660" t="inlineStr">
        <is>
          <t>Z &amp; Group Retail, Delivery</t>
        </is>
      </c>
      <c r="I6" s="660" t="inlineStr">
        <is>
          <t>Z</t>
        </is>
      </c>
      <c r="J6" s="660" t="inlineStr">
        <is>
          <t>Z Customer</t>
        </is>
      </c>
      <c r="K6" s="660" t="inlineStr">
        <is>
          <t xml:space="preserve">Z Retail Backend </t>
        </is>
      </c>
      <c r="L6" s="662" t="n"/>
      <c r="M6" s="663" t="inlineStr">
        <is>
          <t>NZ</t>
        </is>
      </c>
      <c r="N6" s="664" t="inlineStr">
        <is>
          <t>CDB</t>
        </is>
      </c>
      <c r="O6" s="665" t="n">
        <v>1</v>
      </c>
      <c r="P6" s="664" t="n"/>
      <c r="Q6" s="665" t="inlineStr">
        <is>
          <t>Permanent - Full Time</t>
        </is>
      </c>
      <c r="R6" s="666" t="n"/>
      <c r="S6" s="666" t="n"/>
      <c r="T6" s="667" t="n">
        <v>100900</v>
      </c>
      <c r="U6" s="668" t="n">
        <v>92828</v>
      </c>
      <c r="V6" s="669" t="n">
        <v>0.1</v>
      </c>
      <c r="W6" s="665" t="n"/>
      <c r="X6" s="670" t="n">
        <v>0.05</v>
      </c>
      <c r="Y6" s="918" t="n">
        <v>2910</v>
      </c>
      <c r="Z6" s="670" t="n">
        <v>0.03</v>
      </c>
      <c r="AA6" s="919">
        <f>U6*(1+V6+X6+Z6)+Y6</f>
        <v>112447.04000000001</v>
      </c>
      <c r="AH6" s="920" t="n"/>
      <c r="AJ6" t="str">
        <f>IFERROR(INDEX(Lists!$U$1:$U$18,MATCH($I6,Lists!$T$1:$T$18,0)),"?")</f>
        <v>Z Retail</v>
      </c>
      <c r="AK6" t="str">
        <f>IF(LOWER($Q6)="v","Vacant",IF(LOWER($Q6)="pause","Paused",IF(LOWER($Q6)="cxc","Contractor",IF($Q6="Contractor","Contractor","Filled"))))</f>
        <v>Filled</v>
      </c>
      <c r="AL6" t="str">
        <f>IF($M6="NZ","NZ","AU")</f>
        <v>NZ</v>
      </c>
      <c r="AM6">
        <f>COUNTIF($AJ$2:$AJ6,$AJ6)</f>
        <v>3.0</v>
      </c>
      <c r="AN6" t="str">
        <f>$AJ6&amp;"|"&amp;$AM6</f>
        <v>Z Retail|3</v>
      </c>
    </row>
    <row r="7" ht="18" customHeight="1" s="849">
      <c r="A7" s="659" t="n">
        <v>4534</v>
      </c>
      <c r="B7" s="660" t="inlineStr">
        <is>
          <t>Andrew Whitford</t>
        </is>
      </c>
      <c r="C7" s="660" t="inlineStr">
        <is>
          <t>Field Systems Operations Lead - WA</t>
        </is>
      </c>
      <c r="D7" s="660" t="inlineStr">
        <is>
          <t>Ephriam Adan</t>
        </is>
      </c>
      <c r="E7" s="660" t="inlineStr">
        <is>
          <t>Manager, AU Retail Operations</t>
        </is>
      </c>
      <c r="F7" s="661" t="inlineStr">
        <is>
          <t>Ampol Retail &amp; Z</t>
        </is>
      </c>
      <c r="G7" s="662" t="inlineStr">
        <is>
          <t>Ampol Retail</t>
        </is>
      </c>
      <c r="H7" s="660" t="inlineStr">
        <is>
          <t>Ampol Retail, Technology</t>
        </is>
      </c>
      <c r="I7" s="660" t="inlineStr">
        <is>
          <t>Retail</t>
        </is>
      </c>
      <c r="J7" s="662" t="inlineStr">
        <is>
          <t>Store Operations</t>
        </is>
      </c>
      <c r="K7" s="660" t="inlineStr">
        <is>
          <t>Store Operations</t>
        </is>
      </c>
      <c r="L7" s="662" t="n"/>
      <c r="M7" s="663" t="inlineStr">
        <is>
          <t>Australia</t>
        </is>
      </c>
      <c r="N7" s="666" t="inlineStr">
        <is>
          <t>CIA</t>
        </is>
      </c>
      <c r="O7" s="666" t="n">
        <v>1</v>
      </c>
      <c r="P7" s="666" t="n"/>
      <c r="Q7" s="666" t="inlineStr">
        <is>
          <t>Permanent - Full Time</t>
        </is>
      </c>
      <c r="R7" s="666" t="n"/>
      <c r="S7" s="666" t="n"/>
      <c r="T7" s="667" t="n">
        <v>124740</v>
      </c>
      <c r="U7" s="668" t="n">
        <v>124740</v>
      </c>
      <c r="V7" s="670" t="n">
        <v>0.1</v>
      </c>
      <c r="W7" s="921" t="n">
        <v>0.055</v>
      </c>
      <c r="X7" s="921" t="n">
        <v>0.12</v>
      </c>
      <c r="Y7" s="922" t="n"/>
      <c r="Z7" s="921" t="n">
        <v>0.04</v>
      </c>
      <c r="AA7" s="919">
        <f>U7*(1+V7+W7+X7+Y7+Z7)</f>
        <v>164033.1</v>
      </c>
      <c r="AJ7" t="str">
        <f>IFERROR(INDEX(Lists!$U$1:$U$18,MATCH($I7,Lists!$T$1:$T$18,0)),"?")</f>
        <v>Ampol Retail</v>
      </c>
      <c r="AK7" t="str">
        <f>IF(LOWER($Q7)="v","Vacant",IF(LOWER($Q7)="pause","Paused",IF(LOWER($Q7)="cxc","Contractor",IF($Q7="Contractor","Contractor","Filled"))))</f>
        <v>Filled</v>
      </c>
      <c r="AL7" t="str">
        <f>IF($M7="NZ","NZ","AU")</f>
        <v>AU</v>
      </c>
      <c r="AM7">
        <f>COUNTIF($AJ$2:$AJ7,$AJ7)</f>
        <v>3.0</v>
      </c>
      <c r="AN7" t="str">
        <f>$AJ7&amp;"|"&amp;$AM7</f>
        <v>Ampol Retail|3</v>
      </c>
    </row>
    <row r="8" ht="18" customHeight="1" s="849">
      <c r="A8" s="659" t="n">
        <v>111451</v>
      </c>
      <c r="B8" s="660" t="inlineStr">
        <is>
          <t>Aniket Banerji</t>
        </is>
      </c>
      <c r="C8" s="660" t="inlineStr">
        <is>
          <t>Deployment Lead</t>
        </is>
      </c>
      <c r="D8" s="660" t="inlineStr">
        <is>
          <t>Matthew Patane</t>
        </is>
      </c>
      <c r="E8" s="660" t="inlineStr">
        <is>
          <t>Release &amp; Deployment Manager</t>
        </is>
      </c>
      <c r="F8" s="661" t="inlineStr">
        <is>
          <t>Ampol Retail &amp; Z</t>
        </is>
      </c>
      <c r="G8" s="662" t="inlineStr">
        <is>
          <t>Ampol Retail</t>
        </is>
      </c>
      <c r="H8" s="660" t="inlineStr">
        <is>
          <t>Ampol Retail, Technology</t>
        </is>
      </c>
      <c r="I8" s="660" t="inlineStr">
        <is>
          <t>Retail</t>
        </is>
      </c>
      <c r="J8" s="662" t="inlineStr">
        <is>
          <t>Store Operations</t>
        </is>
      </c>
      <c r="K8" s="660" t="inlineStr">
        <is>
          <t>Deployment</t>
        </is>
      </c>
      <c r="L8" s="662" t="n"/>
      <c r="M8" s="663" t="inlineStr">
        <is>
          <t>Australia</t>
        </is>
      </c>
      <c r="N8" s="664" t="inlineStr">
        <is>
          <t>CIB</t>
        </is>
      </c>
      <c r="O8" s="664" t="n">
        <v>1</v>
      </c>
      <c r="P8" s="664" t="n"/>
      <c r="Q8" s="664" t="inlineStr">
        <is>
          <t>Temporary - Full Time</t>
        </is>
      </c>
      <c r="R8" s="666" t="n"/>
      <c r="S8" s="666" t="n"/>
      <c r="T8" s="667" t="n">
        <v>150000</v>
      </c>
      <c r="U8" s="668" t="n">
        <v>150000</v>
      </c>
      <c r="V8" s="670" t="n">
        <v>0.12</v>
      </c>
      <c r="W8" s="921" t="n">
        <v>0.055</v>
      </c>
      <c r="X8" s="921" t="n">
        <v>0.12</v>
      </c>
      <c r="Y8" s="922" t="n"/>
      <c r="Z8" s="921" t="n">
        <v>0.04</v>
      </c>
      <c r="AA8" s="919">
        <f>U8*(1+V8+W8+X8+Y8+Z8)</f>
        <v>200250.0</v>
      </c>
      <c r="AJ8" t="str">
        <f>IFERROR(INDEX(Lists!$U$1:$U$18,MATCH($I8,Lists!$T$1:$T$18,0)),"?")</f>
        <v>Ampol Retail</v>
      </c>
      <c r="AK8" t="str">
        <f>IF(LOWER($Q8)="v","Vacant",IF(LOWER($Q8)="pause","Paused",IF(LOWER($Q8)="cxc","Contractor",IF($Q8="Contractor","Contractor","Filled"))))</f>
        <v>Filled</v>
      </c>
      <c r="AL8" t="str">
        <f>IF($M8="NZ","NZ","AU")</f>
        <v>AU</v>
      </c>
      <c r="AM8">
        <f>COUNTIF($AJ$2:$AJ8,$AJ8)</f>
        <v>4.0</v>
      </c>
      <c r="AN8" t="str">
        <f>$AJ8&amp;"|"&amp;$AM8</f>
        <v>Ampol Retail|4</v>
      </c>
    </row>
    <row r="9" ht="18" customHeight="1" s="849">
      <c r="A9" s="659" t="n">
        <v>99999101214</v>
      </c>
      <c r="B9" s="660" t="inlineStr">
        <is>
          <t>Anna Koot</t>
        </is>
      </c>
      <c r="C9" s="660" t="inlineStr">
        <is>
          <t>Senior Business Analyst</t>
        </is>
      </c>
      <c r="D9" s="662" t="inlineStr">
        <is>
          <t>Vacant</t>
        </is>
      </c>
      <c r="E9" s="660" t="inlineStr">
        <is>
          <t>Delivery Manager, Z and Retail Data</t>
        </is>
      </c>
      <c r="F9" s="661" t="inlineStr">
        <is>
          <t>Ampol Retail &amp; Z</t>
        </is>
      </c>
      <c r="G9" s="662" t="inlineStr">
        <is>
          <t>Z &amp; Group Retail</t>
        </is>
      </c>
      <c r="H9" s="660" t="inlineStr">
        <is>
          <t>Z &amp; Group Retail, Delivery</t>
        </is>
      </c>
      <c r="I9" s="660" t="inlineStr">
        <is>
          <t>Z</t>
        </is>
      </c>
      <c r="J9" s="662" t="inlineStr">
        <is>
          <t>Z Supply</t>
        </is>
      </c>
      <c r="K9" s="660" t="inlineStr">
        <is>
          <t>Z Supply</t>
        </is>
      </c>
      <c r="L9" s="662" t="n"/>
      <c r="M9" s="663" t="inlineStr">
        <is>
          <t>NZ</t>
        </is>
      </c>
      <c r="N9" s="664" t="inlineStr">
        <is>
          <t>CIA</t>
        </is>
      </c>
      <c r="O9" s="665" t="n">
        <v>1</v>
      </c>
      <c r="P9" s="664" t="n"/>
      <c r="Q9" s="665" t="inlineStr">
        <is>
          <t>Permanent - Full Time</t>
        </is>
      </c>
      <c r="R9" s="666" t="n"/>
      <c r="S9" s="666" t="n"/>
      <c r="T9" s="667" t="n">
        <v>133320</v>
      </c>
      <c r="U9" s="668" t="n">
        <v>122654.4</v>
      </c>
      <c r="V9" s="669" t="n">
        <v>0.15</v>
      </c>
      <c r="W9" s="665" t="n"/>
      <c r="X9" s="670" t="n">
        <v>0.05</v>
      </c>
      <c r="Y9" s="918" t="n">
        <v>2910</v>
      </c>
      <c r="Z9" s="670" t="n">
        <v>0.03</v>
      </c>
      <c r="AA9" s="919">
        <f>U9*(1+V9+X9+Z9)+Y9</f>
        <v>153774.91199999998</v>
      </c>
      <c r="AJ9" t="str">
        <f>IFERROR(INDEX(Lists!$U$1:$U$18,MATCH($I9,Lists!$T$1:$T$18,0)),"?")</f>
        <v>Z Retail</v>
      </c>
      <c r="AK9" t="str">
        <f>IF(LOWER($Q9)="v","Vacant",IF(LOWER($Q9)="pause","Paused",IF(LOWER($Q9)="cxc","Contractor",IF($Q9="Contractor","Contractor","Filled"))))</f>
        <v>Filled</v>
      </c>
      <c r="AL9" t="str">
        <f>IF($M9="NZ","NZ","AU")</f>
        <v>NZ</v>
      </c>
      <c r="AM9">
        <f>COUNTIF($AJ$2:$AJ9,$AJ9)</f>
        <v>4.0</v>
      </c>
      <c r="AN9" t="str">
        <f>$AJ9&amp;"|"&amp;$AM9</f>
        <v>Z Retail|4</v>
      </c>
    </row>
    <row r="10" ht="18" customHeight="1" s="849">
      <c r="A10" s="659" t="n">
        <v>9999970029518</v>
      </c>
      <c r="B10" s="660" t="inlineStr">
        <is>
          <t>Anne Pretorius</t>
        </is>
      </c>
      <c r="C10" s="660" t="inlineStr">
        <is>
          <t>Lead Business Analyst</t>
        </is>
      </c>
      <c r="D10" s="662" t="inlineStr">
        <is>
          <t>Vacant</t>
        </is>
      </c>
      <c r="E10" s="660" t="inlineStr">
        <is>
          <t>Delivery Manager, Z and Retail Data</t>
        </is>
      </c>
      <c r="F10" s="661" t="inlineStr">
        <is>
          <t>Ampol Retail &amp; Z</t>
        </is>
      </c>
      <c r="G10" s="662" t="inlineStr">
        <is>
          <t>Z &amp; Group Retail</t>
        </is>
      </c>
      <c r="H10" s="660" t="inlineStr">
        <is>
          <t>Z &amp; Group Retail, Delivery</t>
        </is>
      </c>
      <c r="I10" s="660" t="inlineStr">
        <is>
          <t>Ampol Retail</t>
        </is>
      </c>
      <c r="J10" s="662" t="inlineStr">
        <is>
          <t>EGI</t>
        </is>
      </c>
      <c r="K10" s="660" t="inlineStr">
        <is>
          <t>EGI Retail</t>
        </is>
      </c>
      <c r="L10" s="662" t="n"/>
      <c r="M10" s="663" t="inlineStr">
        <is>
          <t>NZ</t>
        </is>
      </c>
      <c r="N10" s="664" t="inlineStr">
        <is>
          <t>CIC</t>
        </is>
      </c>
      <c r="O10" s="665" t="n">
        <v>0.8</v>
      </c>
      <c r="P10" s="664" t="n"/>
      <c r="Q10" s="665" t="inlineStr">
        <is>
          <t>Permanent - Part Time</t>
        </is>
      </c>
      <c r="R10" s="666" t="n"/>
      <c r="S10" s="666" t="n"/>
      <c r="T10" s="667" t="n">
        <v>170290</v>
      </c>
      <c r="U10" s="668" t="n">
        <v>156666.8</v>
      </c>
      <c r="V10" s="669" t="n">
        <v>0.15</v>
      </c>
      <c r="W10" s="665" t="n"/>
      <c r="X10" s="670" t="n">
        <v>0.05</v>
      </c>
      <c r="Y10" s="918" t="n">
        <v>2910</v>
      </c>
      <c r="Z10" s="670" t="n">
        <v>0.03</v>
      </c>
      <c r="AA10" s="919">
        <f>U10*(1+V10+X10+Z10)+Y10</f>
        <v>195610.164</v>
      </c>
      <c r="AJ10" t="str">
        <f>IFERROR(INDEX(Lists!$U$1:$U$18,MATCH($I10,Lists!$T$1:$T$18,0)),"?")</f>
        <v>Ampol Retail</v>
      </c>
      <c r="AK10" t="str">
        <f>IF(LOWER($Q10)="v","Vacant",IF(LOWER($Q10)="pause","Paused",IF(LOWER($Q10)="cxc","Contractor",IF($Q10="Contractor","Contractor","Filled"))))</f>
        <v>Filled</v>
      </c>
      <c r="AL10" t="str">
        <f>IF($M10="NZ","NZ","AU")</f>
        <v>NZ</v>
      </c>
      <c r="AM10">
        <f>COUNTIF($AJ$2:$AJ10,$AJ10)</f>
        <v>5.0</v>
      </c>
      <c r="AN10" t="str">
        <f>$AJ10&amp;"|"&amp;$AM10</f>
        <v>Ampol Retail|5</v>
      </c>
    </row>
    <row r="11" ht="18" customHeight="1" s="849">
      <c r="A11" s="659" t="n">
        <v>110197</v>
      </c>
      <c r="B11" s="660" t="inlineStr">
        <is>
          <t>Anthony Dumbrell</t>
        </is>
      </c>
      <c r="C11" s="660" t="inlineStr">
        <is>
          <t>Technology &amp; Lab Specialist Stores</t>
        </is>
      </c>
      <c r="D11" s="660" t="inlineStr">
        <is>
          <t>Vedran Jukic</t>
        </is>
      </c>
      <c r="E11" s="660" t="inlineStr">
        <is>
          <t>Technology Manager, Retail</t>
        </is>
      </c>
      <c r="F11" s="661" t="inlineStr">
        <is>
          <t>Ampol Retail &amp; Z</t>
        </is>
      </c>
      <c r="G11" s="662" t="inlineStr">
        <is>
          <t>Ampol Retail</t>
        </is>
      </c>
      <c r="H11" s="660" t="inlineStr">
        <is>
          <t>Ampol Retail, Technology</t>
        </is>
      </c>
      <c r="I11" s="660" t="inlineStr">
        <is>
          <t>Retail</t>
        </is>
      </c>
      <c r="J11" s="662" t="inlineStr">
        <is>
          <t>Store Operations</t>
        </is>
      </c>
      <c r="K11" s="660" t="inlineStr">
        <is>
          <t>Deployment</t>
        </is>
      </c>
      <c r="L11" s="662" t="n"/>
      <c r="M11" s="663" t="inlineStr">
        <is>
          <t>Australia</t>
        </is>
      </c>
      <c r="N11" s="664" t="inlineStr">
        <is>
          <t>CIB</t>
        </is>
      </c>
      <c r="O11" s="664" t="n">
        <v>1</v>
      </c>
      <c r="P11" s="664" t="n"/>
      <c r="Q11" s="664" t="inlineStr">
        <is>
          <t>Permanent - Full Time</t>
        </is>
      </c>
      <c r="R11" s="666" t="n"/>
      <c r="S11" s="666" t="n"/>
      <c r="T11" s="667" t="n">
        <v>154360</v>
      </c>
      <c r="U11" s="668" t="n">
        <v>154360</v>
      </c>
      <c r="V11" s="670" t="n">
        <v>0.12</v>
      </c>
      <c r="W11" s="921" t="n">
        <v>0.055</v>
      </c>
      <c r="X11" s="921" t="n">
        <v>0.12</v>
      </c>
      <c r="Y11" s="922" t="n"/>
      <c r="Z11" s="921" t="n">
        <v>0.04</v>
      </c>
      <c r="AA11" s="919">
        <f>U11*(1+V11+W11+X11+Y11+Z11)</f>
        <v>206070.6</v>
      </c>
      <c r="AJ11" t="str">
        <f>IFERROR(INDEX(Lists!$U$1:$U$18,MATCH($I11,Lists!$T$1:$T$18,0)),"?")</f>
        <v>Ampol Retail</v>
      </c>
      <c r="AK11" t="str">
        <f>IF(LOWER($Q11)="v","Vacant",IF(LOWER($Q11)="pause","Paused",IF(LOWER($Q11)="cxc","Contractor",IF($Q11="Contractor","Contractor","Filled"))))</f>
        <v>Filled</v>
      </c>
      <c r="AL11" t="str">
        <f>IF($M11="NZ","NZ","AU")</f>
        <v>AU</v>
      </c>
      <c r="AM11">
        <f>COUNTIF($AJ$2:$AJ11,$AJ11)</f>
        <v>6.0</v>
      </c>
      <c r="AN11" t="str">
        <f>$AJ11&amp;"|"&amp;$AM11</f>
        <v>Ampol Retail|6</v>
      </c>
    </row>
    <row r="12" ht="18" customHeight="1" s="849">
      <c r="A12" s="659" t="n">
        <v>99999101647</v>
      </c>
      <c r="B12" s="660" t="inlineStr">
        <is>
          <t>Ash Muthumala</t>
        </is>
      </c>
      <c r="C12" s="660" t="inlineStr">
        <is>
          <t>Senior QA Analyst</t>
        </is>
      </c>
      <c r="D12" s="662" t="inlineStr">
        <is>
          <t>Vacant</t>
        </is>
      </c>
      <c r="E12" s="660" t="inlineStr">
        <is>
          <t>Technology Manager, Data</t>
        </is>
      </c>
      <c r="F12" s="661" t="inlineStr">
        <is>
          <t>Ampol Retail &amp; Z</t>
        </is>
      </c>
      <c r="G12" s="662" t="inlineStr">
        <is>
          <t>Z &amp; Group Retail</t>
        </is>
      </c>
      <c r="H12" s="660" t="inlineStr">
        <is>
          <t>Z &amp; Group Retail, Data</t>
        </is>
      </c>
      <c r="I12" s="660" t="inlineStr">
        <is>
          <t>Z</t>
        </is>
      </c>
      <c r="J12" s="662" t="inlineStr">
        <is>
          <t>Z Customer &amp; Z Supply</t>
        </is>
      </c>
      <c r="K12" s="660" t="inlineStr">
        <is>
          <t>Data - NZ</t>
        </is>
      </c>
      <c r="L12" s="662" t="n"/>
      <c r="M12" s="663" t="inlineStr">
        <is>
          <t>NZ</t>
        </is>
      </c>
      <c r="N12" s="664" t="inlineStr">
        <is>
          <t>CIA</t>
        </is>
      </c>
      <c r="O12" s="665" t="n">
        <v>1</v>
      </c>
      <c r="P12" s="664" t="n"/>
      <c r="Q12" s="665" t="inlineStr">
        <is>
          <t>Permanent - Full Time</t>
        </is>
      </c>
      <c r="R12" s="666" t="n"/>
      <c r="S12" s="666" t="n"/>
      <c r="T12" s="667" t="n">
        <v>121830</v>
      </c>
      <c r="U12" s="668" t="n">
        <v>112083.6</v>
      </c>
      <c r="V12" s="669" t="n">
        <v>0.15</v>
      </c>
      <c r="W12" s="665" t="n"/>
      <c r="X12" s="670" t="n">
        <v>0.05</v>
      </c>
      <c r="Y12" s="918" t="n">
        <v>2910</v>
      </c>
      <c r="Z12" s="670" t="n">
        <v>0.03</v>
      </c>
      <c r="AA12" s="919">
        <f>U12*(1+V12+X12+Z12)+Y12</f>
        <v>140772.828</v>
      </c>
      <c r="AJ12" t="str">
        <f>IFERROR(INDEX(Lists!$U$1:$U$18,MATCH($I12,Lists!$T$1:$T$18,0)),"?")</f>
        <v>Z Retail</v>
      </c>
      <c r="AK12" t="str">
        <f>IF(LOWER($Q12)="v","Vacant",IF(LOWER($Q12)="pause","Paused",IF(LOWER($Q12)="cxc","Contractor",IF($Q12="Contractor","Contractor","Filled"))))</f>
        <v>Filled</v>
      </c>
      <c r="AL12" t="str">
        <f>IF($M12="NZ","NZ","AU")</f>
        <v>NZ</v>
      </c>
      <c r="AM12">
        <f>COUNTIF($AJ$2:$AJ12,$AJ12)</f>
        <v>5.0</v>
      </c>
      <c r="AN12" t="str">
        <f>$AJ12&amp;"|"&amp;$AM12</f>
        <v>Z Retail|5</v>
      </c>
    </row>
    <row r="13" ht="18" customHeight="1" s="849">
      <c r="A13" s="659" t="n">
        <v>97784</v>
      </c>
      <c r="B13" s="660" t="inlineStr">
        <is>
          <t>Balaji Murugan</t>
        </is>
      </c>
      <c r="C13" s="660" t="inlineStr">
        <is>
          <t>Delivery Lead</t>
        </is>
      </c>
      <c r="D13" s="660" t="inlineStr">
        <is>
          <t>Vanessa Allen</t>
        </is>
      </c>
      <c r="E13" s="660" t="inlineStr">
        <is>
          <t>Delivery Manager, Ampol Retail</t>
        </is>
      </c>
      <c r="F13" s="661" t="inlineStr">
        <is>
          <t>Ampol Retail &amp; Z</t>
        </is>
      </c>
      <c r="G13" s="662" t="inlineStr">
        <is>
          <t>Ampol Retail</t>
        </is>
      </c>
      <c r="H13" s="660" t="inlineStr">
        <is>
          <t>Ampol Retail, Delivery</t>
        </is>
      </c>
      <c r="I13" s="660" t="inlineStr">
        <is>
          <t>Retail</t>
        </is>
      </c>
      <c r="J13" s="662" t="inlineStr">
        <is>
          <t>AMPOS</t>
        </is>
      </c>
      <c r="K13" s="660" t="inlineStr">
        <is>
          <t>AmPos</t>
        </is>
      </c>
      <c r="L13" s="662" t="n"/>
      <c r="M13" s="663" t="inlineStr">
        <is>
          <t>Australia</t>
        </is>
      </c>
      <c r="N13" s="664" t="inlineStr">
        <is>
          <t>CIC</t>
        </is>
      </c>
      <c r="O13" s="664" t="n">
        <v>1</v>
      </c>
      <c r="P13" s="664" t="n"/>
      <c r="Q13" s="664" t="inlineStr">
        <is>
          <t>Permanent - Full Time</t>
        </is>
      </c>
      <c r="R13" s="666" t="n"/>
      <c r="S13" s="666" t="n"/>
      <c r="T13" s="667" t="n">
        <v>178018</v>
      </c>
      <c r="U13" s="668" t="n">
        <v>178018</v>
      </c>
      <c r="V13" s="670" t="n">
        <v>0.12</v>
      </c>
      <c r="W13" s="921" t="n">
        <v>0.055</v>
      </c>
      <c r="X13" s="921" t="n">
        <v>0.12</v>
      </c>
      <c r="Y13" s="922" t="n"/>
      <c r="Z13" s="921" t="n">
        <v>0.04</v>
      </c>
      <c r="AA13" s="919">
        <f>U13*(1+V13+W13+X13+Y13+Z13)</f>
        <v>237654.03</v>
      </c>
      <c r="AJ13" t="str">
        <f>IFERROR(INDEX(Lists!$U$1:$U$18,MATCH($I13,Lists!$T$1:$T$18,0)),"?")</f>
        <v>Ampol Retail</v>
      </c>
      <c r="AK13" t="str">
        <f>IF(LOWER($Q13)="v","Vacant",IF(LOWER($Q13)="pause","Paused",IF(LOWER($Q13)="cxc","Contractor",IF($Q13="Contractor","Contractor","Filled"))))</f>
        <v>Filled</v>
      </c>
      <c r="AL13" t="str">
        <f>IF($M13="NZ","NZ","AU")</f>
        <v>AU</v>
      </c>
      <c r="AM13">
        <f>COUNTIF($AJ$2:$AJ13,$AJ13)</f>
        <v>7.0</v>
      </c>
      <c r="AN13" t="str">
        <f>$AJ13&amp;"|"&amp;$AM13</f>
        <v>Ampol Retail|7</v>
      </c>
    </row>
    <row r="14" ht="18" customHeight="1" s="849">
      <c r="A14" s="659" t="n">
        <v>97847</v>
      </c>
      <c r="B14" s="660" t="inlineStr">
        <is>
          <t>Beenu Murali</t>
        </is>
      </c>
      <c r="C14" s="660" t="inlineStr">
        <is>
          <t>Quality Assurance</t>
        </is>
      </c>
      <c r="D14" s="662" t="inlineStr">
        <is>
          <t>Vacant</t>
        </is>
      </c>
      <c r="E14" s="660" t="inlineStr">
        <is>
          <t>Lead Quality Assurance</t>
        </is>
      </c>
      <c r="F14" s="661" t="inlineStr">
        <is>
          <t>Ampol Retail &amp; Z</t>
        </is>
      </c>
      <c r="G14" s="662" t="inlineStr">
        <is>
          <t>Ampol Retail</t>
        </is>
      </c>
      <c r="H14" s="660" t="inlineStr">
        <is>
          <t>Ampol Retail, Store Platforms</t>
        </is>
      </c>
      <c r="I14" s="660" t="inlineStr">
        <is>
          <t>Retail</t>
        </is>
      </c>
      <c r="J14" s="662" t="inlineStr">
        <is>
          <t>Store Operations</t>
        </is>
      </c>
      <c r="K14" s="660" t="inlineStr">
        <is>
          <t>Payments</t>
        </is>
      </c>
      <c r="L14" s="662" t="n"/>
      <c r="M14" s="663" t="inlineStr">
        <is>
          <t>Australia</t>
        </is>
      </c>
      <c r="N14" s="664" t="inlineStr">
        <is>
          <t>CDC</t>
        </is>
      </c>
      <c r="O14" s="664" t="n">
        <v>1</v>
      </c>
      <c r="P14" s="664" t="n"/>
      <c r="Q14" s="664" t="inlineStr">
        <is>
          <t>Permanent - Full Time</t>
        </is>
      </c>
      <c r="R14" s="666" t="n"/>
      <c r="S14" s="666" t="n"/>
      <c r="T14" s="667" t="n">
        <v>111090</v>
      </c>
      <c r="U14" s="668" t="n">
        <v>111090</v>
      </c>
      <c r="V14" s="670" t="n">
        <v>0.1</v>
      </c>
      <c r="W14" s="921" t="n">
        <v>0.055</v>
      </c>
      <c r="X14" s="921" t="n">
        <v>0.12</v>
      </c>
      <c r="Y14" s="922" t="n"/>
      <c r="Z14" s="921" t="n">
        <v>0.04</v>
      </c>
      <c r="AA14" s="919">
        <f>U14*(1+V14+W14+X14+Y14+Z14)</f>
        <v>146083.35</v>
      </c>
      <c r="AJ14" t="str">
        <f>IFERROR(INDEX(Lists!$U$1:$U$18,MATCH($I14,Lists!$T$1:$T$18,0)),"?")</f>
        <v>Ampol Retail</v>
      </c>
      <c r="AK14" t="str">
        <f>IF(LOWER($Q14)="v","Vacant",IF(LOWER($Q14)="pause","Paused",IF(LOWER($Q14)="cxc","Contractor",IF($Q14="Contractor","Contractor","Filled"))))</f>
        <v>Filled</v>
      </c>
      <c r="AL14" t="str">
        <f>IF($M14="NZ","NZ","AU")</f>
        <v>AU</v>
      </c>
      <c r="AM14">
        <f>COUNTIF($AJ$2:$AJ14,$AJ14)</f>
        <v>8.0</v>
      </c>
      <c r="AN14" t="str">
        <f>$AJ14&amp;"|"&amp;$AM14</f>
        <v>Ampol Retail|8</v>
      </c>
    </row>
    <row r="15" ht="18" customHeight="1" s="849">
      <c r="A15" s="659" t="n">
        <v>99999101333</v>
      </c>
      <c r="B15" s="660" t="inlineStr">
        <is>
          <t>Benjamin Sheffield</t>
        </is>
      </c>
      <c r="C15" s="660" t="inlineStr">
        <is>
          <t>Lead Engineer - Software</t>
        </is>
      </c>
      <c r="D15" s="660" t="inlineStr">
        <is>
          <t>Vacant</t>
        </is>
      </c>
      <c r="E15" s="660" t="inlineStr">
        <is>
          <t>Technology Manager, Engineering</t>
        </is>
      </c>
      <c r="F15" s="661" t="inlineStr">
        <is>
          <t>Ampol Retail &amp; Z</t>
        </is>
      </c>
      <c r="G15" s="662" t="inlineStr">
        <is>
          <t>Z &amp; Group Retail</t>
        </is>
      </c>
      <c r="H15" s="660" t="inlineStr">
        <is>
          <t>Z &amp; Group Retail, Engineering</t>
        </is>
      </c>
      <c r="I15" s="660" t="inlineStr">
        <is>
          <t>Z</t>
        </is>
      </c>
      <c r="J15" s="662" t="inlineStr">
        <is>
          <t>Z Supply</t>
        </is>
      </c>
      <c r="K15" s="660" t="inlineStr">
        <is>
          <t>Z Supply</t>
        </is>
      </c>
      <c r="L15" s="662" t="n"/>
      <c r="M15" s="663" t="inlineStr">
        <is>
          <t>NZ</t>
        </is>
      </c>
      <c r="N15" s="664" t="inlineStr">
        <is>
          <t>CIC</t>
        </is>
      </c>
      <c r="O15" s="665" t="n">
        <v>1</v>
      </c>
      <c r="P15" s="664" t="n"/>
      <c r="Q15" s="665" t="inlineStr">
        <is>
          <t>Permanent - Full Time</t>
        </is>
      </c>
      <c r="R15" s="666" t="n"/>
      <c r="S15" s="666" t="n"/>
      <c r="T15" s="667" t="n">
        <v>160250</v>
      </c>
      <c r="U15" s="668" t="n">
        <v>147430</v>
      </c>
      <c r="V15" s="669" t="n">
        <v>0.15</v>
      </c>
      <c r="W15" s="665" t="n"/>
      <c r="X15" s="670" t="n">
        <v>0.05</v>
      </c>
      <c r="Y15" s="918" t="n">
        <v>2910</v>
      </c>
      <c r="Z15" s="670" t="n">
        <v>0.03</v>
      </c>
      <c r="AA15" s="919">
        <f>U15*(1+V15+X15+Z15)+Y15</f>
        <v>184248.9</v>
      </c>
      <c r="AJ15" t="str">
        <f>IFERROR(INDEX(Lists!$U$1:$U$18,MATCH($I15,Lists!$T$1:$T$18,0)),"?")</f>
        <v>Z Retail</v>
      </c>
      <c r="AK15" t="str">
        <f>IF(LOWER($Q15)="v","Vacant",IF(LOWER($Q15)="pause","Paused",IF(LOWER($Q15)="cxc","Contractor",IF($Q15="Contractor","Contractor","Filled"))))</f>
        <v>Filled</v>
      </c>
      <c r="AL15" t="str">
        <f>IF($M15="NZ","NZ","AU")</f>
        <v>NZ</v>
      </c>
      <c r="AM15">
        <f>COUNTIF($AJ$2:$AJ15,$AJ15)</f>
        <v>6.0</v>
      </c>
      <c r="AN15" t="str">
        <f>$AJ15&amp;"|"&amp;$AM15</f>
        <v>Z Retail|6</v>
      </c>
    </row>
    <row r="16" ht="18" customHeight="1" s="849">
      <c r="A16" s="659" t="n">
        <v>99999101553</v>
      </c>
      <c r="B16" s="660" t="inlineStr">
        <is>
          <t>Bradley Cunningham</t>
        </is>
      </c>
      <c r="C16" s="660" t="inlineStr">
        <is>
          <t>Site Systems Analyst</t>
        </is>
      </c>
      <c r="D16" s="660" t="inlineStr">
        <is>
          <t>Callan McLaughlin</t>
        </is>
      </c>
      <c r="E16" s="660" t="inlineStr">
        <is>
          <t>Technology Manager,  Site Systems</t>
        </is>
      </c>
      <c r="F16" s="661" t="inlineStr">
        <is>
          <t>Ampol Retail &amp; Z</t>
        </is>
      </c>
      <c r="G16" s="662" t="inlineStr">
        <is>
          <t>Z &amp; Group Retail</t>
        </is>
      </c>
      <c r="H16" s="660" t="inlineStr">
        <is>
          <t>Z &amp; Group Retail, Site Systems</t>
        </is>
      </c>
      <c r="I16" s="660" t="inlineStr">
        <is>
          <t>Z</t>
        </is>
      </c>
      <c r="J16" s="662" t="inlineStr">
        <is>
          <t>Z Customer</t>
        </is>
      </c>
      <c r="K16" s="660" t="inlineStr">
        <is>
          <t>Site Systems</t>
        </is>
      </c>
      <c r="L16" s="662" t="n"/>
      <c r="M16" s="663" t="inlineStr">
        <is>
          <t>NZ</t>
        </is>
      </c>
      <c r="N16" s="664" t="inlineStr">
        <is>
          <t>CDC</t>
        </is>
      </c>
      <c r="O16" s="665" t="n">
        <v>1</v>
      </c>
      <c r="P16" s="664" t="n"/>
      <c r="Q16" s="665" t="inlineStr">
        <is>
          <t>Permanent - Full Time</t>
        </is>
      </c>
      <c r="R16" s="666" t="n"/>
      <c r="S16" s="666" t="n"/>
      <c r="T16" s="667" t="n">
        <v>96110</v>
      </c>
      <c r="U16" s="668" t="n">
        <v>88421.2</v>
      </c>
      <c r="V16" s="669" t="n">
        <v>0.1</v>
      </c>
      <c r="W16" s="665" t="n"/>
      <c r="X16" s="670" t="n">
        <v>0.05</v>
      </c>
      <c r="Y16" s="918" t="n">
        <v>2910</v>
      </c>
      <c r="Z16" s="670" t="n">
        <v>0.03</v>
      </c>
      <c r="AA16" s="919">
        <f>U16*(1+V16+X16+Z16)+Y16</f>
        <v>107247.01600000002</v>
      </c>
      <c r="AJ16" t="str">
        <f>IFERROR(INDEX(Lists!$U$1:$U$18,MATCH($I16,Lists!$T$1:$T$18,0)),"?")</f>
        <v>Z Retail</v>
      </c>
      <c r="AK16" t="str">
        <f>IF(LOWER($Q16)="v","Vacant",IF(LOWER($Q16)="pause","Paused",IF(LOWER($Q16)="cxc","Contractor",IF($Q16="Contractor","Contractor","Filled"))))</f>
        <v>Filled</v>
      </c>
      <c r="AL16" t="str">
        <f>IF($M16="NZ","NZ","AU")</f>
        <v>NZ</v>
      </c>
      <c r="AM16">
        <f>COUNTIF($AJ$2:$AJ16,$AJ16)</f>
        <v>7.0</v>
      </c>
      <c r="AN16" t="str">
        <f>$AJ16&amp;"|"&amp;$AM16</f>
        <v>Z Retail|7</v>
      </c>
    </row>
    <row r="17" ht="18" customHeight="1" s="849">
      <c r="A17" s="659" t="n">
        <v>99999101959</v>
      </c>
      <c r="B17" s="660" t="inlineStr">
        <is>
          <t>Brian Lai</t>
        </is>
      </c>
      <c r="C17" s="660" t="inlineStr">
        <is>
          <t>Engineer - Data</t>
        </is>
      </c>
      <c r="D17" s="662" t="inlineStr">
        <is>
          <t>Vacant</t>
        </is>
      </c>
      <c r="E17" s="660" t="inlineStr">
        <is>
          <t>Technology Manager, Data</t>
        </is>
      </c>
      <c r="F17" s="661" t="inlineStr">
        <is>
          <t>Ampol Retail &amp; Z</t>
        </is>
      </c>
      <c r="G17" s="662" t="inlineStr">
        <is>
          <t>Z &amp; Group Retail</t>
        </is>
      </c>
      <c r="H17" s="660" t="inlineStr">
        <is>
          <t>Z &amp; Group Retail, Data</t>
        </is>
      </c>
      <c r="I17" s="660" t="inlineStr">
        <is>
          <t>Z</t>
        </is>
      </c>
      <c r="J17" s="662" t="inlineStr">
        <is>
          <t>Z Customer &amp; Z Supply</t>
        </is>
      </c>
      <c r="K17" s="660" t="inlineStr">
        <is>
          <t>Data - NZ</t>
        </is>
      </c>
      <c r="L17" s="662" t="n"/>
      <c r="M17" s="663" t="inlineStr">
        <is>
          <t>NZ</t>
        </is>
      </c>
      <c r="N17" s="664" t="inlineStr">
        <is>
          <t>CIA</t>
        </is>
      </c>
      <c r="O17" s="665" t="n">
        <v>1</v>
      </c>
      <c r="P17" s="664" t="n"/>
      <c r="Q17" s="665" t="inlineStr">
        <is>
          <t>Permanent - Full Time</t>
        </is>
      </c>
      <c r="R17" s="666" t="n"/>
      <c r="S17" s="666" t="n"/>
      <c r="T17" s="666" t="n">
        <v>135000</v>
      </c>
      <c r="U17" s="679" t="n">
        <v>124200</v>
      </c>
      <c r="V17" s="669" t="n">
        <v>0.15</v>
      </c>
      <c r="W17" s="665" t="n"/>
      <c r="X17" s="670" t="n">
        <v>0.05</v>
      </c>
      <c r="Y17" s="918" t="n">
        <v>2910</v>
      </c>
      <c r="Z17" s="670" t="n">
        <v>0.03</v>
      </c>
      <c r="AA17" s="919">
        <f>U17*(1+V17+X17+Z17)+Y17</f>
        <v>155676.0</v>
      </c>
      <c r="AJ17" t="str">
        <f>IFERROR(INDEX(Lists!$U$1:$U$18,MATCH($I17,Lists!$T$1:$T$18,0)),"?")</f>
        <v>Z Retail</v>
      </c>
      <c r="AK17" t="str">
        <f>IF(LOWER($Q17)="v","Vacant",IF(LOWER($Q17)="pause","Paused",IF(LOWER($Q17)="cxc","Contractor",IF($Q17="Contractor","Contractor","Filled"))))</f>
        <v>Filled</v>
      </c>
      <c r="AL17" t="str">
        <f>IF($M17="NZ","NZ","AU")</f>
        <v>NZ</v>
      </c>
      <c r="AM17">
        <f>COUNTIF($AJ$2:$AJ17,$AJ17)</f>
        <v>8.0</v>
      </c>
      <c r="AN17" t="str">
        <f>$AJ17&amp;"|"&amp;$AM17</f>
        <v>Z Retail|8</v>
      </c>
    </row>
    <row r="18" ht="18" customHeight="1" s="849">
      <c r="A18" s="680" t="n">
        <v>99999100418</v>
      </c>
      <c r="B18" s="681" t="inlineStr">
        <is>
          <t>Callan McLaughlin</t>
        </is>
      </c>
      <c r="C18" s="682" t="inlineStr">
        <is>
          <t>Technology Manager, Site Systems</t>
        </is>
      </c>
      <c r="D18" s="682" t="inlineStr">
        <is>
          <t>vacant</t>
        </is>
      </c>
      <c r="E18" s="682" t="inlineStr">
        <is>
          <t>Head of Technology, Z and Group Retail Platforms</t>
        </is>
      </c>
      <c r="F18" s="683" t="inlineStr">
        <is>
          <t>Ampol Retail &amp; Z</t>
        </is>
      </c>
      <c r="G18" s="682" t="inlineStr">
        <is>
          <t>Z &amp; Group Retail</t>
        </is>
      </c>
      <c r="H18" s="684" t="inlineStr">
        <is>
          <t>Z &amp; Group Retail, Site Systems</t>
        </is>
      </c>
      <c r="I18" s="684" t="inlineStr">
        <is>
          <t>Z</t>
        </is>
      </c>
      <c r="J18" s="682" t="inlineStr">
        <is>
          <t>Z Customer &amp; Z Supply</t>
        </is>
      </c>
      <c r="K18" s="685" t="inlineStr">
        <is>
          <t>Leadership</t>
        </is>
      </c>
      <c r="L18" s="682" t="n"/>
      <c r="M18" s="686" t="inlineStr">
        <is>
          <t>NZ</t>
        </is>
      </c>
      <c r="N18" s="687" t="inlineStr">
        <is>
          <t>CSB</t>
        </is>
      </c>
      <c r="O18" s="665" t="n">
        <v>1</v>
      </c>
      <c r="P18" s="664" t="n"/>
      <c r="Q18" s="665" t="inlineStr">
        <is>
          <t>Permanent - Full Time</t>
        </is>
      </c>
      <c r="R18" s="666" t="n"/>
      <c r="S18" s="666" t="n"/>
      <c r="T18" s="666" t="n">
        <v>183480</v>
      </c>
      <c r="U18" s="679" t="n">
        <v>168801.6</v>
      </c>
      <c r="V18" s="669" t="n">
        <v>0.15</v>
      </c>
      <c r="W18" s="665" t="n"/>
      <c r="X18" s="670" t="n">
        <v>0.05</v>
      </c>
      <c r="Y18" s="918" t="n">
        <v>2910</v>
      </c>
      <c r="Z18" s="670" t="n">
        <v>0.03</v>
      </c>
      <c r="AA18" s="919">
        <f>U18*(1+V18+X18+Z18)+Y18</f>
        <v>210535.968</v>
      </c>
      <c r="AJ18" t="str">
        <f>IFERROR(INDEX(Lists!$U$1:$U$18,MATCH($I18,Lists!$T$1:$T$18,0)),"?")</f>
        <v>Z Retail</v>
      </c>
      <c r="AK18" t="str">
        <f>IF(LOWER($Q18)="v","Vacant",IF(LOWER($Q18)="pause","Paused",IF(LOWER($Q18)="cxc","Contractor",IF($Q18="Contractor","Contractor","Filled"))))</f>
        <v>Filled</v>
      </c>
      <c r="AL18" t="str">
        <f>IF($M18="NZ","NZ","AU")</f>
        <v>NZ</v>
      </c>
      <c r="AM18">
        <f>COUNTIF($AJ$2:$AJ18,$AJ18)</f>
        <v>9.0</v>
      </c>
      <c r="AN18" t="str">
        <f>$AJ18&amp;"|"&amp;$AM18</f>
        <v>Z Retail|9</v>
      </c>
    </row>
    <row r="19" ht="18" customHeight="1" s="849">
      <c r="A19" s="659" t="n">
        <v>99999100975</v>
      </c>
      <c r="B19" s="660" t="inlineStr">
        <is>
          <t>Chris Mitchell</t>
        </is>
      </c>
      <c r="C19" s="660" t="inlineStr">
        <is>
          <t>Deployment Lead</t>
        </is>
      </c>
      <c r="D19" s="660" t="inlineStr">
        <is>
          <t>Callan McLaughlin</t>
        </is>
      </c>
      <c r="E19" s="660" t="inlineStr">
        <is>
          <t>Technology Manager,  Site Systems</t>
        </is>
      </c>
      <c r="F19" s="661" t="inlineStr">
        <is>
          <t>Ampol Retail &amp; Z</t>
        </is>
      </c>
      <c r="G19" s="662" t="inlineStr">
        <is>
          <t>Z &amp; Group Retail</t>
        </is>
      </c>
      <c r="H19" s="660" t="inlineStr">
        <is>
          <t>Z &amp; Group Retail, Site Systems</t>
        </is>
      </c>
      <c r="I19" s="660" t="inlineStr">
        <is>
          <t>Z</t>
        </is>
      </c>
      <c r="J19" s="662" t="inlineStr">
        <is>
          <t>Z Customer</t>
        </is>
      </c>
      <c r="K19" s="660" t="inlineStr">
        <is>
          <t>Site Systems</t>
        </is>
      </c>
      <c r="L19" s="662" t="n"/>
      <c r="M19" s="688" t="inlineStr">
        <is>
          <t>NZ</t>
        </is>
      </c>
      <c r="N19" s="664" t="inlineStr">
        <is>
          <t>CIA</t>
        </is>
      </c>
      <c r="O19" s="665" t="n">
        <v>1</v>
      </c>
      <c r="P19" s="664" t="n"/>
      <c r="Q19" s="665" t="inlineStr">
        <is>
          <t>Permanent - Full Time</t>
        </is>
      </c>
      <c r="R19" s="666" t="n"/>
      <c r="S19" s="666" t="n"/>
      <c r="T19" s="666" t="n">
        <v>118000</v>
      </c>
      <c r="U19" s="679" t="n">
        <v>108560</v>
      </c>
      <c r="V19" s="669" t="n">
        <v>0.15</v>
      </c>
      <c r="W19" s="665" t="n"/>
      <c r="X19" s="670" t="n">
        <v>0.05</v>
      </c>
      <c r="Y19" s="918" t="n">
        <v>2910</v>
      </c>
      <c r="Z19" s="670" t="n">
        <v>0.03</v>
      </c>
      <c r="AA19" s="919">
        <f>U19*(1+V19+X19+Z19)+Y19</f>
        <v>136438.8</v>
      </c>
      <c r="AJ19" t="str">
        <f>IFERROR(INDEX(Lists!$U$1:$U$18,MATCH($I19,Lists!$T$1:$T$18,0)),"?")</f>
        <v>Z Retail</v>
      </c>
      <c r="AK19" t="str">
        <f>IF(LOWER($Q19)="v","Vacant",IF(LOWER($Q19)="pause","Paused",IF(LOWER($Q19)="cxc","Contractor",IF($Q19="Contractor","Contractor","Filled"))))</f>
        <v>Filled</v>
      </c>
      <c r="AL19" t="str">
        <f>IF($M19="NZ","NZ","AU")</f>
        <v>NZ</v>
      </c>
      <c r="AM19">
        <f>COUNTIF($AJ$2:$AJ19,$AJ19)</f>
        <v>10.0</v>
      </c>
      <c r="AN19" t="str">
        <f>$AJ19&amp;"|"&amp;$AM19</f>
        <v>Z Retail|10</v>
      </c>
    </row>
    <row r="20" ht="18" customHeight="1" s="849">
      <c r="A20" s="659" t="n">
        <v>99999101233</v>
      </c>
      <c r="B20" s="660" t="inlineStr">
        <is>
          <t>Chris Wilson</t>
        </is>
      </c>
      <c r="C20" s="660" t="inlineStr">
        <is>
          <t>Solution Architect</t>
        </is>
      </c>
      <c r="D20" s="660" t="inlineStr">
        <is>
          <t>Callan McLaughlin</t>
        </is>
      </c>
      <c r="E20" s="660" t="inlineStr">
        <is>
          <t>Technology Manager,  Site Systems</t>
        </is>
      </c>
      <c r="F20" s="661" t="inlineStr">
        <is>
          <t>Ampol Retail &amp; Z</t>
        </is>
      </c>
      <c r="G20" s="662" t="inlineStr">
        <is>
          <t>Z &amp; Group Retail</t>
        </is>
      </c>
      <c r="H20" s="660" t="inlineStr">
        <is>
          <t>Z &amp; Group Retail, Site Systems</t>
        </is>
      </c>
      <c r="I20" s="660" t="inlineStr">
        <is>
          <t>Z</t>
        </is>
      </c>
      <c r="J20" s="662" t="inlineStr">
        <is>
          <t>Z Customer</t>
        </is>
      </c>
      <c r="K20" s="660" t="inlineStr">
        <is>
          <t>Site Systems</t>
        </is>
      </c>
      <c r="L20" s="662" t="n"/>
      <c r="M20" s="688" t="inlineStr">
        <is>
          <t>NZ</t>
        </is>
      </c>
      <c r="N20" s="664" t="inlineStr">
        <is>
          <t>CIC</t>
        </is>
      </c>
      <c r="O20" s="665" t="n">
        <v>1</v>
      </c>
      <c r="P20" s="664" t="n"/>
      <c r="Q20" s="665" t="inlineStr">
        <is>
          <t>Permanent - Full Time</t>
        </is>
      </c>
      <c r="R20" s="666" t="n"/>
      <c r="S20" s="666" t="n"/>
      <c r="T20" s="666" t="n">
        <v>161990</v>
      </c>
      <c r="U20" s="679" t="n">
        <v>149030.8</v>
      </c>
      <c r="V20" s="669" t="n">
        <v>0.15</v>
      </c>
      <c r="W20" s="665" t="n"/>
      <c r="X20" s="670" t="n">
        <v>0.05</v>
      </c>
      <c r="Y20" s="918" t="n">
        <v>2910</v>
      </c>
      <c r="Z20" s="670" t="n">
        <v>0.03</v>
      </c>
      <c r="AA20" s="919">
        <f>U20*(1+V20+X20+Z20)+Y20</f>
        <v>186217.884</v>
      </c>
      <c r="AJ20" t="str">
        <f>IFERROR(INDEX(Lists!$U$1:$U$18,MATCH($I20,Lists!$T$1:$T$18,0)),"?")</f>
        <v>Z Retail</v>
      </c>
      <c r="AK20" t="str">
        <f>IF(LOWER($Q20)="v","Vacant",IF(LOWER($Q20)="pause","Paused",IF(LOWER($Q20)="cxc","Contractor",IF($Q20="Contractor","Contractor","Filled"))))</f>
        <v>Filled</v>
      </c>
      <c r="AL20" t="str">
        <f>IF($M20="NZ","NZ","AU")</f>
        <v>NZ</v>
      </c>
      <c r="AM20">
        <f>COUNTIF($AJ$2:$AJ20,$AJ20)</f>
        <v>11.0</v>
      </c>
      <c r="AN20" t="str">
        <f>$AJ20&amp;"|"&amp;$AM20</f>
        <v>Z Retail|11</v>
      </c>
    </row>
    <row r="21" ht="18" customHeight="1" s="849">
      <c r="A21" s="659" t="n">
        <v>99999102141</v>
      </c>
      <c r="B21" s="660" t="inlineStr">
        <is>
          <t>Christian Guo</t>
        </is>
      </c>
      <c r="C21" s="660" t="inlineStr">
        <is>
          <t>Solution Architect</t>
        </is>
      </c>
      <c r="D21" s="660" t="inlineStr">
        <is>
          <t>Callan McLaughlin</t>
        </is>
      </c>
      <c r="E21" s="660" t="inlineStr">
        <is>
          <t>Technology Manager,  Site Systems</t>
        </is>
      </c>
      <c r="F21" s="661" t="inlineStr">
        <is>
          <t>Ampol Retail &amp; Z</t>
        </is>
      </c>
      <c r="G21" s="662" t="inlineStr">
        <is>
          <t>Z &amp; Group Retail</t>
        </is>
      </c>
      <c r="H21" s="660" t="inlineStr">
        <is>
          <t>Z &amp; Group Retail, Site Systems</t>
        </is>
      </c>
      <c r="I21" s="660" t="inlineStr">
        <is>
          <t>Z</t>
        </is>
      </c>
      <c r="J21" s="660" t="inlineStr">
        <is>
          <t>Z Customer</t>
        </is>
      </c>
      <c r="K21" s="660" t="inlineStr">
        <is>
          <t xml:space="preserve">Z Retail Backend </t>
        </is>
      </c>
      <c r="L21" s="662" t="n"/>
      <c r="M21" s="688" t="inlineStr">
        <is>
          <t>NZ</t>
        </is>
      </c>
      <c r="N21" s="664" t="inlineStr">
        <is>
          <t>CIC</t>
        </is>
      </c>
      <c r="O21" s="665" t="n">
        <v>1</v>
      </c>
      <c r="P21" s="664" t="n"/>
      <c r="Q21" s="665" t="inlineStr">
        <is>
          <t>Permanent - Full Time</t>
        </is>
      </c>
      <c r="R21" s="666" t="n"/>
      <c r="S21" s="666" t="n"/>
      <c r="T21" s="666" t="n">
        <v>180000</v>
      </c>
      <c r="U21" s="679" t="n">
        <v>165600</v>
      </c>
      <c r="V21" s="669" t="n">
        <v>0.15</v>
      </c>
      <c r="W21" s="665" t="n"/>
      <c r="X21" s="670" t="n">
        <v>0.05</v>
      </c>
      <c r="Y21" s="918" t="n">
        <v>2910</v>
      </c>
      <c r="Z21" s="670" t="n">
        <v>0.03</v>
      </c>
      <c r="AA21" s="919">
        <f>U21*(1+V21+X21+Z21)+Y21</f>
        <v>206598.0</v>
      </c>
      <c r="AJ21" t="str">
        <f>IFERROR(INDEX(Lists!$U$1:$U$18,MATCH($I21,Lists!$T$1:$T$18,0)),"?")</f>
        <v>Z Retail</v>
      </c>
      <c r="AK21" t="str">
        <f>IF(LOWER($Q21)="v","Vacant",IF(LOWER($Q21)="pause","Paused",IF(LOWER($Q21)="cxc","Contractor",IF($Q21="Contractor","Contractor","Filled"))))</f>
        <v>Filled</v>
      </c>
      <c r="AL21" t="str">
        <f>IF($M21="NZ","NZ","AU")</f>
        <v>NZ</v>
      </c>
      <c r="AM21">
        <f>COUNTIF($AJ$2:$AJ21,$AJ21)</f>
        <v>12.0</v>
      </c>
      <c r="AN21" t="str">
        <f>$AJ21&amp;"|"&amp;$AM21</f>
        <v>Z Retail|12</v>
      </c>
    </row>
    <row r="22" ht="18" customHeight="1" s="849">
      <c r="A22" s="659" t="n">
        <v>95128</v>
      </c>
      <c r="B22" s="660" t="inlineStr">
        <is>
          <t>Deepak Kubendran</t>
        </is>
      </c>
      <c r="C22" s="660" t="inlineStr">
        <is>
          <t>Project Manager – Deployments</t>
        </is>
      </c>
      <c r="D22" s="660" t="inlineStr">
        <is>
          <t>Matthew Patane</t>
        </is>
      </c>
      <c r="E22" s="660" t="inlineStr">
        <is>
          <t>Release &amp; Deployment Manager</t>
        </is>
      </c>
      <c r="F22" s="661" t="inlineStr">
        <is>
          <t>Ampol Retail &amp; Z</t>
        </is>
      </c>
      <c r="G22" s="662" t="inlineStr">
        <is>
          <t>Ampol Retail</t>
        </is>
      </c>
      <c r="H22" s="660" t="inlineStr">
        <is>
          <t>Ampol Retail, Technology</t>
        </is>
      </c>
      <c r="I22" s="660" t="inlineStr">
        <is>
          <t>Retail</t>
        </is>
      </c>
      <c r="J22" s="662" t="inlineStr">
        <is>
          <t>Store Operations</t>
        </is>
      </c>
      <c r="K22" s="660" t="inlineStr">
        <is>
          <t>Deployment</t>
        </is>
      </c>
      <c r="L22" s="662" t="n"/>
      <c r="M22" s="688" t="inlineStr">
        <is>
          <t>Australia</t>
        </is>
      </c>
      <c r="N22" s="664" t="inlineStr">
        <is>
          <t>CIB</t>
        </is>
      </c>
      <c r="O22" s="664" t="n">
        <v>1</v>
      </c>
      <c r="P22" s="664" t="n"/>
      <c r="Q22" s="664" t="inlineStr">
        <is>
          <t>Permanent - Full Time</t>
        </is>
      </c>
      <c r="R22" s="666" t="n"/>
      <c r="S22" s="666" t="n"/>
      <c r="T22" s="666" t="n">
        <v>153920</v>
      </c>
      <c r="U22" s="679" t="n">
        <v>153920</v>
      </c>
      <c r="V22" s="670" t="n">
        <v>0.12</v>
      </c>
      <c r="W22" s="921" t="n">
        <v>0.055</v>
      </c>
      <c r="X22" s="921" t="n">
        <v>0.12</v>
      </c>
      <c r="Y22" s="922" t="n"/>
      <c r="Z22" s="921" t="n">
        <v>0.04</v>
      </c>
      <c r="AA22" s="919">
        <f>U22*(1+V22+W22+X22+Y22+Z22)</f>
        <v>205483.19999999998</v>
      </c>
      <c r="AJ22" t="str">
        <f>IFERROR(INDEX(Lists!$U$1:$U$18,MATCH($I22,Lists!$T$1:$T$18,0)),"?")</f>
        <v>Ampol Retail</v>
      </c>
      <c r="AK22" t="str">
        <f>IF(LOWER($Q22)="v","Vacant",IF(LOWER($Q22)="pause","Paused",IF(LOWER($Q22)="cxc","Contractor",IF($Q22="Contractor","Contractor","Filled"))))</f>
        <v>Filled</v>
      </c>
      <c r="AL22" t="str">
        <f>IF($M22="NZ","NZ","AU")</f>
        <v>AU</v>
      </c>
      <c r="AM22">
        <f>COUNTIF($AJ$2:$AJ22,$AJ22)</f>
        <v>9.0</v>
      </c>
      <c r="AN22" t="str">
        <f>$AJ22&amp;"|"&amp;$AM22</f>
        <v>Ampol Retail|9</v>
      </c>
    </row>
    <row r="23" ht="18" customHeight="1" s="849">
      <c r="A23" s="659" t="inlineStr">
        <is>
          <t>?</t>
        </is>
      </c>
      <c r="B23" s="660" t="inlineStr">
        <is>
          <t>Emma Natoli</t>
        </is>
      </c>
      <c r="C23" s="660" t="inlineStr">
        <is>
          <t>Technology Manager, Engineering</t>
        </is>
      </c>
      <c r="D23" s="662" t="inlineStr">
        <is>
          <t>Vacant</t>
        </is>
      </c>
      <c r="E23" s="660" t="inlineStr">
        <is>
          <t>Head of Technology, Z and Group Retail Platforms</t>
        </is>
      </c>
      <c r="F23" s="661" t="inlineStr">
        <is>
          <t>Ampol Retail &amp; Z</t>
        </is>
      </c>
      <c r="G23" s="662" t="inlineStr">
        <is>
          <t>Z &amp; Group Retail</t>
        </is>
      </c>
      <c r="H23" s="662" t="inlineStr">
        <is>
          <t>Z &amp; Group Retail, Engineering</t>
        </is>
      </c>
      <c r="I23" s="660" t="inlineStr">
        <is>
          <t>Z</t>
        </is>
      </c>
      <c r="J23" s="660" t="inlineStr">
        <is>
          <t>Leadership</t>
        </is>
      </c>
      <c r="K23" s="662" t="inlineStr">
        <is>
          <t>Leadership</t>
        </is>
      </c>
      <c r="L23" s="662" t="n"/>
      <c r="M23" s="688" t="inlineStr">
        <is>
          <t>Australia</t>
        </is>
      </c>
      <c r="N23" s="664" t="inlineStr">
        <is>
          <t>CSB</t>
        </is>
      </c>
      <c r="O23" s="664" t="n">
        <v>1</v>
      </c>
      <c r="P23" s="666" t="n"/>
      <c r="Q23" s="666" t="inlineStr">
        <is>
          <t>Permanent - Full Time</t>
        </is>
      </c>
      <c r="R23" s="666" t="n"/>
      <c r="S23" s="666" t="n"/>
      <c r="T23" s="666" t="n">
        <v>177320</v>
      </c>
      <c r="U23" s="679" t="n">
        <v>177320</v>
      </c>
      <c r="V23" s="670" t="n">
        <v>0.12</v>
      </c>
      <c r="W23" s="921" t="n">
        <v>0.055</v>
      </c>
      <c r="X23" s="921" t="n">
        <v>0.12</v>
      </c>
      <c r="Y23" s="922" t="n"/>
      <c r="Z23" s="921" t="n">
        <v>0.04</v>
      </c>
      <c r="AA23" s="919">
        <f>U23*(1+V23+W23+X23+Y23+Z23)</f>
        <v>236722.19999999998</v>
      </c>
      <c r="AJ23" t="str">
        <f>IFERROR(INDEX(Lists!$U$1:$U$18,MATCH($I23,Lists!$T$1:$T$18,0)),"?")</f>
        <v>Z Retail</v>
      </c>
      <c r="AK23" t="str">
        <f>IF(LOWER($Q23)="v","Vacant",IF(LOWER($Q23)="pause","Paused",IF(LOWER($Q23)="cxc","Contractor",IF($Q23="Contractor","Contractor","Filled"))))</f>
        <v>Filled</v>
      </c>
      <c r="AL23" t="str">
        <f>IF($M23="NZ","NZ","AU")</f>
        <v>AU</v>
      </c>
      <c r="AM23">
        <f>COUNTIF($AJ$2:$AJ23,$AJ23)</f>
        <v>13.0</v>
      </c>
      <c r="AN23" t="str">
        <f>$AJ23&amp;"|"&amp;$AM23</f>
        <v>Z Retail|13</v>
      </c>
    </row>
    <row r="24" ht="18" customHeight="1" s="849">
      <c r="A24" s="689" t="n">
        <v>4259</v>
      </c>
      <c r="B24" s="690" t="inlineStr">
        <is>
          <t>Ephraim Adan</t>
        </is>
      </c>
      <c r="C24" s="690" t="inlineStr">
        <is>
          <t>Manager - AU Retail Operations</t>
        </is>
      </c>
      <c r="D24" s="690" t="inlineStr">
        <is>
          <t>Vedran Jukic</t>
        </is>
      </c>
      <c r="E24" s="690" t="inlineStr">
        <is>
          <t>Technology Manager, Retail</t>
        </is>
      </c>
      <c r="F24" s="691" t="inlineStr">
        <is>
          <t>Ampol Retail &amp; Z</t>
        </is>
      </c>
      <c r="G24" s="692" t="inlineStr">
        <is>
          <t>Ampol Retail</t>
        </is>
      </c>
      <c r="H24" s="690" t="inlineStr">
        <is>
          <t>Ampol Retail, Technology</t>
        </is>
      </c>
      <c r="I24" s="690" t="inlineStr">
        <is>
          <t>Retail</t>
        </is>
      </c>
      <c r="J24" s="692" t="inlineStr">
        <is>
          <t>Store Operations</t>
        </is>
      </c>
      <c r="K24" s="690" t="inlineStr">
        <is>
          <t>Store Operations</t>
        </is>
      </c>
      <c r="L24" s="692" t="n"/>
      <c r="M24" s="693" t="inlineStr">
        <is>
          <t>Australia</t>
        </is>
      </c>
      <c r="N24" s="694" t="inlineStr">
        <is>
          <t>CIC</t>
        </is>
      </c>
      <c r="O24" s="666" t="n">
        <v>1</v>
      </c>
      <c r="P24" s="664" t="n"/>
      <c r="Q24" s="665" t="inlineStr">
        <is>
          <t>Permanent - Full Time</t>
        </is>
      </c>
      <c r="R24" s="666" t="n"/>
      <c r="S24" s="666" t="n"/>
      <c r="T24" s="666" t="n">
        <v>68900</v>
      </c>
      <c r="U24" s="679" t="n">
        <v>63388</v>
      </c>
      <c r="V24" s="669" t="n">
        <v>0.1</v>
      </c>
      <c r="W24" s="665" t="n"/>
      <c r="X24" s="670" t="n">
        <v>0.05</v>
      </c>
      <c r="Y24" s="918" t="n">
        <v>2910</v>
      </c>
      <c r="Z24" s="670" t="n">
        <v>0.03</v>
      </c>
      <c r="AA24" s="919">
        <f>U24*(1+V24+X24+Z24)+Y24</f>
        <v>77707.84000000001</v>
      </c>
      <c r="AJ24" t="str">
        <f>IFERROR(INDEX(Lists!$U$1:$U$18,MATCH($I24,Lists!$T$1:$T$18,0)),"?")</f>
        <v>Ampol Retail</v>
      </c>
      <c r="AK24" t="str">
        <f>IF(LOWER($Q24)="v","Vacant",IF(LOWER($Q24)="pause","Paused",IF(LOWER($Q24)="cxc","Contractor",IF($Q24="Contractor","Contractor","Filled"))))</f>
        <v>Filled</v>
      </c>
      <c r="AL24" t="str">
        <f>IF($M24="NZ","NZ","AU")</f>
        <v>AU</v>
      </c>
      <c r="AM24">
        <f>COUNTIF($AJ$2:$AJ24,$AJ24)</f>
        <v>10.0</v>
      </c>
      <c r="AN24" t="str">
        <f>$AJ24&amp;"|"&amp;$AM24</f>
        <v>Ampol Retail|10</v>
      </c>
    </row>
    <row r="25" ht="18" customHeight="1" s="849">
      <c r="A25" s="689" t="n">
        <v>99999102110</v>
      </c>
      <c r="B25" s="690" t="inlineStr">
        <is>
          <t>Eugene Yeo</t>
        </is>
      </c>
      <c r="C25" s="690" t="inlineStr">
        <is>
          <t>Engineer - DevOps</t>
        </is>
      </c>
      <c r="D25" s="690" t="inlineStr">
        <is>
          <t>Vacant</t>
        </is>
      </c>
      <c r="E25" s="690" t="inlineStr">
        <is>
          <t>Technology Manager, Engineering</t>
        </is>
      </c>
      <c r="F25" s="691" t="inlineStr">
        <is>
          <t>Ampol Retail &amp; Z</t>
        </is>
      </c>
      <c r="G25" s="692" t="inlineStr">
        <is>
          <t>Z &amp; Group Retail</t>
        </is>
      </c>
      <c r="H25" s="690" t="inlineStr">
        <is>
          <t>Z &amp; Group Retail, Engineering</t>
        </is>
      </c>
      <c r="I25" s="690" t="inlineStr">
        <is>
          <t>Z</t>
        </is>
      </c>
      <c r="J25" s="692" t="inlineStr">
        <is>
          <t>Z Supply</t>
        </is>
      </c>
      <c r="K25" s="690" t="inlineStr">
        <is>
          <t>Z Supply</t>
        </is>
      </c>
      <c r="L25" s="692" t="n"/>
      <c r="M25" s="688" t="inlineStr">
        <is>
          <t>NZ</t>
        </is>
      </c>
      <c r="N25" s="664" t="inlineStr">
        <is>
          <t>CDA</t>
        </is>
      </c>
      <c r="O25" s="665" t="n">
        <v>1</v>
      </c>
      <c r="P25" s="664" t="n"/>
      <c r="Q25" s="665" t="inlineStr">
        <is>
          <t>Permanent - Full Time</t>
        </is>
      </c>
      <c r="R25" s="666" t="n"/>
      <c r="S25" s="666" t="n"/>
      <c r="T25" s="666" t="n">
        <v>105000</v>
      </c>
      <c r="U25" s="679" t="n">
        <v>96600</v>
      </c>
      <c r="V25" s="669" t="n">
        <v>0.1</v>
      </c>
      <c r="W25" s="665" t="n"/>
      <c r="X25" s="670" t="n">
        <v>0.05</v>
      </c>
      <c r="Y25" s="918" t="n">
        <v>2910</v>
      </c>
      <c r="Z25" s="670" t="n">
        <v>0.03</v>
      </c>
      <c r="AA25" s="919">
        <f>U25*(1+V25+X25+Z25)+Y25</f>
        <v>116898.00000000001</v>
      </c>
      <c r="AJ25" t="str">
        <f>IFERROR(INDEX(Lists!$U$1:$U$18,MATCH($I25,Lists!$T$1:$T$18,0)),"?")</f>
        <v>Z Retail</v>
      </c>
      <c r="AK25" t="str">
        <f>IF(LOWER($Q25)="v","Vacant",IF(LOWER($Q25)="pause","Paused",IF(LOWER($Q25)="cxc","Contractor",IF($Q25="Contractor","Contractor","Filled"))))</f>
        <v>Filled</v>
      </c>
      <c r="AL25" t="str">
        <f>IF($M25="NZ","NZ","AU")</f>
        <v>NZ</v>
      </c>
      <c r="AM25">
        <f>COUNTIF($AJ$2:$AJ25,$AJ25)</f>
        <v>14.0</v>
      </c>
      <c r="AN25" t="str">
        <f>$AJ25&amp;"|"&amp;$AM25</f>
        <v>Z Retail|14</v>
      </c>
    </row>
    <row r="26" ht="18" customHeight="1" s="849">
      <c r="A26" s="689" t="n">
        <v>99999102111</v>
      </c>
      <c r="B26" s="690" t="inlineStr">
        <is>
          <t>Gayan Liyana Arachchige</t>
        </is>
      </c>
      <c r="C26" s="690" t="inlineStr">
        <is>
          <t>Engineer - DevOps</t>
        </is>
      </c>
      <c r="D26" s="690" t="inlineStr">
        <is>
          <t>Vacant</t>
        </is>
      </c>
      <c r="E26" s="690" t="inlineStr">
        <is>
          <t>Technology Manager, Engineering</t>
        </is>
      </c>
      <c r="F26" s="691" t="inlineStr">
        <is>
          <t>Ampol Retail &amp; Z</t>
        </is>
      </c>
      <c r="G26" s="692" t="inlineStr">
        <is>
          <t>Z &amp; Group Retail</t>
        </is>
      </c>
      <c r="H26" s="690" t="inlineStr">
        <is>
          <t>Z &amp; Group Retail, Engineering</t>
        </is>
      </c>
      <c r="I26" s="690" t="inlineStr">
        <is>
          <t>Z</t>
        </is>
      </c>
      <c r="J26" s="692" t="inlineStr">
        <is>
          <t>Z Supply</t>
        </is>
      </c>
      <c r="K26" s="660" t="inlineStr">
        <is>
          <t>Z Supply</t>
        </is>
      </c>
      <c r="L26" s="692" t="n"/>
      <c r="M26" s="688" t="inlineStr">
        <is>
          <t>NZ</t>
        </is>
      </c>
      <c r="N26" s="664" t="inlineStr">
        <is>
          <t>CDB</t>
        </is>
      </c>
      <c r="O26" s="665" t="n">
        <v>1</v>
      </c>
      <c r="P26" s="666" t="n"/>
      <c r="Q26" s="666" t="inlineStr">
        <is>
          <t>Permanent - Full Time</t>
        </is>
      </c>
      <c r="R26" s="666" t="n"/>
      <c r="S26" s="666" t="n"/>
      <c r="T26" s="666" t="n">
        <v>132710</v>
      </c>
      <c r="U26" s="679" t="n">
        <v>132710</v>
      </c>
      <c r="V26" s="670" t="n">
        <v>0.1</v>
      </c>
      <c r="W26" s="921" t="n">
        <v>0.055</v>
      </c>
      <c r="X26" s="921" t="n">
        <v>0.12</v>
      </c>
      <c r="Y26" s="922" t="n"/>
      <c r="Z26" s="921" t="n">
        <v>0.04</v>
      </c>
      <c r="AA26" s="919">
        <f>U26*(1+V26+W26+X26+Y26+Z26)</f>
        <v>174513.65</v>
      </c>
      <c r="AJ26" t="str">
        <f>IFERROR(INDEX(Lists!$U$1:$U$18,MATCH($I26,Lists!$T$1:$T$18,0)),"?")</f>
        <v>Z Retail</v>
      </c>
      <c r="AK26" t="str">
        <f>IF(LOWER($Q26)="v","Vacant",IF(LOWER($Q26)="pause","Paused",IF(LOWER($Q26)="cxc","Contractor",IF($Q26="Contractor","Contractor","Filled"))))</f>
        <v>Filled</v>
      </c>
      <c r="AL26" t="str">
        <f>IF($M26="NZ","NZ","AU")</f>
        <v>NZ</v>
      </c>
      <c r="AM26">
        <f>COUNTIF($AJ$2:$AJ26,$AJ26)</f>
        <v>15.0</v>
      </c>
      <c r="AN26" t="str">
        <f>$AJ26&amp;"|"&amp;$AM26</f>
        <v>Z Retail|15</v>
      </c>
    </row>
    <row r="27" ht="18" customHeight="1" s="849">
      <c r="A27" s="659" t="n">
        <v>8445</v>
      </c>
      <c r="B27" s="660" t="inlineStr">
        <is>
          <t>Geoff Goddard</t>
        </is>
      </c>
      <c r="C27" s="660" t="inlineStr">
        <is>
          <t>Field Systems Operations Lead - VIC</t>
        </is>
      </c>
      <c r="D27" s="660" t="inlineStr">
        <is>
          <t>Ephraim Adan</t>
        </is>
      </c>
      <c r="E27" s="660" t="inlineStr">
        <is>
          <t>Manager, AU Retail Operations</t>
        </is>
      </c>
      <c r="F27" s="661" t="inlineStr">
        <is>
          <t>Ampol Retail &amp; Z</t>
        </is>
      </c>
      <c r="G27" s="662" t="inlineStr">
        <is>
          <t>Ampol Retail</t>
        </is>
      </c>
      <c r="H27" s="660" t="inlineStr">
        <is>
          <t>Ampol Retail, Technology</t>
        </is>
      </c>
      <c r="I27" s="660" t="inlineStr">
        <is>
          <t>Retail</t>
        </is>
      </c>
      <c r="J27" s="662" t="inlineStr">
        <is>
          <t>Store Operations</t>
        </is>
      </c>
      <c r="K27" s="660" t="inlineStr">
        <is>
          <t>Store Operations</t>
        </is>
      </c>
      <c r="L27" s="662" t="n"/>
      <c r="M27" s="688" t="inlineStr">
        <is>
          <t>Australia</t>
        </is>
      </c>
      <c r="N27" s="666" t="inlineStr">
        <is>
          <t>CIA</t>
        </is>
      </c>
      <c r="O27" s="666" t="n">
        <v>1</v>
      </c>
      <c r="P27" s="664" t="n"/>
      <c r="Q27" s="664" t="inlineStr">
        <is>
          <t>Permanent - Full Time</t>
        </is>
      </c>
      <c r="R27" s="666" t="n"/>
      <c r="S27" s="666" t="n"/>
      <c r="T27" s="666" t="n">
        <v>127270</v>
      </c>
      <c r="U27" s="679" t="n">
        <v>127270</v>
      </c>
      <c r="V27" s="670" t="n">
        <v>0.1</v>
      </c>
      <c r="W27" s="921" t="n">
        <v>0.055</v>
      </c>
      <c r="X27" s="921" t="n">
        <v>0.12</v>
      </c>
      <c r="Y27" s="922" t="n"/>
      <c r="Z27" s="921" t="n">
        <v>0.04</v>
      </c>
      <c r="AA27" s="919">
        <f>U27*(1+V27+W27+X27+Y27+Z27)</f>
        <v>167360.05</v>
      </c>
      <c r="AJ27" t="str">
        <f>IFERROR(INDEX(Lists!$U$1:$U$18,MATCH($I27,Lists!$T$1:$T$18,0)),"?")</f>
        <v>Ampol Retail</v>
      </c>
      <c r="AK27" t="str">
        <f>IF(LOWER($Q27)="v","Vacant",IF(LOWER($Q27)="pause","Paused",IF(LOWER($Q27)="cxc","Contractor",IF($Q27="Contractor","Contractor","Filled"))))</f>
        <v>Filled</v>
      </c>
      <c r="AL27" t="str">
        <f>IF($M27="NZ","NZ","AU")</f>
        <v>AU</v>
      </c>
      <c r="AM27">
        <f>COUNTIF($AJ$2:$AJ27,$AJ27)</f>
        <v>11.0</v>
      </c>
      <c r="AN27" t="str">
        <f>$AJ27&amp;"|"&amp;$AM27</f>
        <v>Ampol Retail|11</v>
      </c>
    </row>
    <row r="28" ht="18" customHeight="1" s="849">
      <c r="A28" s="659" t="n">
        <v>109974</v>
      </c>
      <c r="B28" s="660" t="inlineStr">
        <is>
          <t>Gerald Aguas</t>
        </is>
      </c>
      <c r="C28" s="660" t="inlineStr">
        <is>
          <t>Field Systems Operations Lead - NSW</t>
        </is>
      </c>
      <c r="D28" s="660" t="inlineStr">
        <is>
          <t>Ephraim Adan</t>
        </is>
      </c>
      <c r="E28" s="660" t="inlineStr">
        <is>
          <t>Manager, AU Retail Operations</t>
        </is>
      </c>
      <c r="F28" s="661" t="inlineStr">
        <is>
          <t>Ampol Retail &amp; Z</t>
        </is>
      </c>
      <c r="G28" s="662" t="inlineStr">
        <is>
          <t>Ampol Retail</t>
        </is>
      </c>
      <c r="H28" s="660" t="inlineStr">
        <is>
          <t>Ampol Retail, Technology</t>
        </is>
      </c>
      <c r="I28" s="660" t="inlineStr">
        <is>
          <t>Retail</t>
        </is>
      </c>
      <c r="J28" s="662" t="inlineStr">
        <is>
          <t>Store Operations</t>
        </is>
      </c>
      <c r="K28" s="660" t="inlineStr">
        <is>
          <t>Store Operations</t>
        </is>
      </c>
      <c r="L28" s="662" t="n"/>
      <c r="M28" s="695" t="inlineStr">
        <is>
          <t>Australia</t>
        </is>
      </c>
      <c r="N28" s="696" t="inlineStr">
        <is>
          <t>CIA</t>
        </is>
      </c>
      <c r="O28" s="664" t="n">
        <v>1</v>
      </c>
      <c r="P28" s="664" t="n"/>
      <c r="Q28" s="665" t="inlineStr">
        <is>
          <t>Permanent - Full Time</t>
        </is>
      </c>
      <c r="R28" s="666" t="n"/>
      <c r="S28" s="666" t="n"/>
      <c r="T28" s="697" t="n">
        <v>165470</v>
      </c>
      <c r="U28" s="698" t="n">
        <v>152232.4</v>
      </c>
      <c r="V28" s="699" t="n">
        <v>0.15</v>
      </c>
      <c r="W28" s="700" t="n"/>
      <c r="X28" s="701" t="n">
        <v>0.05</v>
      </c>
      <c r="Y28" s="923" t="n">
        <v>2910</v>
      </c>
      <c r="Z28" s="701" t="n">
        <v>0.03</v>
      </c>
      <c r="AA28" s="924">
        <f>U28*(1+V28+X28+Z28)+Y28</f>
        <v>190155.85199999998</v>
      </c>
      <c r="AJ28" t="str">
        <f>IFERROR(INDEX(Lists!$U$1:$U$18,MATCH($I28,Lists!$T$1:$T$18,0)),"?")</f>
        <v>Ampol Retail</v>
      </c>
      <c r="AK28" t="str">
        <f>IF(LOWER($Q28)="v","Vacant",IF(LOWER($Q28)="pause","Paused",IF(LOWER($Q28)="cxc","Contractor",IF($Q28="Contractor","Contractor","Filled"))))</f>
        <v>Filled</v>
      </c>
      <c r="AL28" t="str">
        <f>IF($M28="NZ","NZ","AU")</f>
        <v>AU</v>
      </c>
      <c r="AM28">
        <f>COUNTIF($AJ$2:$AJ28,$AJ28)</f>
        <v>12.0</v>
      </c>
      <c r="AN28" t="str">
        <f>$AJ28&amp;"|"&amp;$AM28</f>
        <v>Ampol Retail|12</v>
      </c>
    </row>
    <row r="29" ht="18" customHeight="1" s="849">
      <c r="A29" s="659" t="n">
        <v>99999100699</v>
      </c>
      <c r="B29" s="660" t="inlineStr">
        <is>
          <t>Helen Jones</t>
        </is>
      </c>
      <c r="C29" s="660" t="inlineStr">
        <is>
          <t>Delivery Lead</t>
        </is>
      </c>
      <c r="D29" s="662" t="inlineStr">
        <is>
          <t>Vacant</t>
        </is>
      </c>
      <c r="E29" s="660" t="inlineStr">
        <is>
          <t>Delivery Manager, Z and Retail Data</t>
        </is>
      </c>
      <c r="F29" s="661" t="inlineStr">
        <is>
          <t>Ampol Retail &amp; Z</t>
        </is>
      </c>
      <c r="G29" s="662" t="inlineStr">
        <is>
          <t>Z &amp; Group Retail</t>
        </is>
      </c>
      <c r="H29" s="660" t="inlineStr">
        <is>
          <t>Z &amp; Group Retail, Delivery</t>
        </is>
      </c>
      <c r="I29" s="660" t="inlineStr">
        <is>
          <t>Z</t>
        </is>
      </c>
      <c r="J29" s="662" t="inlineStr">
        <is>
          <t>Z Supply</t>
        </is>
      </c>
      <c r="K29" s="660" t="inlineStr">
        <is>
          <t>Z Supply</t>
        </is>
      </c>
      <c r="L29" s="662" t="n"/>
      <c r="M29" s="663" t="inlineStr">
        <is>
          <t>NZ</t>
        </is>
      </c>
      <c r="N29" s="664" t="inlineStr">
        <is>
          <t>CIC</t>
        </is>
      </c>
      <c r="O29" s="665" t="n">
        <v>1</v>
      </c>
      <c r="P29" s="664" t="n"/>
      <c r="Q29" s="664" t="inlineStr">
        <is>
          <t>Permanent - Full Time</t>
        </is>
      </c>
      <c r="R29" s="666" t="n"/>
      <c r="S29" s="666" t="n"/>
      <c r="T29" s="667" t="n">
        <v>179340</v>
      </c>
      <c r="U29" s="668" t="n">
        <v>179340</v>
      </c>
      <c r="V29" s="670" t="n">
        <v>0.12</v>
      </c>
      <c r="W29" s="921" t="n">
        <v>0.055</v>
      </c>
      <c r="X29" s="921" t="n">
        <v>0.12</v>
      </c>
      <c r="Y29" s="922" t="n"/>
      <c r="Z29" s="921" t="n">
        <v>0.04</v>
      </c>
      <c r="AA29" s="919">
        <f>U29*(1+V29+W29+X29+Y29+Z29)</f>
        <v>239418.9</v>
      </c>
      <c r="AJ29" t="str">
        <f>IFERROR(INDEX(Lists!$U$1:$U$18,MATCH($I29,Lists!$T$1:$T$18,0)),"?")</f>
        <v>Z Retail</v>
      </c>
      <c r="AK29" t="str">
        <f>IF(LOWER($Q29)="v","Vacant",IF(LOWER($Q29)="pause","Paused",IF(LOWER($Q29)="cxc","Contractor",IF($Q29="Contractor","Contractor","Filled"))))</f>
        <v>Filled</v>
      </c>
      <c r="AL29" t="str">
        <f>IF($M29="NZ","NZ","AU")</f>
        <v>NZ</v>
      </c>
      <c r="AM29">
        <f>COUNTIF($AJ$2:$AJ29,$AJ29)</f>
        <v>16.0</v>
      </c>
      <c r="AN29" t="str">
        <f>$AJ29&amp;"|"&amp;$AM29</f>
        <v>Z Retail|16</v>
      </c>
    </row>
    <row r="30" ht="18" customHeight="1" s="849">
      <c r="A30" s="659" t="n">
        <v>110704</v>
      </c>
      <c r="B30" s="660" t="inlineStr">
        <is>
          <t>Irfan Zavahir</t>
        </is>
      </c>
      <c r="C30" s="660" t="inlineStr">
        <is>
          <t>Delivery Lead</t>
        </is>
      </c>
      <c r="D30" s="660" t="inlineStr">
        <is>
          <t>Vanessa Allen</t>
        </is>
      </c>
      <c r="E30" s="660" t="inlineStr">
        <is>
          <t>Delivery Manager, Ampol Retail</t>
        </is>
      </c>
      <c r="F30" s="661" t="inlineStr">
        <is>
          <t>Ampol Retail &amp; Z</t>
        </is>
      </c>
      <c r="G30" s="662" t="inlineStr">
        <is>
          <t>Ampol Retail</t>
        </is>
      </c>
      <c r="H30" s="660" t="inlineStr">
        <is>
          <t>Ampol Retail, Delivery</t>
        </is>
      </c>
      <c r="I30" s="660" t="inlineStr">
        <is>
          <t>Retail</t>
        </is>
      </c>
      <c r="J30" s="662" t="inlineStr">
        <is>
          <t>AMPOS</t>
        </is>
      </c>
      <c r="K30" s="660" t="inlineStr">
        <is>
          <t>AmPos</t>
        </is>
      </c>
      <c r="L30" s="662" t="n"/>
      <c r="M30" s="663" t="inlineStr">
        <is>
          <t>Australia</t>
        </is>
      </c>
      <c r="N30" s="664" t="inlineStr">
        <is>
          <t>CIC</t>
        </is>
      </c>
      <c r="O30" s="664" t="n">
        <v>1</v>
      </c>
      <c r="P30" s="664" t="n"/>
      <c r="Q30" s="665" t="inlineStr">
        <is>
          <t>Permanent - Full Time</t>
        </is>
      </c>
      <c r="R30" s="666" t="n"/>
      <c r="S30" s="666" t="n"/>
      <c r="T30" s="667" t="n">
        <v>140000</v>
      </c>
      <c r="U30" s="668" t="n">
        <v>128800</v>
      </c>
      <c r="V30" s="669" t="n">
        <v>0.15</v>
      </c>
      <c r="W30" s="665" t="n"/>
      <c r="X30" s="670" t="n">
        <v>0.05</v>
      </c>
      <c r="Y30" s="918" t="n">
        <v>2910</v>
      </c>
      <c r="Z30" s="670" t="n">
        <v>0.03</v>
      </c>
      <c r="AA30" s="919">
        <f>U30*(1+V30+X30+Z30)+Y30</f>
        <v>161334.0</v>
      </c>
      <c r="AJ30" t="str">
        <f>IFERROR(INDEX(Lists!$U$1:$U$18,MATCH($I30,Lists!$T$1:$T$18,0)),"?")</f>
        <v>Ampol Retail</v>
      </c>
      <c r="AK30" t="str">
        <f>IF(LOWER($Q30)="v","Vacant",IF(LOWER($Q30)="pause","Paused",IF(LOWER($Q30)="cxc","Contractor",IF($Q30="Contractor","Contractor","Filled"))))</f>
        <v>Filled</v>
      </c>
      <c r="AL30" t="str">
        <f>IF($M30="NZ","NZ","AU")</f>
        <v>AU</v>
      </c>
      <c r="AM30">
        <f>COUNTIF($AJ$2:$AJ30,$AJ30)</f>
        <v>13.0</v>
      </c>
      <c r="AN30" t="str">
        <f>$AJ30&amp;"|"&amp;$AM30</f>
        <v>Ampol Retail|13</v>
      </c>
    </row>
    <row r="31" ht="18" customHeight="1" s="849">
      <c r="A31" s="659" t="n">
        <v>99999102104</v>
      </c>
      <c r="B31" s="660" t="inlineStr">
        <is>
          <t>Isuru Herath</t>
        </is>
      </c>
      <c r="C31" s="660" t="inlineStr">
        <is>
          <t>Senior Engineer - Software</t>
        </is>
      </c>
      <c r="D31" s="660" t="inlineStr">
        <is>
          <t>Vacant</t>
        </is>
      </c>
      <c r="E31" s="660" t="inlineStr">
        <is>
          <t>Technology Manager, Engineering</t>
        </is>
      </c>
      <c r="F31" s="661" t="inlineStr">
        <is>
          <t>Ampol Retail &amp; Z</t>
        </is>
      </c>
      <c r="G31" s="662" t="inlineStr">
        <is>
          <t>Z &amp; Group Retail</t>
        </is>
      </c>
      <c r="H31" s="660" t="inlineStr">
        <is>
          <t>Z &amp; Group Retail, Engineering</t>
        </is>
      </c>
      <c r="I31" s="660" t="inlineStr">
        <is>
          <t>Z</t>
        </is>
      </c>
      <c r="J31" s="662" t="inlineStr">
        <is>
          <t>Z Supply</t>
        </is>
      </c>
      <c r="K31" s="660" t="inlineStr">
        <is>
          <t>Z Supply</t>
        </is>
      </c>
      <c r="L31" s="662" t="n"/>
      <c r="M31" s="663" t="inlineStr">
        <is>
          <t>NZ</t>
        </is>
      </c>
      <c r="N31" s="664" t="inlineStr">
        <is>
          <t>CIB</t>
        </is>
      </c>
      <c r="O31" s="665" t="n">
        <v>1</v>
      </c>
      <c r="P31" s="664" t="n"/>
      <c r="Q31" s="664" t="inlineStr">
        <is>
          <t>Permanent - Full Time</t>
        </is>
      </c>
      <c r="R31" s="666" t="n"/>
      <c r="S31" s="666" t="n"/>
      <c r="T31" s="667" t="n">
        <v>168160</v>
      </c>
      <c r="U31" s="668" t="n">
        <v>168160</v>
      </c>
      <c r="V31" s="670" t="n">
        <v>0.12</v>
      </c>
      <c r="W31" s="921" t="n">
        <v>0.055</v>
      </c>
      <c r="X31" s="921" t="n">
        <v>0.12</v>
      </c>
      <c r="Y31" s="922" t="n"/>
      <c r="Z31" s="921" t="n">
        <v>0.04</v>
      </c>
      <c r="AA31" s="919">
        <f>U31*(1+V31+W31+X31+Y31+Z31)</f>
        <v>224493.6</v>
      </c>
      <c r="AJ31" t="str">
        <f>IFERROR(INDEX(Lists!$U$1:$U$18,MATCH($I31,Lists!$T$1:$T$18,0)),"?")</f>
        <v>Z Retail</v>
      </c>
      <c r="AK31" t="str">
        <f>IF(LOWER($Q31)="v","Vacant",IF(LOWER($Q31)="pause","Paused",IF(LOWER($Q31)="cxc","Contractor",IF($Q31="Contractor","Contractor","Filled"))))</f>
        <v>Filled</v>
      </c>
      <c r="AL31" t="str">
        <f>IF($M31="NZ","NZ","AU")</f>
        <v>NZ</v>
      </c>
      <c r="AM31">
        <f>COUNTIF($AJ$2:$AJ31,$AJ31)</f>
        <v>17.0</v>
      </c>
      <c r="AN31" t="str">
        <f>$AJ31&amp;"|"&amp;$AM31</f>
        <v>Z Retail|17</v>
      </c>
    </row>
    <row r="32" ht="18" customHeight="1" s="849">
      <c r="A32" s="659" t="n">
        <v>91356</v>
      </c>
      <c r="B32" s="660" t="inlineStr">
        <is>
          <t>Javier Aguirre Castellanos</t>
        </is>
      </c>
      <c r="C32" s="660" t="inlineStr">
        <is>
          <t>Solution Architect</t>
        </is>
      </c>
      <c r="D32" s="660" t="inlineStr">
        <is>
          <t>Vedran Jukic</t>
        </is>
      </c>
      <c r="E32" s="660" t="inlineStr">
        <is>
          <t>Technology Manager, Retail</t>
        </is>
      </c>
      <c r="F32" s="661" t="inlineStr">
        <is>
          <t>Ampol Retail &amp; Z</t>
        </is>
      </c>
      <c r="G32" s="662" t="inlineStr">
        <is>
          <t>Ampol Retail</t>
        </is>
      </c>
      <c r="H32" s="660" t="inlineStr">
        <is>
          <t>Ampol Retail, Technology</t>
        </is>
      </c>
      <c r="I32" s="660" t="inlineStr">
        <is>
          <t>Retail</t>
        </is>
      </c>
      <c r="J32" s="662" t="inlineStr">
        <is>
          <t>Network/QSR</t>
        </is>
      </c>
      <c r="K32" s="660" t="inlineStr">
        <is>
          <t>Network &amp; QSR</t>
        </is>
      </c>
      <c r="L32" s="662" t="n"/>
      <c r="M32" s="663" t="inlineStr">
        <is>
          <t>Australia</t>
        </is>
      </c>
      <c r="N32" s="664" t="inlineStr">
        <is>
          <t>CIB</t>
        </is>
      </c>
      <c r="O32" s="664" t="n">
        <v>1</v>
      </c>
      <c r="P32" s="664" t="n"/>
      <c r="Q32" s="665" t="inlineStr">
        <is>
          <t>Permanent - Full Time</t>
        </is>
      </c>
      <c r="R32" s="666" t="n"/>
      <c r="S32" s="666" t="n"/>
      <c r="T32" s="667" t="n">
        <v>115000</v>
      </c>
      <c r="U32" s="668" t="n">
        <v>105800</v>
      </c>
      <c r="V32" s="669" t="n">
        <v>0.15</v>
      </c>
      <c r="W32" s="665" t="n"/>
      <c r="X32" s="670" t="n">
        <v>0.05</v>
      </c>
      <c r="Y32" s="918" t="n">
        <v>2910</v>
      </c>
      <c r="Z32" s="670" t="n">
        <v>0.03</v>
      </c>
      <c r="AA32" s="919">
        <f>U32*(1+V32+X32+Z32)+Y32</f>
        <v>133044.0</v>
      </c>
      <c r="AJ32" t="str">
        <f>IFERROR(INDEX(Lists!$U$1:$U$18,MATCH($I32,Lists!$T$1:$T$18,0)),"?")</f>
        <v>Ampol Retail</v>
      </c>
      <c r="AK32" t="str">
        <f>IF(LOWER($Q32)="v","Vacant",IF(LOWER($Q32)="pause","Paused",IF(LOWER($Q32)="cxc","Contractor",IF($Q32="Contractor","Contractor","Filled"))))</f>
        <v>Filled</v>
      </c>
      <c r="AL32" t="str">
        <f>IF($M32="NZ","NZ","AU")</f>
        <v>AU</v>
      </c>
      <c r="AM32">
        <f>COUNTIF($AJ$2:$AJ32,$AJ32)</f>
        <v>14.0</v>
      </c>
      <c r="AN32" t="str">
        <f>$AJ32&amp;"|"&amp;$AM32</f>
        <v>Ampol Retail|14</v>
      </c>
    </row>
    <row r="33" ht="18" customHeight="1" s="849">
      <c r="A33" s="659" t="n">
        <v>99999102123</v>
      </c>
      <c r="B33" s="660" t="inlineStr">
        <is>
          <t>Jodie Marquez</t>
        </is>
      </c>
      <c r="C33" s="660" t="inlineStr">
        <is>
          <t>Data Analyst</t>
        </is>
      </c>
      <c r="D33" s="662" t="inlineStr">
        <is>
          <t>Vacant</t>
        </is>
      </c>
      <c r="E33" s="660" t="inlineStr">
        <is>
          <t>Technology Manager, Data</t>
        </is>
      </c>
      <c r="F33" s="661" t="inlineStr">
        <is>
          <t>Ampol Retail &amp; Z</t>
        </is>
      </c>
      <c r="G33" s="662" t="inlineStr">
        <is>
          <t>Z &amp; Group Retail</t>
        </is>
      </c>
      <c r="H33" s="660" t="inlineStr">
        <is>
          <t>Z &amp; Group Retail, Data</t>
        </is>
      </c>
      <c r="I33" s="660" t="inlineStr">
        <is>
          <t>Z</t>
        </is>
      </c>
      <c r="J33" s="662" t="inlineStr">
        <is>
          <t>Z Customer &amp; Z Supply</t>
        </is>
      </c>
      <c r="K33" s="660" t="inlineStr">
        <is>
          <t>Data - NZ</t>
        </is>
      </c>
      <c r="L33" s="662" t="n"/>
      <c r="M33" s="663" t="inlineStr">
        <is>
          <t>NZ</t>
        </is>
      </c>
      <c r="N33" s="664" t="inlineStr">
        <is>
          <t>CIA</t>
        </is>
      </c>
      <c r="O33" s="665" t="n">
        <v>1</v>
      </c>
      <c r="P33" s="664" t="n"/>
      <c r="Q33" s="665" t="inlineStr">
        <is>
          <t>Permanent - Full Time</t>
        </is>
      </c>
      <c r="R33" s="666" t="n"/>
      <c r="S33" s="666" t="n"/>
      <c r="T33" s="667" t="n">
        <v>125250</v>
      </c>
      <c r="U33" s="668" t="n">
        <v>115230</v>
      </c>
      <c r="V33" s="669" t="n">
        <v>0.15</v>
      </c>
      <c r="W33" s="665" t="n"/>
      <c r="X33" s="670" t="n">
        <v>0.05</v>
      </c>
      <c r="Y33" s="918" t="n">
        <v>2910</v>
      </c>
      <c r="Z33" s="670" t="n">
        <v>0.03</v>
      </c>
      <c r="AA33" s="919">
        <f>U33*(1+V33+X33+Z33)+Y33</f>
        <v>144642.9</v>
      </c>
      <c r="AJ33" t="str">
        <f>IFERROR(INDEX(Lists!$U$1:$U$18,MATCH($I33,Lists!$T$1:$T$18,0)),"?")</f>
        <v>Z Retail</v>
      </c>
      <c r="AK33" t="str">
        <f>IF(LOWER($Q33)="v","Vacant",IF(LOWER($Q33)="pause","Paused",IF(LOWER($Q33)="cxc","Contractor",IF($Q33="Contractor","Contractor","Filled"))))</f>
        <v>Filled</v>
      </c>
      <c r="AL33" t="str">
        <f>IF($M33="NZ","NZ","AU")</f>
        <v>NZ</v>
      </c>
      <c r="AM33">
        <f>COUNTIF($AJ$2:$AJ33,$AJ33)</f>
        <v>18.0</v>
      </c>
      <c r="AN33" t="str">
        <f>$AJ33&amp;"|"&amp;$AM33</f>
        <v>Z Retail|18</v>
      </c>
    </row>
    <row r="34" ht="18" customHeight="1" s="849">
      <c r="A34" s="659" t="n">
        <v>99999101542</v>
      </c>
      <c r="B34" s="660" t="inlineStr">
        <is>
          <t>Joe Kuttikkatt</t>
        </is>
      </c>
      <c r="C34" s="660" t="inlineStr">
        <is>
          <t>Senior Quality Assurance</t>
        </is>
      </c>
      <c r="D34" s="660" t="inlineStr">
        <is>
          <t>Vacant</t>
        </is>
      </c>
      <c r="E34" s="660" t="inlineStr">
        <is>
          <t>Technology Manager, Engineering</t>
        </is>
      </c>
      <c r="F34" s="661" t="inlineStr">
        <is>
          <t>Ampol Retail &amp; Z</t>
        </is>
      </c>
      <c r="G34" s="662" t="inlineStr">
        <is>
          <t>Z &amp; Group Retail</t>
        </is>
      </c>
      <c r="H34" s="660" t="inlineStr">
        <is>
          <t>Z &amp; Group Retail, Engineering</t>
        </is>
      </c>
      <c r="I34" s="660" t="inlineStr">
        <is>
          <t>Z</t>
        </is>
      </c>
      <c r="J34" s="662" t="inlineStr">
        <is>
          <t>Z Supply</t>
        </is>
      </c>
      <c r="K34" s="660" t="inlineStr">
        <is>
          <t>Z Supply</t>
        </is>
      </c>
      <c r="L34" s="662" t="n"/>
      <c r="M34" s="663" t="inlineStr">
        <is>
          <t>NZ</t>
        </is>
      </c>
      <c r="N34" s="664" t="inlineStr">
        <is>
          <t>CIA</t>
        </is>
      </c>
      <c r="O34" s="665" t="n">
        <v>1</v>
      </c>
      <c r="P34" s="664" t="n"/>
      <c r="Q34" s="665" t="inlineStr">
        <is>
          <t>Permanent - Full Time</t>
        </is>
      </c>
      <c r="R34" s="666" t="n"/>
      <c r="S34" s="666" t="n"/>
      <c r="T34" s="667" t="n">
        <v>93640</v>
      </c>
      <c r="U34" s="668" t="n">
        <v>86148.8</v>
      </c>
      <c r="V34" s="669" t="n">
        <v>0.1</v>
      </c>
      <c r="W34" s="665" t="n"/>
      <c r="X34" s="670" t="n">
        <v>0.05</v>
      </c>
      <c r="Y34" s="918" t="n">
        <v>2910</v>
      </c>
      <c r="Z34" s="670" t="n">
        <v>0.03</v>
      </c>
      <c r="AA34" s="919">
        <f>U34*(1+V34+X34+Z34)+Y34</f>
        <v>104565.58400000002</v>
      </c>
      <c r="AJ34" t="str">
        <f>IFERROR(INDEX(Lists!$U$1:$U$18,MATCH($I34,Lists!$T$1:$T$18,0)),"?")</f>
        <v>Z Retail</v>
      </c>
      <c r="AK34" t="str">
        <f>IF(LOWER($Q34)="v","Vacant",IF(LOWER($Q34)="pause","Paused",IF(LOWER($Q34)="cxc","Contractor",IF($Q34="Contractor","Contractor","Filled"))))</f>
        <v>Filled</v>
      </c>
      <c r="AL34" t="str">
        <f>IF($M34="NZ","NZ","AU")</f>
        <v>NZ</v>
      </c>
      <c r="AM34">
        <f>COUNTIF($AJ$2:$AJ34,$AJ34)</f>
        <v>19.0</v>
      </c>
      <c r="AN34" t="str">
        <f>$AJ34&amp;"|"&amp;$AM34</f>
        <v>Z Retail|19</v>
      </c>
    </row>
    <row r="35" ht="18" customHeight="1" s="849">
      <c r="A35" s="659" t="n">
        <v>99999101620</v>
      </c>
      <c r="B35" s="660" t="inlineStr">
        <is>
          <t>Johanah Gloria</t>
        </is>
      </c>
      <c r="C35" s="660" t="inlineStr">
        <is>
          <t>Engineer - Software</t>
        </is>
      </c>
      <c r="D35" s="660" t="inlineStr">
        <is>
          <t>Vacant</t>
        </is>
      </c>
      <c r="E35" s="660" t="inlineStr">
        <is>
          <t>Technology Manager, Engineering</t>
        </is>
      </c>
      <c r="F35" s="661" t="inlineStr">
        <is>
          <t>Ampol Retail &amp; Z</t>
        </is>
      </c>
      <c r="G35" s="662" t="inlineStr">
        <is>
          <t>Z &amp; Group Retail</t>
        </is>
      </c>
      <c r="H35" s="660" t="inlineStr">
        <is>
          <t>Z &amp; Group Retail, Engineering</t>
        </is>
      </c>
      <c r="I35" s="660" t="inlineStr">
        <is>
          <t>Z</t>
        </is>
      </c>
      <c r="J35" s="662" t="inlineStr">
        <is>
          <t>Z Supply</t>
        </is>
      </c>
      <c r="K35" s="660" t="inlineStr">
        <is>
          <t>Z Supply</t>
        </is>
      </c>
      <c r="L35" s="662" t="n"/>
      <c r="M35" s="663" t="inlineStr">
        <is>
          <t>NZ</t>
        </is>
      </c>
      <c r="N35" s="664" t="inlineStr">
        <is>
          <t>CDB</t>
        </is>
      </c>
      <c r="O35" s="665" t="n">
        <v>1</v>
      </c>
      <c r="P35" s="666" t="n"/>
      <c r="Q35" s="666" t="inlineStr">
        <is>
          <t>Permanent - Full Time</t>
        </is>
      </c>
      <c r="R35" s="666" t="n"/>
      <c r="S35" s="666" t="n"/>
      <c r="T35" s="667" t="n">
        <v>142360</v>
      </c>
      <c r="U35" s="668" t="n">
        <v>142360</v>
      </c>
      <c r="V35" s="670" t="n">
        <v>0.12</v>
      </c>
      <c r="W35" s="921" t="n">
        <v>0.055</v>
      </c>
      <c r="X35" s="921" t="n">
        <v>0.12</v>
      </c>
      <c r="Y35" s="922" t="n"/>
      <c r="Z35" s="921" t="n">
        <v>0.04</v>
      </c>
      <c r="AA35" s="919">
        <f>U35*(1+V35+W35+X35+Y35+Z35)</f>
        <v>190050.6</v>
      </c>
      <c r="AJ35" t="str">
        <f>IFERROR(INDEX(Lists!$U$1:$U$18,MATCH($I35,Lists!$T$1:$T$18,0)),"?")</f>
        <v>Z Retail</v>
      </c>
      <c r="AK35" t="str">
        <f>IF(LOWER($Q35)="v","Vacant",IF(LOWER($Q35)="pause","Paused",IF(LOWER($Q35)="cxc","Contractor",IF($Q35="Contractor","Contractor","Filled"))))</f>
        <v>Filled</v>
      </c>
      <c r="AL35" t="str">
        <f>IF($M35="NZ","NZ","AU")</f>
        <v>NZ</v>
      </c>
      <c r="AM35">
        <f>COUNTIF($AJ$2:$AJ35,$AJ35)</f>
        <v>20.0</v>
      </c>
      <c r="AN35" t="str">
        <f>$AJ35&amp;"|"&amp;$AM35</f>
        <v>Z Retail|20</v>
      </c>
    </row>
    <row r="36" ht="18" customHeight="1" s="849">
      <c r="A36" s="659" t="n">
        <v>7001</v>
      </c>
      <c r="B36" s="660" t="inlineStr">
        <is>
          <t>Joseph Maroun</t>
        </is>
      </c>
      <c r="C36" s="704" t="inlineStr">
        <is>
          <t>Systems Analyst</t>
        </is>
      </c>
      <c r="D36" s="660" t="inlineStr">
        <is>
          <t>Tracy Lee Reaper</t>
        </is>
      </c>
      <c r="E36" s="660" t="inlineStr">
        <is>
          <t>Tech Manager, Merchandising &amp; WFM</t>
        </is>
      </c>
      <c r="F36" s="661" t="inlineStr">
        <is>
          <t>Ampol Retail &amp; Z</t>
        </is>
      </c>
      <c r="G36" s="662" t="inlineStr">
        <is>
          <t>Ampol Retail</t>
        </is>
      </c>
      <c r="H36" s="660" t="inlineStr">
        <is>
          <t>Ampol Retail, Merch &amp; RTA</t>
        </is>
      </c>
      <c r="I36" s="660" t="inlineStr">
        <is>
          <t>Retail</t>
        </is>
      </c>
      <c r="J36" s="662" t="inlineStr">
        <is>
          <t>Above Store</t>
        </is>
      </c>
      <c r="K36" s="660" t="inlineStr">
        <is>
          <t>Above Store</t>
        </is>
      </c>
      <c r="L36" s="662" t="n"/>
      <c r="M36" s="663" t="inlineStr">
        <is>
          <t>Australia</t>
        </is>
      </c>
      <c r="N36" s="666" t="inlineStr">
        <is>
          <t>CIB</t>
        </is>
      </c>
      <c r="O36" s="666" t="n">
        <v>1</v>
      </c>
      <c r="P36" s="666" t="n"/>
      <c r="Q36" s="666" t="inlineStr">
        <is>
          <t>Permanent - Full Time</t>
        </is>
      </c>
      <c r="R36" s="666" t="n"/>
      <c r="S36" s="666" t="n"/>
      <c r="T36" s="667" t="n">
        <v>134270</v>
      </c>
      <c r="U36" s="668" t="n">
        <v>134270</v>
      </c>
      <c r="V36" s="670" t="n">
        <v>0.1</v>
      </c>
      <c r="W36" s="921" t="n">
        <v>0.055</v>
      </c>
      <c r="X36" s="921" t="n">
        <v>0.12</v>
      </c>
      <c r="Y36" s="922" t="n"/>
      <c r="Z36" s="921" t="n">
        <v>0.04</v>
      </c>
      <c r="AA36" s="919">
        <f>U36*(1+V36+W36+X36+Y36+Z36)</f>
        <v>176565.05</v>
      </c>
      <c r="AJ36" t="str">
        <f>IFERROR(INDEX(Lists!$U$1:$U$18,MATCH($I36,Lists!$T$1:$T$18,0)),"?")</f>
        <v>Ampol Retail</v>
      </c>
      <c r="AK36" t="str">
        <f>IF(LOWER($Q36)="v","Vacant",IF(LOWER($Q36)="pause","Paused",IF(LOWER($Q36)="cxc","Contractor",IF($Q36="Contractor","Contractor","Filled"))))</f>
        <v>Filled</v>
      </c>
      <c r="AL36" t="str">
        <f>IF($M36="NZ","NZ","AU")</f>
        <v>AU</v>
      </c>
      <c r="AM36">
        <f>COUNTIF($AJ$2:$AJ36,$AJ36)</f>
        <v>15.0</v>
      </c>
      <c r="AN36" t="str">
        <f>$AJ36&amp;"|"&amp;$AM36</f>
        <v>Ampol Retail|15</v>
      </c>
    </row>
    <row r="37" ht="18" customHeight="1" s="849">
      <c r="A37" s="659" t="n">
        <v>84413</v>
      </c>
      <c r="B37" s="660" t="inlineStr">
        <is>
          <t>Karthick Sathiyamoorthy</t>
        </is>
      </c>
      <c r="C37" s="660" t="inlineStr">
        <is>
          <t>Quality Assurance</t>
        </is>
      </c>
      <c r="D37" s="662" t="inlineStr">
        <is>
          <t>Vacant</t>
        </is>
      </c>
      <c r="E37" s="660" t="inlineStr">
        <is>
          <t>Lead Quality Assurance</t>
        </is>
      </c>
      <c r="F37" s="661" t="inlineStr">
        <is>
          <t>Ampol Retail &amp; Z</t>
        </is>
      </c>
      <c r="G37" s="662" t="inlineStr">
        <is>
          <t>Ampol Retail</t>
        </is>
      </c>
      <c r="H37" s="660" t="inlineStr">
        <is>
          <t>Ampol Retail, Store Platforms</t>
        </is>
      </c>
      <c r="I37" s="660" t="inlineStr">
        <is>
          <t>Retail</t>
        </is>
      </c>
      <c r="J37" s="662" t="inlineStr">
        <is>
          <t>AMPOS</t>
        </is>
      </c>
      <c r="K37" s="660" t="inlineStr">
        <is>
          <t>AmPos</t>
        </is>
      </c>
      <c r="L37" s="662" t="n"/>
      <c r="M37" s="663" t="inlineStr">
        <is>
          <t>Australia</t>
        </is>
      </c>
      <c r="N37" s="666" t="inlineStr">
        <is>
          <t>CIA</t>
        </is>
      </c>
      <c r="O37" s="666" t="n">
        <v>1</v>
      </c>
      <c r="P37" s="666" t="n"/>
      <c r="Q37" s="666" t="inlineStr">
        <is>
          <t>Permanent - Full Time</t>
        </is>
      </c>
      <c r="R37" s="666" t="n"/>
      <c r="S37" s="666" t="n"/>
      <c r="T37" s="667" t="n">
        <v>145340</v>
      </c>
      <c r="U37" s="668" t="n">
        <v>145340</v>
      </c>
      <c r="V37" s="670" t="n">
        <v>0.12</v>
      </c>
      <c r="W37" s="921" t="n">
        <v>0.055</v>
      </c>
      <c r="X37" s="921" t="n">
        <v>0.12</v>
      </c>
      <c r="Y37" s="922" t="n"/>
      <c r="Z37" s="921" t="n">
        <v>0.04</v>
      </c>
      <c r="AA37" s="919">
        <f>U37*(1+V37+W37+X37+Y37+Z37)</f>
        <v>194028.9</v>
      </c>
      <c r="AJ37" t="str">
        <f>IFERROR(INDEX(Lists!$U$1:$U$18,MATCH($I37,Lists!$T$1:$T$18,0)),"?")</f>
        <v>Ampol Retail</v>
      </c>
      <c r="AK37" t="str">
        <f>IF(LOWER($Q37)="v","Vacant",IF(LOWER($Q37)="pause","Paused",IF(LOWER($Q37)="cxc","Contractor",IF($Q37="Contractor","Contractor","Filled"))))</f>
        <v>Filled</v>
      </c>
      <c r="AL37" t="str">
        <f>IF($M37="NZ","NZ","AU")</f>
        <v>AU</v>
      </c>
      <c r="AM37">
        <f>COUNTIF($AJ$2:$AJ37,$AJ37)</f>
        <v>16.0</v>
      </c>
      <c r="AN37" t="str">
        <f>$AJ37&amp;"|"&amp;$AM37</f>
        <v>Ampol Retail|16</v>
      </c>
    </row>
    <row r="38" ht="18" customHeight="1" s="849">
      <c r="A38" s="659" t="n">
        <v>85321</v>
      </c>
      <c r="B38" s="660" t="inlineStr">
        <is>
          <t>Karthikeyan Kuppan</t>
        </is>
      </c>
      <c r="C38" s="660" t="inlineStr">
        <is>
          <t>Lead - AU Retail Operations</t>
        </is>
      </c>
      <c r="D38" s="660" t="inlineStr">
        <is>
          <t>Vaishnavi Viswanathan</t>
        </is>
      </c>
      <c r="E38" s="660" t="inlineStr">
        <is>
          <t>Technology Manager, Store Platform</t>
        </is>
      </c>
      <c r="F38" s="661" t="inlineStr">
        <is>
          <t>Ampol Retail &amp; Z</t>
        </is>
      </c>
      <c r="G38" s="662" t="inlineStr">
        <is>
          <t>Ampol Retail</t>
        </is>
      </c>
      <c r="H38" s="660" t="inlineStr">
        <is>
          <t>Ampol Retail, Store Platforms</t>
        </is>
      </c>
      <c r="I38" s="660" t="inlineStr">
        <is>
          <t>Retail</t>
        </is>
      </c>
      <c r="J38" s="662" t="inlineStr">
        <is>
          <t>Store Operations</t>
        </is>
      </c>
      <c r="K38" s="660" t="inlineStr">
        <is>
          <t>Store Operations</t>
        </is>
      </c>
      <c r="L38" s="662" t="n"/>
      <c r="M38" s="663" t="inlineStr">
        <is>
          <t>Australia</t>
        </is>
      </c>
      <c r="N38" s="666" t="inlineStr">
        <is>
          <t>CIB</t>
        </is>
      </c>
      <c r="O38" s="666" t="n">
        <v>1</v>
      </c>
      <c r="P38" s="664" t="n"/>
      <c r="Q38" s="665" t="inlineStr">
        <is>
          <t>Permanent - Full Time</t>
        </is>
      </c>
      <c r="R38" s="666" t="n"/>
      <c r="S38" s="666" t="n"/>
      <c r="T38" s="667" t="n">
        <v>212110</v>
      </c>
      <c r="U38" s="668" t="n">
        <v>195141.2</v>
      </c>
      <c r="V38" s="669" t="n">
        <v>0.15</v>
      </c>
      <c r="W38" s="665" t="n"/>
      <c r="X38" s="670" t="n">
        <v>0.05</v>
      </c>
      <c r="Y38" s="918" t="n">
        <v>2910</v>
      </c>
      <c r="Z38" s="670" t="n">
        <v>0.03</v>
      </c>
      <c r="AA38" s="919">
        <f>U38*(1+V38+X38+Z38)+Y38</f>
        <v>242933.676</v>
      </c>
      <c r="AJ38" t="str">
        <f>IFERROR(INDEX(Lists!$U$1:$U$18,MATCH($I38,Lists!$T$1:$T$18,0)),"?")</f>
        <v>Ampol Retail</v>
      </c>
      <c r="AK38" t="str">
        <f>IF(LOWER($Q38)="v","Vacant",IF(LOWER($Q38)="pause","Paused",IF(LOWER($Q38)="cxc","Contractor",IF($Q38="Contractor","Contractor","Filled"))))</f>
        <v>Filled</v>
      </c>
      <c r="AL38" t="str">
        <f>IF($M38="NZ","NZ","AU")</f>
        <v>AU</v>
      </c>
      <c r="AM38">
        <f>COUNTIF($AJ$2:$AJ38,$AJ38)</f>
        <v>17.0</v>
      </c>
      <c r="AN38" t="str">
        <f>$AJ38&amp;"|"&amp;$AM38</f>
        <v>Ampol Retail|17</v>
      </c>
    </row>
    <row r="39" ht="18" customHeight="1" s="849">
      <c r="A39" s="659" t="n">
        <v>99999101804</v>
      </c>
      <c r="B39" s="705" t="inlineStr">
        <is>
          <t>Kate Johnstone</t>
        </is>
      </c>
      <c r="C39" s="662" t="inlineStr">
        <is>
          <t>Program Manager POS</t>
        </is>
      </c>
      <c r="D39" s="660" t="inlineStr">
        <is>
          <t>Vance Anderson</t>
        </is>
      </c>
      <c r="E39" s="662" t="inlineStr">
        <is>
          <t>GM TDD, Ampol Retail &amp; Z</t>
        </is>
      </c>
      <c r="F39" s="661" t="inlineStr">
        <is>
          <t>Ampol Retail &amp; Z</t>
        </is>
      </c>
      <c r="G39" s="662" t="inlineStr">
        <is>
          <t>Program Management</t>
        </is>
      </c>
      <c r="H39" s="660" t="n"/>
      <c r="I39" s="660" t="inlineStr">
        <is>
          <t>Retail</t>
        </is>
      </c>
      <c r="J39" s="662" t="inlineStr">
        <is>
          <t>AMPOS</t>
        </is>
      </c>
      <c r="K39" s="660" t="inlineStr">
        <is>
          <t>AmPos</t>
        </is>
      </c>
      <c r="L39" s="662" t="n"/>
      <c r="M39" s="663" t="inlineStr">
        <is>
          <t>NZ</t>
        </is>
      </c>
      <c r="N39" s="664" t="inlineStr">
        <is>
          <t>CSB</t>
        </is>
      </c>
      <c r="O39" s="665" t="n">
        <v>1</v>
      </c>
      <c r="P39" s="664" t="n"/>
      <c r="Q39" s="665" t="inlineStr">
        <is>
          <t>Permanent - Full Time</t>
        </is>
      </c>
      <c r="R39" s="666" t="n"/>
      <c r="S39" s="666" t="n"/>
      <c r="T39" s="667" t="n">
        <v>175960</v>
      </c>
      <c r="U39" s="668" t="n">
        <v>161883.2</v>
      </c>
      <c r="V39" s="669" t="n">
        <v>0.15</v>
      </c>
      <c r="W39" s="665" t="n"/>
      <c r="X39" s="670" t="n">
        <v>0.05</v>
      </c>
      <c r="Y39" s="918" t="n">
        <v>2910</v>
      </c>
      <c r="Z39" s="670" t="n">
        <v>0.03</v>
      </c>
      <c r="AA39" s="919">
        <f>U39*(1+V39+X39+Z39)+Y39</f>
        <v>202026.336</v>
      </c>
      <c r="AJ39" t="str">
        <f>IFERROR(INDEX(Lists!$U$1:$U$18,MATCH($I39,Lists!$T$1:$T$18,0)),"?")</f>
        <v>Ampol Retail</v>
      </c>
      <c r="AK39" t="str">
        <f>IF(LOWER($Q39)="v","Vacant",IF(LOWER($Q39)="pause","Paused",IF(LOWER($Q39)="cxc","Contractor",IF($Q39="Contractor","Contractor","Filled"))))</f>
        <v>Filled</v>
      </c>
      <c r="AL39" t="str">
        <f>IF($M39="NZ","NZ","AU")</f>
        <v>NZ</v>
      </c>
      <c r="AM39">
        <f>COUNTIF($AJ$2:$AJ39,$AJ39)</f>
        <v>18.0</v>
      </c>
      <c r="AN39" t="str">
        <f>$AJ39&amp;"|"&amp;$AM39</f>
        <v>Ampol Retail|18</v>
      </c>
    </row>
    <row r="40" ht="18" customHeight="1" s="849">
      <c r="A40" s="659" t="n">
        <v>99999100476</v>
      </c>
      <c r="B40" s="660" t="inlineStr">
        <is>
          <t>Kelly Russell</t>
        </is>
      </c>
      <c r="C40" s="660" t="inlineStr">
        <is>
          <t>Lead Quality Assurance</t>
        </is>
      </c>
      <c r="D40" s="660" t="inlineStr">
        <is>
          <t>Callan McLaughlin</t>
        </is>
      </c>
      <c r="E40" s="660" t="inlineStr">
        <is>
          <t>Technology Manager,  Site Systems</t>
        </is>
      </c>
      <c r="F40" s="661" t="inlineStr">
        <is>
          <t>Ampol Retail &amp; Z</t>
        </is>
      </c>
      <c r="G40" s="662" t="inlineStr">
        <is>
          <t>Z &amp; Group Retail</t>
        </is>
      </c>
      <c r="H40" s="660" t="inlineStr">
        <is>
          <t>Z &amp; Group Retail, Site Systems</t>
        </is>
      </c>
      <c r="I40" s="660" t="inlineStr">
        <is>
          <t>Z</t>
        </is>
      </c>
      <c r="J40" s="662" t="inlineStr">
        <is>
          <t>Z Customer</t>
        </is>
      </c>
      <c r="K40" s="660" t="inlineStr">
        <is>
          <t>Site Systems</t>
        </is>
      </c>
      <c r="L40" s="662" t="n"/>
      <c r="M40" s="663" t="inlineStr">
        <is>
          <t>NZ</t>
        </is>
      </c>
      <c r="N40" s="664" t="inlineStr">
        <is>
          <t>CIC</t>
        </is>
      </c>
      <c r="O40" s="665" t="n">
        <v>1</v>
      </c>
      <c r="P40" s="664" t="n"/>
      <c r="Q40" s="665" t="inlineStr">
        <is>
          <t>Permanent - Full Time</t>
        </is>
      </c>
      <c r="R40" s="666" t="n"/>
      <c r="S40" s="666" t="n"/>
      <c r="T40" s="667" t="n">
        <v>72000</v>
      </c>
      <c r="U40" s="668" t="n">
        <v>66240</v>
      </c>
      <c r="V40" s="669" t="n">
        <v>0.1</v>
      </c>
      <c r="W40" s="666" t="n"/>
      <c r="X40" s="670" t="n">
        <v>0.05</v>
      </c>
      <c r="Y40" s="918" t="n">
        <v>2910</v>
      </c>
      <c r="Z40" s="670" t="n">
        <v>0.03</v>
      </c>
      <c r="AA40" s="919">
        <f>U40*(1+V40+X40+Z40)+Y40</f>
        <v>81073.20000000001</v>
      </c>
      <c r="AJ40" t="str">
        <f>IFERROR(INDEX(Lists!$U$1:$U$18,MATCH($I40,Lists!$T$1:$T$18,0)),"?")</f>
        <v>Z Retail</v>
      </c>
      <c r="AK40" t="str">
        <f>IF(LOWER($Q40)="v","Vacant",IF(LOWER($Q40)="pause","Paused",IF(LOWER($Q40)="cxc","Contractor",IF($Q40="Contractor","Contractor","Filled"))))</f>
        <v>Filled</v>
      </c>
      <c r="AL40" t="str">
        <f>IF($M40="NZ","NZ","AU")</f>
        <v>NZ</v>
      </c>
      <c r="AM40">
        <f>COUNTIF($AJ$2:$AJ40,$AJ40)</f>
        <v>21.0</v>
      </c>
      <c r="AN40" t="str">
        <f>$AJ40&amp;"|"&amp;$AM40</f>
        <v>Z Retail|21</v>
      </c>
    </row>
    <row r="41" ht="18" customHeight="1" s="849">
      <c r="A41" s="659" t="n">
        <v>99999102028</v>
      </c>
      <c r="B41" s="660" t="inlineStr">
        <is>
          <t>Lauren Lancaster</t>
        </is>
      </c>
      <c r="C41" s="660" t="inlineStr">
        <is>
          <t>Associate Engineer - Software</t>
        </is>
      </c>
      <c r="D41" s="660" t="inlineStr">
        <is>
          <t>Vacant</t>
        </is>
      </c>
      <c r="E41" s="660" t="inlineStr">
        <is>
          <t>Technology Manager, Engineering</t>
        </is>
      </c>
      <c r="F41" s="661" t="inlineStr">
        <is>
          <t>Ampol Retail &amp; Z</t>
        </is>
      </c>
      <c r="G41" s="660" t="inlineStr">
        <is>
          <t>Z &amp; Group Retail</t>
        </is>
      </c>
      <c r="H41" s="660" t="inlineStr">
        <is>
          <t>Z &amp; Group Retail, Engineering</t>
        </is>
      </c>
      <c r="I41" s="660" t="inlineStr">
        <is>
          <t>Z</t>
        </is>
      </c>
      <c r="J41" s="660" t="inlineStr">
        <is>
          <t>Z Customer</t>
        </is>
      </c>
      <c r="K41" s="660" t="inlineStr">
        <is>
          <t xml:space="preserve">Z Retail Backend </t>
        </is>
      </c>
      <c r="L41" s="662" t="n"/>
      <c r="M41" s="663" t="inlineStr">
        <is>
          <t>NZ</t>
        </is>
      </c>
      <c r="N41" s="664" t="inlineStr">
        <is>
          <t>CDA</t>
        </is>
      </c>
      <c r="O41" s="665" t="n">
        <v>1</v>
      </c>
      <c r="P41" s="664" t="n"/>
      <c r="Q41" s="664" t="inlineStr">
        <is>
          <t>Permanent - Full Time</t>
        </is>
      </c>
      <c r="R41" s="666" t="n"/>
      <c r="S41" s="666" t="n"/>
      <c r="T41" s="667" t="n">
        <v>310000</v>
      </c>
      <c r="U41" s="668" t="n">
        <v>310000</v>
      </c>
      <c r="V41" s="670" t="n">
        <v>0.2</v>
      </c>
      <c r="W41" s="921" t="n">
        <v>0.055</v>
      </c>
      <c r="X41" s="921" t="n">
        <v>0.12</v>
      </c>
      <c r="Y41" s="922" t="n"/>
      <c r="Z41" s="921" t="n">
        <v>0.04</v>
      </c>
      <c r="AA41" s="919">
        <f>U41*(1+V41+W41+X41+Y41+Z41)</f>
        <v>438650.0</v>
      </c>
      <c r="AJ41" t="str">
        <f>IFERROR(INDEX(Lists!$U$1:$U$18,MATCH($I41,Lists!$T$1:$T$18,0)),"?")</f>
        <v>Z Retail</v>
      </c>
      <c r="AK41" t="str">
        <f>IF(LOWER($Q41)="v","Vacant",IF(LOWER($Q41)="pause","Paused",IF(LOWER($Q41)="cxc","Contractor",IF($Q41="Contractor","Contractor","Filled"))))</f>
        <v>Filled</v>
      </c>
      <c r="AL41" t="str">
        <f>IF($M41="NZ","NZ","AU")</f>
        <v>NZ</v>
      </c>
      <c r="AM41">
        <f>COUNTIF($AJ$2:$AJ41,$AJ41)</f>
        <v>22.0</v>
      </c>
      <c r="AN41" t="str">
        <f>$AJ41&amp;"|"&amp;$AM41</f>
        <v>Z Retail|22</v>
      </c>
    </row>
    <row r="42" ht="18" customHeight="1" s="849">
      <c r="A42" s="659" t="n">
        <v>110852</v>
      </c>
      <c r="B42" s="660" t="inlineStr">
        <is>
          <t>Madan Murthy</t>
        </is>
      </c>
      <c r="C42" s="660" t="inlineStr">
        <is>
          <t>Head of Technology, AU Retail</t>
        </is>
      </c>
      <c r="D42" s="660" t="inlineStr">
        <is>
          <t>Vance Anderson</t>
        </is>
      </c>
      <c r="E42" s="662" t="inlineStr">
        <is>
          <t>GM TDD, Ampol Retail &amp; Z</t>
        </is>
      </c>
      <c r="F42" s="661" t="inlineStr">
        <is>
          <t>Ampol Retail &amp; Z</t>
        </is>
      </c>
      <c r="G42" s="662" t="inlineStr">
        <is>
          <t>Ampol Retail</t>
        </is>
      </c>
      <c r="H42" s="660" t="inlineStr">
        <is>
          <t>na</t>
        </is>
      </c>
      <c r="I42" s="660" t="inlineStr">
        <is>
          <t>Retail</t>
        </is>
      </c>
      <c r="J42" s="660" t="inlineStr">
        <is>
          <t>(All Retail)</t>
        </is>
      </c>
      <c r="K42" s="662" t="inlineStr">
        <is>
          <t>Leadership</t>
        </is>
      </c>
      <c r="L42" s="662" t="n"/>
      <c r="M42" s="663" t="inlineStr">
        <is>
          <t>Australia</t>
        </is>
      </c>
      <c r="N42" s="664" t="inlineStr">
        <is>
          <t>CSC</t>
        </is>
      </c>
      <c r="O42" s="664" t="n">
        <v>1</v>
      </c>
      <c r="P42" s="666" t="n"/>
      <c r="Q42" s="666" t="inlineStr">
        <is>
          <t>Permanent - Full Time</t>
        </is>
      </c>
      <c r="R42" s="666" t="n"/>
      <c r="S42" s="666" t="n"/>
      <c r="T42" s="667" t="n">
        <v>139350</v>
      </c>
      <c r="U42" s="668" t="n">
        <v>139350</v>
      </c>
      <c r="V42" s="670" t="n">
        <v>0.12</v>
      </c>
      <c r="W42" s="921" t="n">
        <v>0.055</v>
      </c>
      <c r="X42" s="921" t="n">
        <v>0.12</v>
      </c>
      <c r="Y42" s="922" t="n"/>
      <c r="Z42" s="921" t="n">
        <v>0.04</v>
      </c>
      <c r="AA42" s="919">
        <f>U42*(1+V42+W42+X42+Y42+Z42)</f>
        <v>186032.25</v>
      </c>
      <c r="AJ42" t="str">
        <f>IFERROR(INDEX(Lists!$U$1:$U$18,MATCH($I42,Lists!$T$1:$T$18,0)),"?")</f>
        <v>Ampol Retail</v>
      </c>
      <c r="AK42" t="str">
        <f>IF(LOWER($Q42)="v","Vacant",IF(LOWER($Q42)="pause","Paused",IF(LOWER($Q42)="cxc","Contractor",IF($Q42="Contractor","Contractor","Filled"))))</f>
        <v>Filled</v>
      </c>
      <c r="AL42" t="str">
        <f>IF($M42="NZ","NZ","AU")</f>
        <v>AU</v>
      </c>
      <c r="AM42">
        <f>COUNTIF($AJ$2:$AJ42,$AJ42)</f>
        <v>19.0</v>
      </c>
      <c r="AN42" t="str">
        <f>$AJ42&amp;"|"&amp;$AM42</f>
        <v>Ampol Retail|19</v>
      </c>
    </row>
    <row r="43" ht="18" customHeight="1" s="849">
      <c r="A43" s="659" t="n">
        <v>86743</v>
      </c>
      <c r="B43" s="660" t="inlineStr">
        <is>
          <t>Majdi Abedi</t>
        </is>
      </c>
      <c r="C43" s="660" t="inlineStr">
        <is>
          <t>Systems Analyst</t>
        </is>
      </c>
      <c r="D43" s="660" t="inlineStr">
        <is>
          <t>Tracy Lee Reaper</t>
        </is>
      </c>
      <c r="E43" s="660" t="inlineStr">
        <is>
          <t>Tech Manager, Merchandising &amp; WFM</t>
        </is>
      </c>
      <c r="F43" s="661" t="inlineStr">
        <is>
          <t>Ampol Retail &amp; Z</t>
        </is>
      </c>
      <c r="G43" s="662" t="inlineStr">
        <is>
          <t>Ampol Retail</t>
        </is>
      </c>
      <c r="H43" s="660" t="inlineStr">
        <is>
          <t>Ampol Retail, Merch &amp; RTA</t>
        </is>
      </c>
      <c r="I43" s="660" t="inlineStr">
        <is>
          <t>Retail</t>
        </is>
      </c>
      <c r="J43" s="662" t="inlineStr">
        <is>
          <t>Above Store</t>
        </is>
      </c>
      <c r="K43" s="662" t="inlineStr">
        <is>
          <t>Above Store</t>
        </is>
      </c>
      <c r="L43" s="662" t="n"/>
      <c r="M43" s="663" t="inlineStr">
        <is>
          <t>Australia</t>
        </is>
      </c>
      <c r="N43" s="666" t="inlineStr">
        <is>
          <t>CIB</t>
        </is>
      </c>
      <c r="O43" s="666" t="n">
        <v>1</v>
      </c>
      <c r="P43" s="664" t="n"/>
      <c r="Q43" s="665" t="inlineStr">
        <is>
          <t>Permanent - Full Time</t>
        </is>
      </c>
      <c r="R43" s="666" t="n"/>
      <c r="S43" s="666" t="n"/>
      <c r="T43" s="667" t="n">
        <v>116170</v>
      </c>
      <c r="U43" s="668" t="n">
        <v>106876.4</v>
      </c>
      <c r="V43" s="669" t="n">
        <v>0.15</v>
      </c>
      <c r="W43" s="666" t="n"/>
      <c r="X43" s="670" t="n">
        <v>0.05</v>
      </c>
      <c r="Y43" s="918" t="n">
        <v>2910</v>
      </c>
      <c r="Z43" s="670" t="n">
        <v>0.03</v>
      </c>
      <c r="AA43" s="919">
        <f>U43*(1+V43+X43+Z43)+Y43</f>
        <v>134367.97199999998</v>
      </c>
      <c r="AJ43" t="str">
        <f>IFERROR(INDEX(Lists!$U$1:$U$18,MATCH($I43,Lists!$T$1:$T$18,0)),"?")</f>
        <v>Ampol Retail</v>
      </c>
      <c r="AK43" t="str">
        <f>IF(LOWER($Q43)="v","Vacant",IF(LOWER($Q43)="pause","Paused",IF(LOWER($Q43)="cxc","Contractor",IF($Q43="Contractor","Contractor","Filled"))))</f>
        <v>Filled</v>
      </c>
      <c r="AL43" t="str">
        <f>IF($M43="NZ","NZ","AU")</f>
        <v>AU</v>
      </c>
      <c r="AM43">
        <f>COUNTIF($AJ$2:$AJ43,$AJ43)</f>
        <v>20.0</v>
      </c>
      <c r="AN43" t="str">
        <f>$AJ43&amp;"|"&amp;$AM43</f>
        <v>Ampol Retail|20</v>
      </c>
    </row>
    <row r="44" ht="18" customHeight="1" s="849">
      <c r="A44" s="659" t="n">
        <v>99999101222</v>
      </c>
      <c r="B44" s="660" t="inlineStr">
        <is>
          <t>Malachi Ah Hoi</t>
        </is>
      </c>
      <c r="C44" s="660" t="inlineStr">
        <is>
          <t>Senior Quality Assurance</t>
        </is>
      </c>
      <c r="D44" s="660" t="inlineStr">
        <is>
          <t>Vacant</t>
        </is>
      </c>
      <c r="E44" s="660" t="inlineStr">
        <is>
          <t>Technology Manager, Engineering</t>
        </is>
      </c>
      <c r="F44" s="661" t="inlineStr">
        <is>
          <t>Ampol Retail &amp; Z</t>
        </is>
      </c>
      <c r="G44" s="660" t="inlineStr">
        <is>
          <t>Z &amp; Group Retail</t>
        </is>
      </c>
      <c r="H44" s="660" t="inlineStr">
        <is>
          <t>Z &amp; Group Retail, Engineering</t>
        </is>
      </c>
      <c r="I44" s="660" t="inlineStr">
        <is>
          <t>Z</t>
        </is>
      </c>
      <c r="J44" s="660" t="inlineStr">
        <is>
          <t>Z Customer</t>
        </is>
      </c>
      <c r="K44" s="660" t="inlineStr">
        <is>
          <t xml:space="preserve">Z Retail Backend </t>
        </is>
      </c>
      <c r="L44" s="662" t="n"/>
      <c r="M44" s="663" t="inlineStr">
        <is>
          <t>NZ</t>
        </is>
      </c>
      <c r="N44" s="664" t="inlineStr">
        <is>
          <t>CIA</t>
        </is>
      </c>
      <c r="O44" s="665" t="n">
        <v>1</v>
      </c>
      <c r="P44" s="664" t="n"/>
      <c r="Q44" s="665" t="inlineStr">
        <is>
          <t>Permanent - Full Time</t>
        </is>
      </c>
      <c r="R44" s="666" t="n"/>
      <c r="S44" s="666" t="n"/>
      <c r="T44" s="667" t="n">
        <v>173620</v>
      </c>
      <c r="U44" s="668" t="n">
        <v>159730.4</v>
      </c>
      <c r="V44" s="669" t="n">
        <v>0.15</v>
      </c>
      <c r="W44" s="706" t="n"/>
      <c r="X44" s="670" t="n">
        <v>0.05</v>
      </c>
      <c r="Y44" s="918" t="n">
        <v>2910</v>
      </c>
      <c r="Z44" s="670" t="n">
        <v>0.03</v>
      </c>
      <c r="AA44" s="919">
        <f>U44*(1+V44+X44+Z44)+Y44</f>
        <v>199378.392</v>
      </c>
      <c r="AJ44" t="str">
        <f>IFERROR(INDEX(Lists!$U$1:$U$18,MATCH($I44,Lists!$T$1:$T$18,0)),"?")</f>
        <v>Z Retail</v>
      </c>
      <c r="AK44" t="str">
        <f>IF(LOWER($Q44)="v","Vacant",IF(LOWER($Q44)="pause","Paused",IF(LOWER($Q44)="cxc","Contractor",IF($Q44="Contractor","Contractor","Filled"))))</f>
        <v>Filled</v>
      </c>
      <c r="AL44" t="str">
        <f>IF($M44="NZ","NZ","AU")</f>
        <v>NZ</v>
      </c>
      <c r="AM44">
        <f>COUNTIF($AJ$2:$AJ44,$AJ44)</f>
        <v>23.0</v>
      </c>
      <c r="AN44" t="str">
        <f>$AJ44&amp;"|"&amp;$AM44</f>
        <v>Z Retail|23</v>
      </c>
    </row>
    <row r="45" ht="18" customHeight="1" s="849">
      <c r="A45" s="659" t="inlineStr">
        <is>
          <t>V</t>
        </is>
      </c>
      <c r="B45" s="660" t="inlineStr">
        <is>
          <t>Manjot Kaur Malli</t>
        </is>
      </c>
      <c r="C45" s="660" t="inlineStr">
        <is>
          <t>Technology Manager, Data</t>
        </is>
      </c>
      <c r="D45" s="662" t="inlineStr">
        <is>
          <t>Vacant</t>
        </is>
      </c>
      <c r="E45" s="660" t="inlineStr">
        <is>
          <t>Head of Technology, Z and Group Retail Platforms</t>
        </is>
      </c>
      <c r="F45" s="661" t="inlineStr">
        <is>
          <t>Ampol Retail &amp; Z</t>
        </is>
      </c>
      <c r="G45" s="662" t="inlineStr">
        <is>
          <t>Z &amp; Group Retail</t>
        </is>
      </c>
      <c r="H45" s="660" t="inlineStr">
        <is>
          <t>Z &amp; Group Retail, Data</t>
        </is>
      </c>
      <c r="I45" s="660" t="inlineStr">
        <is>
          <t>Z</t>
        </is>
      </c>
      <c r="J45" s="660" t="inlineStr">
        <is>
          <t>Z Customer &amp; Z Supply</t>
        </is>
      </c>
      <c r="K45" s="662" t="inlineStr">
        <is>
          <t>Leadership</t>
        </is>
      </c>
      <c r="L45" s="662" t="n"/>
      <c r="M45" s="663" t="inlineStr">
        <is>
          <t>Australia</t>
        </is>
      </c>
      <c r="N45" s="664" t="inlineStr">
        <is>
          <t>CSB</t>
        </is>
      </c>
      <c r="O45" s="664" t="n">
        <v>1</v>
      </c>
      <c r="P45" s="664" t="n"/>
      <c r="Q45" s="664" t="inlineStr">
        <is>
          <t>v</t>
        </is>
      </c>
      <c r="R45" s="666" t="n"/>
      <c r="S45" s="666" t="n"/>
      <c r="T45" s="667" t="n">
        <v>203550</v>
      </c>
      <c r="U45" s="668" t="n">
        <v>203550</v>
      </c>
      <c r="V45" s="670" t="n">
        <v>0.14</v>
      </c>
      <c r="W45" s="921" t="n">
        <v>0.055</v>
      </c>
      <c r="X45" s="921" t="n">
        <v>0.12</v>
      </c>
      <c r="Y45" s="922" t="n"/>
      <c r="Z45" s="921" t="n">
        <v>0.04</v>
      </c>
      <c r="AA45" s="919">
        <f>U45*(1+V45+W45+X45+Y45+Z45)</f>
        <v>275810.25</v>
      </c>
      <c r="AJ45" t="str">
        <f>IFERROR(INDEX(Lists!$U$1:$U$18,MATCH($I45,Lists!$T$1:$T$18,0)),"?")</f>
        <v>Z Retail</v>
      </c>
      <c r="AK45" t="str">
        <f>IF(LOWER($Q45)="v","Vacant",IF(LOWER($Q45)="pause","Paused",IF(LOWER($Q45)="cxc","Contractor",IF($Q45="Contractor","Contractor","Filled"))))</f>
        <v>Vacant</v>
      </c>
      <c r="AL45" t="str">
        <f>IF($M45="NZ","NZ","AU")</f>
        <v>AU</v>
      </c>
      <c r="AM45">
        <f>COUNTIF($AJ$2:$AJ45,$AJ45)</f>
        <v>24.0</v>
      </c>
      <c r="AN45" t="str">
        <f>$AJ45&amp;"|"&amp;$AM45</f>
        <v>Z Retail|24</v>
      </c>
    </row>
    <row r="46" ht="18" customHeight="1" s="849">
      <c r="A46" s="659" t="n">
        <v>99999170431</v>
      </c>
      <c r="B46" s="660" t="inlineStr">
        <is>
          <t>Mark Dickson</t>
        </is>
      </c>
      <c r="C46" s="660" t="inlineStr">
        <is>
          <t>Delivery Lead</t>
        </is>
      </c>
      <c r="D46" s="662" t="inlineStr">
        <is>
          <t>Vacant</t>
        </is>
      </c>
      <c r="E46" s="660" t="inlineStr">
        <is>
          <t>Delivery Manager, Z and Retail Data</t>
        </is>
      </c>
      <c r="F46" s="661" t="inlineStr">
        <is>
          <t>Ampol Retail &amp; Z</t>
        </is>
      </c>
      <c r="G46" s="662" t="inlineStr">
        <is>
          <t>Z &amp; Group Retail</t>
        </is>
      </c>
      <c r="H46" s="660" t="inlineStr">
        <is>
          <t>Z &amp; Group Retail, Delivery</t>
        </is>
      </c>
      <c r="I46" s="660" t="inlineStr">
        <is>
          <t>Z</t>
        </is>
      </c>
      <c r="J46" s="660" t="inlineStr">
        <is>
          <t>Z Customer</t>
        </is>
      </c>
      <c r="K46" s="660" t="inlineStr">
        <is>
          <t xml:space="preserve">Z Retail Backend </t>
        </is>
      </c>
      <c r="L46" s="662" t="n"/>
      <c r="M46" s="663" t="inlineStr">
        <is>
          <t>NZ</t>
        </is>
      </c>
      <c r="N46" s="664" t="inlineStr">
        <is>
          <t>CIC</t>
        </is>
      </c>
      <c r="O46" s="665" t="n">
        <v>1</v>
      </c>
      <c r="P46" s="664" t="n"/>
      <c r="Q46" s="664" t="inlineStr">
        <is>
          <t>Permanent - Full Time</t>
        </is>
      </c>
      <c r="R46" s="666" t="n"/>
      <c r="S46" s="666" t="n"/>
      <c r="T46" s="667" t="n">
        <v>135000</v>
      </c>
      <c r="U46" s="668" t="n">
        <v>135000</v>
      </c>
      <c r="V46" s="670" t="n">
        <v>0.12</v>
      </c>
      <c r="W46" s="921" t="n">
        <v>0.055</v>
      </c>
      <c r="X46" s="921" t="n">
        <v>0.12</v>
      </c>
      <c r="Y46" s="922" t="n"/>
      <c r="Z46" s="921" t="n">
        <v>0.04</v>
      </c>
      <c r="AA46" s="919">
        <f>U46*(1+V46+W46+X46+Y46+Z46)</f>
        <v>180225.0</v>
      </c>
      <c r="AJ46" t="str">
        <f>IFERROR(INDEX(Lists!$U$1:$U$18,MATCH($I46,Lists!$T$1:$T$18,0)),"?")</f>
        <v>Z Retail</v>
      </c>
      <c r="AK46" t="str">
        <f>IF(LOWER($Q46)="v","Vacant",IF(LOWER($Q46)="pause","Paused",IF(LOWER($Q46)="cxc","Contractor",IF($Q46="Contractor","Contractor","Filled"))))</f>
        <v>Filled</v>
      </c>
      <c r="AL46" t="str">
        <f>IF($M46="NZ","NZ","AU")</f>
        <v>NZ</v>
      </c>
      <c r="AM46">
        <f>COUNTIF($AJ$2:$AJ46,$AJ46)</f>
        <v>25.0</v>
      </c>
      <c r="AN46" t="str">
        <f>$AJ46&amp;"|"&amp;$AM46</f>
        <v>Z Retail|25</v>
      </c>
    </row>
    <row r="47" ht="18" customHeight="1" s="849">
      <c r="A47" s="659" t="n">
        <v>114616</v>
      </c>
      <c r="B47" s="660" t="inlineStr">
        <is>
          <t>Marty O'Shea</t>
        </is>
      </c>
      <c r="C47" s="660" t="inlineStr">
        <is>
          <t>Systems Analyst</t>
        </is>
      </c>
      <c r="D47" s="660" t="inlineStr">
        <is>
          <t>Vedran Jukic</t>
        </is>
      </c>
      <c r="E47" s="660" t="inlineStr">
        <is>
          <t>Technology Manager, Retail</t>
        </is>
      </c>
      <c r="F47" s="661" t="inlineStr">
        <is>
          <t>Ampol Retail &amp; Z</t>
        </is>
      </c>
      <c r="G47" s="662" t="inlineStr">
        <is>
          <t>Ampol Retail</t>
        </is>
      </c>
      <c r="H47" s="660" t="inlineStr">
        <is>
          <t>Ampol Retail, Technology</t>
        </is>
      </c>
      <c r="I47" s="660" t="inlineStr">
        <is>
          <t>Ampol Retail</t>
        </is>
      </c>
      <c r="J47" s="662" t="inlineStr">
        <is>
          <t>EGI</t>
        </is>
      </c>
      <c r="K47" s="660" t="inlineStr">
        <is>
          <t>EGI Retail</t>
        </is>
      </c>
      <c r="L47" s="662" t="n"/>
      <c r="M47" s="663" t="inlineStr">
        <is>
          <t>Australia</t>
        </is>
      </c>
      <c r="N47" s="664" t="inlineStr">
        <is>
          <t>CIB</t>
        </is>
      </c>
      <c r="O47" s="664" t="n">
        <v>1</v>
      </c>
      <c r="P47" s="664" t="n"/>
      <c r="Q47" s="664" t="inlineStr">
        <is>
          <t>Permanent - Full Time</t>
        </is>
      </c>
      <c r="R47" s="666" t="n"/>
      <c r="S47" s="666" t="n"/>
      <c r="T47" s="667" t="n">
        <v>185140</v>
      </c>
      <c r="U47" s="668" t="n">
        <v>185140</v>
      </c>
      <c r="V47" s="670" t="n">
        <v>0.12</v>
      </c>
      <c r="W47" s="921" t="n">
        <v>0.055</v>
      </c>
      <c r="X47" s="921" t="n">
        <v>0.12</v>
      </c>
      <c r="Y47" s="922" t="n"/>
      <c r="Z47" s="921" t="n">
        <v>0.04</v>
      </c>
      <c r="AA47" s="919">
        <f>U47*(1+V47+W47+X47+Y47+Z47)</f>
        <v>247161.9</v>
      </c>
      <c r="AJ47" t="str">
        <f>IFERROR(INDEX(Lists!$U$1:$U$18,MATCH($I47,Lists!$T$1:$T$18,0)),"?")</f>
        <v>Ampol Retail</v>
      </c>
      <c r="AK47" t="str">
        <f>IF(LOWER($Q47)="v","Vacant",IF(LOWER($Q47)="pause","Paused",IF(LOWER($Q47)="cxc","Contractor",IF($Q47="Contractor","Contractor","Filled"))))</f>
        <v>Filled</v>
      </c>
      <c r="AL47" t="str">
        <f>IF($M47="NZ","NZ","AU")</f>
        <v>AU</v>
      </c>
      <c r="AM47">
        <f>COUNTIF($AJ$2:$AJ47,$AJ47)</f>
        <v>21.0</v>
      </c>
      <c r="AN47" t="str">
        <f>$AJ47&amp;"|"&amp;$AM47</f>
        <v>Ampol Retail|21</v>
      </c>
    </row>
    <row r="48" ht="18" customHeight="1" s="849">
      <c r="A48" s="659" t="n">
        <v>111835</v>
      </c>
      <c r="B48" s="660" t="inlineStr">
        <is>
          <t>Matthew Patane</t>
        </is>
      </c>
      <c r="C48" s="660" t="inlineStr">
        <is>
          <t>Release &amp; Deployment Manager</t>
        </is>
      </c>
      <c r="D48" s="660" t="inlineStr">
        <is>
          <t>Vedran Jukic</t>
        </is>
      </c>
      <c r="E48" s="660" t="inlineStr">
        <is>
          <t>Technology Manager, Retail</t>
        </is>
      </c>
      <c r="F48" s="661" t="inlineStr">
        <is>
          <t>Ampol Retail &amp; Z</t>
        </is>
      </c>
      <c r="G48" s="662" t="inlineStr">
        <is>
          <t>Ampol Retail</t>
        </is>
      </c>
      <c r="H48" s="660" t="inlineStr">
        <is>
          <t>Ampol Retail, Technology</t>
        </is>
      </c>
      <c r="I48" s="660" t="inlineStr">
        <is>
          <t>Retail</t>
        </is>
      </c>
      <c r="J48" s="662" t="inlineStr">
        <is>
          <t>Store Operations</t>
        </is>
      </c>
      <c r="K48" s="660" t="inlineStr">
        <is>
          <t>Deployment</t>
        </is>
      </c>
      <c r="L48" s="662" t="n"/>
      <c r="M48" s="663" t="inlineStr">
        <is>
          <t>Australia</t>
        </is>
      </c>
      <c r="N48" s="664" t="inlineStr">
        <is>
          <t>CIC</t>
        </is>
      </c>
      <c r="O48" s="664" t="n">
        <v>1</v>
      </c>
      <c r="P48" s="664" t="n"/>
      <c r="Q48" s="665" t="inlineStr">
        <is>
          <t>Permanent - Full Time</t>
        </is>
      </c>
      <c r="R48" s="666" t="n"/>
      <c r="S48" s="666" t="n"/>
      <c r="T48" s="667" t="n">
        <v>118020</v>
      </c>
      <c r="U48" s="668" t="n">
        <v>108578.4</v>
      </c>
      <c r="V48" s="669" t="n">
        <v>0.15</v>
      </c>
      <c r="W48" s="666" t="n"/>
      <c r="X48" s="670" t="n">
        <v>0.05</v>
      </c>
      <c r="Y48" s="918" t="n">
        <v>2910</v>
      </c>
      <c r="Z48" s="670" t="n">
        <v>0.03</v>
      </c>
      <c r="AA48" s="919">
        <f>U48*(1+V48+X48+Z48)+Y48</f>
        <v>136461.432</v>
      </c>
      <c r="AJ48" t="str">
        <f>IFERROR(INDEX(Lists!$U$1:$U$18,MATCH($I48,Lists!$T$1:$T$18,0)),"?")</f>
        <v>Ampol Retail</v>
      </c>
      <c r="AK48" t="str">
        <f>IF(LOWER($Q48)="v","Vacant",IF(LOWER($Q48)="pause","Paused",IF(LOWER($Q48)="cxc","Contractor",IF($Q48="Contractor","Contractor","Filled"))))</f>
        <v>Filled</v>
      </c>
      <c r="AL48" t="str">
        <f>IF($M48="NZ","NZ","AU")</f>
        <v>AU</v>
      </c>
      <c r="AM48">
        <f>COUNTIF($AJ$2:$AJ48,$AJ48)</f>
        <v>22.0</v>
      </c>
      <c r="AN48" t="str">
        <f>$AJ48&amp;"|"&amp;$AM48</f>
        <v>Ampol Retail|22</v>
      </c>
    </row>
    <row r="49" ht="18" customHeight="1" s="849">
      <c r="A49" s="659" t="n">
        <v>99999101668</v>
      </c>
      <c r="B49" s="660" t="inlineStr">
        <is>
          <t>McKenzie Tournquist</t>
        </is>
      </c>
      <c r="C49" s="660" t="inlineStr">
        <is>
          <t>Data Analyst</t>
        </is>
      </c>
      <c r="D49" s="662" t="inlineStr">
        <is>
          <t>Vacant</t>
        </is>
      </c>
      <c r="E49" s="660" t="inlineStr">
        <is>
          <t>Technology Manager, Data</t>
        </is>
      </c>
      <c r="F49" s="661" t="inlineStr">
        <is>
          <t>Ampol Retail &amp; Z</t>
        </is>
      </c>
      <c r="G49" s="662" t="inlineStr">
        <is>
          <t>Z &amp; Group Retail</t>
        </is>
      </c>
      <c r="H49" s="660" t="inlineStr">
        <is>
          <t>Z &amp; Group Retail, Data</t>
        </is>
      </c>
      <c r="I49" s="660" t="inlineStr">
        <is>
          <t>Z</t>
        </is>
      </c>
      <c r="J49" s="662" t="inlineStr">
        <is>
          <t>Z Customer &amp; Z Supply</t>
        </is>
      </c>
      <c r="K49" s="660" t="inlineStr">
        <is>
          <t>Data - NZ</t>
        </is>
      </c>
      <c r="L49" s="662" t="n"/>
      <c r="M49" s="663" t="inlineStr">
        <is>
          <t>NZ</t>
        </is>
      </c>
      <c r="N49" s="664" t="inlineStr">
        <is>
          <t>CIA</t>
        </is>
      </c>
      <c r="O49" s="665" t="n">
        <v>1</v>
      </c>
      <c r="P49" s="664" t="n"/>
      <c r="Q49" s="665" t="inlineStr">
        <is>
          <t>Permanent - Full Time</t>
        </is>
      </c>
      <c r="R49" s="666" t="n"/>
      <c r="S49" s="666" t="n"/>
      <c r="T49" s="667" t="n">
        <v>81890</v>
      </c>
      <c r="U49" s="668" t="n">
        <v>75338.8</v>
      </c>
      <c r="V49" s="669" t="n">
        <v>0.1</v>
      </c>
      <c r="W49" s="666" t="n"/>
      <c r="X49" s="670" t="n">
        <v>0.05</v>
      </c>
      <c r="Y49" s="918" t="n">
        <v>2910</v>
      </c>
      <c r="Z49" s="670" t="n">
        <v>0.03</v>
      </c>
      <c r="AA49" s="919">
        <f>U49*(1+V49+X49+Z49)+Y49</f>
        <v>91809.78400000001</v>
      </c>
      <c r="AJ49" t="str">
        <f>IFERROR(INDEX(Lists!$U$1:$U$18,MATCH($I49,Lists!$T$1:$T$18,0)),"?")</f>
        <v>Z Retail</v>
      </c>
      <c r="AK49" t="str">
        <f>IF(LOWER($Q49)="v","Vacant",IF(LOWER($Q49)="pause","Paused",IF(LOWER($Q49)="cxc","Contractor",IF($Q49="Contractor","Contractor","Filled"))))</f>
        <v>Filled</v>
      </c>
      <c r="AL49" t="str">
        <f>IF($M49="NZ","NZ","AU")</f>
        <v>NZ</v>
      </c>
      <c r="AM49">
        <f>COUNTIF($AJ$2:$AJ49,$AJ49)</f>
        <v>26.0</v>
      </c>
      <c r="AN49" t="str">
        <f>$AJ49&amp;"|"&amp;$AM49</f>
        <v>Z Retail|26</v>
      </c>
    </row>
    <row r="50" ht="18" customHeight="1" s="849">
      <c r="A50" s="659" t="n">
        <v>99999101623</v>
      </c>
      <c r="B50" s="660" t="inlineStr">
        <is>
          <t>Michael Dasan</t>
        </is>
      </c>
      <c r="C50" s="660" t="inlineStr">
        <is>
          <t>Engineer - Data</t>
        </is>
      </c>
      <c r="D50" s="662" t="inlineStr">
        <is>
          <t>Vacant</t>
        </is>
      </c>
      <c r="E50" s="660" t="inlineStr">
        <is>
          <t>Technology Manager, Data</t>
        </is>
      </c>
      <c r="F50" s="661" t="inlineStr">
        <is>
          <t>Ampol Retail &amp; Z</t>
        </is>
      </c>
      <c r="G50" s="662" t="inlineStr">
        <is>
          <t>Z &amp; Group Retail</t>
        </is>
      </c>
      <c r="H50" s="660" t="inlineStr">
        <is>
          <t>Z &amp; Group Retail, Data</t>
        </is>
      </c>
      <c r="I50" s="660" t="inlineStr">
        <is>
          <t>Z</t>
        </is>
      </c>
      <c r="J50" s="662" t="inlineStr">
        <is>
          <t>Z Customer &amp; Z Supply</t>
        </is>
      </c>
      <c r="K50" s="660" t="inlineStr">
        <is>
          <t>Data - NZ</t>
        </is>
      </c>
      <c r="L50" s="662" t="n"/>
      <c r="M50" s="663" t="inlineStr">
        <is>
          <t>NZ</t>
        </is>
      </c>
      <c r="N50" s="664" t="inlineStr">
        <is>
          <t>CDB</t>
        </is>
      </c>
      <c r="O50" s="665" t="n">
        <v>1</v>
      </c>
      <c r="P50" s="666" t="n"/>
      <c r="Q50" s="666" t="inlineStr">
        <is>
          <t>Permanent - Full Time</t>
        </is>
      </c>
      <c r="R50" s="666" t="n"/>
      <c r="S50" s="666" t="n"/>
      <c r="T50" s="667" t="n">
        <v>159010</v>
      </c>
      <c r="U50" s="668" t="n">
        <v>159010</v>
      </c>
      <c r="V50" s="670" t="n">
        <v>0.12</v>
      </c>
      <c r="W50" s="921" t="n">
        <v>0.055</v>
      </c>
      <c r="X50" s="921" t="n">
        <v>0.12</v>
      </c>
      <c r="Y50" s="922" t="n"/>
      <c r="Z50" s="921" t="n">
        <v>0.04</v>
      </c>
      <c r="AA50" s="919">
        <f>U50*(1+V50+W50+X50+Y50+Z50)</f>
        <v>212278.35</v>
      </c>
      <c r="AJ50" t="str">
        <f>IFERROR(INDEX(Lists!$U$1:$U$18,MATCH($I50,Lists!$T$1:$T$18,0)),"?")</f>
        <v>Z Retail</v>
      </c>
      <c r="AK50" t="str">
        <f>IF(LOWER($Q50)="v","Vacant",IF(LOWER($Q50)="pause","Paused",IF(LOWER($Q50)="cxc","Contractor",IF($Q50="Contractor","Contractor","Filled"))))</f>
        <v>Filled</v>
      </c>
      <c r="AL50" t="str">
        <f>IF($M50="NZ","NZ","AU")</f>
        <v>NZ</v>
      </c>
      <c r="AM50">
        <f>COUNTIF($AJ$2:$AJ50,$AJ50)</f>
        <v>27.0</v>
      </c>
      <c r="AN50" t="str">
        <f>$AJ50&amp;"|"&amp;$AM50</f>
        <v>Z Retail|27</v>
      </c>
    </row>
    <row r="51" ht="18" customHeight="1" s="849">
      <c r="A51" s="659" t="n">
        <v>85137</v>
      </c>
      <c r="B51" s="660" t="inlineStr">
        <is>
          <t>Mick Standen</t>
        </is>
      </c>
      <c r="C51" s="660" t="inlineStr">
        <is>
          <t>Systems Analyst</t>
        </is>
      </c>
      <c r="D51" s="660" t="inlineStr">
        <is>
          <t>Vaishnavi Viswanathan</t>
        </is>
      </c>
      <c r="E51" s="660" t="inlineStr">
        <is>
          <t>Technology Manager, Store Platform</t>
        </is>
      </c>
      <c r="F51" s="661" t="inlineStr">
        <is>
          <t>Ampol Retail &amp; Z</t>
        </is>
      </c>
      <c r="G51" s="662" t="inlineStr">
        <is>
          <t>Ampol Retail</t>
        </is>
      </c>
      <c r="H51" s="660" t="inlineStr">
        <is>
          <t>Ampol Retail, Store Platforms</t>
        </is>
      </c>
      <c r="I51" s="660" t="inlineStr">
        <is>
          <t>Retail</t>
        </is>
      </c>
      <c r="J51" s="662" t="inlineStr">
        <is>
          <t>AMPOS</t>
        </is>
      </c>
      <c r="K51" s="660" t="inlineStr">
        <is>
          <t>AmPos</t>
        </is>
      </c>
      <c r="L51" s="662" t="n"/>
      <c r="M51" s="663" t="inlineStr">
        <is>
          <t>Australia</t>
        </is>
      </c>
      <c r="N51" s="666" t="inlineStr">
        <is>
          <t>CIB</t>
        </is>
      </c>
      <c r="O51" s="666" t="n">
        <v>1</v>
      </c>
      <c r="P51" s="664" t="n"/>
      <c r="Q51" s="664" t="inlineStr">
        <is>
          <t>Permanent - Full Time</t>
        </is>
      </c>
      <c r="R51" s="666" t="n"/>
      <c r="S51" s="666" t="n"/>
      <c r="T51" s="667" t="n">
        <v>196740</v>
      </c>
      <c r="U51" s="668" t="n">
        <v>196740</v>
      </c>
      <c r="V51" s="670" t="n">
        <v>0.12</v>
      </c>
      <c r="W51" s="921" t="n">
        <v>0.055</v>
      </c>
      <c r="X51" s="921" t="n">
        <v>0.12</v>
      </c>
      <c r="Y51" s="922" t="n"/>
      <c r="Z51" s="921" t="n">
        <v>0.04</v>
      </c>
      <c r="AA51" s="919">
        <f>U51*(1+V51+W51+X51+Y51+Z51)</f>
        <v>262647.89999999997</v>
      </c>
      <c r="AJ51" t="str">
        <f>IFERROR(INDEX(Lists!$U$1:$U$18,MATCH($I51,Lists!$T$1:$T$18,0)),"?")</f>
        <v>Ampol Retail</v>
      </c>
      <c r="AK51" t="str">
        <f>IF(LOWER($Q51)="v","Vacant",IF(LOWER($Q51)="pause","Paused",IF(LOWER($Q51)="cxc","Contractor",IF($Q51="Contractor","Contractor","Filled"))))</f>
        <v>Filled</v>
      </c>
      <c r="AL51" t="str">
        <f>IF($M51="NZ","NZ","AU")</f>
        <v>AU</v>
      </c>
      <c r="AM51">
        <f>COUNTIF($AJ$2:$AJ51,$AJ51)</f>
        <v>23.0</v>
      </c>
      <c r="AN51" t="str">
        <f>$AJ51&amp;"|"&amp;$AM51</f>
        <v>Ampol Retail|23</v>
      </c>
    </row>
    <row r="52" ht="18" customHeight="1" s="849">
      <c r="A52" s="659" t="n">
        <v>95286</v>
      </c>
      <c r="B52" s="660" t="inlineStr">
        <is>
          <t>Navneet Singh</t>
        </is>
      </c>
      <c r="C52" s="660" t="inlineStr">
        <is>
          <t>Solution Architect</t>
        </is>
      </c>
      <c r="D52" s="660" t="inlineStr">
        <is>
          <t>Vedran Jukic</t>
        </is>
      </c>
      <c r="E52" s="660" t="inlineStr">
        <is>
          <t>Technology Manager, Retail</t>
        </is>
      </c>
      <c r="F52" s="661" t="inlineStr">
        <is>
          <t>Ampol Retail &amp; Z</t>
        </is>
      </c>
      <c r="G52" s="662" t="inlineStr">
        <is>
          <t>Ampol Retail</t>
        </is>
      </c>
      <c r="H52" s="660" t="inlineStr">
        <is>
          <t>Ampol Retail, Technology</t>
        </is>
      </c>
      <c r="I52" s="660" t="inlineStr">
        <is>
          <t>Ampol Retail</t>
        </is>
      </c>
      <c r="J52" s="662" t="inlineStr">
        <is>
          <t>EGI</t>
        </is>
      </c>
      <c r="K52" s="660" t="inlineStr">
        <is>
          <t>EGI Retail</t>
        </is>
      </c>
      <c r="L52" s="662" t="n"/>
      <c r="M52" s="663" t="inlineStr">
        <is>
          <t>Australia</t>
        </is>
      </c>
      <c r="N52" s="664" t="inlineStr">
        <is>
          <t>CIC</t>
        </is>
      </c>
      <c r="O52" s="664" t="n">
        <v>1</v>
      </c>
      <c r="P52" s="664" t="n"/>
      <c r="Q52" s="664" t="inlineStr">
        <is>
          <t>Permanent - Full Time</t>
        </is>
      </c>
      <c r="R52" s="666" t="n"/>
      <c r="S52" s="666" t="n"/>
      <c r="T52" s="666" t="n">
        <v>100000</v>
      </c>
      <c r="U52" s="679" t="n">
        <v>100000</v>
      </c>
      <c r="V52" s="670" t="n">
        <v>0.12</v>
      </c>
      <c r="W52" s="921" t="n">
        <v>0.055</v>
      </c>
      <c r="X52" s="921" t="n">
        <v>0.12</v>
      </c>
      <c r="Y52" s="922" t="n"/>
      <c r="Z52" s="921" t="n">
        <v>0.04</v>
      </c>
      <c r="AA52" s="919">
        <f>U52*(1+V52+W52+X52+Y52+Z52)</f>
        <v>133500.0</v>
      </c>
      <c r="AJ52" t="str">
        <f>IFERROR(INDEX(Lists!$U$1:$U$18,MATCH($I52,Lists!$T$1:$T$18,0)),"?")</f>
        <v>Ampol Retail</v>
      </c>
      <c r="AK52" t="str">
        <f>IF(LOWER($Q52)="v","Vacant",IF(LOWER($Q52)="pause","Paused",IF(LOWER($Q52)="cxc","Contractor",IF($Q52="Contractor","Contractor","Filled"))))</f>
        <v>Filled</v>
      </c>
      <c r="AL52" t="str">
        <f>IF($M52="NZ","NZ","AU")</f>
        <v>AU</v>
      </c>
      <c r="AM52">
        <f>COUNTIF($AJ$2:$AJ52,$AJ52)</f>
        <v>24.0</v>
      </c>
      <c r="AN52" t="str">
        <f>$AJ52&amp;"|"&amp;$AM52</f>
        <v>Ampol Retail|24</v>
      </c>
    </row>
    <row r="53" ht="18" customHeight="1" s="849">
      <c r="A53" s="659" t="n">
        <v>108357</v>
      </c>
      <c r="B53" s="660" t="inlineStr">
        <is>
          <t>Pahul Oberoi</t>
        </is>
      </c>
      <c r="C53" s="660" t="inlineStr">
        <is>
          <t>Systems Analyst</t>
        </is>
      </c>
      <c r="D53" s="660" t="inlineStr">
        <is>
          <t>Tracy Lee Reaper</t>
        </is>
      </c>
      <c r="E53" s="660" t="inlineStr">
        <is>
          <t>Tech Manager, Merchandising &amp; WFM</t>
        </is>
      </c>
      <c r="F53" s="661" t="inlineStr">
        <is>
          <t>Ampol Retail &amp; Z</t>
        </is>
      </c>
      <c r="G53" s="662" t="inlineStr">
        <is>
          <t>Ampol Retail</t>
        </is>
      </c>
      <c r="H53" s="660" t="inlineStr">
        <is>
          <t>Ampol Retail, Merch &amp; RTA</t>
        </is>
      </c>
      <c r="I53" s="660" t="inlineStr">
        <is>
          <t>Retail</t>
        </is>
      </c>
      <c r="J53" s="662" t="inlineStr">
        <is>
          <t>Above Store</t>
        </is>
      </c>
      <c r="K53" s="662" t="inlineStr">
        <is>
          <t>Above Store</t>
        </is>
      </c>
      <c r="L53" s="662" t="n"/>
      <c r="M53" s="663" t="inlineStr">
        <is>
          <t>Australia</t>
        </is>
      </c>
      <c r="N53" s="664" t="inlineStr">
        <is>
          <t>CIB</t>
        </is>
      </c>
      <c r="O53" s="664" t="n">
        <v>1</v>
      </c>
      <c r="P53" s="664" t="n"/>
      <c r="Q53" s="664" t="inlineStr">
        <is>
          <t>Permanent - Full Time</t>
        </is>
      </c>
      <c r="R53" s="666" t="n"/>
      <c r="S53" s="666" t="n"/>
      <c r="T53" s="666" t="n">
        <v>123240</v>
      </c>
      <c r="U53" s="679" t="n">
        <v>123240</v>
      </c>
      <c r="V53" s="670" t="n">
        <v>0.1</v>
      </c>
      <c r="W53" s="921" t="n">
        <v>0.055</v>
      </c>
      <c r="X53" s="921" t="n">
        <v>0.12</v>
      </c>
      <c r="Y53" s="922" t="n"/>
      <c r="Z53" s="921" t="n">
        <v>0.04</v>
      </c>
      <c r="AA53" s="919">
        <f>U53*(1+V53+W53+X53+Y53+Z53)</f>
        <v>162060.6</v>
      </c>
      <c r="AJ53" t="str">
        <f>IFERROR(INDEX(Lists!$U$1:$U$18,MATCH($I53,Lists!$T$1:$T$18,0)),"?")</f>
        <v>Ampol Retail</v>
      </c>
      <c r="AK53" t="str">
        <f>IF(LOWER($Q53)="v","Vacant",IF(LOWER($Q53)="pause","Paused",IF(LOWER($Q53)="cxc","Contractor",IF($Q53="Contractor","Contractor","Filled"))))</f>
        <v>Filled</v>
      </c>
      <c r="AL53" t="str">
        <f>IF($M53="NZ","NZ","AU")</f>
        <v>AU</v>
      </c>
      <c r="AM53">
        <f>COUNTIF($AJ$2:$AJ53,$AJ53)</f>
        <v>25.0</v>
      </c>
      <c r="AN53" t="str">
        <f>$AJ53&amp;"|"&amp;$AM53</f>
        <v>Ampol Retail|25</v>
      </c>
    </row>
    <row r="54" ht="18" customHeight="1" s="849">
      <c r="A54" s="659" t="n">
        <v>90097</v>
      </c>
      <c r="B54" s="660" t="inlineStr">
        <is>
          <t>Patrick Ericson Nario</t>
        </is>
      </c>
      <c r="C54" s="660" t="inlineStr">
        <is>
          <t>Support Analyst - Field Operations</t>
        </is>
      </c>
      <c r="D54" s="660" t="inlineStr">
        <is>
          <t>Ephriam Adan</t>
        </is>
      </c>
      <c r="E54" s="660" t="inlineStr">
        <is>
          <t>Manager, AU Retail Operations</t>
        </is>
      </c>
      <c r="F54" s="661" t="inlineStr">
        <is>
          <t>Ampol Retail &amp; Z</t>
        </is>
      </c>
      <c r="G54" s="662" t="inlineStr">
        <is>
          <t>Ampol Retail</t>
        </is>
      </c>
      <c r="H54" s="660" t="inlineStr">
        <is>
          <t>Ampol Retail, Technology</t>
        </is>
      </c>
      <c r="I54" s="660" t="inlineStr">
        <is>
          <t>Retail</t>
        </is>
      </c>
      <c r="J54" s="662" t="inlineStr">
        <is>
          <t>Store Operations</t>
        </is>
      </c>
      <c r="K54" s="660" t="inlineStr">
        <is>
          <t>Store Operations</t>
        </is>
      </c>
      <c r="L54" s="662" t="n"/>
      <c r="M54" s="663" t="inlineStr">
        <is>
          <t>Australia</t>
        </is>
      </c>
      <c r="N54" s="664" t="inlineStr">
        <is>
          <t>CIA</t>
        </is>
      </c>
      <c r="O54" s="664" t="n">
        <v>1</v>
      </c>
      <c r="P54" s="664" t="n"/>
      <c r="Q54" s="664" t="inlineStr">
        <is>
          <t>Permanent - Full Time</t>
        </is>
      </c>
      <c r="R54" s="666" t="n"/>
      <c r="S54" s="666" t="n"/>
      <c r="T54" s="666" t="n">
        <v>160460</v>
      </c>
      <c r="U54" s="679" t="n">
        <v>160460</v>
      </c>
      <c r="V54" s="670" t="n">
        <v>0.12</v>
      </c>
      <c r="W54" s="921" t="n">
        <v>0.055</v>
      </c>
      <c r="X54" s="921" t="n">
        <v>0.12</v>
      </c>
      <c r="Y54" s="922" t="n"/>
      <c r="Z54" s="921" t="n">
        <v>0.04</v>
      </c>
      <c r="AA54" s="919">
        <f>U54*(1+V54+W54+X54+Y54+Z54)</f>
        <v>214214.1</v>
      </c>
      <c r="AJ54" t="str">
        <f>IFERROR(INDEX(Lists!$U$1:$U$18,MATCH($I54,Lists!$T$1:$T$18,0)),"?")</f>
        <v>Ampol Retail</v>
      </c>
      <c r="AK54" t="str">
        <f>IF(LOWER($Q54)="v","Vacant",IF(LOWER($Q54)="pause","Paused",IF(LOWER($Q54)="cxc","Contractor",IF($Q54="Contractor","Contractor","Filled"))))</f>
        <v>Filled</v>
      </c>
      <c r="AL54" t="str">
        <f>IF($M54="NZ","NZ","AU")</f>
        <v>AU</v>
      </c>
      <c r="AM54">
        <f>COUNTIF($AJ$2:$AJ54,$AJ54)</f>
        <v>26.0</v>
      </c>
      <c r="AN54" t="str">
        <f>$AJ54&amp;"|"&amp;$AM54</f>
        <v>Ampol Retail|26</v>
      </c>
    </row>
    <row r="55" ht="18" customHeight="1" s="849">
      <c r="A55" s="659" t="n">
        <v>94420</v>
      </c>
      <c r="B55" s="660" t="inlineStr">
        <is>
          <t>Peter Nicolopoulos</t>
        </is>
      </c>
      <c r="C55" s="660" t="inlineStr">
        <is>
          <t>Systems Analyst</t>
        </is>
      </c>
      <c r="D55" s="660" t="inlineStr">
        <is>
          <t>Vaishnavi Viswanathan</t>
        </is>
      </c>
      <c r="E55" s="660" t="inlineStr">
        <is>
          <t>Technology Manager, Store Platform</t>
        </is>
      </c>
      <c r="F55" s="661" t="inlineStr">
        <is>
          <t>Ampol Retail &amp; Z</t>
        </is>
      </c>
      <c r="G55" s="662" t="inlineStr">
        <is>
          <t>Ampol Retail</t>
        </is>
      </c>
      <c r="H55" s="660" t="inlineStr">
        <is>
          <t>Ampol Retail, Store Platforms</t>
        </is>
      </c>
      <c r="I55" s="660" t="inlineStr">
        <is>
          <t>Retail</t>
        </is>
      </c>
      <c r="J55" s="662" t="inlineStr">
        <is>
          <t>AMPOS</t>
        </is>
      </c>
      <c r="K55" s="660" t="inlineStr">
        <is>
          <t>AmPos</t>
        </is>
      </c>
      <c r="L55" s="662" t="n"/>
      <c r="M55" s="663" t="inlineStr">
        <is>
          <t>Australia</t>
        </is>
      </c>
      <c r="N55" s="664" t="inlineStr">
        <is>
          <t>CIB</t>
        </is>
      </c>
      <c r="O55" s="664" t="n">
        <v>1</v>
      </c>
      <c r="P55" s="664" t="n"/>
      <c r="Q55" s="665" t="inlineStr">
        <is>
          <t>Permanent - Full Time</t>
        </is>
      </c>
      <c r="R55" s="666" t="n"/>
      <c r="S55" s="666" t="n"/>
      <c r="T55" s="667" t="n">
        <v>127740</v>
      </c>
      <c r="U55" s="668" t="n">
        <v>117520.8</v>
      </c>
      <c r="V55" s="669" t="n">
        <v>0.15</v>
      </c>
      <c r="W55" s="666" t="n"/>
      <c r="X55" s="670" t="n">
        <v>0.05</v>
      </c>
      <c r="Y55" s="918" t="n">
        <v>2910</v>
      </c>
      <c r="Z55" s="670" t="n">
        <v>0.03</v>
      </c>
      <c r="AA55" s="919">
        <f>U55*(1+V55+X55+Z55)+Y55</f>
        <v>147460.584</v>
      </c>
      <c r="AJ55" t="str">
        <f>IFERROR(INDEX(Lists!$U$1:$U$18,MATCH($I55,Lists!$T$1:$T$18,0)),"?")</f>
        <v>Ampol Retail</v>
      </c>
      <c r="AK55" t="str">
        <f>IF(LOWER($Q55)="v","Vacant",IF(LOWER($Q55)="pause","Paused",IF(LOWER($Q55)="cxc","Contractor",IF($Q55="Contractor","Contractor","Filled"))))</f>
        <v>Filled</v>
      </c>
      <c r="AL55" t="str">
        <f>IF($M55="NZ","NZ","AU")</f>
        <v>AU</v>
      </c>
      <c r="AM55">
        <f>COUNTIF($AJ$2:$AJ55,$AJ55)</f>
        <v>27.0</v>
      </c>
      <c r="AN55" t="str">
        <f>$AJ55&amp;"|"&amp;$AM55</f>
        <v>Ampol Retail|27</v>
      </c>
    </row>
    <row r="56" ht="18" customHeight="1" s="849">
      <c r="A56" s="659" t="n">
        <v>99999101650</v>
      </c>
      <c r="B56" s="660" t="inlineStr">
        <is>
          <t>Sakshi Sachdeva</t>
        </is>
      </c>
      <c r="C56" s="660" t="inlineStr">
        <is>
          <t xml:space="preserve">Senior Quality Assurance </t>
        </is>
      </c>
      <c r="D56" s="660" t="inlineStr">
        <is>
          <t>Callan McLaughlin</t>
        </is>
      </c>
      <c r="E56" s="660" t="inlineStr">
        <is>
          <t>Technology Manager,  Site Systems</t>
        </is>
      </c>
      <c r="F56" s="661" t="inlineStr">
        <is>
          <t>Ampol Retail &amp; Z</t>
        </is>
      </c>
      <c r="G56" s="662" t="inlineStr">
        <is>
          <t>Z &amp; Group Retail</t>
        </is>
      </c>
      <c r="H56" s="660" t="inlineStr">
        <is>
          <t>Z &amp; Group Retail, Site Systems</t>
        </is>
      </c>
      <c r="I56" s="660" t="inlineStr">
        <is>
          <t>Z</t>
        </is>
      </c>
      <c r="J56" s="662" t="inlineStr">
        <is>
          <t>Z Customer</t>
        </is>
      </c>
      <c r="K56" s="660" t="inlineStr">
        <is>
          <t>Site Systems</t>
        </is>
      </c>
      <c r="L56" s="662" t="n"/>
      <c r="M56" s="663" t="inlineStr">
        <is>
          <t>NZ</t>
        </is>
      </c>
      <c r="N56" s="664" t="inlineStr">
        <is>
          <t>CIA</t>
        </is>
      </c>
      <c r="O56" s="665" t="n">
        <v>1</v>
      </c>
      <c r="P56" s="664" t="n"/>
      <c r="Q56" s="664" t="inlineStr">
        <is>
          <t>Permanent - Full Time</t>
        </is>
      </c>
      <c r="R56" s="666" t="n"/>
      <c r="S56" s="666" t="n"/>
      <c r="T56" s="667" t="n">
        <v>133110</v>
      </c>
      <c r="U56" s="668" t="n">
        <v>133110</v>
      </c>
      <c r="V56" s="670" t="n">
        <v>0.1</v>
      </c>
      <c r="W56" s="921" t="n">
        <v>0.055</v>
      </c>
      <c r="X56" s="921" t="n">
        <v>0.12</v>
      </c>
      <c r="Y56" s="922" t="n"/>
      <c r="Z56" s="921" t="n">
        <v>0.04</v>
      </c>
      <c r="AA56" s="919">
        <f>U56*(1+V56+W56+X56+Y56+Z56)</f>
        <v>175039.65</v>
      </c>
      <c r="AJ56" t="str">
        <f>IFERROR(INDEX(Lists!$U$1:$U$18,MATCH($I56,Lists!$T$1:$T$18,0)),"?")</f>
        <v>Z Retail</v>
      </c>
      <c r="AK56" t="str">
        <f>IF(LOWER($Q56)="v","Vacant",IF(LOWER($Q56)="pause","Paused",IF(LOWER($Q56)="cxc","Contractor",IF($Q56="Contractor","Contractor","Filled"))))</f>
        <v>Filled</v>
      </c>
      <c r="AL56" t="str">
        <f>IF($M56="NZ","NZ","AU")</f>
        <v>NZ</v>
      </c>
      <c r="AM56">
        <f>COUNTIF($AJ$2:$AJ56,$AJ56)</f>
        <v>28.0</v>
      </c>
      <c r="AN56" t="str">
        <f>$AJ56&amp;"|"&amp;$AM56</f>
        <v>Z Retail|28</v>
      </c>
    </row>
    <row r="57" ht="18" customHeight="1" s="849">
      <c r="A57" s="659" t="n">
        <v>107164</v>
      </c>
      <c r="B57" s="660" t="inlineStr">
        <is>
          <t>Santiago Hernandez Arevalo</t>
        </is>
      </c>
      <c r="C57" s="660" t="inlineStr">
        <is>
          <t>Systems Analyst</t>
        </is>
      </c>
      <c r="D57" s="660" t="inlineStr">
        <is>
          <t>Vedran Jukic</t>
        </is>
      </c>
      <c r="E57" s="660" t="inlineStr">
        <is>
          <t>Technology Manager, Retail</t>
        </is>
      </c>
      <c r="F57" s="661" t="inlineStr">
        <is>
          <t>Ampol Retail &amp; Z</t>
        </is>
      </c>
      <c r="G57" s="662" t="inlineStr">
        <is>
          <t>Ampol Retail</t>
        </is>
      </c>
      <c r="H57" s="660" t="inlineStr">
        <is>
          <t>Ampol Retail, Technology</t>
        </is>
      </c>
      <c r="I57" s="660" t="inlineStr">
        <is>
          <t>Retail</t>
        </is>
      </c>
      <c r="J57" s="662" t="inlineStr">
        <is>
          <t>Network/QSR</t>
        </is>
      </c>
      <c r="K57" s="660" t="inlineStr">
        <is>
          <t>Network &amp; QSR</t>
        </is>
      </c>
      <c r="L57" s="662" t="n"/>
      <c r="M57" s="663" t="inlineStr">
        <is>
          <t>Australia</t>
        </is>
      </c>
      <c r="N57" s="664" t="inlineStr">
        <is>
          <t>CIA</t>
        </is>
      </c>
      <c r="O57" s="664" t="n">
        <v>1</v>
      </c>
      <c r="P57" s="666" t="n"/>
      <c r="Q57" s="666" t="inlineStr">
        <is>
          <t>Permanent - Full Time</t>
        </is>
      </c>
      <c r="R57" s="666" t="n"/>
      <c r="S57" s="666" t="n"/>
      <c r="T57" s="667" t="n">
        <v>154420</v>
      </c>
      <c r="U57" s="668" t="n">
        <v>154420</v>
      </c>
      <c r="V57" s="670" t="n">
        <v>0.12</v>
      </c>
      <c r="W57" s="921" t="n">
        <v>0.055</v>
      </c>
      <c r="X57" s="921" t="n">
        <v>0.12</v>
      </c>
      <c r="Y57" s="922" t="n"/>
      <c r="Z57" s="921" t="n">
        <v>0.04</v>
      </c>
      <c r="AA57" s="919">
        <f>U57*(1+V57+W57+X57+Y57+Z57)</f>
        <v>206150.69999999998</v>
      </c>
      <c r="AJ57" t="str">
        <f>IFERROR(INDEX(Lists!$U$1:$U$18,MATCH($I57,Lists!$T$1:$T$18,0)),"?")</f>
        <v>Ampol Retail</v>
      </c>
      <c r="AK57" t="str">
        <f>IF(LOWER($Q57)="v","Vacant",IF(LOWER($Q57)="pause","Paused",IF(LOWER($Q57)="cxc","Contractor",IF($Q57="Contractor","Contractor","Filled"))))</f>
        <v>Filled</v>
      </c>
      <c r="AL57" t="str">
        <f>IF($M57="NZ","NZ","AU")</f>
        <v>AU</v>
      </c>
      <c r="AM57">
        <f>COUNTIF($AJ$2:$AJ57,$AJ57)</f>
        <v>28.0</v>
      </c>
      <c r="AN57" t="str">
        <f>$AJ57&amp;"|"&amp;$AM57</f>
        <v>Ampol Retail|28</v>
      </c>
    </row>
    <row r="58" ht="18" customHeight="1" s="849">
      <c r="A58" s="659" t="n">
        <v>11424</v>
      </c>
      <c r="B58" s="660" t="inlineStr">
        <is>
          <t>Sao Keawprasit</t>
        </is>
      </c>
      <c r="C58" s="660" t="inlineStr">
        <is>
          <t>Systems Analyst</t>
        </is>
      </c>
      <c r="D58" s="660" t="inlineStr">
        <is>
          <t>Tracy Lee Reaper</t>
        </is>
      </c>
      <c r="E58" s="660" t="inlineStr">
        <is>
          <t>Tech Manager, Merchandising &amp; WFM</t>
        </is>
      </c>
      <c r="F58" s="661" t="inlineStr">
        <is>
          <t>Ampol Retail &amp; Z</t>
        </is>
      </c>
      <c r="G58" s="662" t="inlineStr">
        <is>
          <t>Ampol Retail</t>
        </is>
      </c>
      <c r="H58" s="660" t="inlineStr">
        <is>
          <t>Ampol Retail, Merch &amp; RTA</t>
        </is>
      </c>
      <c r="I58" s="660" t="inlineStr">
        <is>
          <t>Retail</t>
        </is>
      </c>
      <c r="J58" s="662" t="inlineStr">
        <is>
          <t>Above Store</t>
        </is>
      </c>
      <c r="K58" s="662" t="inlineStr">
        <is>
          <t>Above Store</t>
        </is>
      </c>
      <c r="L58" s="662" t="n"/>
      <c r="M58" s="663" t="inlineStr">
        <is>
          <t>Australia</t>
        </is>
      </c>
      <c r="N58" s="666" t="inlineStr">
        <is>
          <t>CIB</t>
        </is>
      </c>
      <c r="O58" s="666" t="n">
        <v>1</v>
      </c>
      <c r="P58" s="664" t="n"/>
      <c r="Q58" s="664" t="inlineStr">
        <is>
          <t>Permanent - Full Time</t>
        </is>
      </c>
      <c r="R58" s="666" t="n"/>
      <c r="S58" s="666" t="n"/>
      <c r="T58" s="667" t="n">
        <v>152220</v>
      </c>
      <c r="U58" s="668" t="n">
        <v>152220</v>
      </c>
      <c r="V58" s="670" t="n">
        <v>0.12</v>
      </c>
      <c r="W58" s="921" t="n">
        <v>0.055</v>
      </c>
      <c r="X58" s="921" t="n">
        <v>0.12</v>
      </c>
      <c r="Y58" s="922" t="n"/>
      <c r="Z58" s="921" t="n">
        <v>0.04</v>
      </c>
      <c r="AA58" s="919">
        <f>U58*(1+V58+W58+X58+Y58+Z58)</f>
        <v>203213.69999999998</v>
      </c>
      <c r="AJ58" t="str">
        <f>IFERROR(INDEX(Lists!$U$1:$U$18,MATCH($I58,Lists!$T$1:$T$18,0)),"?")</f>
        <v>Ampol Retail</v>
      </c>
      <c r="AK58" t="str">
        <f>IF(LOWER($Q58)="v","Vacant",IF(LOWER($Q58)="pause","Paused",IF(LOWER($Q58)="cxc","Contractor",IF($Q58="Contractor","Contractor","Filled"))))</f>
        <v>Filled</v>
      </c>
      <c r="AL58" t="str">
        <f>IF($M58="NZ","NZ","AU")</f>
        <v>AU</v>
      </c>
      <c r="AM58">
        <f>COUNTIF($AJ$2:$AJ58,$AJ58)</f>
        <v>29.0</v>
      </c>
      <c r="AN58" t="str">
        <f>$AJ58&amp;"|"&amp;$AM58</f>
        <v>Ampol Retail|29</v>
      </c>
    </row>
    <row r="59" ht="18" customHeight="1" s="849">
      <c r="A59" s="659" t="n">
        <v>114003</v>
      </c>
      <c r="B59" s="660" t="inlineStr">
        <is>
          <t>Sayan Kar</t>
        </is>
      </c>
      <c r="C59" s="660" t="inlineStr">
        <is>
          <t>Systems Analyst</t>
        </is>
      </c>
      <c r="D59" s="660" t="inlineStr">
        <is>
          <t>Vaishnavi Viswanathan</t>
        </is>
      </c>
      <c r="E59" s="660" t="inlineStr">
        <is>
          <t>Technology Manager, Store Platform</t>
        </is>
      </c>
      <c r="F59" s="661" t="inlineStr">
        <is>
          <t>Ampol Retail &amp; Z</t>
        </is>
      </c>
      <c r="G59" s="662" t="inlineStr">
        <is>
          <t>Ampol Retail</t>
        </is>
      </c>
      <c r="H59" s="660" t="inlineStr">
        <is>
          <t>Ampol Retail, Store Platforms</t>
        </is>
      </c>
      <c r="I59" s="660" t="inlineStr">
        <is>
          <t>Retail</t>
        </is>
      </c>
      <c r="J59" s="662" t="inlineStr">
        <is>
          <t>Store Operations</t>
        </is>
      </c>
      <c r="K59" s="660" t="inlineStr">
        <is>
          <t>Payments</t>
        </is>
      </c>
      <c r="L59" s="662" t="n"/>
      <c r="M59" s="663" t="inlineStr">
        <is>
          <t>Australia</t>
        </is>
      </c>
      <c r="N59" s="664" t="inlineStr">
        <is>
          <t>CIB</t>
        </is>
      </c>
      <c r="O59" s="664" t="n">
        <v>1</v>
      </c>
      <c r="P59" s="664" t="n"/>
      <c r="Q59" s="664" t="inlineStr">
        <is>
          <t>Permanent - Full Time</t>
        </is>
      </c>
      <c r="R59" s="666" t="n"/>
      <c r="S59" s="666" t="n"/>
      <c r="T59" s="667" t="n">
        <v>194190</v>
      </c>
      <c r="U59" s="679" t="n">
        <v>194190</v>
      </c>
      <c r="V59" s="670" t="n">
        <v>0.12</v>
      </c>
      <c r="W59" s="921" t="n">
        <v>0.055</v>
      </c>
      <c r="X59" s="921" t="n">
        <v>0.12</v>
      </c>
      <c r="Y59" s="922" t="n"/>
      <c r="Z59" s="921" t="n">
        <v>0.04</v>
      </c>
      <c r="AA59" s="919">
        <f>U59*(1+V59+W59+X59+Y59+Z59)</f>
        <v>259243.65</v>
      </c>
      <c r="AJ59" t="str">
        <f>IFERROR(INDEX(Lists!$U$1:$U$18,MATCH($I59,Lists!$T$1:$T$18,0)),"?")</f>
        <v>Ampol Retail</v>
      </c>
      <c r="AK59" t="str">
        <f>IF(LOWER($Q59)="v","Vacant",IF(LOWER($Q59)="pause","Paused",IF(LOWER($Q59)="cxc","Contractor",IF($Q59="Contractor","Contractor","Filled"))))</f>
        <v>Filled</v>
      </c>
      <c r="AL59" t="str">
        <f>IF($M59="NZ","NZ","AU")</f>
        <v>AU</v>
      </c>
      <c r="AM59">
        <f>COUNTIF($AJ$2:$AJ59,$AJ59)</f>
        <v>30.0</v>
      </c>
      <c r="AN59" t="str">
        <f>$AJ59&amp;"|"&amp;$AM59</f>
        <v>Ampol Retail|30</v>
      </c>
    </row>
    <row r="60" ht="18" customHeight="1" s="849">
      <c r="A60" s="659" t="n">
        <v>98007</v>
      </c>
      <c r="B60" s="660" t="inlineStr">
        <is>
          <t>Sendhil Vinayagam (75% EGI)</t>
        </is>
      </c>
      <c r="C60" s="660" t="inlineStr">
        <is>
          <t>Solution Architect</t>
        </is>
      </c>
      <c r="D60" s="660" t="inlineStr">
        <is>
          <t>Vedran Jukic</t>
        </is>
      </c>
      <c r="E60" s="660" t="inlineStr">
        <is>
          <t>Technology Manager, Retail</t>
        </is>
      </c>
      <c r="F60" s="661" t="inlineStr">
        <is>
          <t>Ampol Retail &amp; Z</t>
        </is>
      </c>
      <c r="G60" s="662" t="inlineStr">
        <is>
          <t>Ampol Retail</t>
        </is>
      </c>
      <c r="H60" s="660" t="inlineStr">
        <is>
          <t>Ampol Retail, Technology</t>
        </is>
      </c>
      <c r="I60" s="660" t="inlineStr">
        <is>
          <t>Ampol Retail</t>
        </is>
      </c>
      <c r="J60" s="662" t="inlineStr">
        <is>
          <t>EGI</t>
        </is>
      </c>
      <c r="K60" s="660" t="inlineStr">
        <is>
          <t>EGI Retail</t>
        </is>
      </c>
      <c r="L60" s="662" t="n"/>
      <c r="M60" s="663" t="inlineStr">
        <is>
          <t>Australia</t>
        </is>
      </c>
      <c r="N60" s="664" t="inlineStr">
        <is>
          <t>CIC</t>
        </is>
      </c>
      <c r="O60" s="664" t="n">
        <v>1</v>
      </c>
      <c r="P60" s="664" t="n"/>
      <c r="Q60" s="664" t="inlineStr">
        <is>
          <t>Permanent - Full Time</t>
        </is>
      </c>
      <c r="R60" s="666" t="n"/>
      <c r="S60" s="666" t="n"/>
      <c r="T60" s="667" t="n">
        <v>200410</v>
      </c>
      <c r="U60" s="679" t="n">
        <v>200410</v>
      </c>
      <c r="V60" s="670" t="n">
        <v>0.12</v>
      </c>
      <c r="W60" s="921" t="n">
        <v>0.055</v>
      </c>
      <c r="X60" s="921" t="n">
        <v>0.12</v>
      </c>
      <c r="Y60" s="922" t="n"/>
      <c r="Z60" s="921" t="n">
        <v>0.04</v>
      </c>
      <c r="AA60" s="919">
        <f>U60*(1+V60+W60+X60+Y60+Z60)</f>
        <v>267547.35</v>
      </c>
      <c r="AJ60" t="str">
        <f>IFERROR(INDEX(Lists!$U$1:$U$18,MATCH($I60,Lists!$T$1:$T$18,0)),"?")</f>
        <v>Ampol Retail</v>
      </c>
      <c r="AK60" t="str">
        <f>IF(LOWER($Q60)="v","Vacant",IF(LOWER($Q60)="pause","Paused",IF(LOWER($Q60)="cxc","Contractor",IF($Q60="Contractor","Contractor","Filled"))))</f>
        <v>Filled</v>
      </c>
      <c r="AL60" t="str">
        <f>IF($M60="NZ","NZ","AU")</f>
        <v>AU</v>
      </c>
      <c r="AM60">
        <f>COUNTIF($AJ$2:$AJ60,$AJ60)</f>
        <v>31.0</v>
      </c>
      <c r="AN60" t="str">
        <f>$AJ60&amp;"|"&amp;$AM60</f>
        <v>Ampol Retail|31</v>
      </c>
    </row>
    <row r="61" ht="18" customHeight="1" s="849">
      <c r="A61" s="659" t="n">
        <v>95017</v>
      </c>
      <c r="B61" s="705" t="inlineStr">
        <is>
          <t>Sjoerd Van Sluijs</t>
        </is>
      </c>
      <c r="C61" s="660" t="inlineStr">
        <is>
          <t>Senior PM PEP1, PEP18</t>
        </is>
      </c>
      <c r="D61" s="662" t="inlineStr">
        <is>
          <t>Greg Cassis</t>
        </is>
      </c>
      <c r="E61" s="662" t="inlineStr">
        <is>
          <t>GM TDD, EGI</t>
        </is>
      </c>
      <c r="F61" s="661" t="inlineStr">
        <is>
          <t>Ampol Retail &amp; Z</t>
        </is>
      </c>
      <c r="G61" s="662" t="inlineStr">
        <is>
          <t>EGI</t>
        </is>
      </c>
      <c r="H61" s="662" t="inlineStr">
        <is>
          <t>EGI</t>
        </is>
      </c>
      <c r="I61" s="660" t="inlineStr">
        <is>
          <t>Ampol Retail</t>
        </is>
      </c>
      <c r="J61" s="662" t="inlineStr">
        <is>
          <t>EGI</t>
        </is>
      </c>
      <c r="K61" s="662" t="inlineStr">
        <is>
          <t>EGI Retail</t>
        </is>
      </c>
      <c r="L61" s="662" t="n"/>
      <c r="M61" s="663" t="inlineStr">
        <is>
          <t>Australia</t>
        </is>
      </c>
      <c r="N61" s="664" t="inlineStr">
        <is>
          <t>CIC</t>
        </is>
      </c>
      <c r="O61" s="664" t="n">
        <v>1</v>
      </c>
      <c r="P61" s="664" t="n"/>
      <c r="Q61" s="664" t="inlineStr">
        <is>
          <t>Permanent - Full Time</t>
        </is>
      </c>
      <c r="R61" s="666" t="n"/>
      <c r="S61" s="666" t="n"/>
      <c r="T61" s="667" t="n">
        <v>118280</v>
      </c>
      <c r="U61" s="679" t="n">
        <v>118280</v>
      </c>
      <c r="V61" s="670" t="n">
        <v>0.1</v>
      </c>
      <c r="W61" s="921" t="n">
        <v>0.055</v>
      </c>
      <c r="X61" s="921" t="n">
        <v>0.12</v>
      </c>
      <c r="Y61" s="922" t="n"/>
      <c r="Z61" s="921" t="n">
        <v>0.04</v>
      </c>
      <c r="AA61" s="919">
        <f>U61*(1+V61+W61+X61+Y61+Z61)</f>
        <v>155538.19999999998</v>
      </c>
      <c r="AJ61" t="str">
        <f>IFERROR(INDEX(Lists!$U$1:$U$18,MATCH($I61,Lists!$T$1:$T$18,0)),"?")</f>
        <v>Ampol Retail</v>
      </c>
      <c r="AK61" t="str">
        <f>IF(LOWER($Q61)="v","Vacant",IF(LOWER($Q61)="pause","Paused",IF(LOWER($Q61)="cxc","Contractor",IF($Q61="Contractor","Contractor","Filled"))))</f>
        <v>Filled</v>
      </c>
      <c r="AL61" t="str">
        <f>IF($M61="NZ","NZ","AU")</f>
        <v>AU</v>
      </c>
      <c r="AM61">
        <f>COUNTIF($AJ$2:$AJ61,$AJ61)</f>
        <v>32.0</v>
      </c>
      <c r="AN61" t="str">
        <f>$AJ61&amp;"|"&amp;$AM61</f>
        <v>Ampol Retail|32</v>
      </c>
    </row>
    <row r="62" ht="18" customHeight="1" s="849">
      <c r="A62" s="659" t="n">
        <v>113783</v>
      </c>
      <c r="B62" s="660" t="inlineStr">
        <is>
          <t>Tabitha Raharadjo</t>
        </is>
      </c>
      <c r="C62" s="660" t="inlineStr">
        <is>
          <t>Project Coordinator</t>
        </is>
      </c>
      <c r="D62" s="660" t="inlineStr">
        <is>
          <t>Vanessa Allen</t>
        </is>
      </c>
      <c r="E62" s="660" t="inlineStr">
        <is>
          <t>Delivery Manager, Ampol Retail</t>
        </is>
      </c>
      <c r="F62" s="661" t="inlineStr">
        <is>
          <t>Ampol Retail &amp; Z</t>
        </is>
      </c>
      <c r="G62" s="662" t="inlineStr">
        <is>
          <t>Ampol Retail</t>
        </is>
      </c>
      <c r="H62" s="660" t="inlineStr">
        <is>
          <t>Ampol Retail, Delivery</t>
        </is>
      </c>
      <c r="I62" s="660" t="inlineStr">
        <is>
          <t>Retail</t>
        </is>
      </c>
      <c r="J62" s="662" t="inlineStr">
        <is>
          <t>AMPOS</t>
        </is>
      </c>
      <c r="K62" s="660" t="inlineStr">
        <is>
          <t>AmPos</t>
        </is>
      </c>
      <c r="L62" s="662" t="n"/>
      <c r="M62" s="663" t="inlineStr">
        <is>
          <t>Australia</t>
        </is>
      </c>
      <c r="N62" s="664" t="inlineStr">
        <is>
          <t>CDC</t>
        </is>
      </c>
      <c r="O62" s="664" t="n">
        <v>1</v>
      </c>
      <c r="P62" s="664" t="n"/>
      <c r="Q62" s="665" t="inlineStr">
        <is>
          <t>Permanent - Full Time</t>
        </is>
      </c>
      <c r="R62" s="666" t="n"/>
      <c r="S62" s="666" t="n"/>
      <c r="T62" s="667" t="n">
        <v>173230</v>
      </c>
      <c r="U62" s="679" t="n">
        <v>159371.6</v>
      </c>
      <c r="V62" s="669" t="n">
        <v>0.15</v>
      </c>
      <c r="W62" s="666" t="n"/>
      <c r="X62" s="670" t="n">
        <v>0.05</v>
      </c>
      <c r="Y62" s="918" t="n">
        <v>2910</v>
      </c>
      <c r="Z62" s="670" t="n">
        <v>0.03</v>
      </c>
      <c r="AA62" s="919">
        <f>U62*(1+V62+X62+Z62)+Y62</f>
        <v>198937.068</v>
      </c>
      <c r="AJ62" t="str">
        <f>IFERROR(INDEX(Lists!$U$1:$U$18,MATCH($I62,Lists!$T$1:$T$18,0)),"?")</f>
        <v>Ampol Retail</v>
      </c>
      <c r="AK62" t="str">
        <f>IF(LOWER($Q62)="v","Vacant",IF(LOWER($Q62)="pause","Paused",IF(LOWER($Q62)="cxc","Contractor",IF($Q62="Contractor","Contractor","Filled"))))</f>
        <v>Filled</v>
      </c>
      <c r="AL62" t="str">
        <f>IF($M62="NZ","NZ","AU")</f>
        <v>AU</v>
      </c>
      <c r="AM62">
        <f>COUNTIF($AJ$2:$AJ62,$AJ62)</f>
        <v>33.0</v>
      </c>
      <c r="AN62" t="str">
        <f>$AJ62&amp;"|"&amp;$AM62</f>
        <v>Ampol Retail|33</v>
      </c>
    </row>
    <row r="63" ht="18" customHeight="1" s="849">
      <c r="A63" s="659" t="n">
        <v>9999922690</v>
      </c>
      <c r="B63" s="660" t="inlineStr">
        <is>
          <t>Tim Gurnsey</t>
        </is>
      </c>
      <c r="C63" s="660" t="inlineStr">
        <is>
          <t>Delivery Lead</t>
        </is>
      </c>
      <c r="D63" s="662" t="inlineStr">
        <is>
          <t>Vacant</t>
        </is>
      </c>
      <c r="E63" s="660" t="inlineStr">
        <is>
          <t>Delivery Manager, Z and Retail Data</t>
        </is>
      </c>
      <c r="F63" s="661" t="inlineStr">
        <is>
          <t>Ampol Retail &amp; Z</t>
        </is>
      </c>
      <c r="G63" s="662" t="inlineStr">
        <is>
          <t>Z &amp; Group Retail</t>
        </is>
      </c>
      <c r="H63" s="660" t="inlineStr">
        <is>
          <t>Z &amp; Group Retail, Delivery</t>
        </is>
      </c>
      <c r="I63" s="660" t="inlineStr">
        <is>
          <t>Z</t>
        </is>
      </c>
      <c r="J63" s="662" t="inlineStr">
        <is>
          <t>Z Customer</t>
        </is>
      </c>
      <c r="K63" s="660" t="inlineStr">
        <is>
          <t>Site Systems</t>
        </is>
      </c>
      <c r="L63" s="662" t="n"/>
      <c r="M63" s="663" t="inlineStr">
        <is>
          <t>NZ</t>
        </is>
      </c>
      <c r="N63" s="664" t="inlineStr">
        <is>
          <t>CIC</t>
        </is>
      </c>
      <c r="O63" s="665" t="n">
        <v>1</v>
      </c>
      <c r="P63" s="664" t="n"/>
      <c r="Q63" s="664" t="inlineStr">
        <is>
          <t>Permanent - Full Time</t>
        </is>
      </c>
      <c r="R63" s="666" t="n"/>
      <c r="S63" s="666" t="n"/>
      <c r="T63" s="667" t="n">
        <v>189604</v>
      </c>
      <c r="U63" s="679" t="n">
        <v>189604</v>
      </c>
      <c r="V63" s="670" t="n">
        <v>0.14</v>
      </c>
      <c r="W63" s="921" t="n">
        <v>0.055</v>
      </c>
      <c r="X63" s="921" t="n">
        <v>0.12</v>
      </c>
      <c r="Y63" s="922" t="n"/>
      <c r="Z63" s="921" t="n">
        <v>0.04</v>
      </c>
      <c r="AA63" s="919">
        <f>U63*(1+V63+W63+X63+Y63+Z63)</f>
        <v>256913.41999999998</v>
      </c>
      <c r="AJ63" t="str">
        <f>IFERROR(INDEX(Lists!$U$1:$U$18,MATCH($I63,Lists!$T$1:$T$18,0)),"?")</f>
        <v>Z Retail</v>
      </c>
      <c r="AK63" t="str">
        <f>IF(LOWER($Q63)="v","Vacant",IF(LOWER($Q63)="pause","Paused",IF(LOWER($Q63)="cxc","Contractor",IF($Q63="Contractor","Contractor","Filled"))))</f>
        <v>Filled</v>
      </c>
      <c r="AL63" t="str">
        <f>IF($M63="NZ","NZ","AU")</f>
        <v>NZ</v>
      </c>
      <c r="AM63">
        <f>COUNTIF($AJ$2:$AJ63,$AJ63)</f>
        <v>29.0</v>
      </c>
      <c r="AN63" t="str">
        <f>$AJ63&amp;"|"&amp;$AM63</f>
        <v>Z Retail|29</v>
      </c>
    </row>
    <row r="64" ht="18" customHeight="1" s="849">
      <c r="A64" s="659" t="n">
        <v>95285</v>
      </c>
      <c r="B64" s="660" t="inlineStr">
        <is>
          <t>Tracy Lee Reaper</t>
        </is>
      </c>
      <c r="C64" s="660" t="inlineStr">
        <is>
          <t>Technology Manager, Merchandising &amp; WFM</t>
        </is>
      </c>
      <c r="D64" s="662" t="inlineStr">
        <is>
          <t>Madan Murthy</t>
        </is>
      </c>
      <c r="E64" s="660" t="inlineStr">
        <is>
          <t>Head of Technology,  Ampol Retail</t>
        </is>
      </c>
      <c r="F64" s="661" t="inlineStr">
        <is>
          <t>Ampol Retail &amp; Z</t>
        </is>
      </c>
      <c r="G64" s="662" t="inlineStr">
        <is>
          <t>Ampol Retail</t>
        </is>
      </c>
      <c r="H64" s="660" t="inlineStr">
        <is>
          <t>Ampol Retail, Merch &amp; RTA</t>
        </is>
      </c>
      <c r="I64" s="660" t="inlineStr">
        <is>
          <t>Retail</t>
        </is>
      </c>
      <c r="J64" s="662" t="inlineStr">
        <is>
          <t>Above Store</t>
        </is>
      </c>
      <c r="K64" s="662" t="inlineStr">
        <is>
          <t>Leadership</t>
        </is>
      </c>
      <c r="L64" s="662" t="n"/>
      <c r="M64" s="663" t="inlineStr">
        <is>
          <t>Australia</t>
        </is>
      </c>
      <c r="N64" s="664" t="inlineStr">
        <is>
          <t>CSB</t>
        </is>
      </c>
      <c r="O64" s="664" t="n">
        <v>1</v>
      </c>
      <c r="P64" s="664" t="n"/>
      <c r="Q64" s="665" t="inlineStr">
        <is>
          <t>Permanent - Full Time</t>
        </is>
      </c>
      <c r="R64" s="666" t="n"/>
      <c r="S64" s="666" t="n"/>
      <c r="T64" s="667" t="n">
        <v>195680</v>
      </c>
      <c r="U64" s="679" t="n">
        <v>180025.6</v>
      </c>
      <c r="V64" s="669" t="n">
        <v>0.15</v>
      </c>
      <c r="W64" s="666" t="n"/>
      <c r="X64" s="670" t="n">
        <v>0.05</v>
      </c>
      <c r="Y64" s="918" t="n">
        <v>2910</v>
      </c>
      <c r="Z64" s="670" t="n">
        <v>0.03</v>
      </c>
      <c r="AA64" s="919">
        <f>U64*(1+V64+X64+Z64)+Y64</f>
        <v>224341.488</v>
      </c>
      <c r="AJ64" t="str">
        <f>IFERROR(INDEX(Lists!$U$1:$U$18,MATCH($I64,Lists!$T$1:$T$18,0)),"?")</f>
        <v>Ampol Retail</v>
      </c>
      <c r="AK64" t="str">
        <f>IF(LOWER($Q64)="v","Vacant",IF(LOWER($Q64)="pause","Paused",IF(LOWER($Q64)="cxc","Contractor",IF($Q64="Contractor","Contractor","Filled"))))</f>
        <v>Filled</v>
      </c>
      <c r="AL64" t="str">
        <f>IF($M64="NZ","NZ","AU")</f>
        <v>AU</v>
      </c>
      <c r="AM64">
        <f>COUNTIF($AJ$2:$AJ64,$AJ64)</f>
        <v>34.0</v>
      </c>
      <c r="AN64" t="str">
        <f>$AJ64&amp;"|"&amp;$AM64</f>
        <v>Ampol Retail|34</v>
      </c>
    </row>
    <row r="65" ht="18" customHeight="1" s="849">
      <c r="A65" s="659" t="n">
        <v>99999101426</v>
      </c>
      <c r="B65" s="660" t="inlineStr">
        <is>
          <t>Trevor Weaver</t>
        </is>
      </c>
      <c r="C65" s="660" t="inlineStr">
        <is>
          <t>Lead  Engineer - Software</t>
        </is>
      </c>
      <c r="D65" s="660" t="inlineStr">
        <is>
          <t>Vacant</t>
        </is>
      </c>
      <c r="E65" s="660" t="inlineStr">
        <is>
          <t>Technology Manager, Engineering</t>
        </is>
      </c>
      <c r="F65" s="661" t="inlineStr">
        <is>
          <t>Ampol Retail &amp; Z</t>
        </is>
      </c>
      <c r="G65" s="660" t="inlineStr">
        <is>
          <t>Z &amp; Group Retail</t>
        </is>
      </c>
      <c r="H65" s="660" t="inlineStr">
        <is>
          <t>Z &amp; Group Retail, Engineering</t>
        </is>
      </c>
      <c r="I65" s="660" t="inlineStr">
        <is>
          <t>Z</t>
        </is>
      </c>
      <c r="J65" s="660" t="inlineStr">
        <is>
          <t>Z Customer</t>
        </is>
      </c>
      <c r="K65" s="660" t="inlineStr">
        <is>
          <t xml:space="preserve">Z Retail Backend </t>
        </is>
      </c>
      <c r="L65" s="662" t="n"/>
      <c r="M65" s="663" t="inlineStr">
        <is>
          <t>NZ</t>
        </is>
      </c>
      <c r="N65" s="664" t="inlineStr">
        <is>
          <t>CIC</t>
        </is>
      </c>
      <c r="O65" s="665" t="n">
        <v>1</v>
      </c>
      <c r="P65" s="666" t="n"/>
      <c r="Q65" s="666" t="inlineStr">
        <is>
          <t>Permanent - Full Time</t>
        </is>
      </c>
      <c r="R65" s="666" t="n"/>
      <c r="S65" s="666" t="n"/>
      <c r="T65" s="667" t="n">
        <v>133300</v>
      </c>
      <c r="U65" s="679" t="n">
        <v>133300</v>
      </c>
      <c r="V65" s="670" t="n">
        <v>0.1</v>
      </c>
      <c r="W65" s="921" t="n">
        <v>0.055</v>
      </c>
      <c r="X65" s="921" t="n">
        <v>0.12</v>
      </c>
      <c r="Y65" s="922" t="n"/>
      <c r="Z65" s="921" t="n">
        <v>0.04</v>
      </c>
      <c r="AA65" s="919">
        <f>U65*(1+V65+W65+X65+Y65+Z65)</f>
        <v>175289.5</v>
      </c>
      <c r="AJ65" t="str">
        <f>IFERROR(INDEX(Lists!$U$1:$U$18,MATCH($I65,Lists!$T$1:$T$18,0)),"?")</f>
        <v>Z Retail</v>
      </c>
      <c r="AK65" t="str">
        <f>IF(LOWER($Q65)="v","Vacant",IF(LOWER($Q65)="pause","Paused",IF(LOWER($Q65)="cxc","Contractor",IF($Q65="Contractor","Contractor","Filled"))))</f>
        <v>Filled</v>
      </c>
      <c r="AL65" t="str">
        <f>IF($M65="NZ","NZ","AU")</f>
        <v>NZ</v>
      </c>
      <c r="AM65">
        <f>COUNTIF($AJ$2:$AJ65,$AJ65)</f>
        <v>30.0</v>
      </c>
      <c r="AN65" t="str">
        <f>$AJ65&amp;"|"&amp;$AM65</f>
        <v>Z Retail|30</v>
      </c>
    </row>
    <row r="66" ht="18" customHeight="1" s="849">
      <c r="A66" s="659" t="n">
        <v>85136</v>
      </c>
      <c r="B66" s="660" t="inlineStr">
        <is>
          <t>Tuan Edwards</t>
        </is>
      </c>
      <c r="C66" s="660" t="inlineStr">
        <is>
          <t>Field Systems Operations Lead - QLD</t>
        </is>
      </c>
      <c r="D66" s="660" t="inlineStr">
        <is>
          <t>Ephraim Adan</t>
        </is>
      </c>
      <c r="E66" s="660" t="inlineStr">
        <is>
          <t>Manager, AU Retail Operations</t>
        </is>
      </c>
      <c r="F66" s="661" t="inlineStr">
        <is>
          <t>Ampol Retail &amp; Z</t>
        </is>
      </c>
      <c r="G66" s="662" t="inlineStr">
        <is>
          <t>Ampol Retail</t>
        </is>
      </c>
      <c r="H66" s="660" t="inlineStr">
        <is>
          <t>Ampol Retail, Technology</t>
        </is>
      </c>
      <c r="I66" s="660" t="inlineStr">
        <is>
          <t>Retail</t>
        </is>
      </c>
      <c r="J66" s="662" t="inlineStr">
        <is>
          <t>Store Operations</t>
        </is>
      </c>
      <c r="K66" s="660" t="inlineStr">
        <is>
          <t>Store Operations</t>
        </is>
      </c>
      <c r="L66" s="662" t="n"/>
      <c r="M66" s="663" t="inlineStr">
        <is>
          <t>Australia</t>
        </is>
      </c>
      <c r="N66" s="666" t="inlineStr">
        <is>
          <t>CIA</t>
        </is>
      </c>
      <c r="O66" s="666" t="n">
        <v>1</v>
      </c>
      <c r="P66" s="664" t="n"/>
      <c r="Q66" s="664" t="inlineStr">
        <is>
          <t>V</t>
        </is>
      </c>
      <c r="R66" s="666" t="n"/>
      <c r="S66" s="666" t="n"/>
      <c r="T66" s="667" t="n">
        <v>151950</v>
      </c>
      <c r="U66" s="679" t="n">
        <v>151950</v>
      </c>
      <c r="V66" s="670" t="n">
        <v>0.12</v>
      </c>
      <c r="W66" s="921" t="n">
        <v>0.055</v>
      </c>
      <c r="X66" s="921" t="n">
        <v>0.12</v>
      </c>
      <c r="Y66" s="922" t="n"/>
      <c r="Z66" s="921" t="n">
        <v>0.04</v>
      </c>
      <c r="AA66" s="919">
        <f>U66*(1+V66+W66+X66+Y66+Z66)</f>
        <v>202853.25</v>
      </c>
      <c r="AJ66" t="str">
        <f>IFERROR(INDEX(Lists!$U$1:$U$18,MATCH($I66,Lists!$T$1:$T$18,0)),"?")</f>
        <v>Ampol Retail</v>
      </c>
      <c r="AK66" t="str">
        <f>IF(LOWER($Q66)="v","Vacant",IF(LOWER($Q66)="pause","Paused",IF(LOWER($Q66)="cxc","Contractor",IF($Q66="Contractor","Contractor","Filled"))))</f>
        <v>Vacant</v>
      </c>
      <c r="AL66" t="str">
        <f>IF($M66="NZ","NZ","AU")</f>
        <v>AU</v>
      </c>
      <c r="AM66">
        <f>COUNTIF($AJ$2:$AJ66,$AJ66)</f>
        <v>35.0</v>
      </c>
      <c r="AN66" t="str">
        <f>$AJ66&amp;"|"&amp;$AM66</f>
        <v>Ampol Retail|35</v>
      </c>
    </row>
    <row r="67" ht="18" customHeight="1" s="849">
      <c r="A67" s="659" t="inlineStr">
        <is>
          <t>V</t>
        </is>
      </c>
      <c r="B67" s="660" t="inlineStr">
        <is>
          <t>Vacant</t>
        </is>
      </c>
      <c r="C67" s="660" t="inlineStr">
        <is>
          <t>Business Analyst</t>
        </is>
      </c>
      <c r="D67" s="660" t="inlineStr">
        <is>
          <t>Vanessa Allen</t>
        </is>
      </c>
      <c r="E67" s="660" t="inlineStr">
        <is>
          <t>Delivery Manager, Ampol Retail</t>
        </is>
      </c>
      <c r="F67" s="661" t="inlineStr">
        <is>
          <t>Ampol Retail &amp; Z</t>
        </is>
      </c>
      <c r="G67" s="662" t="inlineStr">
        <is>
          <t>Ampol Retail</t>
        </is>
      </c>
      <c r="H67" s="660" t="inlineStr">
        <is>
          <t>Ampol Retail, Delivery</t>
        </is>
      </c>
      <c r="I67" s="660" t="inlineStr">
        <is>
          <t>Retail</t>
        </is>
      </c>
      <c r="J67" s="662" t="inlineStr">
        <is>
          <t>Above Store</t>
        </is>
      </c>
      <c r="K67" s="662" t="inlineStr">
        <is>
          <t>Above Store</t>
        </is>
      </c>
      <c r="L67" s="662" t="n"/>
      <c r="M67" s="663" t="inlineStr">
        <is>
          <t>Australia</t>
        </is>
      </c>
      <c r="N67" s="664" t="inlineStr">
        <is>
          <t>CIB</t>
        </is>
      </c>
      <c r="O67" s="664" t="n">
        <v>1</v>
      </c>
      <c r="P67" s="664" t="n"/>
      <c r="Q67" s="664" t="inlineStr">
        <is>
          <t>V</t>
        </is>
      </c>
      <c r="R67" s="666" t="n"/>
      <c r="S67" s="666" t="n"/>
      <c r="T67" s="667" t="n">
        <v>151950</v>
      </c>
      <c r="U67" s="679" t="n">
        <v>151950</v>
      </c>
      <c r="V67" s="670" t="n">
        <v>0.12</v>
      </c>
      <c r="W67" s="921" t="n">
        <v>0.055</v>
      </c>
      <c r="X67" s="921" t="n">
        <v>0.12</v>
      </c>
      <c r="Y67" s="922" t="n"/>
      <c r="Z67" s="921" t="n">
        <v>0.04</v>
      </c>
      <c r="AA67" s="919">
        <f>U67*(1+V67+W67+X67+Y67+Z67)</f>
        <v>202853.25</v>
      </c>
      <c r="AJ67" t="str">
        <f>IFERROR(INDEX(Lists!$U$1:$U$18,MATCH($I67,Lists!$T$1:$T$18,0)),"?")</f>
        <v>Ampol Retail</v>
      </c>
      <c r="AK67" t="str">
        <f>IF(LOWER($Q67)="v","Vacant",IF(LOWER($Q67)="pause","Paused",IF(LOWER($Q67)="cxc","Contractor",IF($Q67="Contractor","Contractor","Filled"))))</f>
        <v>Vacant</v>
      </c>
      <c r="AL67" t="str">
        <f>IF($M67="NZ","NZ","AU")</f>
        <v>AU</v>
      </c>
      <c r="AM67">
        <f>COUNTIF($AJ$2:$AJ67,$AJ67)</f>
        <v>36.0</v>
      </c>
      <c r="AN67" t="str">
        <f>$AJ67&amp;"|"&amp;$AM67</f>
        <v>Ampol Retail|36</v>
      </c>
    </row>
    <row r="68" ht="18" customHeight="1" s="849">
      <c r="A68" s="659" t="inlineStr">
        <is>
          <t>V</t>
        </is>
      </c>
      <c r="B68" s="660" t="inlineStr">
        <is>
          <t>Vacant</t>
        </is>
      </c>
      <c r="C68" s="660" t="inlineStr">
        <is>
          <t>Business Analyst</t>
        </is>
      </c>
      <c r="D68" s="660" t="inlineStr">
        <is>
          <t>Vanessa Allen</t>
        </is>
      </c>
      <c r="E68" s="660" t="inlineStr">
        <is>
          <t>Delivery Manager, Ampol Retail</t>
        </is>
      </c>
      <c r="F68" s="661" t="inlineStr">
        <is>
          <t>Ampol Retail &amp; Z</t>
        </is>
      </c>
      <c r="G68" s="662" t="inlineStr">
        <is>
          <t>Ampol Retail</t>
        </is>
      </c>
      <c r="H68" s="660" t="inlineStr">
        <is>
          <t>Ampol Retail, Delivery</t>
        </is>
      </c>
      <c r="I68" s="660" t="inlineStr">
        <is>
          <t>Retail</t>
        </is>
      </c>
      <c r="J68" s="662" t="inlineStr">
        <is>
          <t>Network/QSR</t>
        </is>
      </c>
      <c r="K68" s="660" t="inlineStr">
        <is>
          <t>Network &amp; QSR</t>
        </is>
      </c>
      <c r="L68" s="662" t="n"/>
      <c r="M68" s="663" t="inlineStr">
        <is>
          <t>Australia</t>
        </is>
      </c>
      <c r="N68" s="664" t="inlineStr">
        <is>
          <t>CIB</t>
        </is>
      </c>
      <c r="O68" s="664" t="n">
        <v>1</v>
      </c>
      <c r="P68" s="664" t="n"/>
      <c r="Q68" s="664" t="inlineStr">
        <is>
          <t>V</t>
        </is>
      </c>
      <c r="R68" s="666" t="n"/>
      <c r="S68" s="666" t="n"/>
      <c r="T68" s="667" t="n">
        <v>151950</v>
      </c>
      <c r="U68" s="679" t="n">
        <v>151950</v>
      </c>
      <c r="V68" s="670" t="n">
        <v>0.12</v>
      </c>
      <c r="W68" s="921" t="n">
        <v>0.055</v>
      </c>
      <c r="X68" s="921" t="n">
        <v>0.12</v>
      </c>
      <c r="Y68" s="922" t="n"/>
      <c r="Z68" s="921" t="n">
        <v>0.04</v>
      </c>
      <c r="AA68" s="919">
        <f>U68*(1+V68+W68+X68+Y68+Z68)</f>
        <v>202853.25</v>
      </c>
      <c r="AJ68" t="str">
        <f>IFERROR(INDEX(Lists!$U$1:$U$18,MATCH($I68,Lists!$T$1:$T$18,0)),"?")</f>
        <v>Ampol Retail</v>
      </c>
      <c r="AK68" t="str">
        <f>IF(LOWER($Q68)="v","Vacant",IF(LOWER($Q68)="pause","Paused",IF(LOWER($Q68)="cxc","Contractor",IF($Q68="Contractor","Contractor","Filled"))))</f>
        <v>Vacant</v>
      </c>
      <c r="AL68" t="str">
        <f>IF($M68="NZ","NZ","AU")</f>
        <v>AU</v>
      </c>
      <c r="AM68">
        <f>COUNTIF($AJ$2:$AJ68,$AJ68)</f>
        <v>37.0</v>
      </c>
      <c r="AN68" t="str">
        <f>$AJ68&amp;"|"&amp;$AM68</f>
        <v>Ampol Retail|37</v>
      </c>
    </row>
    <row r="69" ht="18" customHeight="1" s="849">
      <c r="A69" s="659" t="inlineStr">
        <is>
          <t>V</t>
        </is>
      </c>
      <c r="B69" s="660" t="inlineStr">
        <is>
          <t>Vacant</t>
        </is>
      </c>
      <c r="C69" s="660" t="inlineStr">
        <is>
          <t>Business Analyst</t>
        </is>
      </c>
      <c r="D69" s="660" t="inlineStr">
        <is>
          <t>Vanessa Allen</t>
        </is>
      </c>
      <c r="E69" s="660" t="inlineStr">
        <is>
          <t>Delivery Manager, Ampol Retail</t>
        </is>
      </c>
      <c r="F69" s="661" t="inlineStr">
        <is>
          <t>Ampol Retail &amp; Z</t>
        </is>
      </c>
      <c r="G69" s="662" t="inlineStr">
        <is>
          <t>Ampol Retail</t>
        </is>
      </c>
      <c r="H69" s="660" t="inlineStr">
        <is>
          <t>Ampol Retail, Delivery</t>
        </is>
      </c>
      <c r="I69" s="660" t="inlineStr">
        <is>
          <t>Retail</t>
        </is>
      </c>
      <c r="J69" s="662" t="inlineStr">
        <is>
          <t>Store Operations</t>
        </is>
      </c>
      <c r="K69" s="660" t="inlineStr">
        <is>
          <t>POS</t>
        </is>
      </c>
      <c r="L69" s="662" t="n"/>
      <c r="M69" s="663" t="inlineStr">
        <is>
          <t>Australia</t>
        </is>
      </c>
      <c r="N69" s="664" t="inlineStr">
        <is>
          <t>CIB</t>
        </is>
      </c>
      <c r="O69" s="664" t="n">
        <v>1</v>
      </c>
      <c r="P69" s="664" t="n"/>
      <c r="Q69" s="664" t="inlineStr">
        <is>
          <t>v</t>
        </is>
      </c>
      <c r="R69" s="666" t="n"/>
      <c r="S69" s="666" t="n"/>
      <c r="T69" s="667" t="n">
        <v>129659</v>
      </c>
      <c r="U69" s="679" t="n">
        <v>129659</v>
      </c>
      <c r="V69" s="670" t="n">
        <v>0.1</v>
      </c>
      <c r="W69" s="921" t="n">
        <v>0.055</v>
      </c>
      <c r="X69" s="921" t="n">
        <v>0.12</v>
      </c>
      <c r="Y69" s="922" t="n"/>
      <c r="Z69" s="921" t="n">
        <v>0.04</v>
      </c>
      <c r="AA69" s="919">
        <f>U69*(1+V69+W69+X69+Y69+Z69)</f>
        <v>170501.585</v>
      </c>
      <c r="AJ69" t="str">
        <f>IFERROR(INDEX(Lists!$U$1:$U$18,MATCH($I69,Lists!$T$1:$T$18,0)),"?")</f>
        <v>Ampol Retail</v>
      </c>
      <c r="AK69" t="str">
        <f>IF(LOWER($Q69)="v","Vacant",IF(LOWER($Q69)="pause","Paused",IF(LOWER($Q69)="cxc","Contractor",IF($Q69="Contractor","Contractor","Filled"))))</f>
        <v>Vacant</v>
      </c>
      <c r="AL69" t="str">
        <f>IF($M69="NZ","NZ","AU")</f>
        <v>AU</v>
      </c>
      <c r="AM69">
        <f>COUNTIF($AJ$2:$AJ69,$AJ69)</f>
        <v>38.0</v>
      </c>
      <c r="AN69" t="str">
        <f>$AJ69&amp;"|"&amp;$AM69</f>
        <v>Ampol Retail|38</v>
      </c>
    </row>
    <row r="70" ht="18" customHeight="1" s="849">
      <c r="A70" s="659" t="inlineStr">
        <is>
          <t>V</t>
        </is>
      </c>
      <c r="B70" s="660" t="inlineStr">
        <is>
          <t>Vacant</t>
        </is>
      </c>
      <c r="C70" s="660" t="inlineStr">
        <is>
          <t>Data Analyst</t>
        </is>
      </c>
      <c r="D70" s="662" t="inlineStr">
        <is>
          <t>Vacant</t>
        </is>
      </c>
      <c r="E70" s="660" t="inlineStr">
        <is>
          <t>Technology Manager, Data</t>
        </is>
      </c>
      <c r="F70" s="661" t="inlineStr">
        <is>
          <t>Ampol Retail &amp; Z</t>
        </is>
      </c>
      <c r="G70" s="662" t="inlineStr">
        <is>
          <t>Z &amp; Group Retail</t>
        </is>
      </c>
      <c r="H70" s="660" t="inlineStr">
        <is>
          <t>Z &amp; Group Retail, Data</t>
        </is>
      </c>
      <c r="I70" s="660" t="inlineStr">
        <is>
          <t>Retail</t>
        </is>
      </c>
      <c r="J70" s="662" t="inlineStr">
        <is>
          <t>(All Retail)</t>
        </is>
      </c>
      <c r="K70" s="660" t="inlineStr">
        <is>
          <t>Data - AU</t>
        </is>
      </c>
      <c r="L70" s="662" t="n"/>
      <c r="M70" s="663" t="inlineStr">
        <is>
          <t>Australia</t>
        </is>
      </c>
      <c r="N70" s="664" t="inlineStr">
        <is>
          <t>CIB</t>
        </is>
      </c>
      <c r="O70" s="664" t="n">
        <v>1</v>
      </c>
      <c r="P70" s="664" t="n"/>
      <c r="Q70" s="664" t="inlineStr">
        <is>
          <t>V</t>
        </is>
      </c>
      <c r="R70" s="666" t="n"/>
      <c r="S70" s="666" t="n"/>
      <c r="T70" s="667" t="n">
        <v>151000</v>
      </c>
      <c r="U70" s="679" t="n">
        <v>151000</v>
      </c>
      <c r="V70" s="670" t="n">
        <v>0.12</v>
      </c>
      <c r="W70" s="921" t="n">
        <v>0.055</v>
      </c>
      <c r="X70" s="921" t="n">
        <v>0.12</v>
      </c>
      <c r="Y70" s="922" t="n"/>
      <c r="Z70" s="921" t="n">
        <v>0.04</v>
      </c>
      <c r="AA70" s="919">
        <f>U70*(1+V70+W70+X70+Y70+Z70)</f>
        <v>201585.0</v>
      </c>
      <c r="AJ70" t="str">
        <f>IFERROR(INDEX(Lists!$U$1:$U$18,MATCH($I70,Lists!$T$1:$T$18,0)),"?")</f>
        <v>Ampol Retail</v>
      </c>
      <c r="AK70" t="str">
        <f>IF(LOWER($Q70)="v","Vacant",IF(LOWER($Q70)="pause","Paused",IF(LOWER($Q70)="cxc","Contractor",IF($Q70="Contractor","Contractor","Filled"))))</f>
        <v>Vacant</v>
      </c>
      <c r="AL70" t="str">
        <f>IF($M70="NZ","NZ","AU")</f>
        <v>AU</v>
      </c>
      <c r="AM70">
        <f>COUNTIF($AJ$2:$AJ70,$AJ70)</f>
        <v>39.0</v>
      </c>
      <c r="AN70" t="str">
        <f>$AJ70&amp;"|"&amp;$AM70</f>
        <v>Ampol Retail|39</v>
      </c>
    </row>
    <row r="71" ht="18" customHeight="1" s="849">
      <c r="A71" s="659" t="inlineStr">
        <is>
          <t>V</t>
        </is>
      </c>
      <c r="B71" s="660" t="inlineStr">
        <is>
          <t>Vacant</t>
        </is>
      </c>
      <c r="C71" s="660" t="inlineStr">
        <is>
          <t>Data Analyst</t>
        </is>
      </c>
      <c r="D71" s="662" t="inlineStr">
        <is>
          <t>Vacant</t>
        </is>
      </c>
      <c r="E71" s="660" t="inlineStr">
        <is>
          <t>Technology Manager, Data</t>
        </is>
      </c>
      <c r="F71" s="661" t="inlineStr">
        <is>
          <t>Ampol Retail &amp; Z</t>
        </is>
      </c>
      <c r="G71" s="662" t="inlineStr">
        <is>
          <t>Z &amp; Group Retail</t>
        </is>
      </c>
      <c r="H71" s="660" t="inlineStr">
        <is>
          <t>Z &amp; Group Retail, Data</t>
        </is>
      </c>
      <c r="I71" s="660" t="inlineStr">
        <is>
          <t>Retail</t>
        </is>
      </c>
      <c r="J71" s="662" t="inlineStr">
        <is>
          <t>(All Retail)</t>
        </is>
      </c>
      <c r="K71" s="660" t="inlineStr">
        <is>
          <t>Data - AU</t>
        </is>
      </c>
      <c r="L71" s="662" t="n"/>
      <c r="M71" s="663" t="inlineStr">
        <is>
          <t>Australia</t>
        </is>
      </c>
      <c r="N71" s="664" t="inlineStr">
        <is>
          <t>CIB</t>
        </is>
      </c>
      <c r="O71" s="664" t="n">
        <v>1</v>
      </c>
      <c r="P71" s="664" t="n"/>
      <c r="Q71" s="664" t="inlineStr">
        <is>
          <t>V</t>
        </is>
      </c>
      <c r="R71" s="666" t="n"/>
      <c r="S71" s="666" t="n"/>
      <c r="T71" s="667" t="n">
        <v>173550</v>
      </c>
      <c r="U71" s="679" t="n">
        <v>173550</v>
      </c>
      <c r="V71" s="670" t="n">
        <v>0.12</v>
      </c>
      <c r="W71" s="921" t="n">
        <v>0.055</v>
      </c>
      <c r="X71" s="921" t="n">
        <v>0.12</v>
      </c>
      <c r="Y71" s="922" t="n"/>
      <c r="Z71" s="921" t="n">
        <v>0.04</v>
      </c>
      <c r="AA71" s="919">
        <f>U71*(1+V71+W71+X71+Y71+Z71)</f>
        <v>231689.25</v>
      </c>
      <c r="AJ71" t="str">
        <f>IFERROR(INDEX(Lists!$U$1:$U$18,MATCH($I71,Lists!$T$1:$T$18,0)),"?")</f>
        <v>Ampol Retail</v>
      </c>
      <c r="AK71" t="str">
        <f>IF(LOWER($Q71)="v","Vacant",IF(LOWER($Q71)="pause","Paused",IF(LOWER($Q71)="cxc","Contractor",IF($Q71="Contractor","Contractor","Filled"))))</f>
        <v>Vacant</v>
      </c>
      <c r="AL71" t="str">
        <f>IF($M71="NZ","NZ","AU")</f>
        <v>AU</v>
      </c>
      <c r="AM71">
        <f>COUNTIF($AJ$2:$AJ71,$AJ71)</f>
        <v>40.0</v>
      </c>
      <c r="AN71" t="str">
        <f>$AJ71&amp;"|"&amp;$AM71</f>
        <v>Ampol Retail|40</v>
      </c>
    </row>
    <row r="72" ht="18" customFormat="1" customHeight="1" s="708">
      <c r="A72" s="659" t="inlineStr">
        <is>
          <t>V</t>
        </is>
      </c>
      <c r="B72" s="660" t="inlineStr">
        <is>
          <t>Vacant</t>
        </is>
      </c>
      <c r="C72" s="660" t="inlineStr">
        <is>
          <t>Delivery Lead</t>
        </is>
      </c>
      <c r="D72" s="662" t="inlineStr">
        <is>
          <t>Vacant</t>
        </is>
      </c>
      <c r="E72" s="707" t="inlineStr">
        <is>
          <t>Delivery Manager, Z and Retail Data</t>
        </is>
      </c>
      <c r="F72" s="661" t="inlineStr">
        <is>
          <t>Ampol Retail &amp; Z</t>
        </is>
      </c>
      <c r="G72" s="662" t="inlineStr">
        <is>
          <t>Z &amp; Group Retail</t>
        </is>
      </c>
      <c r="H72" s="660" t="inlineStr">
        <is>
          <t>Z &amp; Group Retail, Delivery</t>
        </is>
      </c>
      <c r="I72" s="660" t="inlineStr">
        <is>
          <t>Retail</t>
        </is>
      </c>
      <c r="J72" s="662" t="inlineStr">
        <is>
          <t>(All Retail)</t>
        </is>
      </c>
      <c r="K72" s="660" t="inlineStr">
        <is>
          <t>Data - AU</t>
        </is>
      </c>
      <c r="L72" s="662" t="n"/>
      <c r="M72" s="663" t="inlineStr">
        <is>
          <t>Australia</t>
        </is>
      </c>
      <c r="N72" s="664" t="inlineStr">
        <is>
          <t>CIC</t>
        </is>
      </c>
      <c r="O72" s="664" t="n">
        <v>1</v>
      </c>
      <c r="P72" s="664" t="n"/>
      <c r="Q72" s="664" t="inlineStr">
        <is>
          <t>V</t>
        </is>
      </c>
      <c r="R72" s="666" t="n"/>
      <c r="S72" s="666" t="n"/>
      <c r="T72" s="667" t="n">
        <v>151950</v>
      </c>
      <c r="U72" s="679" t="n">
        <v>151950</v>
      </c>
      <c r="V72" s="670" t="n">
        <v>0.12</v>
      </c>
      <c r="W72" s="921" t="n">
        <v>0.055</v>
      </c>
      <c r="X72" s="921" t="n">
        <v>0.12</v>
      </c>
      <c r="Y72" s="922" t="n"/>
      <c r="Z72" s="921" t="n">
        <v>0.04</v>
      </c>
      <c r="AA72" s="919">
        <f>U72*(1+V72+W72+X72+Y72+Z72)</f>
        <v>202853.25</v>
      </c>
      <c r="AB72" s="673" t="n"/>
      <c r="AC72" s="673" t="n"/>
      <c r="AH72" s="673" t="n"/>
      <c r="AJ72" t="str">
        <f>IFERROR(INDEX(Lists!$U$1:$U$18,MATCH($I72,Lists!$T$1:$T$18,0)),"?")</f>
        <v>Ampol Retail</v>
      </c>
      <c r="AK72" t="str">
        <f>IF(LOWER($Q72)="v","Vacant",IF(LOWER($Q72)="pause","Paused",IF(LOWER($Q72)="cxc","Contractor",IF($Q72="Contractor","Contractor","Filled"))))</f>
        <v>Vacant</v>
      </c>
      <c r="AL72" t="str">
        <f>IF($M72="NZ","NZ","AU")</f>
        <v>AU</v>
      </c>
      <c r="AM72">
        <f>COUNTIF($AJ$2:$AJ72,$AJ72)</f>
        <v>41.0</v>
      </c>
      <c r="AN72" t="str">
        <f>$AJ72&amp;"|"&amp;$AM72</f>
        <v>Ampol Retail|41</v>
      </c>
    </row>
    <row r="73" ht="18" customHeight="1" s="849">
      <c r="A73" s="659" t="inlineStr">
        <is>
          <t>V</t>
        </is>
      </c>
      <c r="B73" s="660" t="inlineStr">
        <is>
          <t>Vacant</t>
        </is>
      </c>
      <c r="C73" s="660" t="inlineStr">
        <is>
          <t>Delivery Lead</t>
        </is>
      </c>
      <c r="D73" s="662" t="inlineStr">
        <is>
          <t>Vacant</t>
        </is>
      </c>
      <c r="E73" s="660" t="inlineStr">
        <is>
          <t>Delivery Manager, Z and Retail Data</t>
        </is>
      </c>
      <c r="F73" s="661" t="inlineStr">
        <is>
          <t>Ampol Retail &amp; Z</t>
        </is>
      </c>
      <c r="G73" s="662" t="inlineStr">
        <is>
          <t>Z &amp; Group Retail</t>
        </is>
      </c>
      <c r="H73" s="660" t="inlineStr">
        <is>
          <t>Z &amp; Group Retail, Delivery</t>
        </is>
      </c>
      <c r="I73" s="660" t="inlineStr">
        <is>
          <t>Z</t>
        </is>
      </c>
      <c r="J73" s="662" t="inlineStr">
        <is>
          <t>Z Customer &amp; Z Supply</t>
        </is>
      </c>
      <c r="K73" s="660" t="inlineStr">
        <is>
          <t>Data - NZ</t>
        </is>
      </c>
      <c r="L73" s="662" t="n"/>
      <c r="M73" s="663" t="inlineStr">
        <is>
          <t>Australia</t>
        </is>
      </c>
      <c r="N73" s="664" t="inlineStr">
        <is>
          <t>CIC</t>
        </is>
      </c>
      <c r="O73" s="664" t="n">
        <v>1</v>
      </c>
      <c r="P73" s="664" t="n"/>
      <c r="Q73" s="664" t="inlineStr">
        <is>
          <t>V</t>
        </is>
      </c>
      <c r="R73" s="666" t="n"/>
      <c r="S73" s="666" t="n"/>
      <c r="T73" s="667" t="n">
        <v>203550</v>
      </c>
      <c r="U73" s="679" t="n">
        <v>203550</v>
      </c>
      <c r="V73" s="670" t="n">
        <v>0.14</v>
      </c>
      <c r="W73" s="921" t="n">
        <v>0.055</v>
      </c>
      <c r="X73" s="921" t="n">
        <v>0.12</v>
      </c>
      <c r="Y73" s="922" t="n"/>
      <c r="Z73" s="921" t="n">
        <v>0.04</v>
      </c>
      <c r="AA73" s="919">
        <f>U73*(1+V73+W73+X73+Y73+Z73)</f>
        <v>275810.25</v>
      </c>
      <c r="AJ73" t="str">
        <f>IFERROR(INDEX(Lists!$U$1:$U$18,MATCH($I73,Lists!$T$1:$T$18,0)),"?")</f>
        <v>Z Retail</v>
      </c>
      <c r="AK73" t="str">
        <f>IF(LOWER($Q73)="v","Vacant",IF(LOWER($Q73)="pause","Paused",IF(LOWER($Q73)="cxc","Contractor",IF($Q73="Contractor","Contractor","Filled"))))</f>
        <v>Vacant</v>
      </c>
      <c r="AL73" t="str">
        <f>IF($M73="NZ","NZ","AU")</f>
        <v>AU</v>
      </c>
      <c r="AM73">
        <f>COUNTIF($AJ$2:$AJ73,$AJ73)</f>
        <v>31.0</v>
      </c>
      <c r="AN73" t="str">
        <f>$AJ73&amp;"|"&amp;$AM73</f>
        <v>Z Retail|31</v>
      </c>
    </row>
    <row r="74" ht="18" customHeight="1" s="849">
      <c r="A74" s="659" t="inlineStr">
        <is>
          <t>V</t>
        </is>
      </c>
      <c r="B74" s="660" t="inlineStr">
        <is>
          <t>Vacant</t>
        </is>
      </c>
      <c r="C74" s="660" t="inlineStr">
        <is>
          <t>Delivery Manager</t>
        </is>
      </c>
      <c r="D74" s="662" t="inlineStr">
        <is>
          <t>Vacant</t>
        </is>
      </c>
      <c r="E74" s="660" t="inlineStr">
        <is>
          <t>Head of Technology, Z and Group Retail Platforms</t>
        </is>
      </c>
      <c r="F74" s="661" t="inlineStr">
        <is>
          <t>Ampol Retail &amp; Z</t>
        </is>
      </c>
      <c r="G74" s="662" t="inlineStr">
        <is>
          <t>Z &amp; Group Retail</t>
        </is>
      </c>
      <c r="H74" s="662" t="inlineStr">
        <is>
          <t>Z &amp; Group Retail, Delivery</t>
        </is>
      </c>
      <c r="I74" s="662" t="inlineStr">
        <is>
          <t>Z</t>
        </is>
      </c>
      <c r="J74" s="660" t="inlineStr">
        <is>
          <t>Z Customer &amp; Z Supply</t>
        </is>
      </c>
      <c r="K74" s="662" t="inlineStr">
        <is>
          <t>Leadership</t>
        </is>
      </c>
      <c r="L74" s="662" t="n"/>
      <c r="M74" s="663" t="inlineStr">
        <is>
          <t>Australia</t>
        </is>
      </c>
      <c r="N74" s="664" t="inlineStr">
        <is>
          <t>CSB</t>
        </is>
      </c>
      <c r="O74" s="664" t="n">
        <v>1</v>
      </c>
      <c r="P74" s="664" t="n"/>
      <c r="Q74" s="664" t="inlineStr">
        <is>
          <t>V</t>
        </is>
      </c>
      <c r="R74" s="666" t="n"/>
      <c r="S74" s="666" t="n"/>
      <c r="T74" s="667" t="n">
        <v>151950</v>
      </c>
      <c r="U74" s="679" t="n">
        <v>151950</v>
      </c>
      <c r="V74" s="670" t="n">
        <v>0.12</v>
      </c>
      <c r="W74" s="921" t="n">
        <v>0.055</v>
      </c>
      <c r="X74" s="921" t="n">
        <v>0.12</v>
      </c>
      <c r="Y74" s="922" t="n"/>
      <c r="Z74" s="921" t="n">
        <v>0.04</v>
      </c>
      <c r="AA74" s="919">
        <f>U74*(1+V74+W74+X74+Y74+Z74)</f>
        <v>202853.25</v>
      </c>
      <c r="AJ74" t="str">
        <f>IFERROR(INDEX(Lists!$U$1:$U$18,MATCH($I74,Lists!$T$1:$T$18,0)),"?")</f>
        <v>Z Retail</v>
      </c>
      <c r="AK74" t="str">
        <f>IF(LOWER($Q74)="v","Vacant",IF(LOWER($Q74)="pause","Paused",IF(LOWER($Q74)="cxc","Contractor",IF($Q74="Contractor","Contractor","Filled"))))</f>
        <v>Vacant</v>
      </c>
      <c r="AL74" t="str">
        <f>IF($M74="NZ","NZ","AU")</f>
        <v>AU</v>
      </c>
      <c r="AM74">
        <f>COUNTIF($AJ$2:$AJ74,$AJ74)</f>
        <v>32.0</v>
      </c>
      <c r="AN74" t="str">
        <f>$AJ74&amp;"|"&amp;$AM74</f>
        <v>Z Retail|32</v>
      </c>
    </row>
    <row r="75" ht="18" customHeight="1" s="849">
      <c r="A75" s="659" t="inlineStr">
        <is>
          <t>V</t>
        </is>
      </c>
      <c r="B75" s="660" t="inlineStr">
        <is>
          <t>Vacant</t>
        </is>
      </c>
      <c r="C75" s="660" t="inlineStr">
        <is>
          <t>Engineer - Data</t>
        </is>
      </c>
      <c r="D75" s="662" t="inlineStr">
        <is>
          <t>Vacant</t>
        </is>
      </c>
      <c r="E75" s="707" t="inlineStr">
        <is>
          <t>Technology Manager, Data</t>
        </is>
      </c>
      <c r="F75" s="661" t="inlineStr">
        <is>
          <t>Ampol Retail &amp; Z</t>
        </is>
      </c>
      <c r="G75" s="662" t="inlineStr">
        <is>
          <t>Z &amp; Group Retail</t>
        </is>
      </c>
      <c r="H75" s="660" t="inlineStr">
        <is>
          <t>Z &amp; Group Retail, Data</t>
        </is>
      </c>
      <c r="I75" s="660" t="inlineStr">
        <is>
          <t>Retail</t>
        </is>
      </c>
      <c r="J75" s="662" t="inlineStr">
        <is>
          <t>(All Retail)</t>
        </is>
      </c>
      <c r="K75" s="660" t="inlineStr">
        <is>
          <t>Data - AU</t>
        </is>
      </c>
      <c r="L75" s="662" t="n"/>
      <c r="M75" s="663" t="inlineStr">
        <is>
          <t>Australia</t>
        </is>
      </c>
      <c r="N75" s="664" t="inlineStr">
        <is>
          <t>CIB</t>
        </is>
      </c>
      <c r="O75" s="664" t="n">
        <v>1</v>
      </c>
      <c r="P75" s="664" t="n"/>
      <c r="Q75" s="664" t="inlineStr">
        <is>
          <t>V</t>
        </is>
      </c>
      <c r="R75" s="666" t="n"/>
      <c r="S75" s="666" t="n"/>
      <c r="T75" s="667" t="n">
        <v>151950</v>
      </c>
      <c r="U75" s="679" t="n">
        <v>151950</v>
      </c>
      <c r="V75" s="670" t="n">
        <v>0.12</v>
      </c>
      <c r="W75" s="921" t="n">
        <v>0.055</v>
      </c>
      <c r="X75" s="921" t="n">
        <v>0.12</v>
      </c>
      <c r="Y75" s="922" t="n"/>
      <c r="Z75" s="921" t="n">
        <v>0.04</v>
      </c>
      <c r="AA75" s="919">
        <f>U75*(1+V75+W75+X75+Y75+Z75)</f>
        <v>202853.25</v>
      </c>
      <c r="AJ75" t="str">
        <f>IFERROR(INDEX(Lists!$U$1:$U$18,MATCH($I75,Lists!$T$1:$T$18,0)),"?")</f>
        <v>Ampol Retail</v>
      </c>
      <c r="AK75" t="str">
        <f>IF(LOWER($Q75)="v","Vacant",IF(LOWER($Q75)="pause","Paused",IF(LOWER($Q75)="cxc","Contractor",IF($Q75="Contractor","Contractor","Filled"))))</f>
        <v>Vacant</v>
      </c>
      <c r="AL75" t="str">
        <f>IF($M75="NZ","NZ","AU")</f>
        <v>AU</v>
      </c>
      <c r="AM75">
        <f>COUNTIF($AJ$2:$AJ75,$AJ75)</f>
        <v>42.0</v>
      </c>
      <c r="AN75" t="str">
        <f>$AJ75&amp;"|"&amp;$AM75</f>
        <v>Ampol Retail|42</v>
      </c>
    </row>
    <row r="76" ht="18" customHeight="1" s="849">
      <c r="A76" s="659" t="inlineStr">
        <is>
          <t>V</t>
        </is>
      </c>
      <c r="B76" s="660" t="inlineStr">
        <is>
          <t>Vacant</t>
        </is>
      </c>
      <c r="C76" s="660" t="inlineStr">
        <is>
          <t>Engineer - Data</t>
        </is>
      </c>
      <c r="D76" s="662" t="inlineStr">
        <is>
          <t>Vacant</t>
        </is>
      </c>
      <c r="E76" s="660" t="inlineStr">
        <is>
          <t>Technology Manager, Data</t>
        </is>
      </c>
      <c r="F76" s="661" t="inlineStr">
        <is>
          <t>Ampol Retail &amp; Z</t>
        </is>
      </c>
      <c r="G76" s="662" t="inlineStr">
        <is>
          <t>Z &amp; Group Retail</t>
        </is>
      </c>
      <c r="H76" s="660" t="inlineStr">
        <is>
          <t>Z &amp; Group Retail, Data</t>
        </is>
      </c>
      <c r="I76" s="660" t="inlineStr">
        <is>
          <t>Retail</t>
        </is>
      </c>
      <c r="J76" s="662" t="inlineStr">
        <is>
          <t>(All Retail)</t>
        </is>
      </c>
      <c r="K76" s="660" t="inlineStr">
        <is>
          <t>Data - AU</t>
        </is>
      </c>
      <c r="L76" s="662" t="n"/>
      <c r="M76" s="663" t="inlineStr">
        <is>
          <t>Australia</t>
        </is>
      </c>
      <c r="N76" s="664" t="inlineStr">
        <is>
          <t>CIB</t>
        </is>
      </c>
      <c r="O76" s="664" t="n">
        <v>1</v>
      </c>
      <c r="P76" s="664" t="n"/>
      <c r="Q76" s="664" t="inlineStr">
        <is>
          <t>V</t>
        </is>
      </c>
      <c r="R76" s="666" t="n"/>
      <c r="S76" s="666" t="n"/>
      <c r="T76" s="667" t="n">
        <v>151950</v>
      </c>
      <c r="U76" s="679" t="n">
        <v>151950</v>
      </c>
      <c r="V76" s="670" t="n">
        <v>0.12</v>
      </c>
      <c r="W76" s="921" t="n">
        <v>0.055</v>
      </c>
      <c r="X76" s="921" t="n">
        <v>0.12</v>
      </c>
      <c r="Y76" s="922" t="n"/>
      <c r="Z76" s="921" t="n">
        <v>0.04</v>
      </c>
      <c r="AA76" s="919">
        <f>U76*(1+V76+W76+X76+Y76+Z76)</f>
        <v>202853.25</v>
      </c>
      <c r="AJ76" t="str">
        <f>IFERROR(INDEX(Lists!$U$1:$U$18,MATCH($I76,Lists!$T$1:$T$18,0)),"?")</f>
        <v>Ampol Retail</v>
      </c>
      <c r="AK76" t="str">
        <f>IF(LOWER($Q76)="v","Vacant",IF(LOWER($Q76)="pause","Paused",IF(LOWER($Q76)="cxc","Contractor",IF($Q76="Contractor","Contractor","Filled"))))</f>
        <v>Vacant</v>
      </c>
      <c r="AL76" t="str">
        <f>IF($M76="NZ","NZ","AU")</f>
        <v>AU</v>
      </c>
      <c r="AM76">
        <f>COUNTIF($AJ$2:$AJ76,$AJ76)</f>
        <v>43.0</v>
      </c>
      <c r="AN76" t="str">
        <f>$AJ76&amp;"|"&amp;$AM76</f>
        <v>Ampol Retail|43</v>
      </c>
    </row>
    <row r="77" ht="18" customHeight="1" s="849">
      <c r="A77" s="659" t="inlineStr">
        <is>
          <t>V</t>
        </is>
      </c>
      <c r="B77" s="660" t="inlineStr">
        <is>
          <t>Vacant</t>
        </is>
      </c>
      <c r="C77" s="660" t="inlineStr">
        <is>
          <t>Engineer - Data</t>
        </is>
      </c>
      <c r="D77" s="662" t="inlineStr">
        <is>
          <t>Vacant</t>
        </is>
      </c>
      <c r="E77" s="660" t="inlineStr">
        <is>
          <t>Technology Manager, Data</t>
        </is>
      </c>
      <c r="F77" s="661" t="inlineStr">
        <is>
          <t>Ampol Retail &amp; Z</t>
        </is>
      </c>
      <c r="G77" s="662" t="inlineStr">
        <is>
          <t>Z &amp; Group Retail</t>
        </is>
      </c>
      <c r="H77" s="660" t="inlineStr">
        <is>
          <t>Z &amp; Group Retail, Data</t>
        </is>
      </c>
      <c r="I77" s="660" t="inlineStr">
        <is>
          <t>Retail</t>
        </is>
      </c>
      <c r="J77" s="662" t="inlineStr">
        <is>
          <t>(All Retail)</t>
        </is>
      </c>
      <c r="K77" s="660" t="inlineStr">
        <is>
          <t>Data - AU</t>
        </is>
      </c>
      <c r="L77" s="662" t="n"/>
      <c r="M77" s="663" t="inlineStr">
        <is>
          <t>Australia</t>
        </is>
      </c>
      <c r="N77" s="664" t="inlineStr">
        <is>
          <t>CIB</t>
        </is>
      </c>
      <c r="O77" s="664" t="n">
        <v>1</v>
      </c>
      <c r="P77" s="664" t="n"/>
      <c r="Q77" s="664" t="inlineStr">
        <is>
          <t>v</t>
        </is>
      </c>
      <c r="R77" s="666" t="n"/>
      <c r="S77" s="666" t="n"/>
      <c r="T77" s="667" t="n">
        <v>129650</v>
      </c>
      <c r="U77" s="679" t="n">
        <v>129650</v>
      </c>
      <c r="V77" s="670" t="n">
        <v>0.1</v>
      </c>
      <c r="W77" s="921" t="n">
        <v>0.055</v>
      </c>
      <c r="X77" s="921" t="n">
        <v>0.12</v>
      </c>
      <c r="Y77" s="922" t="n"/>
      <c r="Z77" s="921" t="n">
        <v>0.04</v>
      </c>
      <c r="AA77" s="919">
        <f>U77*(1+V77+W77+X77+Y77+Z77)</f>
        <v>170489.75</v>
      </c>
      <c r="AJ77" t="str">
        <f>IFERROR(INDEX(Lists!$U$1:$U$18,MATCH($I77,Lists!$T$1:$T$18,0)),"?")</f>
        <v>Ampol Retail</v>
      </c>
      <c r="AK77" t="str">
        <f>IF(LOWER($Q77)="v","Vacant",IF(LOWER($Q77)="pause","Paused",IF(LOWER($Q77)="cxc","Contractor",IF($Q77="Contractor","Contractor","Filled"))))</f>
        <v>Vacant</v>
      </c>
      <c r="AL77" t="str">
        <f>IF($M77="NZ","NZ","AU")</f>
        <v>AU</v>
      </c>
      <c r="AM77">
        <f>COUNTIF($AJ$2:$AJ77,$AJ77)</f>
        <v>44.0</v>
      </c>
      <c r="AN77" t="str">
        <f>$AJ77&amp;"|"&amp;$AM77</f>
        <v>Ampol Retail|44</v>
      </c>
    </row>
    <row r="78" ht="18" customHeight="1" s="849">
      <c r="A78" s="659" t="inlineStr">
        <is>
          <t>V</t>
        </is>
      </c>
      <c r="B78" s="660" t="inlineStr">
        <is>
          <t>Vacant</t>
        </is>
      </c>
      <c r="C78" s="660" t="inlineStr">
        <is>
          <t>Engineer - Data</t>
        </is>
      </c>
      <c r="D78" s="662" t="inlineStr">
        <is>
          <t>Vacant</t>
        </is>
      </c>
      <c r="E78" s="660" t="inlineStr">
        <is>
          <t>Technology Manager, Data</t>
        </is>
      </c>
      <c r="F78" s="661" t="inlineStr">
        <is>
          <t>Ampol Retail &amp; Z</t>
        </is>
      </c>
      <c r="G78" s="662" t="inlineStr">
        <is>
          <t>Z &amp; Group Retail</t>
        </is>
      </c>
      <c r="H78" s="660" t="inlineStr">
        <is>
          <t>Z &amp; Group Retail, Data</t>
        </is>
      </c>
      <c r="I78" s="660" t="inlineStr">
        <is>
          <t>Z</t>
        </is>
      </c>
      <c r="J78" s="662" t="inlineStr">
        <is>
          <t>Z Customer &amp; Z Supply</t>
        </is>
      </c>
      <c r="K78" s="660" t="inlineStr">
        <is>
          <t>Data - NZ</t>
        </is>
      </c>
      <c r="L78" s="662" t="n"/>
      <c r="M78" s="663" t="inlineStr">
        <is>
          <t>Australia</t>
        </is>
      </c>
      <c r="N78" s="664" t="inlineStr">
        <is>
          <t>CIB</t>
        </is>
      </c>
      <c r="O78" s="664" t="n">
        <v>1</v>
      </c>
      <c r="P78" s="664" t="n"/>
      <c r="Q78" s="664" t="inlineStr">
        <is>
          <t>V</t>
        </is>
      </c>
      <c r="R78" s="666" t="n"/>
      <c r="S78" s="666" t="n"/>
      <c r="T78" s="667" t="n">
        <v>151950</v>
      </c>
      <c r="U78" s="679" t="n">
        <v>151950</v>
      </c>
      <c r="V78" s="670" t="n">
        <v>0.12</v>
      </c>
      <c r="W78" s="921" t="n">
        <v>0.055</v>
      </c>
      <c r="X78" s="921" t="n">
        <v>0.12</v>
      </c>
      <c r="Y78" s="922" t="n"/>
      <c r="Z78" s="921" t="n">
        <v>0.04</v>
      </c>
      <c r="AA78" s="919">
        <f>U78*(1+V78+W78+X78+Y78+Z78)</f>
        <v>202853.25</v>
      </c>
      <c r="AH78" s="708" t="n"/>
      <c r="AJ78" t="str">
        <f>IFERROR(INDEX(Lists!$U$1:$U$18,MATCH($I78,Lists!$T$1:$T$18,0)),"?")</f>
        <v>Z Retail</v>
      </c>
      <c r="AK78" t="str">
        <f>IF(LOWER($Q78)="v","Vacant",IF(LOWER($Q78)="pause","Paused",IF(LOWER($Q78)="cxc","Contractor",IF($Q78="Contractor","Contractor","Filled"))))</f>
        <v>Vacant</v>
      </c>
      <c r="AL78" t="str">
        <f>IF($M78="NZ","NZ","AU")</f>
        <v>AU</v>
      </c>
      <c r="AM78">
        <f>COUNTIF($AJ$2:$AJ78,$AJ78)</f>
        <v>33.0</v>
      </c>
      <c r="AN78" t="str">
        <f>$AJ78&amp;"|"&amp;$AM78</f>
        <v>Z Retail|33</v>
      </c>
    </row>
    <row r="79" ht="18" customHeight="1" s="849">
      <c r="A79" s="659" t="inlineStr">
        <is>
          <t>V</t>
        </is>
      </c>
      <c r="B79" s="660" t="inlineStr">
        <is>
          <t>Vacant</t>
        </is>
      </c>
      <c r="C79" s="660" t="inlineStr">
        <is>
          <t>Engineer - Integration</t>
        </is>
      </c>
      <c r="D79" s="660" t="inlineStr">
        <is>
          <t>Tracy Lee Reaper</t>
        </is>
      </c>
      <c r="E79" s="660" t="inlineStr">
        <is>
          <t>Tech Manager, Merchandising &amp; WFM</t>
        </is>
      </c>
      <c r="F79" s="661" t="inlineStr">
        <is>
          <t>Ampol Retail &amp; Z</t>
        </is>
      </c>
      <c r="G79" s="662" t="inlineStr">
        <is>
          <t>Ampol Retail</t>
        </is>
      </c>
      <c r="H79" s="660" t="inlineStr">
        <is>
          <t>Ampol Retail, Merch &amp; RTA</t>
        </is>
      </c>
      <c r="I79" s="660" t="inlineStr">
        <is>
          <t>Retail</t>
        </is>
      </c>
      <c r="J79" s="662" t="inlineStr">
        <is>
          <t>Above Store</t>
        </is>
      </c>
      <c r="K79" s="662" t="inlineStr">
        <is>
          <t>Above Store</t>
        </is>
      </c>
      <c r="L79" s="662" t="n"/>
      <c r="M79" s="663" t="inlineStr">
        <is>
          <t>Australia</t>
        </is>
      </c>
      <c r="N79" s="664" t="inlineStr">
        <is>
          <t>CIB</t>
        </is>
      </c>
      <c r="O79" s="664" t="n">
        <v>1</v>
      </c>
      <c r="P79" s="664" t="n"/>
      <c r="Q79" s="664" t="inlineStr">
        <is>
          <t>v</t>
        </is>
      </c>
      <c r="R79" s="666" t="n"/>
      <c r="S79" s="666" t="n"/>
      <c r="T79" s="667" t="n">
        <v>129650</v>
      </c>
      <c r="U79" s="679" t="n">
        <v>129650</v>
      </c>
      <c r="V79" s="670" t="n">
        <v>0.1</v>
      </c>
      <c r="W79" s="921" t="n">
        <v>0.055</v>
      </c>
      <c r="X79" s="921" t="n">
        <v>0.12</v>
      </c>
      <c r="Y79" s="922" t="n"/>
      <c r="Z79" s="921" t="n">
        <v>0.04</v>
      </c>
      <c r="AA79" s="919">
        <f>U79*(1+V79+W79+X79+Y79+Z79)</f>
        <v>170489.75</v>
      </c>
      <c r="AJ79" t="str">
        <f>IFERROR(INDEX(Lists!$U$1:$U$18,MATCH($I79,Lists!$T$1:$T$18,0)),"?")</f>
        <v>Ampol Retail</v>
      </c>
      <c r="AK79" t="str">
        <f>IF(LOWER($Q79)="v","Vacant",IF(LOWER($Q79)="pause","Paused",IF(LOWER($Q79)="cxc","Contractor",IF($Q79="Contractor","Contractor","Filled"))))</f>
        <v>Vacant</v>
      </c>
      <c r="AL79" t="str">
        <f>IF($M79="NZ","NZ","AU")</f>
        <v>AU</v>
      </c>
      <c r="AM79">
        <f>COUNTIF($AJ$2:$AJ79,$AJ79)</f>
        <v>45.0</v>
      </c>
      <c r="AN79" t="str">
        <f>$AJ79&amp;"|"&amp;$AM79</f>
        <v>Ampol Retail|45</v>
      </c>
    </row>
    <row r="80" ht="18" customHeight="1" s="849">
      <c r="A80" s="659" t="inlineStr">
        <is>
          <t>V</t>
        </is>
      </c>
      <c r="B80" s="660" t="inlineStr">
        <is>
          <t>Vacant</t>
        </is>
      </c>
      <c r="C80" s="660" t="inlineStr">
        <is>
          <t>Engineer - Software</t>
        </is>
      </c>
      <c r="D80" s="660" t="inlineStr">
        <is>
          <t>Vacant</t>
        </is>
      </c>
      <c r="E80" s="660" t="inlineStr">
        <is>
          <t>Technology Manager, Engineering</t>
        </is>
      </c>
      <c r="F80" s="661" t="inlineStr">
        <is>
          <t>Ampol Retail &amp; Z</t>
        </is>
      </c>
      <c r="G80" s="662" t="inlineStr">
        <is>
          <t>Z &amp; Group Retail</t>
        </is>
      </c>
      <c r="H80" s="660" t="inlineStr">
        <is>
          <t>Z &amp; Group Retail, Engineering</t>
        </is>
      </c>
      <c r="I80" s="660" t="inlineStr">
        <is>
          <t>Z</t>
        </is>
      </c>
      <c r="J80" s="660" t="inlineStr">
        <is>
          <t>Z Customer</t>
        </is>
      </c>
      <c r="K80" s="660" t="inlineStr">
        <is>
          <t xml:space="preserve">Z Retail Backend </t>
        </is>
      </c>
      <c r="L80" s="662" t="n"/>
      <c r="M80" s="663" t="inlineStr">
        <is>
          <t>australia</t>
        </is>
      </c>
      <c r="N80" s="664" t="inlineStr">
        <is>
          <t>cib</t>
        </is>
      </c>
      <c r="O80" s="664" t="n">
        <v>1</v>
      </c>
      <c r="P80" s="664" t="n"/>
      <c r="Q80" s="664" t="inlineStr">
        <is>
          <t>v</t>
        </is>
      </c>
      <c r="R80" s="666" t="n"/>
      <c r="S80" s="666" t="n"/>
      <c r="T80" s="667" t="n">
        <v>173550</v>
      </c>
      <c r="U80" s="679" t="n">
        <v>173550</v>
      </c>
      <c r="V80" s="670" t="n">
        <v>0.12</v>
      </c>
      <c r="W80" s="921" t="n">
        <v>0.055</v>
      </c>
      <c r="X80" s="921" t="n">
        <v>0.12</v>
      </c>
      <c r="Y80" s="922" t="n"/>
      <c r="Z80" s="921" t="n">
        <v>0.04</v>
      </c>
      <c r="AA80" s="919">
        <f>U80*(1+V80+W80+X80+Y80+Z80)</f>
        <v>231689.25</v>
      </c>
      <c r="AJ80" t="str">
        <f>IFERROR(INDEX(Lists!$U$1:$U$18,MATCH($I80,Lists!$T$1:$T$18,0)),"?")</f>
        <v>Z Retail</v>
      </c>
      <c r="AK80" t="str">
        <f>IF(LOWER($Q80)="v","Vacant",IF(LOWER($Q80)="pause","Paused",IF(LOWER($Q80)="cxc","Contractor",IF($Q80="Contractor","Contractor","Filled"))))</f>
        <v>Vacant</v>
      </c>
      <c r="AL80" t="str">
        <f>IF($M80="NZ","NZ","AU")</f>
        <v>AU</v>
      </c>
      <c r="AM80">
        <f>COUNTIF($AJ$2:$AJ80,$AJ80)</f>
        <v>34.0</v>
      </c>
      <c r="AN80" t="str">
        <f>$AJ80&amp;"|"&amp;$AM80</f>
        <v>Z Retail|34</v>
      </c>
    </row>
    <row r="81" ht="18" customHeight="1" s="849">
      <c r="A81" s="659" t="inlineStr">
        <is>
          <t>V</t>
        </is>
      </c>
      <c r="B81" s="660" t="inlineStr">
        <is>
          <t>Vacant</t>
        </is>
      </c>
      <c r="C81" s="660" t="inlineStr">
        <is>
          <t>Engineer Integration</t>
        </is>
      </c>
      <c r="D81" s="660" t="inlineStr">
        <is>
          <t>Vaishnavi Viswanathan</t>
        </is>
      </c>
      <c r="E81" s="660" t="inlineStr">
        <is>
          <t>Technology Manager, Store Platform</t>
        </is>
      </c>
      <c r="F81" s="661" t="inlineStr">
        <is>
          <t>Ampol Retail &amp; Z</t>
        </is>
      </c>
      <c r="G81" s="662" t="inlineStr">
        <is>
          <t>Ampol Retail</t>
        </is>
      </c>
      <c r="H81" s="660" t="inlineStr">
        <is>
          <t>Ampol Retail, Store Platforms</t>
        </is>
      </c>
      <c r="I81" s="660" t="inlineStr">
        <is>
          <t>Retail</t>
        </is>
      </c>
      <c r="J81" s="662" t="inlineStr">
        <is>
          <t>Store Operations</t>
        </is>
      </c>
      <c r="K81" s="660" t="inlineStr">
        <is>
          <t>POS</t>
        </is>
      </c>
      <c r="L81" s="662" t="n"/>
      <c r="M81" s="663" t="inlineStr">
        <is>
          <t>Australia</t>
        </is>
      </c>
      <c r="N81" s="664" t="inlineStr">
        <is>
          <t>CIB</t>
        </is>
      </c>
      <c r="O81" s="664" t="n">
        <v>1</v>
      </c>
      <c r="P81" s="664" t="n"/>
      <c r="Q81" s="664" t="inlineStr">
        <is>
          <t>v</t>
        </is>
      </c>
      <c r="R81" s="666" t="n"/>
      <c r="S81" s="666" t="n"/>
      <c r="T81" s="667" t="n">
        <v>173550</v>
      </c>
      <c r="U81" s="679" t="n">
        <v>173550</v>
      </c>
      <c r="V81" s="670" t="n">
        <v>0.12</v>
      </c>
      <c r="W81" s="921" t="n">
        <v>0.055</v>
      </c>
      <c r="X81" s="921" t="n">
        <v>0.12</v>
      </c>
      <c r="Y81" s="922" t="n"/>
      <c r="Z81" s="921" t="n">
        <v>0.04</v>
      </c>
      <c r="AA81" s="919">
        <f>U81*(1+V81+W81+X81+Y81+Z81)</f>
        <v>231689.25</v>
      </c>
      <c r="AJ81" t="str">
        <f>IFERROR(INDEX(Lists!$U$1:$U$18,MATCH($I81,Lists!$T$1:$T$18,0)),"?")</f>
        <v>Ampol Retail</v>
      </c>
      <c r="AK81" t="str">
        <f>IF(LOWER($Q81)="v","Vacant",IF(LOWER($Q81)="pause","Paused",IF(LOWER($Q81)="cxc","Contractor",IF($Q81="Contractor","Contractor","Filled"))))</f>
        <v>Vacant</v>
      </c>
      <c r="AL81" t="str">
        <f>IF($M81="NZ","NZ","AU")</f>
        <v>AU</v>
      </c>
      <c r="AM81">
        <f>COUNTIF($AJ$2:$AJ81,$AJ81)</f>
        <v>46.0</v>
      </c>
      <c r="AN81" t="str">
        <f>$AJ81&amp;"|"&amp;$AM81</f>
        <v>Ampol Retail|46</v>
      </c>
    </row>
    <row r="82" ht="18" customHeight="1" s="849">
      <c r="A82" s="659" t="inlineStr">
        <is>
          <t>V</t>
        </is>
      </c>
      <c r="B82" s="660" t="inlineStr">
        <is>
          <t>Vacant</t>
        </is>
      </c>
      <c r="C82" s="660" t="inlineStr">
        <is>
          <t>Head of Technology, Z and Group Retail Platforms</t>
        </is>
      </c>
      <c r="D82" s="660" t="inlineStr">
        <is>
          <t>Vance Anderson</t>
        </is>
      </c>
      <c r="E82" s="662" t="inlineStr">
        <is>
          <t>GM TDD, Ampol Retail &amp; Z</t>
        </is>
      </c>
      <c r="F82" s="661" t="inlineStr">
        <is>
          <t>Ampol Retail &amp; Z</t>
        </is>
      </c>
      <c r="G82" s="662" t="inlineStr">
        <is>
          <t>Z &amp; Group Retail</t>
        </is>
      </c>
      <c r="H82" s="660" t="inlineStr">
        <is>
          <t>na</t>
        </is>
      </c>
      <c r="I82" s="660" t="inlineStr">
        <is>
          <t>Z</t>
        </is>
      </c>
      <c r="J82" s="660" t="inlineStr">
        <is>
          <t>Z Customer &amp; Z Supply</t>
        </is>
      </c>
      <c r="K82" s="662" t="inlineStr">
        <is>
          <t>Leadership</t>
        </is>
      </c>
      <c r="L82" s="662" t="n"/>
      <c r="M82" s="663" t="inlineStr">
        <is>
          <t>NZ</t>
        </is>
      </c>
      <c r="N82" s="664" t="inlineStr">
        <is>
          <t>CSC</t>
        </is>
      </c>
      <c r="O82" s="664" t="n">
        <v>1</v>
      </c>
      <c r="P82" s="664" t="n"/>
      <c r="Q82" s="664" t="inlineStr">
        <is>
          <t>v</t>
        </is>
      </c>
      <c r="R82" s="666" t="n"/>
      <c r="S82" s="666" t="n"/>
      <c r="T82" s="667" t="n">
        <v>245000</v>
      </c>
      <c r="U82" s="679" t="n">
        <v>225400</v>
      </c>
      <c r="V82" s="669" t="n">
        <v>0.2</v>
      </c>
      <c r="W82" s="666" t="n"/>
      <c r="X82" s="670" t="n">
        <v>0.05</v>
      </c>
      <c r="Y82" s="918" t="n">
        <v>2910</v>
      </c>
      <c r="Z82" s="670" t="n">
        <v>0.03</v>
      </c>
      <c r="AA82" s="919">
        <f>U82*(1+V82+X82+Z82)+Y82</f>
        <v>291422.0</v>
      </c>
      <c r="AJ82" t="str">
        <f>IFERROR(INDEX(Lists!$U$1:$U$18,MATCH($I82,Lists!$T$1:$T$18,0)),"?")</f>
        <v>Z Retail</v>
      </c>
      <c r="AK82" t="str">
        <f>IF(LOWER($Q82)="v","Vacant",IF(LOWER($Q82)="pause","Paused",IF(LOWER($Q82)="cxc","Contractor",IF($Q82="Contractor","Contractor","Filled"))))</f>
        <v>Vacant</v>
      </c>
      <c r="AL82" t="str">
        <f>IF($M82="NZ","NZ","AU")</f>
        <v>NZ</v>
      </c>
      <c r="AM82">
        <f>COUNTIF($AJ$2:$AJ82,$AJ82)</f>
        <v>35.0</v>
      </c>
      <c r="AN82" t="str">
        <f>$AJ82&amp;"|"&amp;$AM82</f>
        <v>Z Retail|35</v>
      </c>
    </row>
    <row r="83" ht="18" customHeight="1" s="849">
      <c r="A83" s="659" t="inlineStr">
        <is>
          <t>V</t>
        </is>
      </c>
      <c r="B83" s="660" t="inlineStr">
        <is>
          <t>Vacant</t>
        </is>
      </c>
      <c r="C83" s="660" t="inlineStr">
        <is>
          <t>Lead Quality Assurance</t>
        </is>
      </c>
      <c r="D83" s="660" t="inlineStr">
        <is>
          <t>Vaishnavi Viswanathan</t>
        </is>
      </c>
      <c r="E83" s="660" t="inlineStr">
        <is>
          <t>Technology Manager, Store Platform</t>
        </is>
      </c>
      <c r="F83" s="661" t="inlineStr">
        <is>
          <t>Ampol Retail &amp; Z</t>
        </is>
      </c>
      <c r="G83" s="662" t="inlineStr">
        <is>
          <t>Ampol Retail</t>
        </is>
      </c>
      <c r="H83" s="660" t="inlineStr">
        <is>
          <t>Ampol Retail, Store Platforms</t>
        </is>
      </c>
      <c r="I83" s="660" t="inlineStr">
        <is>
          <t>Retail</t>
        </is>
      </c>
      <c r="J83" s="662" t="inlineStr">
        <is>
          <t>Store Operations</t>
        </is>
      </c>
      <c r="K83" s="660" t="inlineStr">
        <is>
          <t>POS</t>
        </is>
      </c>
      <c r="L83" s="662" t="n"/>
      <c r="M83" s="663" t="inlineStr">
        <is>
          <t>Australia</t>
        </is>
      </c>
      <c r="N83" s="664" t="inlineStr">
        <is>
          <t>CIC</t>
        </is>
      </c>
      <c r="O83" s="664" t="n">
        <v>1</v>
      </c>
      <c r="P83" s="664" t="n"/>
      <c r="Q83" s="664" t="inlineStr">
        <is>
          <t>v</t>
        </is>
      </c>
      <c r="R83" s="666" t="n"/>
      <c r="S83" s="666" t="n"/>
      <c r="T83" s="667" t="n">
        <v>168160</v>
      </c>
      <c r="U83" s="668" t="n">
        <v>168160</v>
      </c>
      <c r="V83" s="670" t="n">
        <v>0.12</v>
      </c>
      <c r="W83" s="921" t="n">
        <v>0.055</v>
      </c>
      <c r="X83" s="921" t="n">
        <v>0.12</v>
      </c>
      <c r="Y83" s="922" t="n"/>
      <c r="Z83" s="921" t="n">
        <v>0.04</v>
      </c>
      <c r="AA83" s="919">
        <f>U83*(1+V83+W83+X83+Y83+Z83)</f>
        <v>224493.6</v>
      </c>
      <c r="AJ83" t="str">
        <f>IFERROR(INDEX(Lists!$U$1:$U$18,MATCH($I83,Lists!$T$1:$T$18,0)),"?")</f>
        <v>Ampol Retail</v>
      </c>
      <c r="AK83" t="str">
        <f>IF(LOWER($Q83)="v","Vacant",IF(LOWER($Q83)="pause","Paused",IF(LOWER($Q83)="cxc","Contractor",IF($Q83="Contractor","Contractor","Filled"))))</f>
        <v>Vacant</v>
      </c>
      <c r="AL83" t="str">
        <f>IF($M83="NZ","NZ","AU")</f>
        <v>AU</v>
      </c>
      <c r="AM83">
        <f>COUNTIF($AJ$2:$AJ83,$AJ83)</f>
        <v>47.0</v>
      </c>
      <c r="AN83" t="str">
        <f>$AJ83&amp;"|"&amp;$AM83</f>
        <v>Ampol Retail|47</v>
      </c>
    </row>
    <row r="84" ht="18" customHeight="1" s="849">
      <c r="A84" s="659" t="inlineStr">
        <is>
          <t>V</t>
        </is>
      </c>
      <c r="B84" s="660" t="inlineStr">
        <is>
          <t>Vacant</t>
        </is>
      </c>
      <c r="C84" s="660" t="inlineStr">
        <is>
          <t>Lead Quality Assurance</t>
        </is>
      </c>
      <c r="D84" s="660" t="inlineStr">
        <is>
          <t>Vacant</t>
        </is>
      </c>
      <c r="E84" s="660" t="inlineStr">
        <is>
          <t>Technology Manager, Engineering</t>
        </is>
      </c>
      <c r="F84" s="661" t="inlineStr">
        <is>
          <t>Ampol Retail &amp; Z</t>
        </is>
      </c>
      <c r="G84" s="662" t="inlineStr">
        <is>
          <t>Z &amp; Group Retail</t>
        </is>
      </c>
      <c r="H84" s="660" t="inlineStr">
        <is>
          <t>Z &amp; Group Retail, Engineering</t>
        </is>
      </c>
      <c r="I84" s="660" t="inlineStr">
        <is>
          <t>Z</t>
        </is>
      </c>
      <c r="J84" s="660" t="inlineStr">
        <is>
          <t>Z Customer</t>
        </is>
      </c>
      <c r="K84" s="660" t="inlineStr">
        <is>
          <t xml:space="preserve">Z Retail Backend </t>
        </is>
      </c>
      <c r="L84" s="662" t="n"/>
      <c r="M84" s="663" t="inlineStr">
        <is>
          <t>Australia</t>
        </is>
      </c>
      <c r="N84" s="664" t="inlineStr">
        <is>
          <t>CIC</t>
        </is>
      </c>
      <c r="O84" s="664" t="n">
        <v>1</v>
      </c>
      <c r="P84" s="664" t="n"/>
      <c r="Q84" s="664" t="inlineStr">
        <is>
          <t>v</t>
        </is>
      </c>
      <c r="R84" s="666" t="n"/>
      <c r="S84" s="666" t="n"/>
      <c r="T84" s="667" t="n">
        <v>129650</v>
      </c>
      <c r="U84" s="668" t="n">
        <v>129650</v>
      </c>
      <c r="V84" s="670" t="n">
        <v>0.1</v>
      </c>
      <c r="W84" s="921" t="n">
        <v>0.055</v>
      </c>
      <c r="X84" s="921" t="n">
        <v>0.12</v>
      </c>
      <c r="Y84" s="922" t="n"/>
      <c r="Z84" s="921" t="n">
        <v>0.04</v>
      </c>
      <c r="AA84" s="919">
        <f>U84*(1+V84+W84+X84+Y84+Z84)</f>
        <v>170489.75</v>
      </c>
      <c r="AJ84" t="str">
        <f>IFERROR(INDEX(Lists!$U$1:$U$18,MATCH($I84,Lists!$T$1:$T$18,0)),"?")</f>
        <v>Z Retail</v>
      </c>
      <c r="AK84" t="str">
        <f>IF(LOWER($Q84)="v","Vacant",IF(LOWER($Q84)="pause","Paused",IF(LOWER($Q84)="cxc","Contractor",IF($Q84="Contractor","Contractor","Filled"))))</f>
        <v>Vacant</v>
      </c>
      <c r="AL84" t="str">
        <f>IF($M84="NZ","NZ","AU")</f>
        <v>AU</v>
      </c>
      <c r="AM84">
        <f>COUNTIF($AJ$2:$AJ84,$AJ84)</f>
        <v>36.0</v>
      </c>
      <c r="AN84" t="str">
        <f>$AJ84&amp;"|"&amp;$AM84</f>
        <v>Z Retail|36</v>
      </c>
    </row>
    <row r="85" ht="18" customHeight="1" s="849">
      <c r="A85" s="659" t="inlineStr">
        <is>
          <t>V</t>
        </is>
      </c>
      <c r="B85" s="660" t="inlineStr">
        <is>
          <t>Vacant</t>
        </is>
      </c>
      <c r="C85" s="660" t="inlineStr">
        <is>
          <t>Quality Assurance</t>
        </is>
      </c>
      <c r="D85" s="660" t="inlineStr">
        <is>
          <t>Tracy Lee Reaper</t>
        </is>
      </c>
      <c r="E85" s="660" t="inlineStr">
        <is>
          <t>Tech Manager, Merchandising &amp; WFM</t>
        </is>
      </c>
      <c r="F85" s="661" t="inlineStr">
        <is>
          <t>Ampol Retail &amp; Z</t>
        </is>
      </c>
      <c r="G85" s="662" t="inlineStr">
        <is>
          <t>Ampol Retail</t>
        </is>
      </c>
      <c r="H85" s="660" t="inlineStr">
        <is>
          <t>Ampol Retail, Merch &amp; RTA</t>
        </is>
      </c>
      <c r="I85" s="660" t="inlineStr">
        <is>
          <t>Retail</t>
        </is>
      </c>
      <c r="J85" s="662" t="inlineStr">
        <is>
          <t>Above Store</t>
        </is>
      </c>
      <c r="K85" s="662" t="inlineStr">
        <is>
          <t>Above Store</t>
        </is>
      </c>
      <c r="L85" s="662" t="n"/>
      <c r="M85" s="663" t="inlineStr">
        <is>
          <t>Australia</t>
        </is>
      </c>
      <c r="N85" s="664" t="inlineStr">
        <is>
          <t>CIA</t>
        </is>
      </c>
      <c r="O85" s="664" t="n">
        <v>1</v>
      </c>
      <c r="P85" s="664" t="n"/>
      <c r="Q85" s="664" t="inlineStr">
        <is>
          <t>v</t>
        </is>
      </c>
      <c r="R85" s="666" t="n"/>
      <c r="S85" s="666" t="n"/>
      <c r="T85" s="667" t="n">
        <v>129659</v>
      </c>
      <c r="U85" s="668" t="n">
        <v>129659</v>
      </c>
      <c r="V85" s="670" t="n">
        <v>0.1</v>
      </c>
      <c r="W85" s="921" t="n">
        <v>0.055</v>
      </c>
      <c r="X85" s="921" t="n">
        <v>0.12</v>
      </c>
      <c r="Y85" s="922" t="n"/>
      <c r="Z85" s="921" t="n">
        <v>0.04</v>
      </c>
      <c r="AA85" s="919">
        <f>U85*(1+V85+W85+X85+Y85+Z85)</f>
        <v>170501.585</v>
      </c>
      <c r="AJ85" t="str">
        <f>IFERROR(INDEX(Lists!$U$1:$U$18,MATCH($I85,Lists!$T$1:$T$18,0)),"?")</f>
        <v>Ampol Retail</v>
      </c>
      <c r="AK85" t="str">
        <f>IF(LOWER($Q85)="v","Vacant",IF(LOWER($Q85)="pause","Paused",IF(LOWER($Q85)="cxc","Contractor",IF($Q85="Contractor","Contractor","Filled"))))</f>
        <v>Vacant</v>
      </c>
      <c r="AL85" t="str">
        <f>IF($M85="NZ","NZ","AU")</f>
        <v>AU</v>
      </c>
      <c r="AM85">
        <f>COUNTIF($AJ$2:$AJ85,$AJ85)</f>
        <v>48.0</v>
      </c>
      <c r="AN85" t="str">
        <f>$AJ85&amp;"|"&amp;$AM85</f>
        <v>Ampol Retail|48</v>
      </c>
    </row>
    <row r="86" ht="18" customHeight="1" s="849">
      <c r="A86" s="659" t="inlineStr">
        <is>
          <t>V</t>
        </is>
      </c>
      <c r="B86" s="660" t="inlineStr">
        <is>
          <t>Vacant</t>
        </is>
      </c>
      <c r="C86" s="660" t="inlineStr">
        <is>
          <t>Quality Assurance</t>
        </is>
      </c>
      <c r="D86" s="662" t="inlineStr">
        <is>
          <t>Vacant</t>
        </is>
      </c>
      <c r="E86" s="660" t="inlineStr">
        <is>
          <t>Lead Quality Assurance</t>
        </is>
      </c>
      <c r="F86" s="661" t="inlineStr">
        <is>
          <t>Ampol Retail &amp; Z</t>
        </is>
      </c>
      <c r="G86" s="662" t="inlineStr">
        <is>
          <t>Ampol Retail</t>
        </is>
      </c>
      <c r="H86" s="660" t="inlineStr">
        <is>
          <t>Ampol Retail, Store Platforms</t>
        </is>
      </c>
      <c r="I86" s="660" t="inlineStr">
        <is>
          <t>Retail</t>
        </is>
      </c>
      <c r="J86" s="662" t="inlineStr">
        <is>
          <t>Store Operations</t>
        </is>
      </c>
      <c r="K86" s="660" t="inlineStr">
        <is>
          <t>POS</t>
        </is>
      </c>
      <c r="L86" s="662" t="n"/>
      <c r="M86" s="663" t="inlineStr">
        <is>
          <t>Australia</t>
        </is>
      </c>
      <c r="N86" s="664" t="inlineStr">
        <is>
          <t>CIA</t>
        </is>
      </c>
      <c r="O86" s="664" t="n">
        <v>1</v>
      </c>
      <c r="P86" s="664" t="n"/>
      <c r="Q86" s="664" t="inlineStr">
        <is>
          <t>v</t>
        </is>
      </c>
      <c r="R86" s="666" t="n"/>
      <c r="S86" s="666" t="n"/>
      <c r="T86" s="667" t="n">
        <v>129650</v>
      </c>
      <c r="U86" s="668" t="n">
        <v>129650</v>
      </c>
      <c r="V86" s="670" t="n">
        <v>0.1</v>
      </c>
      <c r="W86" s="921" t="n">
        <v>0.055</v>
      </c>
      <c r="X86" s="921" t="n">
        <v>0.12</v>
      </c>
      <c r="Y86" s="922" t="n"/>
      <c r="Z86" s="921" t="n">
        <v>0.04</v>
      </c>
      <c r="AA86" s="919">
        <f>U86*(1+V86+W86+X86+Y86+Z86)</f>
        <v>170489.75</v>
      </c>
      <c r="AJ86" t="str">
        <f>IFERROR(INDEX(Lists!$U$1:$U$18,MATCH($I86,Lists!$T$1:$T$18,0)),"?")</f>
        <v>Ampol Retail</v>
      </c>
      <c r="AK86" t="str">
        <f>IF(LOWER($Q86)="v","Vacant",IF(LOWER($Q86)="pause","Paused",IF(LOWER($Q86)="cxc","Contractor",IF($Q86="Contractor","Contractor","Filled"))))</f>
        <v>Vacant</v>
      </c>
      <c r="AL86" t="str">
        <f>IF($M86="NZ","NZ","AU")</f>
        <v>AU</v>
      </c>
      <c r="AM86">
        <f>COUNTIF($AJ$2:$AJ86,$AJ86)</f>
        <v>49.0</v>
      </c>
      <c r="AN86" t="str">
        <f>$AJ86&amp;"|"&amp;$AM86</f>
        <v>Ampol Retail|49</v>
      </c>
    </row>
    <row r="87" ht="18" customHeight="1" s="849">
      <c r="A87" s="659" t="inlineStr">
        <is>
          <t>V</t>
        </is>
      </c>
      <c r="B87" s="660" t="inlineStr">
        <is>
          <t>Vacant</t>
        </is>
      </c>
      <c r="C87" s="660" t="inlineStr">
        <is>
          <t>Quality Assurance</t>
        </is>
      </c>
      <c r="D87" s="662" t="inlineStr">
        <is>
          <t>Vacant</t>
        </is>
      </c>
      <c r="E87" s="660" t="inlineStr">
        <is>
          <t>Lead Quality Assurance</t>
        </is>
      </c>
      <c r="F87" s="661" t="inlineStr">
        <is>
          <t>Ampol Retail &amp; Z</t>
        </is>
      </c>
      <c r="G87" s="662" t="inlineStr">
        <is>
          <t>Ampol Retail</t>
        </is>
      </c>
      <c r="H87" s="660" t="inlineStr">
        <is>
          <t>Ampol Retail, Store Platforms</t>
        </is>
      </c>
      <c r="I87" s="660" t="inlineStr">
        <is>
          <t>Retail</t>
        </is>
      </c>
      <c r="J87" s="662" t="inlineStr">
        <is>
          <t>Store Operations</t>
        </is>
      </c>
      <c r="K87" s="660" t="inlineStr">
        <is>
          <t>POS</t>
        </is>
      </c>
      <c r="L87" s="662" t="n"/>
      <c r="M87" s="663" t="inlineStr">
        <is>
          <t>Australia</t>
        </is>
      </c>
      <c r="N87" s="664" t="inlineStr">
        <is>
          <t>CIA</t>
        </is>
      </c>
      <c r="O87" s="664" t="n">
        <v>1</v>
      </c>
      <c r="P87" s="664" t="n"/>
      <c r="Q87" s="664" t="inlineStr">
        <is>
          <t>v</t>
        </is>
      </c>
      <c r="R87" s="666" t="n"/>
      <c r="S87" s="666" t="n"/>
      <c r="T87" s="667" t="n">
        <v>129650</v>
      </c>
      <c r="U87" s="668" t="n">
        <v>129650</v>
      </c>
      <c r="V87" s="670" t="n">
        <v>0.1</v>
      </c>
      <c r="W87" s="921" t="n">
        <v>0.055</v>
      </c>
      <c r="X87" s="921" t="n">
        <v>0.12</v>
      </c>
      <c r="Y87" s="922" t="n"/>
      <c r="Z87" s="921" t="n">
        <v>0.04</v>
      </c>
      <c r="AA87" s="919">
        <f>U87*(1+V87+W87+X87+Y87+Z87)</f>
        <v>170489.75</v>
      </c>
      <c r="AJ87" t="str">
        <f>IFERROR(INDEX(Lists!$U$1:$U$18,MATCH($I87,Lists!$T$1:$T$18,0)),"?")</f>
        <v>Ampol Retail</v>
      </c>
      <c r="AK87" t="str">
        <f>IF(LOWER($Q87)="v","Vacant",IF(LOWER($Q87)="pause","Paused",IF(LOWER($Q87)="cxc","Contractor",IF($Q87="Contractor","Contractor","Filled"))))</f>
        <v>Vacant</v>
      </c>
      <c r="AL87" t="str">
        <f>IF($M87="NZ","NZ","AU")</f>
        <v>AU</v>
      </c>
      <c r="AM87">
        <f>COUNTIF($AJ$2:$AJ87,$AJ87)</f>
        <v>50.0</v>
      </c>
      <c r="AN87" t="str">
        <f>$AJ87&amp;"|"&amp;$AM87</f>
        <v>Ampol Retail|50</v>
      </c>
    </row>
    <row r="88" ht="18" customHeight="1" s="849">
      <c r="A88" s="659" t="inlineStr">
        <is>
          <t>V</t>
        </is>
      </c>
      <c r="B88" s="660" t="inlineStr">
        <is>
          <t>Vacant</t>
        </is>
      </c>
      <c r="C88" s="660" t="inlineStr">
        <is>
          <t>Quality Assurance</t>
        </is>
      </c>
      <c r="D88" s="662" t="inlineStr">
        <is>
          <t>Vacant</t>
        </is>
      </c>
      <c r="E88" s="660" t="inlineStr">
        <is>
          <t>Lead Quality Assurance</t>
        </is>
      </c>
      <c r="F88" s="661" t="inlineStr">
        <is>
          <t>Ampol Retail &amp; Z</t>
        </is>
      </c>
      <c r="G88" s="662" t="inlineStr">
        <is>
          <t>Ampol Retail</t>
        </is>
      </c>
      <c r="H88" s="660" t="inlineStr">
        <is>
          <t>Ampol Retail, Store Platforms</t>
        </is>
      </c>
      <c r="I88" s="660" t="inlineStr">
        <is>
          <t>Retail</t>
        </is>
      </c>
      <c r="J88" s="662" t="inlineStr">
        <is>
          <t>Store Operations</t>
        </is>
      </c>
      <c r="K88" s="660" t="inlineStr">
        <is>
          <t>POS</t>
        </is>
      </c>
      <c r="L88" s="662" t="n"/>
      <c r="M88" s="663" t="inlineStr">
        <is>
          <t>Australia</t>
        </is>
      </c>
      <c r="N88" s="664" t="inlineStr">
        <is>
          <t>CIA</t>
        </is>
      </c>
      <c r="O88" s="664" t="n">
        <v>1</v>
      </c>
      <c r="P88" s="664" t="n"/>
      <c r="Q88" s="664" t="inlineStr">
        <is>
          <t>v</t>
        </is>
      </c>
      <c r="R88" s="666" t="n"/>
      <c r="S88" s="666" t="n"/>
      <c r="T88" s="667" t="n">
        <v>151950</v>
      </c>
      <c r="U88" s="668" t="n">
        <v>151950</v>
      </c>
      <c r="V88" s="670" t="n">
        <v>0.12</v>
      </c>
      <c r="W88" s="921" t="n">
        <v>0.055</v>
      </c>
      <c r="X88" s="921" t="n">
        <v>0.12</v>
      </c>
      <c r="Y88" s="922" t="n"/>
      <c r="Z88" s="921" t="n">
        <v>0.04</v>
      </c>
      <c r="AA88" s="919">
        <f>U88*(1+V88+W88+X88+Y88+Z88)</f>
        <v>202853.25</v>
      </c>
      <c r="AJ88" t="str">
        <f>IFERROR(INDEX(Lists!$U$1:$U$18,MATCH($I88,Lists!$T$1:$T$18,0)),"?")</f>
        <v>Ampol Retail</v>
      </c>
      <c r="AK88" t="str">
        <f>IF(LOWER($Q88)="v","Vacant",IF(LOWER($Q88)="pause","Paused",IF(LOWER($Q88)="cxc","Contractor",IF($Q88="Contractor","Contractor","Filled"))))</f>
        <v>Vacant</v>
      </c>
      <c r="AL88" t="str">
        <f>IF($M88="NZ","NZ","AU")</f>
        <v>AU</v>
      </c>
      <c r="AM88">
        <f>COUNTIF($AJ$2:$AJ88,$AJ88)</f>
        <v>51.0</v>
      </c>
      <c r="AN88" t="str">
        <f>$AJ88&amp;"|"&amp;$AM88</f>
        <v>Ampol Retail|51</v>
      </c>
    </row>
    <row r="89" ht="18" customHeight="1" s="849">
      <c r="A89" s="659" t="inlineStr">
        <is>
          <t>V</t>
        </is>
      </c>
      <c r="B89" s="660" t="inlineStr">
        <is>
          <t>Vacant</t>
        </is>
      </c>
      <c r="C89" s="660" t="inlineStr">
        <is>
          <t>Quality Assurance</t>
        </is>
      </c>
      <c r="D89" s="660" t="inlineStr">
        <is>
          <t>Vacant</t>
        </is>
      </c>
      <c r="E89" s="660" t="inlineStr">
        <is>
          <t>Technology Manager, Engineering</t>
        </is>
      </c>
      <c r="F89" s="661" t="inlineStr">
        <is>
          <t>Ampol Retail &amp; Z</t>
        </is>
      </c>
      <c r="G89" s="662" t="inlineStr">
        <is>
          <t>Z &amp; Group Retail</t>
        </is>
      </c>
      <c r="H89" s="660" t="inlineStr">
        <is>
          <t>Z &amp; Group Retail, Engineering</t>
        </is>
      </c>
      <c r="I89" s="660" t="inlineStr">
        <is>
          <t>Z</t>
        </is>
      </c>
      <c r="J89" s="662" t="inlineStr">
        <is>
          <t>Z Supply</t>
        </is>
      </c>
      <c r="K89" s="660" t="inlineStr">
        <is>
          <t>Z Supply</t>
        </is>
      </c>
      <c r="L89" s="662" t="n"/>
      <c r="M89" s="663" t="inlineStr">
        <is>
          <t>Australia</t>
        </is>
      </c>
      <c r="N89" s="664" t="inlineStr">
        <is>
          <t>CIA</t>
        </is>
      </c>
      <c r="O89" s="664" t="n">
        <v>1</v>
      </c>
      <c r="P89" s="664" t="n"/>
      <c r="Q89" s="664" t="inlineStr">
        <is>
          <t>v</t>
        </is>
      </c>
      <c r="R89" s="666" t="n"/>
      <c r="S89" s="666" t="n"/>
      <c r="T89" s="667" t="n">
        <v>203550</v>
      </c>
      <c r="U89" s="668" t="n">
        <v>203550</v>
      </c>
      <c r="V89" s="670" t="n">
        <v>0.14</v>
      </c>
      <c r="W89" s="921" t="n">
        <v>0.055</v>
      </c>
      <c r="X89" s="921" t="n">
        <v>0.12</v>
      </c>
      <c r="Y89" s="922" t="n"/>
      <c r="Z89" s="921" t="n">
        <v>0.04</v>
      </c>
      <c r="AA89" s="919">
        <f>U89*(1+V89+W89+X89+Y89+Z89)</f>
        <v>275810.25</v>
      </c>
      <c r="AJ89" t="str">
        <f>IFERROR(INDEX(Lists!$U$1:$U$18,MATCH($I89,Lists!$T$1:$T$18,0)),"?")</f>
        <v>Z Retail</v>
      </c>
      <c r="AK89" t="str">
        <f>IF(LOWER($Q89)="v","Vacant",IF(LOWER($Q89)="pause","Paused",IF(LOWER($Q89)="cxc","Contractor",IF($Q89="Contractor","Contractor","Filled"))))</f>
        <v>Vacant</v>
      </c>
      <c r="AL89" t="str">
        <f>IF($M89="NZ","NZ","AU")</f>
        <v>AU</v>
      </c>
      <c r="AM89">
        <f>COUNTIF($AJ$2:$AJ89,$AJ89)</f>
        <v>37.0</v>
      </c>
      <c r="AN89" t="str">
        <f>$AJ89&amp;"|"&amp;$AM89</f>
        <v>Z Retail|37</v>
      </c>
    </row>
    <row r="90" ht="18" customHeight="1" s="849">
      <c r="A90" s="659" t="inlineStr">
        <is>
          <t>V</t>
        </is>
      </c>
      <c r="B90" s="660" t="inlineStr">
        <is>
          <t>Vacant</t>
        </is>
      </c>
      <c r="C90" s="660" t="inlineStr">
        <is>
          <t>Release &amp; Environments Manager</t>
        </is>
      </c>
      <c r="D90" s="662" t="inlineStr">
        <is>
          <t>Vacant</t>
        </is>
      </c>
      <c r="E90" s="660" t="inlineStr">
        <is>
          <t>Lead Quality Assurance</t>
        </is>
      </c>
      <c r="F90" s="661" t="inlineStr">
        <is>
          <t>Ampol Retail &amp; Z</t>
        </is>
      </c>
      <c r="G90" s="662" t="inlineStr">
        <is>
          <t>Ampol Retail</t>
        </is>
      </c>
      <c r="H90" s="660" t="inlineStr">
        <is>
          <t>Ampol Retail, Store Platforms</t>
        </is>
      </c>
      <c r="I90" s="660" t="inlineStr">
        <is>
          <t>Retail</t>
        </is>
      </c>
      <c r="J90" s="662" t="inlineStr">
        <is>
          <t>Store Operations</t>
        </is>
      </c>
      <c r="K90" s="660" t="inlineStr">
        <is>
          <t>POS</t>
        </is>
      </c>
      <c r="L90" s="662" t="n"/>
      <c r="M90" s="663" t="inlineStr">
        <is>
          <t>Australia</t>
        </is>
      </c>
      <c r="N90" s="664" t="inlineStr">
        <is>
          <t>CIB</t>
        </is>
      </c>
      <c r="O90" s="664" t="n">
        <v>1</v>
      </c>
      <c r="P90" s="664" t="n"/>
      <c r="Q90" s="664" t="inlineStr">
        <is>
          <t>V</t>
        </is>
      </c>
      <c r="R90" s="666" t="n"/>
      <c r="S90" s="666" t="n"/>
      <c r="T90" s="667" t="n">
        <v>151950</v>
      </c>
      <c r="U90" s="668" t="n">
        <v>151950</v>
      </c>
      <c r="V90" s="670" t="n">
        <v>0.12</v>
      </c>
      <c r="W90" s="921" t="n">
        <v>0.055</v>
      </c>
      <c r="X90" s="921" t="n">
        <v>0.12</v>
      </c>
      <c r="Y90" s="922" t="n"/>
      <c r="Z90" s="921" t="n">
        <v>0.04</v>
      </c>
      <c r="AA90" s="919">
        <f>U90*(1+V90+W90+X90+Y90+Z90)</f>
        <v>202853.25</v>
      </c>
      <c r="AJ90" t="str">
        <f>IFERROR(INDEX(Lists!$U$1:$U$18,MATCH($I90,Lists!$T$1:$T$18,0)),"?")</f>
        <v>Ampol Retail</v>
      </c>
      <c r="AK90" t="str">
        <f>IF(LOWER($Q90)="v","Vacant",IF(LOWER($Q90)="pause","Paused",IF(LOWER($Q90)="cxc","Contractor",IF($Q90="Contractor","Contractor","Filled"))))</f>
        <v>Vacant</v>
      </c>
      <c r="AL90" t="str">
        <f>IF($M90="NZ","NZ","AU")</f>
        <v>AU</v>
      </c>
      <c r="AM90">
        <f>COUNTIF($AJ$2:$AJ90,$AJ90)</f>
        <v>52.0</v>
      </c>
      <c r="AN90" t="str">
        <f>$AJ90&amp;"|"&amp;$AM90</f>
        <v>Ampol Retail|52</v>
      </c>
    </row>
    <row r="91" ht="18" customHeight="1" s="849">
      <c r="A91" s="659" t="inlineStr">
        <is>
          <t>V</t>
        </is>
      </c>
      <c r="B91" s="660" t="inlineStr">
        <is>
          <t>Vacant</t>
        </is>
      </c>
      <c r="C91" s="660" t="inlineStr">
        <is>
          <t>Support Analyst -Retail</t>
        </is>
      </c>
      <c r="D91" s="660" t="inlineStr">
        <is>
          <t>Vaishnavi Viswanathan</t>
        </is>
      </c>
      <c r="E91" s="660" t="inlineStr">
        <is>
          <t>Technology Manager, Store Platform</t>
        </is>
      </c>
      <c r="F91" s="661" t="inlineStr">
        <is>
          <t>Ampol Retail &amp; Z</t>
        </is>
      </c>
      <c r="G91" s="662" t="inlineStr">
        <is>
          <t>Ampol Retail</t>
        </is>
      </c>
      <c r="H91" s="707" t="inlineStr">
        <is>
          <t>Ampol Retail, Store Platforms</t>
        </is>
      </c>
      <c r="I91" s="660" t="inlineStr">
        <is>
          <t>Retail</t>
        </is>
      </c>
      <c r="J91" s="662" t="inlineStr">
        <is>
          <t>Store Operations</t>
        </is>
      </c>
      <c r="K91" s="660" t="inlineStr">
        <is>
          <t>Store Operations</t>
        </is>
      </c>
      <c r="L91" s="662" t="n"/>
      <c r="M91" s="663" t="inlineStr">
        <is>
          <t>Australia</t>
        </is>
      </c>
      <c r="N91" s="664" t="inlineStr">
        <is>
          <t>CIB</t>
        </is>
      </c>
      <c r="O91" s="664" t="n">
        <v>1</v>
      </c>
      <c r="P91" s="664" t="n"/>
      <c r="Q91" s="664" t="inlineStr">
        <is>
          <t>v</t>
        </is>
      </c>
      <c r="R91" s="666" t="n"/>
      <c r="S91" s="666" t="n"/>
      <c r="T91" s="667" t="n">
        <v>129659</v>
      </c>
      <c r="U91" s="668" t="n">
        <v>129659</v>
      </c>
      <c r="V91" s="670" t="n">
        <v>0.1</v>
      </c>
      <c r="W91" s="921" t="n">
        <v>0.055</v>
      </c>
      <c r="X91" s="921" t="n">
        <v>0.12</v>
      </c>
      <c r="Y91" s="922" t="n"/>
      <c r="Z91" s="921" t="n">
        <v>0.04</v>
      </c>
      <c r="AA91" s="919">
        <f>U91*(1+V91+W91+X91+Y91+Z91)</f>
        <v>170501.585</v>
      </c>
      <c r="AJ91" t="str">
        <f>IFERROR(INDEX(Lists!$U$1:$U$18,MATCH($I91,Lists!$T$1:$T$18,0)),"?")</f>
        <v>Ampol Retail</v>
      </c>
      <c r="AK91" t="str">
        <f>IF(LOWER($Q91)="v","Vacant",IF(LOWER($Q91)="pause","Paused",IF(LOWER($Q91)="cxc","Contractor",IF($Q91="Contractor","Contractor","Filled"))))</f>
        <v>Vacant</v>
      </c>
      <c r="AL91" t="str">
        <f>IF($M91="NZ","NZ","AU")</f>
        <v>AU</v>
      </c>
      <c r="AM91">
        <f>COUNTIF($AJ$2:$AJ91,$AJ91)</f>
        <v>53.0</v>
      </c>
      <c r="AN91" t="str">
        <f>$AJ91&amp;"|"&amp;$AM91</f>
        <v>Ampol Retail|53</v>
      </c>
    </row>
    <row r="92" ht="18" customHeight="1" s="849">
      <c r="A92" s="659" t="inlineStr">
        <is>
          <t>V</t>
        </is>
      </c>
      <c r="B92" s="660" t="inlineStr">
        <is>
          <t>Vacant</t>
        </is>
      </c>
      <c r="C92" s="660" t="inlineStr">
        <is>
          <t>Systems Analyst</t>
        </is>
      </c>
      <c r="D92" s="660" t="inlineStr">
        <is>
          <t>Tracy Lee Reaper</t>
        </is>
      </c>
      <c r="E92" s="660" t="inlineStr">
        <is>
          <t>Tech Manager, Merchandising &amp; WFM</t>
        </is>
      </c>
      <c r="F92" s="661" t="inlineStr">
        <is>
          <t>Ampol Retail &amp; Z</t>
        </is>
      </c>
      <c r="G92" s="662" t="inlineStr">
        <is>
          <t>Ampol Retail</t>
        </is>
      </c>
      <c r="H92" s="707" t="inlineStr">
        <is>
          <t>Ampol Retail, Merch &amp; RTA</t>
        </is>
      </c>
      <c r="I92" s="660" t="inlineStr">
        <is>
          <t>Retail</t>
        </is>
      </c>
      <c r="J92" s="662" t="inlineStr">
        <is>
          <t>Above Store</t>
        </is>
      </c>
      <c r="K92" s="662" t="inlineStr">
        <is>
          <t>Above Store</t>
        </is>
      </c>
      <c r="L92" s="662" t="n"/>
      <c r="M92" s="663" t="inlineStr">
        <is>
          <t>Australia</t>
        </is>
      </c>
      <c r="N92" s="664" t="inlineStr">
        <is>
          <t>CIA</t>
        </is>
      </c>
      <c r="O92" s="664" t="n">
        <v>1</v>
      </c>
      <c r="P92" s="664" t="n"/>
      <c r="Q92" s="664" t="inlineStr">
        <is>
          <t>V</t>
        </is>
      </c>
      <c r="R92" s="666" t="n"/>
      <c r="S92" s="666" t="n"/>
      <c r="T92" s="667" t="n">
        <v>151000</v>
      </c>
      <c r="U92" s="668" t="n">
        <v>151000</v>
      </c>
      <c r="V92" s="670" t="n">
        <v>0.12</v>
      </c>
      <c r="W92" s="921" t="n">
        <v>0.055</v>
      </c>
      <c r="X92" s="921" t="n">
        <v>0.12</v>
      </c>
      <c r="Y92" s="922" t="n"/>
      <c r="Z92" s="921" t="n">
        <v>0.04</v>
      </c>
      <c r="AA92" s="919">
        <f>U92*(1+V92+W92+X92+Y92+Z92)</f>
        <v>201585.0</v>
      </c>
      <c r="AJ92" t="str">
        <f>IFERROR(INDEX(Lists!$U$1:$U$18,MATCH($I92,Lists!$T$1:$T$18,0)),"?")</f>
        <v>Ampol Retail</v>
      </c>
      <c r="AK92" t="str">
        <f>IF(LOWER($Q92)="v","Vacant",IF(LOWER($Q92)="pause","Paused",IF(LOWER($Q92)="cxc","Contractor",IF($Q92="Contractor","Contractor","Filled"))))</f>
        <v>Vacant</v>
      </c>
      <c r="AL92" t="str">
        <f>IF($M92="NZ","NZ","AU")</f>
        <v>AU</v>
      </c>
      <c r="AM92">
        <f>COUNTIF($AJ$2:$AJ92,$AJ92)</f>
        <v>54.0</v>
      </c>
      <c r="AN92" t="str">
        <f>$AJ92&amp;"|"&amp;$AM92</f>
        <v>Ampol Retail|54</v>
      </c>
    </row>
    <row r="93" ht="18" customHeight="1" s="849">
      <c r="A93" s="659" t="inlineStr">
        <is>
          <t>V</t>
        </is>
      </c>
      <c r="B93" s="660" t="inlineStr">
        <is>
          <t>Vacant</t>
        </is>
      </c>
      <c r="C93" s="660" t="inlineStr">
        <is>
          <t>Systems Analyst</t>
        </is>
      </c>
      <c r="D93" s="660" t="inlineStr">
        <is>
          <t>Vedran Jukic</t>
        </is>
      </c>
      <c r="E93" s="660" t="inlineStr">
        <is>
          <t>Technology Manager, Retail</t>
        </is>
      </c>
      <c r="F93" s="661" t="inlineStr">
        <is>
          <t>Ampol Retail &amp; Z</t>
        </is>
      </c>
      <c r="G93" s="662" t="inlineStr">
        <is>
          <t>Ampol Retail</t>
        </is>
      </c>
      <c r="H93" s="660" t="inlineStr">
        <is>
          <t>Ampol Retail, Technology</t>
        </is>
      </c>
      <c r="I93" s="660" t="inlineStr">
        <is>
          <t>Retail</t>
        </is>
      </c>
      <c r="J93" s="662" t="inlineStr">
        <is>
          <t>Network/QSR</t>
        </is>
      </c>
      <c r="K93" s="660" t="inlineStr">
        <is>
          <t>Network &amp; QSR</t>
        </is>
      </c>
      <c r="L93" s="662" t="n"/>
      <c r="M93" s="663" t="inlineStr">
        <is>
          <t>Australia</t>
        </is>
      </c>
      <c r="N93" s="664" t="inlineStr">
        <is>
          <t>CIA</t>
        </is>
      </c>
      <c r="O93" s="664" t="n">
        <v>1</v>
      </c>
      <c r="P93" s="664" t="n"/>
      <c r="Q93" s="664" t="inlineStr">
        <is>
          <t>V</t>
        </is>
      </c>
      <c r="R93" s="666" t="n"/>
      <c r="S93" s="666" t="n"/>
      <c r="T93" s="667" t="n">
        <v>173550</v>
      </c>
      <c r="U93" s="668" t="n">
        <v>173550</v>
      </c>
      <c r="V93" s="670" t="n">
        <v>0.12</v>
      </c>
      <c r="W93" s="921" t="n">
        <v>0.055</v>
      </c>
      <c r="X93" s="921" t="n">
        <v>0.12</v>
      </c>
      <c r="Y93" s="922" t="n"/>
      <c r="Z93" s="921" t="n">
        <v>0.04</v>
      </c>
      <c r="AA93" s="919">
        <f>U93*(1+V93+W93+X93+Y93+Z93)</f>
        <v>231689.25</v>
      </c>
      <c r="AJ93" t="str">
        <f>IFERROR(INDEX(Lists!$U$1:$U$18,MATCH($I93,Lists!$T$1:$T$18,0)),"?")</f>
        <v>Ampol Retail</v>
      </c>
      <c r="AK93" t="str">
        <f>IF(LOWER($Q93)="v","Vacant",IF(LOWER($Q93)="pause","Paused",IF(LOWER($Q93)="cxc","Contractor",IF($Q93="Contractor","Contractor","Filled"))))</f>
        <v>Vacant</v>
      </c>
      <c r="AL93" t="str">
        <f>IF($M93="NZ","NZ","AU")</f>
        <v>AU</v>
      </c>
      <c r="AM93">
        <f>COUNTIF($AJ$2:$AJ93,$AJ93)</f>
        <v>55.0</v>
      </c>
      <c r="AN93" t="str">
        <f>$AJ93&amp;"|"&amp;$AM93</f>
        <v>Ampol Retail|55</v>
      </c>
    </row>
    <row r="94" ht="18" customHeight="1" s="849">
      <c r="A94" s="659" t="inlineStr">
        <is>
          <t>V</t>
        </is>
      </c>
      <c r="B94" s="660" t="inlineStr">
        <is>
          <t>Vacant</t>
        </is>
      </c>
      <c r="C94" s="660" t="inlineStr">
        <is>
          <t>Systems Analyst</t>
        </is>
      </c>
      <c r="D94" s="660" t="inlineStr">
        <is>
          <t>Vaishnavi Viswanathan</t>
        </is>
      </c>
      <c r="E94" s="660" t="inlineStr">
        <is>
          <t>Technology Manager, Store Platform</t>
        </is>
      </c>
      <c r="F94" s="661" t="inlineStr">
        <is>
          <t>Ampol Retail &amp; Z</t>
        </is>
      </c>
      <c r="G94" s="662" t="inlineStr">
        <is>
          <t>Ampol Retail</t>
        </is>
      </c>
      <c r="H94" s="660" t="inlineStr">
        <is>
          <t>Ampol Retail, Store Platforms</t>
        </is>
      </c>
      <c r="I94" s="660" t="inlineStr">
        <is>
          <t>Retail</t>
        </is>
      </c>
      <c r="J94" s="662" t="inlineStr">
        <is>
          <t>Store Operations</t>
        </is>
      </c>
      <c r="K94" s="660" t="inlineStr">
        <is>
          <t>Payments</t>
        </is>
      </c>
      <c r="L94" s="662" t="n"/>
      <c r="M94" s="663" t="inlineStr">
        <is>
          <t>Australia</t>
        </is>
      </c>
      <c r="N94" s="664" t="inlineStr">
        <is>
          <t>CIA</t>
        </is>
      </c>
      <c r="O94" s="664" t="n">
        <v>1</v>
      </c>
      <c r="P94" s="664" t="n"/>
      <c r="Q94" s="664" t="inlineStr">
        <is>
          <t>v</t>
        </is>
      </c>
      <c r="R94" s="666" t="n"/>
      <c r="S94" s="666" t="n"/>
      <c r="T94" s="667" t="n">
        <v>129659</v>
      </c>
      <c r="U94" s="668" t="n">
        <v>129659</v>
      </c>
      <c r="V94" s="670" t="n">
        <v>0.1</v>
      </c>
      <c r="W94" s="921" t="n">
        <v>0.055</v>
      </c>
      <c r="X94" s="921" t="n">
        <v>0.12</v>
      </c>
      <c r="Y94" s="922" t="n"/>
      <c r="Z94" s="921" t="n">
        <v>0.04</v>
      </c>
      <c r="AA94" s="919">
        <f>U94*(1+V94+W94+X94+Y94+Z94)</f>
        <v>170501.585</v>
      </c>
      <c r="AJ94" t="str">
        <f>IFERROR(INDEX(Lists!$U$1:$U$18,MATCH($I94,Lists!$T$1:$T$18,0)),"?")</f>
        <v>Ampol Retail</v>
      </c>
      <c r="AK94" t="str">
        <f>IF(LOWER($Q94)="v","Vacant",IF(LOWER($Q94)="pause","Paused",IF(LOWER($Q94)="cxc","Contractor",IF($Q94="Contractor","Contractor","Filled"))))</f>
        <v>Vacant</v>
      </c>
      <c r="AL94" t="str">
        <f>IF($M94="NZ","NZ","AU")</f>
        <v>AU</v>
      </c>
      <c r="AM94">
        <f>COUNTIF($AJ$2:$AJ94,$AJ94)</f>
        <v>56.0</v>
      </c>
      <c r="AN94" t="str">
        <f>$AJ94&amp;"|"&amp;$AM94</f>
        <v>Ampol Retail|56</v>
      </c>
    </row>
    <row r="95" ht="18" customHeight="1" s="849">
      <c r="A95" s="659" t="inlineStr">
        <is>
          <t>V</t>
        </is>
      </c>
      <c r="B95" s="660" t="inlineStr">
        <is>
          <t>Vacant</t>
        </is>
      </c>
      <c r="C95" s="660" t="inlineStr">
        <is>
          <t>Systems Analyst</t>
        </is>
      </c>
      <c r="D95" s="660" t="inlineStr">
        <is>
          <t>Vaishnavi Viswanathan</t>
        </is>
      </c>
      <c r="E95" s="660" t="inlineStr">
        <is>
          <t>Technology Manager, Store Platform</t>
        </is>
      </c>
      <c r="F95" s="661" t="inlineStr">
        <is>
          <t>Ampol Retail &amp; Z</t>
        </is>
      </c>
      <c r="G95" s="662" t="inlineStr">
        <is>
          <t>Ampol Retail</t>
        </is>
      </c>
      <c r="H95" s="660" t="inlineStr">
        <is>
          <t>Ampol Retail, Store Platforms</t>
        </is>
      </c>
      <c r="I95" s="660" t="inlineStr">
        <is>
          <t>Retail</t>
        </is>
      </c>
      <c r="J95" s="662" t="inlineStr">
        <is>
          <t>Store Operations</t>
        </is>
      </c>
      <c r="K95" s="660" t="inlineStr">
        <is>
          <t>POS</t>
        </is>
      </c>
      <c r="L95" s="662" t="n"/>
      <c r="M95" s="663" t="inlineStr">
        <is>
          <t>Australia</t>
        </is>
      </c>
      <c r="N95" s="664" t="inlineStr">
        <is>
          <t>CIA</t>
        </is>
      </c>
      <c r="O95" s="664" t="n">
        <v>1</v>
      </c>
      <c r="P95" s="664" t="n"/>
      <c r="Q95" s="664" t="inlineStr">
        <is>
          <t>V</t>
        </is>
      </c>
      <c r="R95" s="666" t="n"/>
      <c r="S95" s="666" t="n"/>
      <c r="T95" s="667" t="n">
        <v>151950</v>
      </c>
      <c r="U95" s="679" t="n">
        <v>151950</v>
      </c>
      <c r="V95" s="709" t="n">
        <v>0.12</v>
      </c>
      <c r="W95" s="925" t="n">
        <v>0.055</v>
      </c>
      <c r="X95" s="925" t="n">
        <v>0.12</v>
      </c>
      <c r="Y95" s="926" t="n"/>
      <c r="Z95" s="925" t="n">
        <v>0.04</v>
      </c>
      <c r="AA95" s="927">
        <f>U95*(1+V95+W95+X95+Y95+Z95)</f>
        <v>202853.25</v>
      </c>
      <c r="AJ95" t="str">
        <f>IFERROR(INDEX(Lists!$U$1:$U$18,MATCH($I95,Lists!$T$1:$T$18,0)),"?")</f>
        <v>Ampol Retail</v>
      </c>
      <c r="AK95" t="str">
        <f>IF(LOWER($Q95)="v","Vacant",IF(LOWER($Q95)="pause","Paused",IF(LOWER($Q95)="cxc","Contractor",IF($Q95="Contractor","Contractor","Filled"))))</f>
        <v>Vacant</v>
      </c>
      <c r="AL95" t="str">
        <f>IF($M95="NZ","NZ","AU")</f>
        <v>AU</v>
      </c>
      <c r="AM95">
        <f>COUNTIF($AJ$2:$AJ95,$AJ95)</f>
        <v>57.0</v>
      </c>
      <c r="AN95" t="str">
        <f>$AJ95&amp;"|"&amp;$AM95</f>
        <v>Ampol Retail|57</v>
      </c>
    </row>
    <row r="96" ht="18" customHeight="1" s="849">
      <c r="A96" s="659" t="n">
        <v>98379</v>
      </c>
      <c r="B96" s="660" t="inlineStr">
        <is>
          <t>Vaishnavi Viswanathan</t>
        </is>
      </c>
      <c r="C96" s="660" t="inlineStr">
        <is>
          <t>Technology Manager, Store Platform</t>
        </is>
      </c>
      <c r="D96" s="662" t="inlineStr">
        <is>
          <t>Vacant</t>
        </is>
      </c>
      <c r="E96" s="660" t="inlineStr">
        <is>
          <t>Head of Technology,  Ampol Retail</t>
        </is>
      </c>
      <c r="F96" s="661" t="inlineStr">
        <is>
          <t>Ampol Retail &amp; Z</t>
        </is>
      </c>
      <c r="G96" s="662" t="inlineStr">
        <is>
          <t>Ampol Retail</t>
        </is>
      </c>
      <c r="H96" s="660" t="inlineStr">
        <is>
          <t>Ampol Retail, Store Platforms</t>
        </is>
      </c>
      <c r="I96" s="660" t="inlineStr">
        <is>
          <t>Retail</t>
        </is>
      </c>
      <c r="J96" s="660" t="inlineStr">
        <is>
          <t>Store Operations, Payments, POS</t>
        </is>
      </c>
      <c r="K96" s="662" t="inlineStr">
        <is>
          <t>Leadership</t>
        </is>
      </c>
      <c r="L96" s="662" t="n"/>
      <c r="M96" s="663" t="inlineStr">
        <is>
          <t>Australia</t>
        </is>
      </c>
      <c r="N96" s="664" t="inlineStr">
        <is>
          <t>CSB</t>
        </is>
      </c>
      <c r="O96" s="664" t="n">
        <v>1</v>
      </c>
      <c r="P96" s="664" t="n"/>
      <c r="Q96" s="664" t="inlineStr">
        <is>
          <t>Permanent - Full Time</t>
        </is>
      </c>
      <c r="R96" s="666" t="n"/>
      <c r="S96" s="666" t="n"/>
      <c r="T96" s="667" t="n">
        <v>190225</v>
      </c>
      <c r="U96" s="679" t="n">
        <v>190225</v>
      </c>
      <c r="V96" s="709" t="n">
        <v>0.14</v>
      </c>
      <c r="W96" s="925" t="n">
        <v>0.055</v>
      </c>
      <c r="X96" s="925" t="n">
        <v>0.12</v>
      </c>
      <c r="Y96" s="926" t="n"/>
      <c r="Z96" s="925" t="n">
        <v>0.04</v>
      </c>
      <c r="AA96" s="927">
        <f>U96*(1+V96+W96+X96+Y96+Z96)</f>
        <v>257754.875</v>
      </c>
      <c r="AJ96" t="str">
        <f>IFERROR(INDEX(Lists!$U$1:$U$18,MATCH($I96,Lists!$T$1:$T$18,0)),"?")</f>
        <v>Ampol Retail</v>
      </c>
      <c r="AK96" t="str">
        <f>IF(LOWER($Q96)="v","Vacant",IF(LOWER($Q96)="pause","Paused",IF(LOWER($Q96)="cxc","Contractor",IF($Q96="Contractor","Contractor","Filled"))))</f>
        <v>Filled</v>
      </c>
      <c r="AL96" t="str">
        <f>IF($M96="NZ","NZ","AU")</f>
        <v>AU</v>
      </c>
      <c r="AM96">
        <f>COUNTIF($AJ$2:$AJ96,$AJ96)</f>
        <v>58.0</v>
      </c>
      <c r="AN96" t="str">
        <f>$AJ96&amp;"|"&amp;$AM96</f>
        <v>Ampol Retail|58</v>
      </c>
    </row>
    <row r="97" ht="18" customHeight="1" s="849">
      <c r="A97" s="659" t="n">
        <v>86604</v>
      </c>
      <c r="B97" s="660" t="inlineStr">
        <is>
          <t>Vanessa Allen</t>
        </is>
      </c>
      <c r="C97" s="660" t="inlineStr">
        <is>
          <t>Delivery Manager</t>
        </is>
      </c>
      <c r="D97" s="662" t="inlineStr">
        <is>
          <t>Madan Murthy</t>
        </is>
      </c>
      <c r="E97" s="660" t="inlineStr">
        <is>
          <t>Head of Technology,  Ampol Retail</t>
        </is>
      </c>
      <c r="F97" s="661" t="inlineStr">
        <is>
          <t>Ampol Retail &amp; Z</t>
        </is>
      </c>
      <c r="G97" s="662" t="inlineStr">
        <is>
          <t>Ampol Retail</t>
        </is>
      </c>
      <c r="H97" s="660" t="inlineStr">
        <is>
          <t>Ampol Retail, Delivery</t>
        </is>
      </c>
      <c r="I97" s="660" t="inlineStr">
        <is>
          <t>Retail</t>
        </is>
      </c>
      <c r="J97" s="660" t="inlineStr">
        <is>
          <t>(All Retail)</t>
        </is>
      </c>
      <c r="K97" s="662" t="inlineStr">
        <is>
          <t>Leadership</t>
        </is>
      </c>
      <c r="L97" s="662" t="n"/>
      <c r="M97" s="663" t="inlineStr">
        <is>
          <t>Australia</t>
        </is>
      </c>
      <c r="N97" s="666" t="inlineStr">
        <is>
          <t>CSB</t>
        </is>
      </c>
      <c r="O97" s="666" t="n">
        <v>0.7</v>
      </c>
      <c r="P97" s="666" t="n"/>
      <c r="Q97" s="666" t="inlineStr">
        <is>
          <t>Permanent - Part Time</t>
        </is>
      </c>
      <c r="R97" s="666" t="n"/>
      <c r="S97" s="666" t="n"/>
      <c r="T97" s="667" t="n">
        <v>223570</v>
      </c>
      <c r="U97" s="679" t="n">
        <v>223570</v>
      </c>
      <c r="V97" s="709" t="n">
        <v>0.14</v>
      </c>
      <c r="W97" s="925" t="n">
        <v>0.055</v>
      </c>
      <c r="X97" s="925" t="n">
        <v>0.12</v>
      </c>
      <c r="Y97" s="926" t="n"/>
      <c r="Z97" s="925" t="n">
        <v>0.04</v>
      </c>
      <c r="AA97" s="927">
        <f>U97*(1+V97+W97+X97+Y97+Z97)</f>
        <v>302937.35</v>
      </c>
      <c r="AJ97" t="str">
        <f>IFERROR(INDEX(Lists!$U$1:$U$18,MATCH($I97,Lists!$T$1:$T$18,0)),"?")</f>
        <v>Ampol Retail</v>
      </c>
      <c r="AK97" t="str">
        <f>IF(LOWER($Q97)="v","Vacant",IF(LOWER($Q97)="pause","Paused",IF(LOWER($Q97)="cxc","Contractor",IF($Q97="Contractor","Contractor","Filled"))))</f>
        <v>Filled</v>
      </c>
      <c r="AL97" t="str">
        <f>IF($M97="NZ","NZ","AU")</f>
        <v>AU</v>
      </c>
      <c r="AM97">
        <f>COUNTIF($AJ$2:$AJ97,$AJ97)</f>
        <v>59.0</v>
      </c>
      <c r="AN97" t="str">
        <f>$AJ97&amp;"|"&amp;$AM97</f>
        <v>Ampol Retail|59</v>
      </c>
    </row>
    <row r="98" ht="18" customHeight="1" s="849">
      <c r="A98" s="659" t="n">
        <v>99999100432</v>
      </c>
      <c r="B98" s="660" t="inlineStr">
        <is>
          <t>Vanessa King</t>
        </is>
      </c>
      <c r="C98" s="660" t="inlineStr">
        <is>
          <t>Lead Quality Assurance</t>
        </is>
      </c>
      <c r="D98" s="660" t="inlineStr">
        <is>
          <t>Callan McLaughlin</t>
        </is>
      </c>
      <c r="E98" s="660" t="inlineStr">
        <is>
          <t>Technology Manager,  Site Systems</t>
        </is>
      </c>
      <c r="F98" s="661" t="inlineStr">
        <is>
          <t>Ampol Retail &amp; Z</t>
        </is>
      </c>
      <c r="G98" s="662" t="inlineStr">
        <is>
          <t>Z &amp; Group Retail</t>
        </is>
      </c>
      <c r="H98" s="660" t="inlineStr">
        <is>
          <t>Z &amp; Group Retail, Site Systems</t>
        </is>
      </c>
      <c r="I98" s="660" t="inlineStr">
        <is>
          <t>Z</t>
        </is>
      </c>
      <c r="J98" s="662" t="inlineStr">
        <is>
          <t>Z Customer</t>
        </is>
      </c>
      <c r="K98" s="660" t="inlineStr">
        <is>
          <t>Site Systems</t>
        </is>
      </c>
      <c r="L98" s="662" t="n"/>
      <c r="M98" s="663" t="inlineStr">
        <is>
          <t>NZ</t>
        </is>
      </c>
      <c r="N98" s="664" t="inlineStr">
        <is>
          <t>CIC</t>
        </is>
      </c>
      <c r="O98" s="665" t="n">
        <v>1</v>
      </c>
      <c r="P98" s="664" t="n"/>
      <c r="Q98" s="665" t="inlineStr">
        <is>
          <t>Permanent - Full Time</t>
        </is>
      </c>
      <c r="R98" s="666" t="n"/>
      <c r="S98" s="666" t="n"/>
      <c r="T98" s="667" t="n">
        <v>174080</v>
      </c>
      <c r="U98" s="668" t="n">
        <v>160153.6</v>
      </c>
      <c r="V98" s="669" t="n">
        <v>0.15</v>
      </c>
      <c r="W98" s="666" t="n"/>
      <c r="X98" s="670" t="n">
        <v>0.05</v>
      </c>
      <c r="Y98" s="918" t="n">
        <v>2910</v>
      </c>
      <c r="Z98" s="670" t="n">
        <v>0.03</v>
      </c>
      <c r="AA98" s="919">
        <f>U98*(1+V98+X98+Z98)+Y98</f>
        <v>199898.928</v>
      </c>
      <c r="AJ98" t="str">
        <f>IFERROR(INDEX(Lists!$U$1:$U$18,MATCH($I98,Lists!$T$1:$T$18,0)),"?")</f>
        <v>Z Retail</v>
      </c>
      <c r="AK98" t="str">
        <f>IF(LOWER($Q98)="v","Vacant",IF(LOWER($Q98)="pause","Paused",IF(LOWER($Q98)="cxc","Contractor",IF($Q98="Contractor","Contractor","Filled"))))</f>
        <v>Filled</v>
      </c>
      <c r="AL98" t="str">
        <f>IF($M98="NZ","NZ","AU")</f>
        <v>NZ</v>
      </c>
      <c r="AM98">
        <f>COUNTIF($AJ$2:$AJ98,$AJ98)</f>
        <v>38.0</v>
      </c>
      <c r="AN98" t="str">
        <f>$AJ98&amp;"|"&amp;$AM98</f>
        <v>Z Retail|38</v>
      </c>
    </row>
    <row r="99" ht="18" customHeight="1" s="849">
      <c r="A99" s="659" t="n">
        <v>98158</v>
      </c>
      <c r="B99" s="660" t="inlineStr">
        <is>
          <t>Vanessa Trujillo Munoz</t>
        </is>
      </c>
      <c r="C99" s="660" t="inlineStr">
        <is>
          <t>Delivery Lead</t>
        </is>
      </c>
      <c r="D99" s="660" t="inlineStr">
        <is>
          <t>Vanessa Allen</t>
        </is>
      </c>
      <c r="E99" s="660" t="inlineStr">
        <is>
          <t>Delivery Manager, Ampol Retail</t>
        </is>
      </c>
      <c r="F99" s="661" t="inlineStr">
        <is>
          <t>Ampol Retail &amp; Z</t>
        </is>
      </c>
      <c r="G99" s="662" t="inlineStr">
        <is>
          <t>Ampol Retail</t>
        </is>
      </c>
      <c r="H99" s="660" t="inlineStr">
        <is>
          <t>Ampol Retail, Delivery</t>
        </is>
      </c>
      <c r="I99" s="660" t="inlineStr">
        <is>
          <t>Retail</t>
        </is>
      </c>
      <c r="J99" s="662" t="inlineStr">
        <is>
          <t>Network/QSR</t>
        </is>
      </c>
      <c r="K99" s="660" t="inlineStr">
        <is>
          <t>Network &amp; QSR</t>
        </is>
      </c>
      <c r="L99" s="662" t="n"/>
      <c r="M99" s="663" t="inlineStr">
        <is>
          <t>Australia</t>
        </is>
      </c>
      <c r="N99" s="664" t="inlineStr">
        <is>
          <t>CIB</t>
        </is>
      </c>
      <c r="O99" s="664" t="n">
        <v>1</v>
      </c>
      <c r="P99" s="664" t="n"/>
      <c r="Q99" s="664" t="inlineStr">
        <is>
          <t>Permanent - Full Time</t>
        </is>
      </c>
      <c r="R99" s="666" t="n"/>
      <c r="S99" s="666" t="n"/>
      <c r="T99" s="667" t="n">
        <v>136670</v>
      </c>
      <c r="U99" s="668" t="n">
        <v>136670</v>
      </c>
      <c r="V99" s="670" t="n">
        <v>0.12</v>
      </c>
      <c r="W99" s="921" t="n">
        <v>0.055</v>
      </c>
      <c r="X99" s="921" t="n">
        <v>0.12</v>
      </c>
      <c r="Y99" s="922" t="n"/>
      <c r="Z99" s="921" t="n">
        <v>0.04</v>
      </c>
      <c r="AA99" s="919">
        <f>U99*(1+V99+W99+X99+Y99+Z99)</f>
        <v>182454.44999999998</v>
      </c>
      <c r="AJ99" t="str">
        <f>IFERROR(INDEX(Lists!$U$1:$U$18,MATCH($I99,Lists!$T$1:$T$18,0)),"?")</f>
        <v>Ampol Retail</v>
      </c>
      <c r="AK99" t="str">
        <f>IF(LOWER($Q99)="v","Vacant",IF(LOWER($Q99)="pause","Paused",IF(LOWER($Q99)="cxc","Contractor",IF($Q99="Contractor","Contractor","Filled"))))</f>
        <v>Filled</v>
      </c>
      <c r="AL99" t="str">
        <f>IF($M99="NZ","NZ","AU")</f>
        <v>AU</v>
      </c>
      <c r="AM99">
        <f>COUNTIF($AJ$2:$AJ99,$AJ99)</f>
        <v>60.0</v>
      </c>
      <c r="AN99" t="str">
        <f>$AJ99&amp;"|"&amp;$AM99</f>
        <v>Ampol Retail|60</v>
      </c>
    </row>
    <row r="100" ht="18" customHeight="1" s="849">
      <c r="A100" s="659" t="n">
        <v>8904</v>
      </c>
      <c r="B100" s="660" t="inlineStr">
        <is>
          <t>Vedran Jukic</t>
        </is>
      </c>
      <c r="C100" s="660" t="inlineStr">
        <is>
          <t>Technology Manager, Retail</t>
        </is>
      </c>
      <c r="D100" s="662" t="inlineStr">
        <is>
          <t>Madan Murthy</t>
        </is>
      </c>
      <c r="E100" s="660" t="inlineStr">
        <is>
          <t>Head of Technology,  Ampol Retail</t>
        </is>
      </c>
      <c r="F100" s="661" t="inlineStr">
        <is>
          <t>Ampol Retail &amp; Z</t>
        </is>
      </c>
      <c r="G100" s="662" t="inlineStr">
        <is>
          <t>Ampol Retail</t>
        </is>
      </c>
      <c r="H100" s="660" t="inlineStr">
        <is>
          <t>Ampol Retail, Technology</t>
        </is>
      </c>
      <c r="I100" s="660" t="inlineStr">
        <is>
          <t>Retail</t>
        </is>
      </c>
      <c r="J100" s="660" t="inlineStr">
        <is>
          <t>Store Operations, Network &amp; QSR, Deployment</t>
        </is>
      </c>
      <c r="K100" s="662" t="inlineStr">
        <is>
          <t>Leadership</t>
        </is>
      </c>
      <c r="L100" s="662" t="n"/>
      <c r="M100" s="663" t="inlineStr">
        <is>
          <t>Australia</t>
        </is>
      </c>
      <c r="N100" s="666" t="inlineStr">
        <is>
          <t>CSB</t>
        </is>
      </c>
      <c r="O100" s="666" t="n">
        <v>1</v>
      </c>
      <c r="P100" s="666" t="n"/>
      <c r="Q100" s="666" t="inlineStr">
        <is>
          <t>Permanent - Full Time</t>
        </is>
      </c>
      <c r="R100" s="666" t="n"/>
      <c r="S100" s="666" t="n"/>
      <c r="T100" s="667" t="n">
        <v>210000</v>
      </c>
      <c r="U100" s="668" t="n">
        <v>210000</v>
      </c>
      <c r="V100" s="670" t="n">
        <v>0.14</v>
      </c>
      <c r="W100" s="921" t="n">
        <v>0.055</v>
      </c>
      <c r="X100" s="921" t="n">
        <v>0.12</v>
      </c>
      <c r="Y100" s="922" t="n"/>
      <c r="Z100" s="921" t="n">
        <v>0.04</v>
      </c>
      <c r="AA100" s="919">
        <f>U100*(1+V100+W100+X100+Y100+Z100)</f>
        <v>284550.0</v>
      </c>
      <c r="AJ100" t="str">
        <f>IFERROR(INDEX(Lists!$U$1:$U$18,MATCH($I100,Lists!$T$1:$T$18,0)),"?")</f>
        <v>Ampol Retail</v>
      </c>
      <c r="AK100" t="str">
        <f>IF(LOWER($Q100)="v","Vacant",IF(LOWER($Q100)="pause","Paused",IF(LOWER($Q100)="cxc","Contractor",IF($Q100="Contractor","Contractor","Filled"))))</f>
        <v>Filled</v>
      </c>
      <c r="AL100" t="str">
        <f>IF($M100="NZ","NZ","AU")</f>
        <v>AU</v>
      </c>
      <c r="AM100">
        <f>COUNTIF($AJ$2:$AJ100,$AJ100)</f>
        <v>61.0</v>
      </c>
      <c r="AN100" t="str">
        <f>$AJ100&amp;"|"&amp;$AM100</f>
        <v>Ampol Retail|61</v>
      </c>
    </row>
    <row r="101" ht="18" customHeight="1" s="849">
      <c r="A101" s="659" t="n">
        <v>115831</v>
      </c>
      <c r="B101" s="660" t="inlineStr">
        <is>
          <t>Venkat Kedharanathan</t>
        </is>
      </c>
      <c r="C101" s="660" t="inlineStr">
        <is>
          <t>Senior Business Analyst</t>
        </is>
      </c>
      <c r="D101" s="660" t="inlineStr">
        <is>
          <t>Vanessa Allen</t>
        </is>
      </c>
      <c r="E101" s="660" t="inlineStr">
        <is>
          <t>Delivery Manager, Ampol Retail</t>
        </is>
      </c>
      <c r="F101" s="661" t="inlineStr">
        <is>
          <t>Ampol Retail &amp; Z</t>
        </is>
      </c>
      <c r="G101" s="662" t="inlineStr">
        <is>
          <t>Ampol Retail</t>
        </is>
      </c>
      <c r="H101" s="660" t="inlineStr">
        <is>
          <t>Ampol Retail, Delivery</t>
        </is>
      </c>
      <c r="I101" s="660" t="inlineStr">
        <is>
          <t>Retail</t>
        </is>
      </c>
      <c r="J101" s="662" t="inlineStr">
        <is>
          <t>Store Operations</t>
        </is>
      </c>
      <c r="K101" s="660" t="inlineStr">
        <is>
          <t>Payments</t>
        </is>
      </c>
      <c r="L101" s="662" t="n"/>
      <c r="M101" s="663" t="inlineStr">
        <is>
          <t>Australia</t>
        </is>
      </c>
      <c r="N101" s="664" t="inlineStr">
        <is>
          <t>CIB</t>
        </is>
      </c>
      <c r="O101" s="664" t="n">
        <v>1</v>
      </c>
      <c r="P101" s="664" t="n"/>
      <c r="Q101" s="664" t="inlineStr">
        <is>
          <t>Permanent - Full Time</t>
        </is>
      </c>
      <c r="R101" s="666" t="n"/>
      <c r="S101" s="666" t="n"/>
      <c r="T101" s="667" t="n">
        <v>160000</v>
      </c>
      <c r="U101" s="668" t="n">
        <v>160000</v>
      </c>
      <c r="V101" s="670" t="n">
        <v>0.12</v>
      </c>
      <c r="W101" s="921" t="n">
        <v>0.055</v>
      </c>
      <c r="X101" s="921" t="n">
        <v>0.12</v>
      </c>
      <c r="Y101" s="922" t="n"/>
      <c r="Z101" s="921" t="n">
        <v>0.04</v>
      </c>
      <c r="AA101" s="919">
        <f>U101*(1+V101+W101+X101+Y101+Z101)</f>
        <v>213600.0</v>
      </c>
      <c r="AJ101" t="str">
        <f>IFERROR(INDEX(Lists!$U$1:$U$18,MATCH($I101,Lists!$T$1:$T$18,0)),"?")</f>
        <v>Ampol Retail</v>
      </c>
      <c r="AK101" t="str">
        <f>IF(LOWER($Q101)="v","Vacant",IF(LOWER($Q101)="pause","Paused",IF(LOWER($Q101)="cxc","Contractor",IF($Q101="Contractor","Contractor","Filled"))))</f>
        <v>Filled</v>
      </c>
      <c r="AL101" t="str">
        <f>IF($M101="NZ","NZ","AU")</f>
        <v>AU</v>
      </c>
      <c r="AM101">
        <f>COUNTIF($AJ$2:$AJ101,$AJ101)</f>
        <v>62.0</v>
      </c>
      <c r="AN101" t="str">
        <f>$AJ101&amp;"|"&amp;$AM101</f>
        <v>Ampol Retail|62</v>
      </c>
    </row>
    <row r="102" ht="18" customHeight="1" s="849">
      <c r="A102" s="659" t="n">
        <v>117167</v>
      </c>
      <c r="B102" s="660" t="inlineStr">
        <is>
          <t>Vijay Patel</t>
        </is>
      </c>
      <c r="C102" s="660" t="inlineStr">
        <is>
          <t>Systems Analyst</t>
        </is>
      </c>
      <c r="D102" s="660" t="inlineStr">
        <is>
          <t>Tracy Lee Reaper</t>
        </is>
      </c>
      <c r="E102" s="660" t="inlineStr">
        <is>
          <t>Tech Manager, Merchandising &amp; WFM</t>
        </is>
      </c>
      <c r="F102" s="661" t="inlineStr">
        <is>
          <t>Ampol Retail &amp; Z</t>
        </is>
      </c>
      <c r="G102" s="662" t="inlineStr">
        <is>
          <t>Ampol Retail</t>
        </is>
      </c>
      <c r="H102" s="660" t="inlineStr">
        <is>
          <t>Ampol Retail, Merch &amp; RTA</t>
        </is>
      </c>
      <c r="I102" s="660" t="inlineStr">
        <is>
          <t>Retail</t>
        </is>
      </c>
      <c r="J102" s="662" t="inlineStr">
        <is>
          <t>Above Store</t>
        </is>
      </c>
      <c r="K102" s="662" t="inlineStr">
        <is>
          <t>Above Store</t>
        </is>
      </c>
      <c r="L102" s="662" t="n"/>
      <c r="M102" s="663" t="inlineStr">
        <is>
          <t>Australia</t>
        </is>
      </c>
      <c r="N102" s="664" t="inlineStr">
        <is>
          <t>CIB</t>
        </is>
      </c>
      <c r="O102" s="664" t="n">
        <v>1</v>
      </c>
      <c r="P102" s="664" t="n"/>
      <c r="Q102" s="664" t="inlineStr">
        <is>
          <t>Permanent - Full Time</t>
        </is>
      </c>
      <c r="R102" s="666" t="n"/>
      <c r="S102" s="666" t="n"/>
      <c r="T102" s="667" t="n">
        <v>145000</v>
      </c>
      <c r="U102" s="668" t="n">
        <v>145000</v>
      </c>
      <c r="V102" s="670" t="n">
        <v>0.12</v>
      </c>
      <c r="W102" s="921" t="n">
        <v>0.055</v>
      </c>
      <c r="X102" s="921" t="n">
        <v>0.12</v>
      </c>
      <c r="Y102" s="922" t="n"/>
      <c r="Z102" s="921" t="n">
        <v>0.04</v>
      </c>
      <c r="AA102" s="919">
        <f>U102*(1+V102+W102+X102+Y102+Z102)</f>
        <v>193575.0</v>
      </c>
      <c r="AJ102" t="str">
        <f>IFERROR(INDEX(Lists!$U$1:$U$18,MATCH($I102,Lists!$T$1:$T$18,0)),"?")</f>
        <v>Ampol Retail</v>
      </c>
      <c r="AK102" t="str">
        <f>IF(LOWER($Q102)="v","Vacant",IF(LOWER($Q102)="pause","Paused",IF(LOWER($Q102)="cxc","Contractor",IF($Q102="Contractor","Contractor","Filled"))))</f>
        <v>Filled</v>
      </c>
      <c r="AL102" t="str">
        <f>IF($M102="NZ","NZ","AU")</f>
        <v>AU</v>
      </c>
      <c r="AM102">
        <f>COUNTIF($AJ$2:$AJ102,$AJ102)</f>
        <v>63.0</v>
      </c>
      <c r="AN102" t="str">
        <f>$AJ102&amp;"|"&amp;$AM102</f>
        <v>Ampol Retail|63</v>
      </c>
    </row>
    <row r="103" ht="18" customHeight="1" s="849">
      <c r="A103" s="659" t="n">
        <v>104050</v>
      </c>
      <c r="B103" s="660" t="inlineStr">
        <is>
          <t>Violeta Trajkovski</t>
        </is>
      </c>
      <c r="C103" s="660" t="inlineStr">
        <is>
          <t>Deployment Coordinator</t>
        </is>
      </c>
      <c r="D103" s="660" t="inlineStr">
        <is>
          <t>Matthew Patane</t>
        </is>
      </c>
      <c r="E103" s="660" t="inlineStr">
        <is>
          <t>Release &amp; Deployment Manager</t>
        </is>
      </c>
      <c r="F103" s="661" t="inlineStr">
        <is>
          <t>Ampol Retail &amp; Z</t>
        </is>
      </c>
      <c r="G103" s="662" t="inlineStr">
        <is>
          <t>Ampol Retail</t>
        </is>
      </c>
      <c r="H103" s="660" t="inlineStr">
        <is>
          <t>Ampol Retail, Technology</t>
        </is>
      </c>
      <c r="I103" s="660" t="inlineStr">
        <is>
          <t>Retail</t>
        </is>
      </c>
      <c r="J103" s="662" t="inlineStr">
        <is>
          <t>Store Operations</t>
        </is>
      </c>
      <c r="K103" s="660" t="inlineStr">
        <is>
          <t>Deployment</t>
        </is>
      </c>
      <c r="L103" s="662" t="n"/>
      <c r="M103" s="663" t="inlineStr">
        <is>
          <t>Australia</t>
        </is>
      </c>
      <c r="N103" s="664" t="inlineStr">
        <is>
          <t>CDC</t>
        </is>
      </c>
      <c r="O103" s="664" t="n">
        <v>1</v>
      </c>
      <c r="P103" s="664" t="n"/>
      <c r="Q103" s="664" t="inlineStr">
        <is>
          <t>Permanent - Full Time</t>
        </is>
      </c>
      <c r="R103" s="666" t="n"/>
      <c r="S103" s="666" t="n"/>
      <c r="T103" s="667" t="n">
        <v>110700</v>
      </c>
      <c r="U103" s="668" t="n">
        <v>110700</v>
      </c>
      <c r="V103" s="670" t="n">
        <v>0.1</v>
      </c>
      <c r="W103" s="921" t="n">
        <v>0.055</v>
      </c>
      <c r="X103" s="921" t="n">
        <v>0.12</v>
      </c>
      <c r="Y103" s="922" t="n"/>
      <c r="Z103" s="921" t="n">
        <v>0.04</v>
      </c>
      <c r="AA103" s="919">
        <f>U103*(1+V103+W103+X103+Y103+Z103)</f>
        <v>145570.5</v>
      </c>
      <c r="AJ103" t="str">
        <f>IFERROR(INDEX(Lists!$U$1:$U$18,MATCH($I103,Lists!$T$1:$T$18,0)),"?")</f>
        <v>Ampol Retail</v>
      </c>
      <c r="AK103" t="str">
        <f>IF(LOWER($Q103)="v","Vacant",IF(LOWER($Q103)="pause","Paused",IF(LOWER($Q103)="cxc","Contractor",IF($Q103="Contractor","Contractor","Filled"))))</f>
        <v>Filled</v>
      </c>
      <c r="AL103" t="str">
        <f>IF($M103="NZ","NZ","AU")</f>
        <v>AU</v>
      </c>
      <c r="AM103">
        <f>COUNTIF($AJ$2:$AJ103,$AJ103)</f>
        <v>64.0</v>
      </c>
      <c r="AN103" t="str">
        <f>$AJ103&amp;"|"&amp;$AM103</f>
        <v>Ampol Retail|64</v>
      </c>
    </row>
    <row r="104" ht="18" customHeight="1" s="849">
      <c r="A104" s="659" t="inlineStr">
        <is>
          <t>C</t>
        </is>
      </c>
      <c r="B104" s="660" t="inlineStr">
        <is>
          <t>Viren Khatri</t>
        </is>
      </c>
      <c r="C104" s="660" t="inlineStr">
        <is>
          <t>Data Migration Lead</t>
        </is>
      </c>
      <c r="D104" s="662" t="inlineStr">
        <is>
          <t>Vacant</t>
        </is>
      </c>
      <c r="E104" s="660" t="inlineStr">
        <is>
          <t>Technology Manager, Data</t>
        </is>
      </c>
      <c r="F104" s="661" t="inlineStr">
        <is>
          <t>Ampol Retail &amp; Z</t>
        </is>
      </c>
      <c r="G104" s="662" t="inlineStr">
        <is>
          <t>Z &amp; Group Retail</t>
        </is>
      </c>
      <c r="H104" s="660" t="inlineStr">
        <is>
          <t>Z &amp; Group Retail, Data</t>
        </is>
      </c>
      <c r="I104" s="660" t="inlineStr">
        <is>
          <t>Ampol Retail</t>
        </is>
      </c>
      <c r="J104" s="662" t="inlineStr">
        <is>
          <t>EGI</t>
        </is>
      </c>
      <c r="K104" s="660" t="inlineStr">
        <is>
          <t>EGI TDD</t>
        </is>
      </c>
      <c r="L104" s="662" t="n"/>
      <c r="M104" s="663" t="inlineStr">
        <is>
          <t>Australia</t>
        </is>
      </c>
      <c r="N104" s="666" t="inlineStr">
        <is>
          <t>NA</t>
        </is>
      </c>
      <c r="O104" s="664" t="n">
        <v>1</v>
      </c>
      <c r="P104" s="666" t="n"/>
      <c r="Q104" s="666" t="inlineStr">
        <is>
          <t>cxc</t>
        </is>
      </c>
      <c r="R104" s="677" t="inlineStr">
        <is>
          <t>Daily</t>
        </is>
      </c>
      <c r="S104" s="666" t="n">
        <v>1350</v>
      </c>
      <c r="T104" s="667" t="n">
        <v>0</v>
      </c>
      <c r="U104" s="667" t="n"/>
      <c r="V104" s="662" t="n"/>
      <c r="W104" s="662" t="n"/>
      <c r="X104" s="662" t="n"/>
      <c r="Y104" s="662" t="n"/>
      <c r="Z104" s="662" t="n"/>
      <c r="AA104" s="678">
        <f>S104*222</f>
        <v>299700.0</v>
      </c>
      <c r="AJ104" t="str">
        <f>IFERROR(INDEX(Lists!$U$1:$U$18,MATCH($I104,Lists!$T$1:$T$18,0)),"?")</f>
        <v>Ampol Retail</v>
      </c>
      <c r="AK104" t="str">
        <f>IF(LOWER($Q104)="v","Vacant",IF(LOWER($Q104)="pause","Paused",IF(LOWER($Q104)="cxc","Contractor",IF($Q104="Contractor","Contractor","Filled"))))</f>
        <v>Contractor</v>
      </c>
      <c r="AL104" t="str">
        <f>IF($M104="NZ","NZ","AU")</f>
        <v>AU</v>
      </c>
      <c r="AM104">
        <f>COUNTIF($AJ$2:$AJ104,$AJ104)</f>
        <v>65.0</v>
      </c>
      <c r="AN104" t="str">
        <f>$AJ104&amp;"|"&amp;$AM104</f>
        <v>Ampol Retail|65</v>
      </c>
    </row>
    <row r="105" ht="18" customHeight="1" s="849">
      <c r="A105" s="659" t="n">
        <v>99999100977</v>
      </c>
      <c r="B105" s="660" t="inlineStr">
        <is>
          <t>Warren Grieve</t>
        </is>
      </c>
      <c r="C105" s="660" t="inlineStr">
        <is>
          <t>Senior Site Systems Analyst</t>
        </is>
      </c>
      <c r="D105" s="660" t="inlineStr">
        <is>
          <t>Callan McLaughlin</t>
        </is>
      </c>
      <c r="E105" s="660" t="inlineStr">
        <is>
          <t>Technology Manager,  Site Systems</t>
        </is>
      </c>
      <c r="F105" s="661" t="inlineStr">
        <is>
          <t>Ampol Retail &amp; Z</t>
        </is>
      </c>
      <c r="G105" s="662" t="inlineStr">
        <is>
          <t>Z &amp; Group Retail</t>
        </is>
      </c>
      <c r="H105" s="660" t="inlineStr">
        <is>
          <t>Z &amp; Group Retail, Site Systems</t>
        </is>
      </c>
      <c r="I105" s="660" t="inlineStr">
        <is>
          <t>Z</t>
        </is>
      </c>
      <c r="J105" s="662" t="inlineStr">
        <is>
          <t>Z Customer</t>
        </is>
      </c>
      <c r="K105" s="660" t="inlineStr">
        <is>
          <t>Site Systems</t>
        </is>
      </c>
      <c r="L105" s="662" t="n"/>
      <c r="M105" s="663" t="inlineStr">
        <is>
          <t>NZ</t>
        </is>
      </c>
      <c r="N105" s="664" t="inlineStr">
        <is>
          <t>CIA</t>
        </is>
      </c>
      <c r="O105" s="665" t="n">
        <v>1</v>
      </c>
      <c r="P105" s="664" t="n"/>
      <c r="Q105" s="665" t="inlineStr">
        <is>
          <t>Permanent - Full Time</t>
        </is>
      </c>
      <c r="R105" s="666" t="n"/>
      <c r="S105" s="666" t="n"/>
      <c r="T105" s="667" t="n">
        <v>116710</v>
      </c>
      <c r="U105" s="668" t="n">
        <v>107373.2</v>
      </c>
      <c r="V105" s="669" t="n">
        <v>0.15</v>
      </c>
      <c r="W105" s="666" t="n"/>
      <c r="X105" s="670" t="n">
        <v>0.05</v>
      </c>
      <c r="Y105" s="918" t="n">
        <v>2910</v>
      </c>
      <c r="Z105" s="670" t="n">
        <v>0.03</v>
      </c>
      <c r="AA105" s="919">
        <f>U105*(1+V105+X105+Z105)+Y105</f>
        <v>134979.036</v>
      </c>
      <c r="AJ105" t="str">
        <f>IFERROR(INDEX(Lists!$U$1:$U$18,MATCH($I105,Lists!$T$1:$T$18,0)),"?")</f>
        <v>Z Retail</v>
      </c>
      <c r="AK105" t="str">
        <f>IF(LOWER($Q105)="v","Vacant",IF(LOWER($Q105)="pause","Paused",IF(LOWER($Q105)="cxc","Contractor",IF($Q105="Contractor","Contractor","Filled"))))</f>
        <v>Filled</v>
      </c>
      <c r="AL105" t="str">
        <f>IF($M105="NZ","NZ","AU")</f>
        <v>NZ</v>
      </c>
      <c r="AM105">
        <f>COUNTIF($AJ$2:$AJ105,$AJ105)</f>
        <v>39.0</v>
      </c>
      <c r="AN105" t="str">
        <f>$AJ105&amp;"|"&amp;$AM105</f>
        <v>Z Retail|39</v>
      </c>
    </row>
    <row r="106" ht="18" customHeight="1" s="849">
      <c r="A106" s="659" t="n">
        <v>114990</v>
      </c>
      <c r="B106" s="660" t="inlineStr">
        <is>
          <t>Zhan Zhang</t>
        </is>
      </c>
      <c r="C106" s="660" t="inlineStr">
        <is>
          <t>Solution Architect</t>
        </is>
      </c>
      <c r="D106" s="660" t="inlineStr">
        <is>
          <t>Vedran Jukic</t>
        </is>
      </c>
      <c r="E106" s="660" t="inlineStr">
        <is>
          <t>Technology Manager, Retail</t>
        </is>
      </c>
      <c r="F106" s="661" t="inlineStr">
        <is>
          <t>Ampol Retail &amp; Z</t>
        </is>
      </c>
      <c r="G106" s="662" t="inlineStr">
        <is>
          <t>Ampol Retail</t>
        </is>
      </c>
      <c r="H106" s="660" t="inlineStr">
        <is>
          <t>Ampol Retail, Technology</t>
        </is>
      </c>
      <c r="I106" s="660" t="inlineStr">
        <is>
          <t>Retail</t>
        </is>
      </c>
      <c r="J106" s="662" t="inlineStr">
        <is>
          <t>Above Store</t>
        </is>
      </c>
      <c r="K106" s="662" t="inlineStr">
        <is>
          <t>Above Store</t>
        </is>
      </c>
      <c r="L106" s="662" t="n"/>
      <c r="M106" s="663" t="inlineStr">
        <is>
          <t>Australia</t>
        </is>
      </c>
      <c r="N106" s="664" t="inlineStr">
        <is>
          <t>CIC</t>
        </is>
      </c>
      <c r="O106" s="664" t="n">
        <v>1</v>
      </c>
      <c r="P106" s="664" t="n"/>
      <c r="Q106" s="664" t="inlineStr">
        <is>
          <t>Permanent - Full Time</t>
        </is>
      </c>
      <c r="R106" s="666" t="n"/>
      <c r="S106" s="666" t="n"/>
      <c r="T106" s="667" t="n">
        <v>182500</v>
      </c>
      <c r="U106" s="668" t="n">
        <v>182500</v>
      </c>
      <c r="V106" s="670" t="n">
        <v>0.12</v>
      </c>
      <c r="W106" s="921" t="n">
        <v>0.055</v>
      </c>
      <c r="X106" s="921" t="n">
        <v>0.12</v>
      </c>
      <c r="Y106" s="922" t="n"/>
      <c r="Z106" s="921" t="n">
        <v>0.04</v>
      </c>
      <c r="AA106" s="919">
        <f>U106*(1+V106+W106+X106+Y106+Z106)</f>
        <v>243637.5</v>
      </c>
      <c r="AJ106" t="str">
        <f>IFERROR(INDEX(Lists!$U$1:$U$18,MATCH($I106,Lists!$T$1:$T$18,0)),"?")</f>
        <v>Ampol Retail</v>
      </c>
      <c r="AK106" t="str">
        <f>IF(LOWER($Q106)="v","Vacant",IF(LOWER($Q106)="pause","Paused",IF(LOWER($Q106)="cxc","Contractor",IF($Q106="Contractor","Contractor","Filled"))))</f>
        <v>Filled</v>
      </c>
      <c r="AL106" t="str">
        <f>IF($M106="NZ","NZ","AU")</f>
        <v>AU</v>
      </c>
      <c r="AM106">
        <f>COUNTIF($AJ$2:$AJ106,$AJ106)</f>
        <v>66.0</v>
      </c>
      <c r="AN106" t="str">
        <f>$AJ106&amp;"|"&amp;$AM106</f>
        <v>Ampol Retail|66</v>
      </c>
    </row>
    <row r="107" ht="18" customHeight="1" s="849">
      <c r="A107" s="659" t="n">
        <v>114829</v>
      </c>
      <c r="B107" s="660" t="inlineStr">
        <is>
          <t>Zuan Zheng</t>
        </is>
      </c>
      <c r="C107" s="660" t="inlineStr">
        <is>
          <t>Systems Analyst</t>
        </is>
      </c>
      <c r="D107" s="660" t="inlineStr">
        <is>
          <t>Tracy Lee Reaper</t>
        </is>
      </c>
      <c r="E107" s="660" t="inlineStr">
        <is>
          <t>Tech Manager, Merchandising &amp; WFM</t>
        </is>
      </c>
      <c r="F107" s="661" t="inlineStr">
        <is>
          <t>Ampol Retail &amp; Z</t>
        </is>
      </c>
      <c r="G107" s="662" t="inlineStr">
        <is>
          <t>Ampol Retail</t>
        </is>
      </c>
      <c r="H107" s="660" t="inlineStr">
        <is>
          <t>Ampol Retail, Merch &amp; RTA</t>
        </is>
      </c>
      <c r="I107" s="660" t="inlineStr">
        <is>
          <t>Retail</t>
        </is>
      </c>
      <c r="J107" s="662" t="inlineStr">
        <is>
          <t>Above Store</t>
        </is>
      </c>
      <c r="K107" s="662" t="inlineStr">
        <is>
          <t>Above Store</t>
        </is>
      </c>
      <c r="L107" s="662" t="n"/>
      <c r="M107" s="663" t="inlineStr">
        <is>
          <t>Singapore</t>
        </is>
      </c>
      <c r="N107" s="664" t="inlineStr">
        <is>
          <t>CIB</t>
        </is>
      </c>
      <c r="O107" s="664" t="n">
        <v>1</v>
      </c>
      <c r="P107" s="664" t="n"/>
      <c r="Q107" s="664" t="inlineStr">
        <is>
          <t>Permanent - Full Time</t>
        </is>
      </c>
      <c r="R107" s="666" t="n"/>
      <c r="S107" s="666" t="n"/>
      <c r="T107" s="667" t="n">
        <v>133000</v>
      </c>
      <c r="U107" s="668" t="n">
        <v>160930</v>
      </c>
      <c r="V107" s="670" t="n">
        <v>0.25</v>
      </c>
      <c r="W107" s="666" t="n"/>
      <c r="X107" s="670" t="n">
        <v>0.17</v>
      </c>
      <c r="Y107" s="918" t="n">
        <v>3310</v>
      </c>
      <c r="Z107" s="713" t="n">
        <v>0.045</v>
      </c>
      <c r="AA107" s="919">
        <f>U107*(1+V107+X107+Z107)+Y107</f>
        <v>239072.44999999998</v>
      </c>
      <c r="AJ107" t="str">
        <f>IFERROR(INDEX(Lists!$U$1:$U$18,MATCH($I107,Lists!$T$1:$T$18,0)),"?")</f>
        <v>Ampol Retail</v>
      </c>
      <c r="AK107" t="str">
        <f>IF(LOWER($Q107)="v","Vacant",IF(LOWER($Q107)="pause","Paused",IF(LOWER($Q107)="cxc","Contractor",IF($Q107="Contractor","Contractor","Filled"))))</f>
        <v>Filled</v>
      </c>
      <c r="AL107" t="str">
        <f>IF($M107="NZ","NZ","AU")</f>
        <v>AU</v>
      </c>
      <c r="AM107">
        <f>COUNTIF($AJ$2:$AJ107,$AJ107)</f>
        <v>67.0</v>
      </c>
      <c r="AN107" t="str">
        <f>$AJ107&amp;"|"&amp;$AM107</f>
        <v>Ampol Retail|67</v>
      </c>
    </row>
    <row r="108" ht="18" customHeight="1" s="849">
      <c r="A108" s="714" t="inlineStr">
        <is>
          <t>C</t>
        </is>
      </c>
      <c r="B108" s="715" t="inlineStr">
        <is>
          <t>Aaron Lu</t>
        </is>
      </c>
      <c r="C108" s="715" t="inlineStr">
        <is>
          <t>Engineer - BE</t>
        </is>
      </c>
      <c r="D108" s="715" t="inlineStr">
        <is>
          <t>Vacant</t>
        </is>
      </c>
      <c r="E108" s="715" t="inlineStr">
        <is>
          <t>Technology Manager, Digital Engineering</t>
        </is>
      </c>
      <c r="F108" s="716" t="inlineStr">
        <is>
          <t>Customer</t>
        </is>
      </c>
      <c r="G108" s="705" t="inlineStr">
        <is>
          <t>Digital</t>
        </is>
      </c>
      <c r="H108" s="705" t="inlineStr">
        <is>
          <t>Tech, Digital Engineering</t>
        </is>
      </c>
      <c r="I108" s="705" t="inlineStr">
        <is>
          <t>Customer</t>
        </is>
      </c>
      <c r="J108" s="715" t="inlineStr">
        <is>
          <t>Ampol Digital</t>
        </is>
      </c>
      <c r="K108" s="715" t="inlineStr">
        <is>
          <t>Ampol Web</t>
        </is>
      </c>
      <c r="L108" s="705" t="n"/>
      <c r="M108" s="717" t="inlineStr">
        <is>
          <t>Australia</t>
        </is>
      </c>
      <c r="N108" s="705" t="inlineStr">
        <is>
          <t>NA</t>
        </is>
      </c>
      <c r="O108" s="705" t="n">
        <v>1</v>
      </c>
      <c r="P108" s="705" t="n"/>
      <c r="Q108" s="705" t="inlineStr">
        <is>
          <t>Permanent - Full Time</t>
        </is>
      </c>
      <c r="R108" s="705" t="n"/>
      <c r="S108" s="705" t="n"/>
      <c r="T108" s="718" t="n">
        <v>176280</v>
      </c>
      <c r="U108" s="719" t="n">
        <v>176280</v>
      </c>
      <c r="V108" s="720" t="n">
        <v>0.12</v>
      </c>
      <c r="W108" s="928" t="n">
        <v>0.055</v>
      </c>
      <c r="X108" s="928" t="n">
        <v>0.12</v>
      </c>
      <c r="Y108" s="928" t="n"/>
      <c r="Z108" s="928" t="n">
        <v>0.04</v>
      </c>
      <c r="AA108" s="929" t="n">
        <v>235333.8</v>
      </c>
      <c r="AB108" s="723" t="n"/>
      <c r="AC108" s="723" t="n"/>
      <c r="AD108" s="723" t="inlineStr">
        <is>
          <t>Retain source cost</t>
        </is>
      </c>
      <c r="AE108" s="723" t="inlineStr">
        <is>
          <t>No</t>
        </is>
      </c>
      <c r="AF108" s="723" t="n"/>
      <c r="AG108" s="723" t="n"/>
      <c r="AJ108" t="str">
        <f>IFERROR(INDEX(Lists!$U$1:$U$18,MATCH($I108,Lists!$T$1:$T$18,0)),"?")</f>
        <v>Customer</v>
      </c>
      <c r="AK108" t="str">
        <f>IF(LOWER($Q108)="v","Vacant",IF(LOWER($Q108)="pause","Paused",IF(LOWER($Q108)="cxc","Contractor",IF($Q108="Contractor","Contractor","Filled"))))</f>
        <v>Filled</v>
      </c>
      <c r="AL108" t="str">
        <f>IF($M108="NZ","NZ","AU")</f>
        <v>AU</v>
      </c>
      <c r="AM108">
        <f>COUNTIF($AJ$2:$AJ108,$AJ108)</f>
        <v>1.0</v>
      </c>
      <c r="AN108" t="str">
        <f>$AJ108&amp;"|"&amp;$AM108</f>
        <v>Customer|1</v>
      </c>
    </row>
    <row r="109" ht="18" customHeight="1" s="849">
      <c r="A109" s="714" t="n">
        <v>116408</v>
      </c>
      <c r="B109" s="715" t="inlineStr">
        <is>
          <t>Abhilash Reddy</t>
        </is>
      </c>
      <c r="C109" s="715" t="inlineStr">
        <is>
          <t>Project Manager</t>
        </is>
      </c>
      <c r="D109" s="715" t="inlineStr">
        <is>
          <t>Vacant</t>
        </is>
      </c>
      <c r="E109" s="715" t="inlineStr">
        <is>
          <t>Program Manager</t>
        </is>
      </c>
      <c r="F109" s="716" t="inlineStr">
        <is>
          <t>Customer</t>
        </is>
      </c>
      <c r="G109" s="705" t="inlineStr">
        <is>
          <t>Customer, PMO</t>
        </is>
      </c>
      <c r="H109" s="715" t="n"/>
      <c r="I109" s="715" t="inlineStr">
        <is>
          <t>Customer</t>
        </is>
      </c>
      <c r="J109" s="715" t="inlineStr">
        <is>
          <t>Ampol Digital</t>
        </is>
      </c>
      <c r="K109" s="715" t="inlineStr">
        <is>
          <t>Leadership</t>
        </is>
      </c>
      <c r="L109" s="705" t="n"/>
      <c r="M109" s="717" t="inlineStr">
        <is>
          <t>Australia</t>
        </is>
      </c>
      <c r="N109" s="705" t="inlineStr">
        <is>
          <t>CIC</t>
        </is>
      </c>
      <c r="O109" s="705" t="n">
        <v>1</v>
      </c>
      <c r="P109" s="705" t="n"/>
      <c r="Q109" s="724" t="inlineStr">
        <is>
          <t>Contractor</t>
        </is>
      </c>
      <c r="R109" s="724" t="inlineStr">
        <is>
          <t>?</t>
        </is>
      </c>
      <c r="S109" s="705" t="n">
        <v>1200</v>
      </c>
      <c r="T109" s="718" t="n">
        <v>0</v>
      </c>
      <c r="U109" s="718" t="n"/>
      <c r="V109" s="705" t="n"/>
      <c r="W109" s="705" t="n"/>
      <c r="X109" s="705" t="n"/>
      <c r="Y109" s="705" t="n"/>
      <c r="Z109" s="705" t="n"/>
      <c r="AA109" s="725" t="n">
        <v>266400</v>
      </c>
      <c r="AB109" s="723" t="n"/>
      <c r="AC109" s="723" t="n"/>
      <c r="AD109" s="723" t="inlineStr">
        <is>
          <t>Retain source cost</t>
        </is>
      </c>
      <c r="AE109" s="723" t="inlineStr">
        <is>
          <t>No</t>
        </is>
      </c>
      <c r="AF109" s="723" t="n"/>
      <c r="AG109" s="723" t="n"/>
      <c r="AJ109" t="str">
        <f>IFERROR(INDEX(Lists!$U$1:$U$18,MATCH($I109,Lists!$T$1:$T$18,0)),"?")</f>
        <v>Customer</v>
      </c>
      <c r="AK109" t="str">
        <f>IF(LOWER($Q109)="v","Vacant",IF(LOWER($Q109)="pause","Paused",IF(LOWER($Q109)="cxc","Contractor",IF($Q109="Contractor","Contractor","Filled"))))</f>
        <v>Contractor</v>
      </c>
      <c r="AL109" t="str">
        <f>IF($M109="NZ","NZ","AU")</f>
        <v>AU</v>
      </c>
      <c r="AM109">
        <f>COUNTIF($AJ$2:$AJ109,$AJ109)</f>
        <v>2.0</v>
      </c>
      <c r="AN109" t="str">
        <f>$AJ109&amp;"|"&amp;$AM109</f>
        <v>Customer|2</v>
      </c>
    </row>
    <row r="110" ht="18" customHeight="1" s="849">
      <c r="A110" s="714" t="inlineStr">
        <is>
          <t>C</t>
        </is>
      </c>
      <c r="B110" s="715" t="inlineStr">
        <is>
          <t>Adam Anticaglia</t>
        </is>
      </c>
      <c r="C110" s="715" t="inlineStr">
        <is>
          <t>Experience Designer (CMS)</t>
        </is>
      </c>
      <c r="D110" s="715" t="inlineStr">
        <is>
          <t>Byron Thornhill</t>
        </is>
      </c>
      <c r="E110" s="715" t="inlineStr">
        <is>
          <t>Design Manager</t>
        </is>
      </c>
      <c r="F110" s="716" t="inlineStr">
        <is>
          <t>Customer</t>
        </is>
      </c>
      <c r="G110" s="705" t="inlineStr">
        <is>
          <t>Digital</t>
        </is>
      </c>
      <c r="H110" s="705" t="inlineStr">
        <is>
          <t>Digital, Design</t>
        </is>
      </c>
      <c r="I110" s="715" t="inlineStr">
        <is>
          <t>Customer</t>
        </is>
      </c>
      <c r="J110" s="715" t="inlineStr">
        <is>
          <t>Ampol Digital</t>
        </is>
      </c>
      <c r="K110" s="715" t="inlineStr">
        <is>
          <t>Ampol Web</t>
        </is>
      </c>
      <c r="L110" s="705" t="n"/>
      <c r="M110" s="717" t="inlineStr">
        <is>
          <t>Australia</t>
        </is>
      </c>
      <c r="N110" s="705" t="inlineStr">
        <is>
          <t>NA</t>
        </is>
      </c>
      <c r="O110" s="705" t="n">
        <v>1</v>
      </c>
      <c r="P110" s="705" t="n"/>
      <c r="Q110" s="705" t="inlineStr">
        <is>
          <t>cxc</t>
        </is>
      </c>
      <c r="R110" s="724" t="inlineStr">
        <is>
          <t>Daily</t>
        </is>
      </c>
      <c r="S110" s="705" t="n">
        <v>1064.26</v>
      </c>
      <c r="T110" s="718" t="n">
        <v>0</v>
      </c>
      <c r="U110" s="718" t="n"/>
      <c r="V110" s="705" t="n"/>
      <c r="W110" s="705" t="n"/>
      <c r="X110" s="705" t="n"/>
      <c r="Y110" s="705" t="n"/>
      <c r="Z110" s="705" t="n"/>
      <c r="AA110" s="725" t="n">
        <v>236265.72</v>
      </c>
      <c r="AB110" s="723" t="n"/>
      <c r="AC110" s="723" t="n"/>
      <c r="AD110" s="723" t="inlineStr">
        <is>
          <t>Retain source cost</t>
        </is>
      </c>
      <c r="AE110" s="723" t="inlineStr">
        <is>
          <t>No</t>
        </is>
      </c>
      <c r="AF110" s="723" t="n"/>
      <c r="AG110" s="723" t="n"/>
      <c r="AJ110" t="str">
        <f>IFERROR(INDEX(Lists!$U$1:$U$18,MATCH($I110,Lists!$T$1:$T$18,0)),"?")</f>
        <v>Customer</v>
      </c>
      <c r="AK110" t="str">
        <f>IF(LOWER($Q110)="v","Vacant",IF(LOWER($Q110)="pause","Paused",IF(LOWER($Q110)="cxc","Contractor",IF($Q110="Contractor","Contractor","Filled"))))</f>
        <v>Contractor</v>
      </c>
      <c r="AL110" t="str">
        <f>IF($M110="NZ","NZ","AU")</f>
        <v>AU</v>
      </c>
      <c r="AM110">
        <f>COUNTIF($AJ$2:$AJ110,$AJ110)</f>
        <v>3.0</v>
      </c>
      <c r="AN110" t="str">
        <f>$AJ110&amp;"|"&amp;$AM110</f>
        <v>Customer|3</v>
      </c>
    </row>
    <row r="111" ht="18" customHeight="1" s="849">
      <c r="A111" s="714" t="inlineStr">
        <is>
          <t>C</t>
        </is>
      </c>
      <c r="B111" s="715" t="inlineStr">
        <is>
          <t>Alan Peng</t>
        </is>
      </c>
      <c r="C111" s="715" t="inlineStr">
        <is>
          <t>Delivery Lead</t>
        </is>
      </c>
      <c r="D111" s="705" t="inlineStr">
        <is>
          <t>Vacant</t>
        </is>
      </c>
      <c r="E111" s="715" t="inlineStr">
        <is>
          <t>Delivery Manager, Digital</t>
        </is>
      </c>
      <c r="F111" s="716" t="inlineStr">
        <is>
          <t>Customer</t>
        </is>
      </c>
      <c r="G111" s="705" t="inlineStr">
        <is>
          <t>Digital</t>
        </is>
      </c>
      <c r="H111" s="705" t="inlineStr">
        <is>
          <t>Digital, Delivery</t>
        </is>
      </c>
      <c r="I111" s="883" t="inlineStr">
        <is>
          <t>Ampol Customer</t>
        </is>
      </c>
      <c r="J111" s="715" t="inlineStr">
        <is>
          <t>EGI</t>
        </is>
      </c>
      <c r="K111" s="715" t="inlineStr">
        <is>
          <t>EGI Customer</t>
        </is>
      </c>
      <c r="L111" s="705" t="n"/>
      <c r="M111" s="717" t="inlineStr">
        <is>
          <t>Australia</t>
        </is>
      </c>
      <c r="N111" s="705" t="inlineStr">
        <is>
          <t>NA</t>
        </is>
      </c>
      <c r="O111" s="705" t="n">
        <v>1</v>
      </c>
      <c r="P111" s="705" t="n"/>
      <c r="Q111" s="705" t="inlineStr">
        <is>
          <t>Permanent - Full Time</t>
        </is>
      </c>
      <c r="R111" s="705" t="n"/>
      <c r="S111" s="705" t="n"/>
      <c r="T111" s="718" t="n">
        <v>163310</v>
      </c>
      <c r="U111" s="719" t="n">
        <v>163310</v>
      </c>
      <c r="V111" s="720" t="n">
        <v>0.12</v>
      </c>
      <c r="W111" s="928" t="n">
        <v>0.055</v>
      </c>
      <c r="X111" s="928" t="n">
        <v>0.12</v>
      </c>
      <c r="Y111" s="928" t="n"/>
      <c r="Z111" s="928" t="n">
        <v>0.04</v>
      </c>
      <c r="AA111" s="929" t="n">
        <v>218018.85</v>
      </c>
      <c r="AB111" s="723" t="n"/>
      <c r="AC111" s="723" t="n"/>
      <c r="AD111" s="723" t="inlineStr">
        <is>
          <t>Retain source cost</t>
        </is>
      </c>
      <c r="AE111" s="723" t="inlineStr">
        <is>
          <t>No</t>
        </is>
      </c>
      <c r="AF111" s="723" t="n"/>
      <c r="AG111" s="723" t="n"/>
      <c r="AJ111" t="str">
        <f>IFERROR(INDEX(Lists!$U$1:$U$18,MATCH($I111,Lists!$T$1:$T$18,0)),"?")</f>
        <v>Customer</v>
      </c>
      <c r="AK111" t="str">
        <f>IF(LOWER($Q111)="v","Vacant",IF(LOWER($Q111)="pause","Paused",IF(LOWER($Q111)="cxc","Contractor",IF($Q111="Contractor","Contractor","Filled"))))</f>
        <v>Filled</v>
      </c>
      <c r="AL111" t="str">
        <f>IF($M111="NZ","NZ","AU")</f>
        <v>AU</v>
      </c>
      <c r="AM111">
        <f>COUNTIF($AJ$2:$AJ111,$AJ111)</f>
        <v>4.0</v>
      </c>
      <c r="AN111" t="str">
        <f>$AJ111&amp;"|"&amp;$AM111</f>
        <v>Customer|4</v>
      </c>
    </row>
    <row r="112" ht="18" customHeight="1" s="849">
      <c r="A112" s="714" t="n">
        <v>113463</v>
      </c>
      <c r="B112" s="715" t="inlineStr">
        <is>
          <t>Alisha Allport</t>
        </is>
      </c>
      <c r="C112" s="715" t="inlineStr">
        <is>
          <t>Principal Experience Designer</t>
        </is>
      </c>
      <c r="D112" s="715" t="inlineStr">
        <is>
          <t>Byron Thornhill</t>
        </is>
      </c>
      <c r="E112" s="715" t="inlineStr">
        <is>
          <t>Design Manager</t>
        </is>
      </c>
      <c r="F112" s="716" t="inlineStr">
        <is>
          <t>Customer</t>
        </is>
      </c>
      <c r="G112" s="705" t="inlineStr">
        <is>
          <t>Digital</t>
        </is>
      </c>
      <c r="H112" s="705" t="inlineStr">
        <is>
          <t>Digital, Design</t>
        </is>
      </c>
      <c r="I112" s="705" t="inlineStr">
        <is>
          <t>Customer</t>
        </is>
      </c>
      <c r="J112" s="715" t="inlineStr">
        <is>
          <t>Ampol Digital</t>
        </is>
      </c>
      <c r="K112" s="715" t="inlineStr">
        <is>
          <t>Ampol App</t>
        </is>
      </c>
      <c r="L112" s="705" t="n"/>
      <c r="M112" s="717" t="inlineStr">
        <is>
          <t>Australia</t>
        </is>
      </c>
      <c r="N112" s="705" t="inlineStr">
        <is>
          <t>CIC</t>
        </is>
      </c>
      <c r="O112" s="705" t="n">
        <v>1</v>
      </c>
      <c r="P112" s="705" t="n"/>
      <c r="Q112" s="705" t="inlineStr">
        <is>
          <t>Permanent - Full Time</t>
        </is>
      </c>
      <c r="R112" s="705" t="n"/>
      <c r="S112" s="705" t="n"/>
      <c r="T112" s="718" t="n">
        <v>161830</v>
      </c>
      <c r="U112" s="719" t="n">
        <v>161830</v>
      </c>
      <c r="V112" s="720" t="n">
        <v>0.12</v>
      </c>
      <c r="W112" s="928" t="n">
        <v>0.055</v>
      </c>
      <c r="X112" s="928" t="n">
        <v>0.12</v>
      </c>
      <c r="Y112" s="928" t="n"/>
      <c r="Z112" s="928" t="n">
        <v>0.04</v>
      </c>
      <c r="AA112" s="929" t="n">
        <v>216043.05</v>
      </c>
      <c r="AB112" s="723" t="n"/>
      <c r="AC112" s="723" t="n"/>
      <c r="AD112" s="723" t="inlineStr">
        <is>
          <t>Retain source cost</t>
        </is>
      </c>
      <c r="AE112" s="723" t="inlineStr">
        <is>
          <t>No</t>
        </is>
      </c>
      <c r="AF112" s="723" t="n"/>
      <c r="AG112" s="723" t="n"/>
      <c r="AJ112" t="str">
        <f>IFERROR(INDEX(Lists!$U$1:$U$18,MATCH($I112,Lists!$T$1:$T$18,0)),"?")</f>
        <v>Customer</v>
      </c>
      <c r="AK112" t="str">
        <f>IF(LOWER($Q112)="v","Vacant",IF(LOWER($Q112)="pause","Paused",IF(LOWER($Q112)="cxc","Contractor",IF($Q112="Contractor","Contractor","Filled"))))</f>
        <v>Filled</v>
      </c>
      <c r="AL112" t="str">
        <f>IF($M112="NZ","NZ","AU")</f>
        <v>AU</v>
      </c>
      <c r="AM112">
        <f>COUNTIF($AJ$2:$AJ112,$AJ112)</f>
        <v>5.0</v>
      </c>
      <c r="AN112" t="str">
        <f>$AJ112&amp;"|"&amp;$AM112</f>
        <v>Customer|5</v>
      </c>
    </row>
    <row r="113" ht="18" customHeight="1" s="849">
      <c r="A113" s="726" t="n">
        <v>99999113507</v>
      </c>
      <c r="B113" s="715" t="inlineStr">
        <is>
          <t>Andy Stewart</t>
        </is>
      </c>
      <c r="C113" s="715" t="inlineStr">
        <is>
          <t>Head of Technology, Loyalty &amp; Martech</t>
        </is>
      </c>
      <c r="D113" s="715" t="inlineStr">
        <is>
          <t>Harley Giles</t>
        </is>
      </c>
      <c r="E113" s="715" t="inlineStr">
        <is>
          <t>GM TDD, Customer</t>
        </is>
      </c>
      <c r="F113" s="716" t="inlineStr">
        <is>
          <t>Customer</t>
        </is>
      </c>
      <c r="G113" s="705" t="inlineStr">
        <is>
          <t>Loyalty &amp; Martech</t>
        </is>
      </c>
      <c r="H113" s="715" t="n"/>
      <c r="I113" s="715" t="inlineStr">
        <is>
          <t>Customer</t>
        </is>
      </c>
      <c r="J113" s="715" t="inlineStr">
        <is>
          <t>Customer Z, Group Customer Platforms</t>
        </is>
      </c>
      <c r="K113" s="715" t="inlineStr">
        <is>
          <t>Leadership</t>
        </is>
      </c>
      <c r="L113" s="705" t="n"/>
      <c r="M113" s="717" t="inlineStr">
        <is>
          <t>NZ</t>
        </is>
      </c>
      <c r="N113" s="715" t="inlineStr">
        <is>
          <t xml:space="preserve">CSC </t>
        </is>
      </c>
      <c r="O113" s="715" t="n">
        <v>1</v>
      </c>
      <c r="P113" s="705" t="n"/>
      <c r="Q113" s="705" t="inlineStr">
        <is>
          <t>Permanent - Full Time</t>
        </is>
      </c>
      <c r="R113" s="705" t="n"/>
      <c r="S113" s="705" t="n"/>
      <c r="T113" s="718" t="n">
        <v>111380</v>
      </c>
      <c r="U113" s="719" t="n">
        <v>111380</v>
      </c>
      <c r="V113" s="720" t="n">
        <v>0.1</v>
      </c>
      <c r="W113" s="928" t="n">
        <v>0.055</v>
      </c>
      <c r="X113" s="928" t="n">
        <v>0.12</v>
      </c>
      <c r="Y113" s="928" t="n"/>
      <c r="Z113" s="928" t="n">
        <v>0.04</v>
      </c>
      <c r="AA113" s="929" t="n">
        <v>146464.7</v>
      </c>
      <c r="AB113" s="723" t="n"/>
      <c r="AC113" s="723" t="n"/>
      <c r="AD113" s="723" t="inlineStr">
        <is>
          <t>Retain source cost</t>
        </is>
      </c>
      <c r="AE113" s="723" t="inlineStr">
        <is>
          <t>No</t>
        </is>
      </c>
      <c r="AF113" s="723" t="n"/>
      <c r="AG113" s="723" t="n"/>
      <c r="AH113" s="920" t="n"/>
      <c r="AJ113" t="str">
        <f>IFERROR(INDEX(Lists!$U$1:$U$18,MATCH($I113,Lists!$T$1:$T$18,0)),"?")</f>
        <v>Customer</v>
      </c>
      <c r="AK113" t="str">
        <f>IF(LOWER($Q113)="v","Vacant",IF(LOWER($Q113)="pause","Paused",IF(LOWER($Q113)="cxc","Contractor",IF($Q113="Contractor","Contractor","Filled"))))</f>
        <v>Filled</v>
      </c>
      <c r="AL113" t="str">
        <f>IF($M113="NZ","NZ","AU")</f>
        <v>NZ</v>
      </c>
      <c r="AM113">
        <f>COUNTIF($AJ$2:$AJ113,$AJ113)</f>
        <v>6.0</v>
      </c>
      <c r="AN113" t="str">
        <f>$AJ113&amp;"|"&amp;$AM113</f>
        <v>Customer|6</v>
      </c>
    </row>
    <row r="114" ht="18" customHeight="1" s="849">
      <c r="A114" s="714" t="n">
        <v>99999101324</v>
      </c>
      <c r="B114" s="705" t="inlineStr">
        <is>
          <t>Angela Gilbert</t>
        </is>
      </c>
      <c r="C114" s="705" t="inlineStr">
        <is>
          <t>Martech Lead - Dynamics</t>
        </is>
      </c>
      <c r="D114" s="705" t="inlineStr">
        <is>
          <t>Vacant</t>
        </is>
      </c>
      <c r="E114" s="705" t="inlineStr">
        <is>
          <t>Delivery Manager, Loyalty</t>
        </is>
      </c>
      <c r="F114" s="716" t="inlineStr">
        <is>
          <t>Customer</t>
        </is>
      </c>
      <c r="G114" s="705" t="inlineStr">
        <is>
          <t>Loyalty &amp; Martech</t>
        </is>
      </c>
      <c r="H114" s="715" t="inlineStr">
        <is>
          <t xml:space="preserve">Loyalty, Delivery </t>
        </is>
      </c>
      <c r="I114" s="715" t="inlineStr">
        <is>
          <t>Customer</t>
        </is>
      </c>
      <c r="J114" s="705" t="inlineStr">
        <is>
          <t>Group Customer</t>
        </is>
      </c>
      <c r="K114" s="705" t="inlineStr">
        <is>
          <t>AU CRM &amp; Martech</t>
        </is>
      </c>
      <c r="L114" s="705" t="n"/>
      <c r="M114" s="717" t="inlineStr">
        <is>
          <t>NZ</t>
        </is>
      </c>
      <c r="N114" s="705" t="inlineStr">
        <is>
          <t>CIC</t>
        </is>
      </c>
      <c r="O114" s="715" t="n">
        <v>0.8</v>
      </c>
      <c r="P114" s="705" t="n"/>
      <c r="Q114" s="705" t="inlineStr">
        <is>
          <t>Permanent - Full Time</t>
        </is>
      </c>
      <c r="R114" s="705" t="n"/>
      <c r="S114" s="705" t="n"/>
      <c r="T114" s="718" t="n">
        <v>194910</v>
      </c>
      <c r="U114" s="719" t="n">
        <v>194910</v>
      </c>
      <c r="V114" s="720" t="n">
        <v>0.12</v>
      </c>
      <c r="W114" s="928" t="n">
        <v>0.055</v>
      </c>
      <c r="X114" s="928" t="n">
        <v>0.12</v>
      </c>
      <c r="Y114" s="928" t="n"/>
      <c r="Z114" s="928" t="n">
        <v>0.04</v>
      </c>
      <c r="AA114" s="929" t="n">
        <v>260204.85</v>
      </c>
      <c r="AB114" s="723" t="n"/>
      <c r="AC114" s="723" t="n"/>
      <c r="AD114" s="723" t="inlineStr">
        <is>
          <t>Retain source cost</t>
        </is>
      </c>
      <c r="AE114" s="723" t="inlineStr">
        <is>
          <t>No</t>
        </is>
      </c>
      <c r="AF114" s="723" t="n"/>
      <c r="AG114" s="723" t="n"/>
      <c r="AH114" s="920" t="n"/>
      <c r="AJ114" t="str">
        <f>IFERROR(INDEX(Lists!$U$1:$U$18,MATCH($I114,Lists!$T$1:$T$18,0)),"?")</f>
        <v>Customer</v>
      </c>
      <c r="AK114" t="str">
        <f>IF(LOWER($Q114)="v","Vacant",IF(LOWER($Q114)="pause","Paused",IF(LOWER($Q114)="cxc","Contractor",IF($Q114="Contractor","Contractor","Filled"))))</f>
        <v>Filled</v>
      </c>
      <c r="AL114" t="str">
        <f>IF($M114="NZ","NZ","AU")</f>
        <v>NZ</v>
      </c>
      <c r="AM114">
        <f>COUNTIF($AJ$2:$AJ114,$AJ114)</f>
        <v>7.0</v>
      </c>
      <c r="AN114" t="str">
        <f>$AJ114&amp;"|"&amp;$AM114</f>
        <v>Customer|7</v>
      </c>
    </row>
    <row r="115" ht="18" customHeight="1" s="849">
      <c r="A115" s="714" t="n">
        <v>98144</v>
      </c>
      <c r="B115" s="715" t="inlineStr">
        <is>
          <t>Angie Ng</t>
        </is>
      </c>
      <c r="C115" s="715" t="inlineStr">
        <is>
          <t>Snr Engineer - BE</t>
        </is>
      </c>
      <c r="D115" s="715" t="inlineStr">
        <is>
          <t>Khalid Mahmud</t>
        </is>
      </c>
      <c r="E115" s="715" t="inlineStr">
        <is>
          <t>Lead Engineer - BE</t>
        </is>
      </c>
      <c r="F115" s="716" t="inlineStr">
        <is>
          <t>Customer</t>
        </is>
      </c>
      <c r="G115" s="705" t="inlineStr">
        <is>
          <t>Digital</t>
        </is>
      </c>
      <c r="H115" s="705" t="inlineStr">
        <is>
          <t>Tech, Digital Engineering</t>
        </is>
      </c>
      <c r="I115" s="883" t="inlineStr">
        <is>
          <t>Ampol Customer</t>
        </is>
      </c>
      <c r="J115" s="715" t="inlineStr">
        <is>
          <t>EGI</t>
        </is>
      </c>
      <c r="K115" s="715" t="inlineStr">
        <is>
          <t>EGI Customer</t>
        </is>
      </c>
      <c r="L115" s="705" t="n"/>
      <c r="M115" s="717" t="inlineStr">
        <is>
          <t>Australia</t>
        </is>
      </c>
      <c r="N115" s="705" t="inlineStr">
        <is>
          <t>CIB</t>
        </is>
      </c>
      <c r="O115" s="705" t="n">
        <v>1</v>
      </c>
      <c r="P115" s="705" t="n"/>
      <c r="Q115" s="705" t="inlineStr">
        <is>
          <t>Temporary - Full Time</t>
        </is>
      </c>
      <c r="R115" s="705" t="n"/>
      <c r="S115" s="705" t="n"/>
      <c r="T115" s="718" t="n">
        <v>150000</v>
      </c>
      <c r="U115" s="719" t="n">
        <v>150000</v>
      </c>
      <c r="V115" s="720" t="n">
        <v>0.12</v>
      </c>
      <c r="W115" s="928" t="n">
        <v>0.055</v>
      </c>
      <c r="X115" s="928" t="n">
        <v>0.12</v>
      </c>
      <c r="Y115" s="928" t="n"/>
      <c r="Z115" s="928" t="n">
        <v>0.04</v>
      </c>
      <c r="AA115" s="929" t="n">
        <v>200250</v>
      </c>
      <c r="AB115" s="723" t="n"/>
      <c r="AC115" s="723" t="n"/>
      <c r="AD115" s="723" t="inlineStr">
        <is>
          <t>Retain source cost</t>
        </is>
      </c>
      <c r="AE115" s="723" t="inlineStr">
        <is>
          <t>No</t>
        </is>
      </c>
      <c r="AF115" s="723" t="n"/>
      <c r="AG115" s="723" t="n"/>
      <c r="AH115" s="920" t="n"/>
      <c r="AJ115" t="str">
        <f>IFERROR(INDEX(Lists!$U$1:$U$18,MATCH($I115,Lists!$T$1:$T$18,0)),"?")</f>
        <v>Customer</v>
      </c>
      <c r="AK115" t="str">
        <f>IF(LOWER($Q115)="v","Vacant",IF(LOWER($Q115)="pause","Paused",IF(LOWER($Q115)="cxc","Contractor",IF($Q115="Contractor","Contractor","Filled"))))</f>
        <v>Filled</v>
      </c>
      <c r="AL115" t="str">
        <f>IF($M115="NZ","NZ","AU")</f>
        <v>AU</v>
      </c>
      <c r="AM115">
        <f>COUNTIF($AJ$2:$AJ115,$AJ115)</f>
        <v>8.0</v>
      </c>
      <c r="AN115" t="str">
        <f>$AJ115&amp;"|"&amp;$AM115</f>
        <v>Customer|8</v>
      </c>
    </row>
    <row r="116" ht="18" customHeight="1" s="849">
      <c r="A116" s="714" t="inlineStr">
        <is>
          <t>C</t>
        </is>
      </c>
      <c r="B116" s="715" t="inlineStr">
        <is>
          <t>Annabel Phu</t>
        </is>
      </c>
      <c r="C116" s="715" t="inlineStr">
        <is>
          <t>Engineer - Mobile</t>
        </is>
      </c>
      <c r="D116" s="715" t="inlineStr">
        <is>
          <t>Mitesh Shah</t>
        </is>
      </c>
      <c r="E116" s="715" t="inlineStr">
        <is>
          <t>Technology Manager, Digitial</t>
        </is>
      </c>
      <c r="F116" s="716" t="inlineStr">
        <is>
          <t>Customer</t>
        </is>
      </c>
      <c r="G116" s="705" t="inlineStr">
        <is>
          <t>Digital</t>
        </is>
      </c>
      <c r="H116" s="715" t="inlineStr">
        <is>
          <t>Digital, Tech</t>
        </is>
      </c>
      <c r="I116" s="705" t="inlineStr">
        <is>
          <t>Customer</t>
        </is>
      </c>
      <c r="J116" s="715" t="inlineStr">
        <is>
          <t>Ampol Digital</t>
        </is>
      </c>
      <c r="K116" s="715" t="inlineStr">
        <is>
          <t>Ampol App</t>
        </is>
      </c>
      <c r="L116" s="705" t="n"/>
      <c r="M116" s="717" t="inlineStr">
        <is>
          <t>Australia</t>
        </is>
      </c>
      <c r="N116" s="705" t="inlineStr">
        <is>
          <t>NA</t>
        </is>
      </c>
      <c r="O116" s="705" t="n">
        <v>1</v>
      </c>
      <c r="P116" s="705" t="n"/>
      <c r="Q116" s="705" t="inlineStr">
        <is>
          <t>Permanent - Full Time</t>
        </is>
      </c>
      <c r="R116" s="705" t="n"/>
      <c r="S116" s="705" t="n"/>
      <c r="T116" s="718" t="n">
        <v>190980</v>
      </c>
      <c r="U116" s="719" t="n">
        <v>190980</v>
      </c>
      <c r="V116" s="720" t="n">
        <v>0.12</v>
      </c>
      <c r="W116" s="928" t="n">
        <v>0.055</v>
      </c>
      <c r="X116" s="928" t="n">
        <v>0.12</v>
      </c>
      <c r="Y116" s="928" t="n"/>
      <c r="Z116" s="928" t="n">
        <v>0.04</v>
      </c>
      <c r="AA116" s="929" t="n">
        <v>254958.3</v>
      </c>
      <c r="AB116" s="723" t="n"/>
      <c r="AC116" s="723" t="n"/>
      <c r="AD116" s="723" t="inlineStr">
        <is>
          <t>Retain source cost</t>
        </is>
      </c>
      <c r="AE116" s="723" t="inlineStr">
        <is>
          <t>No</t>
        </is>
      </c>
      <c r="AF116" s="723" t="n"/>
      <c r="AG116" s="723" t="n"/>
      <c r="AH116" s="920" t="n"/>
      <c r="AJ116" t="str">
        <f>IFERROR(INDEX(Lists!$U$1:$U$18,MATCH($I116,Lists!$T$1:$T$18,0)),"?")</f>
        <v>Customer</v>
      </c>
      <c r="AK116" t="str">
        <f>IF(LOWER($Q116)="v","Vacant",IF(LOWER($Q116)="pause","Paused",IF(LOWER($Q116)="cxc","Contractor",IF($Q116="Contractor","Contractor","Filled"))))</f>
        <v>Filled</v>
      </c>
      <c r="AL116" t="str">
        <f>IF($M116="NZ","NZ","AU")</f>
        <v>AU</v>
      </c>
      <c r="AM116">
        <f>COUNTIF($AJ$2:$AJ116,$AJ116)</f>
        <v>9.0</v>
      </c>
      <c r="AN116" t="str">
        <f>$AJ116&amp;"|"&amp;$AM116</f>
        <v>Customer|9</v>
      </c>
    </row>
    <row r="117" ht="18" customHeight="1" s="849">
      <c r="A117" s="714" t="n">
        <v>99999102164</v>
      </c>
      <c r="B117" s="705" t="inlineStr">
        <is>
          <t>anthonty gen</t>
        </is>
      </c>
      <c r="C117" s="705" t="inlineStr">
        <is>
          <t>Data Analyst</t>
        </is>
      </c>
      <c r="D117" s="705" t="inlineStr">
        <is>
          <t>Vacant</t>
        </is>
      </c>
      <c r="E117" s="705" t="inlineStr">
        <is>
          <t>Technology Manager, Data &amp; Engineering</t>
        </is>
      </c>
      <c r="F117" s="716" t="inlineStr">
        <is>
          <t>Customer</t>
        </is>
      </c>
      <c r="G117" s="705" t="inlineStr">
        <is>
          <t>Loyalty &amp; Martech</t>
        </is>
      </c>
      <c r="H117" s="715" t="inlineStr">
        <is>
          <t>Loyalty, Data &amp; Engineering</t>
        </is>
      </c>
      <c r="I117" s="715" t="inlineStr">
        <is>
          <t>Customer</t>
        </is>
      </c>
      <c r="J117" s="705" t="inlineStr">
        <is>
          <t>Group Customer</t>
        </is>
      </c>
      <c r="K117" s="715" t="inlineStr">
        <is>
          <t>Z Energy Martech</t>
        </is>
      </c>
      <c r="L117" s="705" t="n"/>
      <c r="M117" s="717" t="inlineStr">
        <is>
          <t>NZ</t>
        </is>
      </c>
      <c r="N117" s="705" t="inlineStr">
        <is>
          <t>CIA</t>
        </is>
      </c>
      <c r="O117" s="715" t="n">
        <v>1</v>
      </c>
      <c r="P117" s="705" t="n"/>
      <c r="Q117" s="724" t="inlineStr">
        <is>
          <t>Contractor</t>
        </is>
      </c>
      <c r="R117" s="724" t="inlineStr">
        <is>
          <t>?</t>
        </is>
      </c>
      <c r="S117" s="705" t="n">
        <v>1200</v>
      </c>
      <c r="T117" s="718" t="n">
        <v>0</v>
      </c>
      <c r="U117" s="718" t="n"/>
      <c r="V117" s="705" t="n"/>
      <c r="W117" s="705" t="n"/>
      <c r="X117" s="705" t="n"/>
      <c r="Y117" s="705" t="n"/>
      <c r="Z117" s="705" t="n"/>
      <c r="AA117" s="725" t="n">
        <v>266400</v>
      </c>
      <c r="AB117" s="723" t="n"/>
      <c r="AC117" s="723" t="n"/>
      <c r="AD117" s="723" t="inlineStr">
        <is>
          <t>Retain source cost</t>
        </is>
      </c>
      <c r="AE117" s="723" t="inlineStr">
        <is>
          <t>No</t>
        </is>
      </c>
      <c r="AF117" s="723" t="n"/>
      <c r="AG117" s="723" t="n"/>
      <c r="AH117" s="920" t="n"/>
      <c r="AJ117" t="str">
        <f>IFERROR(INDEX(Lists!$U$1:$U$18,MATCH($I117,Lists!$T$1:$T$18,0)),"?")</f>
        <v>Customer</v>
      </c>
      <c r="AK117" t="str">
        <f>IF(LOWER($Q117)="v","Vacant",IF(LOWER($Q117)="pause","Paused",IF(LOWER($Q117)="cxc","Contractor",IF($Q117="Contractor","Contractor","Filled"))))</f>
        <v>Contractor</v>
      </c>
      <c r="AL117" t="str">
        <f>IF($M117="NZ","NZ","AU")</f>
        <v>NZ</v>
      </c>
      <c r="AM117">
        <f>COUNTIF($AJ$2:$AJ117,$AJ117)</f>
        <v>10.0</v>
      </c>
      <c r="AN117" t="str">
        <f>$AJ117&amp;"|"&amp;$AM117</f>
        <v>Customer|10</v>
      </c>
    </row>
    <row r="118" ht="18" customHeight="1" s="849">
      <c r="A118" s="714" t="n">
        <v>99999101676</v>
      </c>
      <c r="B118" s="715" t="inlineStr">
        <is>
          <t>Ants Jackson</t>
        </is>
      </c>
      <c r="C118" s="715" t="inlineStr">
        <is>
          <t>Experience Designer</t>
        </is>
      </c>
      <c r="D118" s="715" t="inlineStr">
        <is>
          <t>Byron Thornhill</t>
        </is>
      </c>
      <c r="E118" s="715" t="inlineStr">
        <is>
          <t>Design Manager</t>
        </is>
      </c>
      <c r="F118" s="716" t="inlineStr">
        <is>
          <t>Customer</t>
        </is>
      </c>
      <c r="G118" s="705" t="inlineStr">
        <is>
          <t>Digital</t>
        </is>
      </c>
      <c r="H118" s="705" t="inlineStr">
        <is>
          <t>Digital, Design</t>
        </is>
      </c>
      <c r="I118" s="715" t="inlineStr">
        <is>
          <t>Customer</t>
        </is>
      </c>
      <c r="J118" s="715" t="inlineStr">
        <is>
          <t>Customer Z</t>
        </is>
      </c>
      <c r="K118" s="715" t="inlineStr">
        <is>
          <t>Z Energy Apps</t>
        </is>
      </c>
      <c r="L118" s="705" t="n"/>
      <c r="M118" s="717" t="inlineStr">
        <is>
          <t>NZ</t>
        </is>
      </c>
      <c r="N118" s="705" t="inlineStr">
        <is>
          <t>CIC</t>
        </is>
      </c>
      <c r="O118" s="715" t="n">
        <v>1</v>
      </c>
      <c r="P118" s="705" t="n"/>
      <c r="Q118" s="705" t="inlineStr">
        <is>
          <t>cxc</t>
        </is>
      </c>
      <c r="R118" s="724" t="inlineStr">
        <is>
          <t>Daily</t>
        </is>
      </c>
      <c r="S118" s="705" t="n">
        <v>807.2</v>
      </c>
      <c r="T118" s="718" t="n">
        <v>0</v>
      </c>
      <c r="U118" s="718" t="n"/>
      <c r="V118" s="705" t="n"/>
      <c r="W118" s="705" t="n"/>
      <c r="X118" s="705" t="n"/>
      <c r="Y118" s="705" t="n"/>
      <c r="Z118" s="705" t="n"/>
      <c r="AA118" s="725" t="n">
        <v>179198.4</v>
      </c>
      <c r="AB118" s="723" t="n"/>
      <c r="AC118" s="723" t="n"/>
      <c r="AD118" s="723" t="inlineStr">
        <is>
          <t>Retain source cost</t>
        </is>
      </c>
      <c r="AE118" s="723" t="inlineStr">
        <is>
          <t>No</t>
        </is>
      </c>
      <c r="AF118" s="723" t="n"/>
      <c r="AG118" s="723" t="n"/>
      <c r="AH118" s="920" t="n"/>
      <c r="AJ118" t="str">
        <f>IFERROR(INDEX(Lists!$U$1:$U$18,MATCH($I118,Lists!$T$1:$T$18,0)),"?")</f>
        <v>Customer</v>
      </c>
      <c r="AK118" t="str">
        <f>IF(LOWER($Q118)="v","Vacant",IF(LOWER($Q118)="pause","Paused",IF(LOWER($Q118)="cxc","Contractor",IF($Q118="Contractor","Contractor","Filled"))))</f>
        <v>Contractor</v>
      </c>
      <c r="AL118" t="str">
        <f>IF($M118="NZ","NZ","AU")</f>
        <v>NZ</v>
      </c>
      <c r="AM118">
        <f>COUNTIF($AJ$2:$AJ118,$AJ118)</f>
        <v>11.0</v>
      </c>
      <c r="AN118" t="str">
        <f>$AJ118&amp;"|"&amp;$AM118</f>
        <v>Customer|11</v>
      </c>
    </row>
    <row r="119" ht="18" customHeight="1" s="849">
      <c r="A119" s="714" t="inlineStr">
        <is>
          <t>C</t>
        </is>
      </c>
      <c r="B119" s="715" t="inlineStr">
        <is>
          <t>Anup Antony</t>
        </is>
      </c>
      <c r="C119" s="715" t="inlineStr">
        <is>
          <t>Engineer - BE</t>
        </is>
      </c>
      <c r="D119" s="715" t="inlineStr">
        <is>
          <t>Vacant</t>
        </is>
      </c>
      <c r="E119" s="715" t="inlineStr">
        <is>
          <t>Technology Manager, Digital Engineering</t>
        </is>
      </c>
      <c r="F119" s="716" t="inlineStr">
        <is>
          <t>Customer</t>
        </is>
      </c>
      <c r="G119" s="705" t="inlineStr">
        <is>
          <t>Digital</t>
        </is>
      </c>
      <c r="H119" s="705" t="inlineStr">
        <is>
          <t>Tech, Digital Engineering</t>
        </is>
      </c>
      <c r="I119" s="705" t="inlineStr">
        <is>
          <t>Customer</t>
        </is>
      </c>
      <c r="J119" s="715" t="inlineStr">
        <is>
          <t>Ampol Digital</t>
        </is>
      </c>
      <c r="K119" s="715" t="inlineStr">
        <is>
          <t>Ampol App</t>
        </is>
      </c>
      <c r="L119" s="705" t="n"/>
      <c r="M119" s="717" t="inlineStr">
        <is>
          <t>Australia</t>
        </is>
      </c>
      <c r="N119" s="705" t="inlineStr">
        <is>
          <t>NA</t>
        </is>
      </c>
      <c r="O119" s="705" t="n">
        <v>1</v>
      </c>
      <c r="P119" s="705" t="n"/>
      <c r="Q119" s="705" t="inlineStr">
        <is>
          <t>Temporary - Full Time</t>
        </is>
      </c>
      <c r="R119" s="705" t="n"/>
      <c r="S119" s="705" t="n"/>
      <c r="T119" s="718" t="n">
        <v>165000</v>
      </c>
      <c r="U119" s="719" t="n">
        <v>165000</v>
      </c>
      <c r="V119" s="720" t="n">
        <v>0.12</v>
      </c>
      <c r="W119" s="928" t="n">
        <v>0.055</v>
      </c>
      <c r="X119" s="928" t="n">
        <v>0.12</v>
      </c>
      <c r="Y119" s="928" t="n"/>
      <c r="Z119" s="928" t="n">
        <v>0.04</v>
      </c>
      <c r="AA119" s="929" t="n">
        <v>220275</v>
      </c>
      <c r="AB119" s="723" t="n"/>
      <c r="AC119" s="723" t="n"/>
      <c r="AD119" s="723" t="inlineStr">
        <is>
          <t>Retain source cost</t>
        </is>
      </c>
      <c r="AE119" s="723" t="inlineStr">
        <is>
          <t>No</t>
        </is>
      </c>
      <c r="AF119" s="723" t="n"/>
      <c r="AG119" s="723" t="n"/>
      <c r="AH119" s="920" t="n"/>
      <c r="AJ119" t="str">
        <f>IFERROR(INDEX(Lists!$U$1:$U$18,MATCH($I119,Lists!$T$1:$T$18,0)),"?")</f>
        <v>Customer</v>
      </c>
      <c r="AK119" t="str">
        <f>IF(LOWER($Q119)="v","Vacant",IF(LOWER($Q119)="pause","Paused",IF(LOWER($Q119)="cxc","Contractor",IF($Q119="Contractor","Contractor","Filled"))))</f>
        <v>Filled</v>
      </c>
      <c r="AL119" t="str">
        <f>IF($M119="NZ","NZ","AU")</f>
        <v>AU</v>
      </c>
      <c r="AM119">
        <f>COUNTIF($AJ$2:$AJ119,$AJ119)</f>
        <v>12.0</v>
      </c>
      <c r="AN119" t="str">
        <f>$AJ119&amp;"|"&amp;$AM119</f>
        <v>Customer|12</v>
      </c>
    </row>
    <row r="120" ht="18" customHeight="1" s="849">
      <c r="A120" s="714" t="n">
        <v>117173</v>
      </c>
      <c r="B120" s="715" t="inlineStr">
        <is>
          <t>Ashwini Gaikwad</t>
        </is>
      </c>
      <c r="C120" s="715" t="inlineStr">
        <is>
          <t>Quality Assurance</t>
        </is>
      </c>
      <c r="D120" s="715" t="inlineStr">
        <is>
          <t>Mitesh Shah</t>
        </is>
      </c>
      <c r="E120" s="715" t="inlineStr">
        <is>
          <t>Technology Manager, Digitial</t>
        </is>
      </c>
      <c r="F120" s="716" t="inlineStr">
        <is>
          <t>Customer</t>
        </is>
      </c>
      <c r="G120" s="705" t="inlineStr">
        <is>
          <t>Digital</t>
        </is>
      </c>
      <c r="H120" s="715" t="inlineStr">
        <is>
          <t>Digital, Tech</t>
        </is>
      </c>
      <c r="I120" s="705" t="inlineStr">
        <is>
          <t>Customer</t>
        </is>
      </c>
      <c r="J120" s="715" t="inlineStr">
        <is>
          <t>Ampol Digital</t>
        </is>
      </c>
      <c r="K120" s="715" t="inlineStr">
        <is>
          <t>Ampol Web</t>
        </is>
      </c>
      <c r="L120" s="705" t="n"/>
      <c r="M120" s="717" t="inlineStr">
        <is>
          <t>Australia</t>
        </is>
      </c>
      <c r="N120" s="705" t="inlineStr">
        <is>
          <t>CDC</t>
        </is>
      </c>
      <c r="O120" s="705" t="n">
        <v>1</v>
      </c>
      <c r="P120" s="705" t="n"/>
      <c r="Q120" s="705" t="inlineStr">
        <is>
          <t>cxc</t>
        </is>
      </c>
      <c r="R120" s="724" t="inlineStr">
        <is>
          <t>Daily</t>
        </is>
      </c>
      <c r="S120" s="705" t="n">
        <v>1150</v>
      </c>
      <c r="T120" s="718" t="n">
        <v>0</v>
      </c>
      <c r="U120" s="718" t="n"/>
      <c r="V120" s="705" t="n"/>
      <c r="W120" s="705" t="n"/>
      <c r="X120" s="705" t="n"/>
      <c r="Y120" s="705" t="n"/>
      <c r="Z120" s="705" t="n"/>
      <c r="AA120" s="725" t="n">
        <v>255300</v>
      </c>
      <c r="AB120" s="723" t="n"/>
      <c r="AC120" s="723" t="n"/>
      <c r="AD120" s="723" t="inlineStr">
        <is>
          <t>Retain source cost</t>
        </is>
      </c>
      <c r="AE120" s="723" t="inlineStr">
        <is>
          <t>No</t>
        </is>
      </c>
      <c r="AF120" s="723" t="n"/>
      <c r="AG120" s="723" t="n"/>
      <c r="AH120" s="920" t="n"/>
      <c r="AJ120" t="str">
        <f>IFERROR(INDEX(Lists!$U$1:$U$18,MATCH($I120,Lists!$T$1:$T$18,0)),"?")</f>
        <v>Customer</v>
      </c>
      <c r="AK120" t="str">
        <f>IF(LOWER($Q120)="v","Vacant",IF(LOWER($Q120)="pause","Paused",IF(LOWER($Q120)="cxc","Contractor",IF($Q120="Contractor","Contractor","Filled"))))</f>
        <v>Contractor</v>
      </c>
      <c r="AL120" t="str">
        <f>IF($M120="NZ","NZ","AU")</f>
        <v>AU</v>
      </c>
      <c r="AM120">
        <f>COUNTIF($AJ$2:$AJ120,$AJ120)</f>
        <v>13.0</v>
      </c>
      <c r="AN120" t="str">
        <f>$AJ120&amp;"|"&amp;$AM120</f>
        <v>Customer|13</v>
      </c>
    </row>
    <row r="121" ht="18" customHeight="1" s="849">
      <c r="A121" s="714" t="n">
        <v>99999101500</v>
      </c>
      <c r="B121" s="705" t="inlineStr">
        <is>
          <t>Bharat Talreja</t>
        </is>
      </c>
      <c r="C121" s="705" t="inlineStr">
        <is>
          <t>Marketing Technology Lead</t>
        </is>
      </c>
      <c r="D121" s="705" t="inlineStr">
        <is>
          <t>Kris Hamilton</t>
        </is>
      </c>
      <c r="E121" s="705" t="inlineStr">
        <is>
          <t>Technology Manager, Loyalty &amp; Martech</t>
        </is>
      </c>
      <c r="F121" s="716" t="inlineStr">
        <is>
          <t>Customer</t>
        </is>
      </c>
      <c r="G121" s="705" t="inlineStr">
        <is>
          <t>Loyalty &amp; Martech</t>
        </is>
      </c>
      <c r="H121" s="705" t="inlineStr">
        <is>
          <t>Loyalty, Tech</t>
        </is>
      </c>
      <c r="I121" s="715" t="inlineStr">
        <is>
          <t>Customer</t>
        </is>
      </c>
      <c r="J121" s="705" t="inlineStr">
        <is>
          <t>Customer Z</t>
        </is>
      </c>
      <c r="K121" s="705" t="inlineStr">
        <is>
          <t>Z Energy Martech</t>
        </is>
      </c>
      <c r="L121" s="705" t="n"/>
      <c r="M121" s="717" t="inlineStr">
        <is>
          <t>NZ</t>
        </is>
      </c>
      <c r="N121" s="705" t="inlineStr">
        <is>
          <t>CIC</t>
        </is>
      </c>
      <c r="O121" s="715" t="n">
        <v>1</v>
      </c>
      <c r="P121" s="705" t="n"/>
      <c r="Q121" s="705" t="inlineStr">
        <is>
          <t>Permanent - Full Time</t>
        </is>
      </c>
      <c r="R121" s="705" t="n"/>
      <c r="S121" s="705" t="n"/>
      <c r="T121" s="718" t="n">
        <v>126350</v>
      </c>
      <c r="U121" s="719" t="n">
        <v>126350</v>
      </c>
      <c r="V121" s="720" t="n">
        <v>0.12</v>
      </c>
      <c r="W121" s="928" t="n">
        <v>0.055</v>
      </c>
      <c r="X121" s="928" t="n">
        <v>0.12</v>
      </c>
      <c r="Y121" s="928" t="n"/>
      <c r="Z121" s="928" t="n">
        <v>0.04</v>
      </c>
      <c r="AA121" s="929" t="n">
        <v>168677.25</v>
      </c>
      <c r="AB121" s="723" t="n"/>
      <c r="AC121" s="723" t="n"/>
      <c r="AD121" s="723" t="inlineStr">
        <is>
          <t>Retain source cost</t>
        </is>
      </c>
      <c r="AE121" s="723" t="inlineStr">
        <is>
          <t>No</t>
        </is>
      </c>
      <c r="AF121" s="723" t="n"/>
      <c r="AG121" s="723" t="n"/>
      <c r="AH121" s="920" t="n"/>
      <c r="AJ121" t="str">
        <f>IFERROR(INDEX(Lists!$U$1:$U$18,MATCH($I121,Lists!$T$1:$T$18,0)),"?")</f>
        <v>Customer</v>
      </c>
      <c r="AK121" t="str">
        <f>IF(LOWER($Q121)="v","Vacant",IF(LOWER($Q121)="pause","Paused",IF(LOWER($Q121)="cxc","Contractor",IF($Q121="Contractor","Contractor","Filled"))))</f>
        <v>Filled</v>
      </c>
      <c r="AL121" t="str">
        <f>IF($M121="NZ","NZ","AU")</f>
        <v>NZ</v>
      </c>
      <c r="AM121">
        <f>COUNTIF($AJ$2:$AJ121,$AJ121)</f>
        <v>14.0</v>
      </c>
      <c r="AN121" t="str">
        <f>$AJ121&amp;"|"&amp;$AM121</f>
        <v>Customer|14</v>
      </c>
    </row>
    <row r="122" ht="18" customHeight="1" s="849">
      <c r="A122" s="714" t="n">
        <v>108287</v>
      </c>
      <c r="B122" s="715" t="inlineStr">
        <is>
          <t>Binumon Mathai</t>
        </is>
      </c>
      <c r="C122" s="715" t="inlineStr">
        <is>
          <t>Senior Quality Assurance</t>
        </is>
      </c>
      <c r="D122" s="715" t="inlineStr">
        <is>
          <t>Mitesh Shah</t>
        </is>
      </c>
      <c r="E122" s="715" t="inlineStr">
        <is>
          <t>Technology Manager, Digitial</t>
        </is>
      </c>
      <c r="F122" s="716" t="inlineStr">
        <is>
          <t>Customer</t>
        </is>
      </c>
      <c r="G122" s="705" t="inlineStr">
        <is>
          <t>Digital</t>
        </is>
      </c>
      <c r="H122" s="715" t="inlineStr">
        <is>
          <t>Digital, Tech</t>
        </is>
      </c>
      <c r="I122" s="705" t="inlineStr">
        <is>
          <t>Customer</t>
        </is>
      </c>
      <c r="J122" s="715" t="inlineStr">
        <is>
          <t>Ampol Digital</t>
        </is>
      </c>
      <c r="K122" s="715" t="inlineStr">
        <is>
          <t>Ampol App</t>
        </is>
      </c>
      <c r="L122" s="705" t="n"/>
      <c r="M122" s="717" t="inlineStr">
        <is>
          <t>Australia</t>
        </is>
      </c>
      <c r="N122" s="705" t="inlineStr">
        <is>
          <t>CIB</t>
        </is>
      </c>
      <c r="O122" s="705" t="n">
        <v>1</v>
      </c>
      <c r="P122" s="705" t="n"/>
      <c r="Q122" s="724" t="inlineStr">
        <is>
          <t>Contractor</t>
        </is>
      </c>
      <c r="R122" s="724" t="inlineStr">
        <is>
          <t>?</t>
        </is>
      </c>
      <c r="S122" s="705" t="n">
        <v>1200</v>
      </c>
      <c r="T122" s="718" t="n">
        <v>0</v>
      </c>
      <c r="U122" s="718" t="n"/>
      <c r="V122" s="705" t="n"/>
      <c r="W122" s="705" t="n"/>
      <c r="X122" s="705" t="n"/>
      <c r="Y122" s="705" t="n"/>
      <c r="Z122" s="705" t="n"/>
      <c r="AA122" s="725" t="n">
        <v>266400</v>
      </c>
      <c r="AB122" s="723" t="n"/>
      <c r="AC122" s="723" t="n"/>
      <c r="AD122" s="723" t="inlineStr">
        <is>
          <t>Retain source cost</t>
        </is>
      </c>
      <c r="AE122" s="723" t="inlineStr">
        <is>
          <t>No</t>
        </is>
      </c>
      <c r="AF122" s="723" t="n"/>
      <c r="AG122" s="723" t="n"/>
      <c r="AH122" s="920" t="n"/>
      <c r="AJ122" t="str">
        <f>IFERROR(INDEX(Lists!$U$1:$U$18,MATCH($I122,Lists!$T$1:$T$18,0)),"?")</f>
        <v>Customer</v>
      </c>
      <c r="AK122" t="str">
        <f>IF(LOWER($Q122)="v","Vacant",IF(LOWER($Q122)="pause","Paused",IF(LOWER($Q122)="cxc","Contractor",IF($Q122="Contractor","Contractor","Filled"))))</f>
        <v>Contractor</v>
      </c>
      <c r="AL122" t="str">
        <f>IF($M122="NZ","NZ","AU")</f>
        <v>AU</v>
      </c>
      <c r="AM122">
        <f>COUNTIF($AJ$2:$AJ122,$AJ122)</f>
        <v>15.0</v>
      </c>
      <c r="AN122" t="str">
        <f>$AJ122&amp;"|"&amp;$AM122</f>
        <v>Customer|15</v>
      </c>
    </row>
    <row r="123" ht="18" customHeight="1" s="849">
      <c r="A123" s="714" t="n">
        <v>99999101220</v>
      </c>
      <c r="B123" s="715" t="inlineStr">
        <is>
          <t>Byron Thornhill</t>
        </is>
      </c>
      <c r="C123" s="715" t="inlineStr">
        <is>
          <t>Design Manager</t>
        </is>
      </c>
      <c r="D123" s="715" t="inlineStr">
        <is>
          <t>Shona Paul</t>
        </is>
      </c>
      <c r="E123" s="715" t="inlineStr">
        <is>
          <t>Head of Technology, Digital</t>
        </is>
      </c>
      <c r="F123" s="716" t="inlineStr">
        <is>
          <t>Customer</t>
        </is>
      </c>
      <c r="G123" s="705" t="inlineStr">
        <is>
          <t>Digital</t>
        </is>
      </c>
      <c r="H123" s="705" t="inlineStr">
        <is>
          <t>Digital, Design</t>
        </is>
      </c>
      <c r="I123" s="715" t="inlineStr">
        <is>
          <t>Customer</t>
        </is>
      </c>
      <c r="J123" s="727" t="inlineStr">
        <is>
          <t>Customer Z, Ampol Digital</t>
        </is>
      </c>
      <c r="K123" s="715" t="inlineStr">
        <is>
          <t>Leadership</t>
        </is>
      </c>
      <c r="L123" s="705" t="n"/>
      <c r="M123" s="717" t="inlineStr">
        <is>
          <t>NZ</t>
        </is>
      </c>
      <c r="N123" s="705" t="inlineStr">
        <is>
          <t>CSB</t>
        </is>
      </c>
      <c r="O123" s="715" t="n">
        <v>1</v>
      </c>
      <c r="P123" s="705" t="n"/>
      <c r="Q123" s="705" t="inlineStr">
        <is>
          <t>cxc</t>
        </is>
      </c>
      <c r="R123" s="724" t="inlineStr">
        <is>
          <t>Daily</t>
        </is>
      </c>
      <c r="S123" s="705" t="n">
        <v>1008</v>
      </c>
      <c r="T123" s="718" t="n">
        <v>0</v>
      </c>
      <c r="U123" s="718" t="n"/>
      <c r="V123" s="705" t="n"/>
      <c r="W123" s="705" t="n"/>
      <c r="X123" s="705" t="n"/>
      <c r="Y123" s="705" t="n"/>
      <c r="Z123" s="705" t="n"/>
      <c r="AA123" s="725" t="n">
        <v>223776</v>
      </c>
      <c r="AB123" s="723" t="n"/>
      <c r="AC123" s="723" t="n"/>
      <c r="AD123" s="723" t="inlineStr">
        <is>
          <t>Retain source cost</t>
        </is>
      </c>
      <c r="AE123" s="723" t="inlineStr">
        <is>
          <t>No</t>
        </is>
      </c>
      <c r="AF123" s="723" t="n"/>
      <c r="AG123" s="723" t="n"/>
      <c r="AH123" s="920" t="n"/>
      <c r="AJ123" t="str">
        <f>IFERROR(INDEX(Lists!$U$1:$U$18,MATCH($I123,Lists!$T$1:$T$18,0)),"?")</f>
        <v>Customer</v>
      </c>
      <c r="AK123" t="str">
        <f>IF(LOWER($Q123)="v","Vacant",IF(LOWER($Q123)="pause","Paused",IF(LOWER($Q123)="cxc","Contractor",IF($Q123="Contractor","Contractor","Filled"))))</f>
        <v>Contractor</v>
      </c>
      <c r="AL123" t="str">
        <f>IF($M123="NZ","NZ","AU")</f>
        <v>NZ</v>
      </c>
      <c r="AM123">
        <f>COUNTIF($AJ$2:$AJ123,$AJ123)</f>
        <v>16.0</v>
      </c>
      <c r="AN123" t="str">
        <f>$AJ123&amp;"|"&amp;$AM123</f>
        <v>Customer|16</v>
      </c>
    </row>
    <row r="124" ht="18" customHeight="1" s="849">
      <c r="A124" s="714" t="n">
        <v>99999101656</v>
      </c>
      <c r="B124" s="705" t="inlineStr">
        <is>
          <t>Carianne Monast</t>
        </is>
      </c>
      <c r="C124" s="705" t="inlineStr">
        <is>
          <t>Martech Specialist</t>
        </is>
      </c>
      <c r="D124" s="705" t="inlineStr">
        <is>
          <t>Kris Hamilton</t>
        </is>
      </c>
      <c r="E124" s="705" t="inlineStr">
        <is>
          <t>Technology Manager, Loyalty &amp; Martech</t>
        </is>
      </c>
      <c r="F124" s="716" t="inlineStr">
        <is>
          <t>Customer</t>
        </is>
      </c>
      <c r="G124" s="705" t="inlineStr">
        <is>
          <t>Loyalty &amp; Martech</t>
        </is>
      </c>
      <c r="H124" s="705" t="inlineStr">
        <is>
          <t>Loyalty, Tech</t>
        </is>
      </c>
      <c r="I124" s="715" t="inlineStr">
        <is>
          <t>Customer</t>
        </is>
      </c>
      <c r="J124" s="705" t="inlineStr">
        <is>
          <t>Customer Z</t>
        </is>
      </c>
      <c r="K124" s="705" t="inlineStr">
        <is>
          <t>Z Energy Martech</t>
        </is>
      </c>
      <c r="L124" s="705" t="n"/>
      <c r="M124" s="717" t="inlineStr">
        <is>
          <t>NZ</t>
        </is>
      </c>
      <c r="N124" s="705" t="inlineStr">
        <is>
          <t>CIA</t>
        </is>
      </c>
      <c r="O124" s="715" t="n">
        <v>1</v>
      </c>
      <c r="P124" s="705" t="n"/>
      <c r="Q124" s="705" t="inlineStr">
        <is>
          <t>Permanent - Full Time</t>
        </is>
      </c>
      <c r="R124" s="705" t="n"/>
      <c r="S124" s="705" t="n"/>
      <c r="T124" s="718" t="n">
        <v>119900</v>
      </c>
      <c r="U124" s="719" t="n">
        <v>119900</v>
      </c>
      <c r="V124" s="720" t="n">
        <v>0.1</v>
      </c>
      <c r="W124" s="928" t="n">
        <v>0.055</v>
      </c>
      <c r="X124" s="928" t="n">
        <v>0.12</v>
      </c>
      <c r="Y124" s="928" t="n"/>
      <c r="Z124" s="928" t="n">
        <v>0.04</v>
      </c>
      <c r="AA124" s="929" t="n">
        <v>157668.5</v>
      </c>
      <c r="AB124" s="723" t="n"/>
      <c r="AC124" s="723" t="n"/>
      <c r="AD124" s="723" t="inlineStr">
        <is>
          <t>Retain source cost</t>
        </is>
      </c>
      <c r="AE124" s="723" t="inlineStr">
        <is>
          <t>No</t>
        </is>
      </c>
      <c r="AF124" s="723" t="n"/>
      <c r="AG124" s="723" t="n"/>
      <c r="AH124" s="920" t="n"/>
      <c r="AJ124" t="str">
        <f>IFERROR(INDEX(Lists!$U$1:$U$18,MATCH($I124,Lists!$T$1:$T$18,0)),"?")</f>
        <v>Customer</v>
      </c>
      <c r="AK124" t="str">
        <f>IF(LOWER($Q124)="v","Vacant",IF(LOWER($Q124)="pause","Paused",IF(LOWER($Q124)="cxc","Contractor",IF($Q124="Contractor","Contractor","Filled"))))</f>
        <v>Filled</v>
      </c>
      <c r="AL124" t="str">
        <f>IF($M124="NZ","NZ","AU")</f>
        <v>NZ</v>
      </c>
      <c r="AM124">
        <f>COUNTIF($AJ$2:$AJ124,$AJ124)</f>
        <v>17.0</v>
      </c>
      <c r="AN124" t="str">
        <f>$AJ124&amp;"|"&amp;$AM124</f>
        <v>Customer|17</v>
      </c>
    </row>
    <row r="125" ht="18" customHeight="1" s="849">
      <c r="A125" s="714" t="n">
        <v>99999101454</v>
      </c>
      <c r="B125" s="705" t="inlineStr">
        <is>
          <t>Celia Voysey</t>
        </is>
      </c>
      <c r="C125" s="705" t="inlineStr">
        <is>
          <t>Delivery Lead</t>
        </is>
      </c>
      <c r="D125" s="705" t="inlineStr">
        <is>
          <t>Vacant</t>
        </is>
      </c>
      <c r="E125" s="705" t="inlineStr">
        <is>
          <t>Delivery Manager, Loyalty</t>
        </is>
      </c>
      <c r="F125" s="716" t="inlineStr">
        <is>
          <t>Customer</t>
        </is>
      </c>
      <c r="G125" s="705" t="inlineStr">
        <is>
          <t>Loyalty &amp; Martech</t>
        </is>
      </c>
      <c r="H125" s="715" t="inlineStr">
        <is>
          <t xml:space="preserve">Loyalty, Delivery </t>
        </is>
      </c>
      <c r="I125" s="715" t="inlineStr">
        <is>
          <t>Customer</t>
        </is>
      </c>
      <c r="J125" s="705" t="inlineStr">
        <is>
          <t>Customer Z</t>
        </is>
      </c>
      <c r="K125" s="705" t="inlineStr">
        <is>
          <t>Z Energy Martech</t>
        </is>
      </c>
      <c r="L125" s="705" t="n"/>
      <c r="M125" s="717" t="inlineStr">
        <is>
          <t>NZ</t>
        </is>
      </c>
      <c r="N125" s="705" t="inlineStr">
        <is>
          <t>CIC</t>
        </is>
      </c>
      <c r="O125" s="715" t="n">
        <v>1</v>
      </c>
      <c r="P125" s="705" t="n"/>
      <c r="Q125" s="705" t="inlineStr">
        <is>
          <t>Permanent - Full Time</t>
        </is>
      </c>
      <c r="R125" s="705" t="n"/>
      <c r="S125" s="705" t="n"/>
      <c r="T125" s="718" t="n">
        <v>155320</v>
      </c>
      <c r="U125" s="719" t="n">
        <v>155320</v>
      </c>
      <c r="V125" s="720" t="n">
        <v>0.12</v>
      </c>
      <c r="W125" s="928" t="n">
        <v>0.055</v>
      </c>
      <c r="X125" s="928" t="n">
        <v>0.12</v>
      </c>
      <c r="Y125" s="928" t="n"/>
      <c r="Z125" s="928" t="n">
        <v>0.04</v>
      </c>
      <c r="AA125" s="929" t="n">
        <v>207352.2</v>
      </c>
      <c r="AB125" s="723" t="n"/>
      <c r="AC125" s="723" t="n"/>
      <c r="AD125" s="723" t="inlineStr">
        <is>
          <t>Retain source cost</t>
        </is>
      </c>
      <c r="AE125" s="723" t="inlineStr">
        <is>
          <t>No</t>
        </is>
      </c>
      <c r="AF125" s="723" t="n"/>
      <c r="AG125" s="723" t="n"/>
      <c r="AH125" s="920" t="n"/>
      <c r="AJ125" t="str">
        <f>IFERROR(INDEX(Lists!$U$1:$U$18,MATCH($I125,Lists!$T$1:$T$18,0)),"?")</f>
        <v>Customer</v>
      </c>
      <c r="AK125" t="str">
        <f>IF(LOWER($Q125)="v","Vacant",IF(LOWER($Q125)="pause","Paused",IF(LOWER($Q125)="cxc","Contractor",IF($Q125="Contractor","Contractor","Filled"))))</f>
        <v>Filled</v>
      </c>
      <c r="AL125" t="str">
        <f>IF($M125="NZ","NZ","AU")</f>
        <v>NZ</v>
      </c>
      <c r="AM125">
        <f>COUNTIF($AJ$2:$AJ125,$AJ125)</f>
        <v>18.0</v>
      </c>
      <c r="AN125" t="str">
        <f>$AJ125&amp;"|"&amp;$AM125</f>
        <v>Customer|18</v>
      </c>
    </row>
    <row r="126" ht="18" customHeight="1" s="849">
      <c r="A126" s="714" t="n">
        <v>116387</v>
      </c>
      <c r="B126" s="715" t="inlineStr">
        <is>
          <t>Christian Lazano</t>
        </is>
      </c>
      <c r="C126" s="715" t="inlineStr">
        <is>
          <t>Business Analyst</t>
        </is>
      </c>
      <c r="D126" s="715" t="inlineStr">
        <is>
          <t>Vacant</t>
        </is>
      </c>
      <c r="E126" s="715" t="inlineStr">
        <is>
          <t>customer, program manager</t>
        </is>
      </c>
      <c r="F126" s="716" t="inlineStr">
        <is>
          <t>Customer</t>
        </is>
      </c>
      <c r="G126" s="705" t="inlineStr">
        <is>
          <t>Customer, PMO</t>
        </is>
      </c>
      <c r="H126" s="715" t="n"/>
      <c r="I126" s="715" t="inlineStr">
        <is>
          <t>Customer</t>
        </is>
      </c>
      <c r="J126" s="705" t="inlineStr">
        <is>
          <t>(All Customer)</t>
        </is>
      </c>
      <c r="K126" s="715" t="inlineStr">
        <is>
          <t>Leadership</t>
        </is>
      </c>
      <c r="L126" s="705" t="n"/>
      <c r="M126" s="717" t="inlineStr">
        <is>
          <t>Australia</t>
        </is>
      </c>
      <c r="N126" s="705" t="inlineStr">
        <is>
          <t>CIB</t>
        </is>
      </c>
      <c r="O126" s="705" t="n">
        <v>1</v>
      </c>
      <c r="P126" s="705" t="n"/>
      <c r="Q126" s="705" t="inlineStr">
        <is>
          <t>Permanent - Full Time</t>
        </is>
      </c>
      <c r="R126" s="705" t="n"/>
      <c r="S126" s="705" t="n"/>
      <c r="T126" s="718" t="n">
        <v>180000</v>
      </c>
      <c r="U126" s="719" t="n">
        <v>180000</v>
      </c>
      <c r="V126" s="720" t="n">
        <v>0.12</v>
      </c>
      <c r="W126" s="928" t="n">
        <v>0.055</v>
      </c>
      <c r="X126" s="928" t="n">
        <v>0.12</v>
      </c>
      <c r="Y126" s="928" t="n"/>
      <c r="Z126" s="928" t="n">
        <v>0.04</v>
      </c>
      <c r="AA126" s="929" t="n">
        <v>240300</v>
      </c>
      <c r="AB126" s="723" t="n"/>
      <c r="AC126" s="723" t="n"/>
      <c r="AD126" s="723" t="inlineStr">
        <is>
          <t>Retain source cost</t>
        </is>
      </c>
      <c r="AE126" s="723" t="inlineStr">
        <is>
          <t>No</t>
        </is>
      </c>
      <c r="AF126" s="723" t="n"/>
      <c r="AG126" s="723" t="n"/>
      <c r="AH126" s="920" t="n"/>
      <c r="AJ126" t="str">
        <f>IFERROR(INDEX(Lists!$U$1:$U$18,MATCH($I126,Lists!$T$1:$T$18,0)),"?")</f>
        <v>Customer</v>
      </c>
      <c r="AK126" t="str">
        <f>IF(LOWER($Q126)="v","Vacant",IF(LOWER($Q126)="pause","Paused",IF(LOWER($Q126)="cxc","Contractor",IF($Q126="Contractor","Contractor","Filled"))))</f>
        <v>Filled</v>
      </c>
      <c r="AL126" t="str">
        <f>IF($M126="NZ","NZ","AU")</f>
        <v>AU</v>
      </c>
      <c r="AM126">
        <f>COUNTIF($AJ$2:$AJ126,$AJ126)</f>
        <v>19.0</v>
      </c>
      <c r="AN126" t="str">
        <f>$AJ126&amp;"|"&amp;$AM126</f>
        <v>Customer|19</v>
      </c>
    </row>
    <row r="127" ht="18" customHeight="1" s="849">
      <c r="A127" s="714" t="n">
        <v>97357</v>
      </c>
      <c r="B127" s="715" t="inlineStr">
        <is>
          <t>Daniel Arban</t>
        </is>
      </c>
      <c r="C127" s="715" t="inlineStr">
        <is>
          <t>Service Delivery Lead</t>
        </is>
      </c>
      <c r="D127" s="715" t="inlineStr">
        <is>
          <t>Mark Wilson</t>
        </is>
      </c>
      <c r="E127" s="715" t="inlineStr">
        <is>
          <t>Digital Support Manager(AU)</t>
        </is>
      </c>
      <c r="F127" s="716" t="inlineStr">
        <is>
          <t>Customer</t>
        </is>
      </c>
      <c r="G127" s="705" t="inlineStr">
        <is>
          <t>Digital</t>
        </is>
      </c>
      <c r="H127" s="715" t="inlineStr">
        <is>
          <t>Digital Support (AU)</t>
        </is>
      </c>
      <c r="I127" s="705" t="inlineStr">
        <is>
          <t>Customer</t>
        </is>
      </c>
      <c r="J127" s="715" t="inlineStr">
        <is>
          <t>Ampol Digital</t>
        </is>
      </c>
      <c r="K127" s="715" t="inlineStr">
        <is>
          <t>Digital Ops Support</t>
        </is>
      </c>
      <c r="L127" s="705" t="n"/>
      <c r="M127" s="717" t="inlineStr">
        <is>
          <t>Australia</t>
        </is>
      </c>
      <c r="N127" s="705" t="inlineStr">
        <is>
          <t>CIA</t>
        </is>
      </c>
      <c r="O127" s="705" t="n">
        <v>1</v>
      </c>
      <c r="P127" s="705" t="n"/>
      <c r="Q127" s="724" t="inlineStr">
        <is>
          <t>Contractor</t>
        </is>
      </c>
      <c r="R127" s="724" t="inlineStr">
        <is>
          <t>?</t>
        </is>
      </c>
      <c r="S127" s="705" t="n">
        <v>1200</v>
      </c>
      <c r="T127" s="718" t="n">
        <v>0</v>
      </c>
      <c r="U127" s="718" t="n"/>
      <c r="V127" s="705" t="n"/>
      <c r="W127" s="705" t="n"/>
      <c r="X127" s="705" t="n"/>
      <c r="Y127" s="705" t="n"/>
      <c r="Z127" s="705" t="n"/>
      <c r="AA127" s="725" t="n">
        <v>266400</v>
      </c>
      <c r="AB127" s="723" t="n"/>
      <c r="AC127" s="723" t="n"/>
      <c r="AD127" s="723" t="inlineStr">
        <is>
          <t>Retain source cost</t>
        </is>
      </c>
      <c r="AE127" s="723" t="inlineStr">
        <is>
          <t>No</t>
        </is>
      </c>
      <c r="AF127" s="723" t="n"/>
      <c r="AG127" s="723" t="n"/>
      <c r="AH127" s="920" t="n"/>
      <c r="AJ127" t="str">
        <f>IFERROR(INDEX(Lists!$U$1:$U$18,MATCH($I127,Lists!$T$1:$T$18,0)),"?")</f>
        <v>Customer</v>
      </c>
      <c r="AK127" t="str">
        <f>IF(LOWER($Q127)="v","Vacant",IF(LOWER($Q127)="pause","Paused",IF(LOWER($Q127)="cxc","Contractor",IF($Q127="Contractor","Contractor","Filled"))))</f>
        <v>Contractor</v>
      </c>
      <c r="AL127" t="str">
        <f>IF($M127="NZ","NZ","AU")</f>
        <v>AU</v>
      </c>
      <c r="AM127">
        <f>COUNTIF($AJ$2:$AJ127,$AJ127)</f>
        <v>20.0</v>
      </c>
      <c r="AN127" t="str">
        <f>$AJ127&amp;"|"&amp;$AM127</f>
        <v>Customer|20</v>
      </c>
    </row>
    <row r="128" ht="18" customHeight="1" s="849">
      <c r="A128" s="714" t="n">
        <v>109041</v>
      </c>
      <c r="B128" s="715" t="inlineStr">
        <is>
          <t>Darwin Morales</t>
        </is>
      </c>
      <c r="C128" s="715" t="inlineStr">
        <is>
          <t>Snr Engineer - FE</t>
        </is>
      </c>
      <c r="D128" s="715" t="inlineStr">
        <is>
          <t>Mitesh Shah</t>
        </is>
      </c>
      <c r="E128" s="715" t="inlineStr">
        <is>
          <t>Technology Manager, Digitial</t>
        </is>
      </c>
      <c r="F128" s="716" t="inlineStr">
        <is>
          <t>Customer</t>
        </is>
      </c>
      <c r="G128" s="705" t="inlineStr">
        <is>
          <t>Digital</t>
        </is>
      </c>
      <c r="H128" s="715" t="inlineStr">
        <is>
          <t>Digital, Tech</t>
        </is>
      </c>
      <c r="I128" s="705" t="inlineStr">
        <is>
          <t>Customer</t>
        </is>
      </c>
      <c r="J128" s="715" t="inlineStr">
        <is>
          <t>Ampol Digital</t>
        </is>
      </c>
      <c r="K128" s="715" t="inlineStr">
        <is>
          <t>Ampol Web</t>
        </is>
      </c>
      <c r="L128" s="705" t="n"/>
      <c r="M128" s="717" t="inlineStr">
        <is>
          <t>Australia</t>
        </is>
      </c>
      <c r="N128" s="705" t="inlineStr">
        <is>
          <t>CIB</t>
        </is>
      </c>
      <c r="O128" s="705" t="n">
        <v>1</v>
      </c>
      <c r="P128" s="705" t="n"/>
      <c r="Q128" s="705" t="inlineStr">
        <is>
          <t>cxc</t>
        </is>
      </c>
      <c r="R128" s="724" t="inlineStr">
        <is>
          <t>Daily</t>
        </is>
      </c>
      <c r="S128" s="705" t="n">
        <v>1120</v>
      </c>
      <c r="T128" s="718" t="n">
        <v>0</v>
      </c>
      <c r="U128" s="718" t="n"/>
      <c r="V128" s="705" t="n"/>
      <c r="W128" s="705" t="n"/>
      <c r="X128" s="705" t="n"/>
      <c r="Y128" s="705" t="n"/>
      <c r="Z128" s="705" t="n"/>
      <c r="AA128" s="725" t="n">
        <v>248640</v>
      </c>
      <c r="AB128" s="723" t="n"/>
      <c r="AC128" s="723" t="n"/>
      <c r="AD128" s="723" t="inlineStr">
        <is>
          <t>Retain source cost</t>
        </is>
      </c>
      <c r="AE128" s="723" t="inlineStr">
        <is>
          <t>No</t>
        </is>
      </c>
      <c r="AF128" s="723" t="n"/>
      <c r="AG128" s="723" t="n"/>
      <c r="AH128" s="920" t="n"/>
      <c r="AJ128" t="str">
        <f>IFERROR(INDEX(Lists!$U$1:$U$18,MATCH($I128,Lists!$T$1:$T$18,0)),"?")</f>
        <v>Customer</v>
      </c>
      <c r="AK128" t="str">
        <f>IF(LOWER($Q128)="v","Vacant",IF(LOWER($Q128)="pause","Paused",IF(LOWER($Q128)="cxc","Contractor",IF($Q128="Contractor","Contractor","Filled"))))</f>
        <v>Contractor</v>
      </c>
      <c r="AL128" t="str">
        <f>IF($M128="NZ","NZ","AU")</f>
        <v>AU</v>
      </c>
      <c r="AM128">
        <f>COUNTIF($AJ$2:$AJ128,$AJ128)</f>
        <v>21.0</v>
      </c>
      <c r="AN128" t="str">
        <f>$AJ128&amp;"|"&amp;$AM128</f>
        <v>Customer|21</v>
      </c>
    </row>
    <row r="129" ht="18" customHeight="1" s="849">
      <c r="A129" s="714" t="n"/>
      <c r="B129" s="715" t="inlineStr">
        <is>
          <t>Dasha Fothergill</t>
        </is>
      </c>
      <c r="C129" s="715" t="inlineStr">
        <is>
          <t>Data Analyst</t>
        </is>
      </c>
      <c r="D129" s="715" t="inlineStr">
        <is>
          <t>Vacant</t>
        </is>
      </c>
      <c r="E129" s="715" t="inlineStr">
        <is>
          <t>Technology Manager, Data &amp; Engineering</t>
        </is>
      </c>
      <c r="F129" s="728" t="inlineStr">
        <is>
          <t>Customer</t>
        </is>
      </c>
      <c r="G129" s="705" t="inlineStr">
        <is>
          <t>Loyalty &amp; Martech</t>
        </is>
      </c>
      <c r="H129" s="705" t="inlineStr">
        <is>
          <t>Loyalty, Data &amp; Engineering</t>
        </is>
      </c>
      <c r="I129" s="883" t="inlineStr">
        <is>
          <t>Ampol Customer</t>
        </is>
      </c>
      <c r="J129" s="705" t="inlineStr">
        <is>
          <t>EGI</t>
        </is>
      </c>
      <c r="K129" s="715" t="inlineStr">
        <is>
          <t>EGI Customer</t>
        </is>
      </c>
      <c r="L129" s="705" t="n"/>
      <c r="M129" s="717" t="inlineStr">
        <is>
          <t>NZ</t>
        </is>
      </c>
      <c r="N129" s="705" t="inlineStr">
        <is>
          <t>CIA</t>
        </is>
      </c>
      <c r="O129" s="715" t="n">
        <v>1</v>
      </c>
      <c r="P129" s="705" t="n"/>
      <c r="Q129" s="705" t="inlineStr">
        <is>
          <t>Permanent - Full Time</t>
        </is>
      </c>
      <c r="R129" s="705" t="n"/>
      <c r="S129" s="705" t="n"/>
      <c r="T129" s="718" t="n">
        <v>182090</v>
      </c>
      <c r="U129" s="719" t="n">
        <v>182090</v>
      </c>
      <c r="V129" s="720" t="n">
        <v>0.12</v>
      </c>
      <c r="W129" s="928" t="n">
        <v>0.055</v>
      </c>
      <c r="X129" s="928" t="n">
        <v>0.12</v>
      </c>
      <c r="Y129" s="928" t="n"/>
      <c r="Z129" s="928" t="n">
        <v>0.04</v>
      </c>
      <c r="AA129" s="929" t="n">
        <v>243090.15</v>
      </c>
      <c r="AB129" s="723" t="n"/>
      <c r="AC129" s="723" t="n"/>
      <c r="AD129" s="723" t="inlineStr">
        <is>
          <t>Retain source cost</t>
        </is>
      </c>
      <c r="AE129" s="723" t="inlineStr">
        <is>
          <t>No</t>
        </is>
      </c>
      <c r="AF129" s="723" t="n"/>
      <c r="AG129" s="723" t="n"/>
      <c r="AH129" s="920" t="n"/>
      <c r="AJ129" t="str">
        <f>IFERROR(INDEX(Lists!$U$1:$U$18,MATCH($I129,Lists!$T$1:$T$18,0)),"?")</f>
        <v>Customer</v>
      </c>
      <c r="AK129" t="str">
        <f>IF(LOWER($Q129)="v","Vacant",IF(LOWER($Q129)="pause","Paused",IF(LOWER($Q129)="cxc","Contractor",IF($Q129="Contractor","Contractor","Filled"))))</f>
        <v>Filled</v>
      </c>
      <c r="AL129" t="str">
        <f>IF($M129="NZ","NZ","AU")</f>
        <v>NZ</v>
      </c>
      <c r="AM129">
        <f>COUNTIF($AJ$2:$AJ129,$AJ129)</f>
        <v>22.0</v>
      </c>
      <c r="AN129" t="str">
        <f>$AJ129&amp;"|"&amp;$AM129</f>
        <v>Customer|22</v>
      </c>
    </row>
    <row r="130" ht="18" customHeight="1" s="849">
      <c r="A130" s="714" t="n">
        <v>99999101370</v>
      </c>
      <c r="B130" s="705" t="inlineStr">
        <is>
          <t>Denise Esguerra</t>
        </is>
      </c>
      <c r="C130" s="705" t="inlineStr">
        <is>
          <t>Martech Specialist</t>
        </is>
      </c>
      <c r="D130" s="705" t="inlineStr">
        <is>
          <t>Kris Hamilton</t>
        </is>
      </c>
      <c r="E130" s="705" t="inlineStr">
        <is>
          <t>Technology Manager, Loyalty &amp; Martech</t>
        </is>
      </c>
      <c r="F130" s="716" t="inlineStr">
        <is>
          <t>Customer</t>
        </is>
      </c>
      <c r="G130" s="705" t="inlineStr">
        <is>
          <t>Loyalty &amp; Martech</t>
        </is>
      </c>
      <c r="H130" s="705" t="inlineStr">
        <is>
          <t>Loyalty, Tech</t>
        </is>
      </c>
      <c r="I130" s="715" t="inlineStr">
        <is>
          <t>Customer</t>
        </is>
      </c>
      <c r="J130" s="705" t="inlineStr">
        <is>
          <t>(All Customer)</t>
        </is>
      </c>
      <c r="K130" s="705" t="inlineStr">
        <is>
          <t>Z Energy Martech</t>
        </is>
      </c>
      <c r="L130" s="705" t="n"/>
      <c r="M130" s="717" t="inlineStr">
        <is>
          <t>NZ</t>
        </is>
      </c>
      <c r="N130" s="705" t="inlineStr">
        <is>
          <t>CIA</t>
        </is>
      </c>
      <c r="O130" s="715" t="n">
        <v>1</v>
      </c>
      <c r="P130" s="705" t="n"/>
      <c r="Q130" s="705" t="inlineStr">
        <is>
          <t>v</t>
        </is>
      </c>
      <c r="R130" s="705" t="n"/>
      <c r="S130" s="705" t="n"/>
      <c r="T130" s="718" t="n">
        <v>164000</v>
      </c>
      <c r="U130" s="719" t="n">
        <v>150880</v>
      </c>
      <c r="V130" s="720" t="n">
        <v>0.15</v>
      </c>
      <c r="W130" s="705" t="n"/>
      <c r="X130" s="720" t="n">
        <v>0.05</v>
      </c>
      <c r="Y130" s="930" t="n">
        <v>2910</v>
      </c>
      <c r="Z130" s="720" t="n">
        <v>0.03</v>
      </c>
      <c r="AA130" s="929" t="n">
        <v>188492.4</v>
      </c>
      <c r="AB130" s="723" t="n"/>
      <c r="AC130" s="723" t="n"/>
      <c r="AD130" s="723" t="inlineStr">
        <is>
          <t>Retain source cost</t>
        </is>
      </c>
      <c r="AE130" s="723" t="inlineStr">
        <is>
          <t>No</t>
        </is>
      </c>
      <c r="AF130" s="723" t="n"/>
      <c r="AG130" s="723" t="n"/>
      <c r="AH130" s="920" t="n"/>
      <c r="AJ130" t="str">
        <f>IFERROR(INDEX(Lists!$U$1:$U$18,MATCH($I130,Lists!$T$1:$T$18,0)),"?")</f>
        <v>Customer</v>
      </c>
      <c r="AK130" t="str">
        <f>IF(LOWER($Q130)="v","Vacant",IF(LOWER($Q130)="pause","Paused",IF(LOWER($Q130)="cxc","Contractor",IF($Q130="Contractor","Contractor","Filled"))))</f>
        <v>Vacant</v>
      </c>
      <c r="AL130" t="str">
        <f>IF($M130="NZ","NZ","AU")</f>
        <v>NZ</v>
      </c>
      <c r="AM130">
        <f>COUNTIF($AJ$2:$AJ130,$AJ130)</f>
        <v>23.0</v>
      </c>
      <c r="AN130" t="str">
        <f>$AJ130&amp;"|"&amp;$AM130</f>
        <v>Customer|23</v>
      </c>
    </row>
    <row r="131" ht="18" customHeight="1" s="849">
      <c r="A131" s="714" t="n">
        <v>114411</v>
      </c>
      <c r="B131" s="715" t="inlineStr">
        <is>
          <t>Edwin Justin</t>
        </is>
      </c>
      <c r="C131" s="715" t="inlineStr">
        <is>
          <t>Senior Engineer - BE</t>
        </is>
      </c>
      <c r="D131" s="715" t="inlineStr">
        <is>
          <t>Khalid Mahmud</t>
        </is>
      </c>
      <c r="E131" s="715" t="inlineStr">
        <is>
          <t>Lead Engineer - BE</t>
        </is>
      </c>
      <c r="F131" s="716" t="inlineStr">
        <is>
          <t>Customer</t>
        </is>
      </c>
      <c r="G131" s="705" t="inlineStr">
        <is>
          <t>Digital</t>
        </is>
      </c>
      <c r="H131" s="705" t="inlineStr">
        <is>
          <t>Tech, Digital Engineering</t>
        </is>
      </c>
      <c r="I131" s="705" t="inlineStr">
        <is>
          <t>Customer</t>
        </is>
      </c>
      <c r="J131" s="715" t="inlineStr">
        <is>
          <t>Ampol Digital</t>
        </is>
      </c>
      <c r="K131" s="715" t="inlineStr">
        <is>
          <t>Ampol App</t>
        </is>
      </c>
      <c r="L131" s="705" t="n"/>
      <c r="M131" s="717" t="inlineStr">
        <is>
          <t>Australia</t>
        </is>
      </c>
      <c r="N131" s="705" t="inlineStr">
        <is>
          <t>CIB</t>
        </is>
      </c>
      <c r="O131" s="705" t="n">
        <v>1</v>
      </c>
      <c r="P131" s="705" t="n"/>
      <c r="Q131" s="705" t="inlineStr">
        <is>
          <t>Permanent - Full Time</t>
        </is>
      </c>
      <c r="R131" s="705" t="n"/>
      <c r="S131" s="705" t="n"/>
      <c r="T131" s="718" t="n">
        <v>135000</v>
      </c>
      <c r="U131" s="719" t="n">
        <v>135000</v>
      </c>
      <c r="V131" s="720" t="n">
        <v>0.1</v>
      </c>
      <c r="W131" s="928" t="n">
        <v>0.055</v>
      </c>
      <c r="X131" s="928" t="n">
        <v>0.12</v>
      </c>
      <c r="Y131" s="928" t="n"/>
      <c r="Z131" s="928" t="n">
        <v>0.04</v>
      </c>
      <c r="AA131" s="929" t="n">
        <v>177525</v>
      </c>
      <c r="AB131" s="723" t="n"/>
      <c r="AC131" s="723" t="n"/>
      <c r="AD131" s="723" t="inlineStr">
        <is>
          <t>Retain source cost</t>
        </is>
      </c>
      <c r="AE131" s="723" t="inlineStr">
        <is>
          <t>No</t>
        </is>
      </c>
      <c r="AF131" s="723" t="n"/>
      <c r="AG131" s="723" t="n"/>
      <c r="AH131" s="920" t="n"/>
      <c r="AJ131" t="str">
        <f>IFERROR(INDEX(Lists!$U$1:$U$18,MATCH($I131,Lists!$T$1:$T$18,0)),"?")</f>
        <v>Customer</v>
      </c>
      <c r="AK131" t="str">
        <f>IF(LOWER($Q131)="v","Vacant",IF(LOWER($Q131)="pause","Paused",IF(LOWER($Q131)="cxc","Contractor",IF($Q131="Contractor","Contractor","Filled"))))</f>
        <v>Filled</v>
      </c>
      <c r="AL131" t="str">
        <f>IF($M131="NZ","NZ","AU")</f>
        <v>AU</v>
      </c>
      <c r="AM131">
        <f>COUNTIF($AJ$2:$AJ131,$AJ131)</f>
        <v>24.0</v>
      </c>
      <c r="AN131" t="str">
        <f>$AJ131&amp;"|"&amp;$AM131</f>
        <v>Customer|24</v>
      </c>
    </row>
    <row r="132" ht="18" customHeight="1" s="849">
      <c r="A132" s="714" t="n">
        <v>106200</v>
      </c>
      <c r="B132" s="715" t="inlineStr">
        <is>
          <t>Emile Violi</t>
        </is>
      </c>
      <c r="C132" s="715" t="inlineStr">
        <is>
          <t>Engineer - BE</t>
        </is>
      </c>
      <c r="D132" s="715" t="inlineStr">
        <is>
          <t>Mark Wilson</t>
        </is>
      </c>
      <c r="E132" s="715" t="inlineStr">
        <is>
          <t>Digital Support Manager(AU)</t>
        </is>
      </c>
      <c r="F132" s="716" t="inlineStr">
        <is>
          <t>Customer</t>
        </is>
      </c>
      <c r="G132" s="705" t="inlineStr">
        <is>
          <t>Digital</t>
        </is>
      </c>
      <c r="H132" s="715" t="inlineStr">
        <is>
          <t>Digital Support (AU)</t>
        </is>
      </c>
      <c r="I132" s="705" t="inlineStr">
        <is>
          <t>Customer</t>
        </is>
      </c>
      <c r="J132" s="715" t="inlineStr">
        <is>
          <t>Ampol Digital</t>
        </is>
      </c>
      <c r="K132" s="715" t="inlineStr">
        <is>
          <t>Digital Ops Support</t>
        </is>
      </c>
      <c r="L132" s="705" t="n"/>
      <c r="M132" s="717" t="inlineStr">
        <is>
          <t>Australia</t>
        </is>
      </c>
      <c r="N132" s="705" t="inlineStr">
        <is>
          <t>CIB</t>
        </is>
      </c>
      <c r="O132" s="705" t="n">
        <v>1</v>
      </c>
      <c r="P132" s="705" t="n"/>
      <c r="Q132" s="715" t="inlineStr">
        <is>
          <t>Permanent - Part Time</t>
        </is>
      </c>
      <c r="R132" s="705" t="n"/>
      <c r="S132" s="705" t="n"/>
      <c r="T132" s="718" t="n">
        <v>169030</v>
      </c>
      <c r="U132" s="719" t="n">
        <v>155507.6</v>
      </c>
      <c r="V132" s="730" t="n">
        <v>0.15</v>
      </c>
      <c r="W132" s="715" t="n"/>
      <c r="X132" s="720" t="n">
        <v>0.05</v>
      </c>
      <c r="Y132" s="930" t="n">
        <v>2910</v>
      </c>
      <c r="Z132" s="720" t="n">
        <v>0.03</v>
      </c>
      <c r="AA132" s="929" t="n">
        <v>194184.348</v>
      </c>
      <c r="AB132" s="723" t="n">
        <v>113508</v>
      </c>
      <c r="AC132" s="723" t="n"/>
      <c r="AD132" s="723" t="inlineStr">
        <is>
          <t>Wipro repriced</t>
        </is>
      </c>
      <c r="AE132" s="723" t="inlineStr">
        <is>
          <t>Yes</t>
        </is>
      </c>
      <c r="AF132" s="723" t="inlineStr">
        <is>
          <t>.NET Back End Developer / Mid</t>
        </is>
      </c>
      <c r="AG132" s="723" t="inlineStr">
        <is>
          <t>Offshore</t>
        </is>
      </c>
      <c r="AH132" s="920" t="n">
        <v>374</v>
      </c>
      <c r="AJ132" t="str">
        <f>IFERROR(INDEX(Lists!$U$1:$U$18,MATCH($I132,Lists!$T$1:$T$18,0)),"?")</f>
        <v>Customer</v>
      </c>
      <c r="AK132" t="str">
        <f>IF(LOWER($Q132)="v","Vacant",IF(LOWER($Q132)="pause","Paused",IF(LOWER($Q132)="cxc","Contractor",IF($Q132="Contractor","Contractor","Filled"))))</f>
        <v>Filled</v>
      </c>
      <c r="AL132" t="str">
        <f>IF($M132="NZ","NZ","AU")</f>
        <v>AU</v>
      </c>
      <c r="AM132">
        <f>COUNTIF($AJ$2:$AJ132,$AJ132)</f>
        <v>25.0</v>
      </c>
      <c r="AN132" t="str">
        <f>$AJ132&amp;"|"&amp;$AM132</f>
        <v>Customer|25</v>
      </c>
    </row>
    <row r="133" ht="18" customHeight="1" s="849">
      <c r="A133" s="714" t="n">
        <v>98015</v>
      </c>
      <c r="B133" s="715" t="inlineStr">
        <is>
          <t>Ethan Laffan</t>
        </is>
      </c>
      <c r="C133" s="715" t="inlineStr">
        <is>
          <t>Associate Experience Designer</t>
        </is>
      </c>
      <c r="D133" s="715" t="inlineStr">
        <is>
          <t>Byron Thornhill</t>
        </is>
      </c>
      <c r="E133" s="715" t="inlineStr">
        <is>
          <t>Design Manager</t>
        </is>
      </c>
      <c r="F133" s="716" t="inlineStr">
        <is>
          <t>Customer</t>
        </is>
      </c>
      <c r="G133" s="705" t="inlineStr">
        <is>
          <t>Digital</t>
        </is>
      </c>
      <c r="H133" s="705" t="inlineStr">
        <is>
          <t>Digital, Design</t>
        </is>
      </c>
      <c r="I133" s="715" t="inlineStr">
        <is>
          <t>Customer</t>
        </is>
      </c>
      <c r="J133" s="715" t="inlineStr">
        <is>
          <t>Ampol Digital</t>
        </is>
      </c>
      <c r="K133" s="715" t="inlineStr">
        <is>
          <t>Ampol App</t>
        </is>
      </c>
      <c r="L133" s="705" t="n"/>
      <c r="M133" s="717" t="inlineStr">
        <is>
          <t>Australia</t>
        </is>
      </c>
      <c r="N133" s="705" t="inlineStr">
        <is>
          <t>CDC</t>
        </is>
      </c>
      <c r="O133" s="705" t="n">
        <v>1</v>
      </c>
      <c r="P133" s="705" t="n"/>
      <c r="Q133" s="705" t="inlineStr">
        <is>
          <t>Permanent - Full Time</t>
        </is>
      </c>
      <c r="R133" s="705" t="n"/>
      <c r="S133" s="705" t="n"/>
      <c r="T133" s="718" t="n">
        <v>145910</v>
      </c>
      <c r="U133" s="719" t="n">
        <v>145910</v>
      </c>
      <c r="V133" s="720" t="n">
        <v>0.12</v>
      </c>
      <c r="W133" s="928" t="n">
        <v>0.055</v>
      </c>
      <c r="X133" s="928" t="n">
        <v>0.12</v>
      </c>
      <c r="Y133" s="928" t="n"/>
      <c r="Z133" s="928" t="n">
        <v>0.04</v>
      </c>
      <c r="AA133" s="929" t="n">
        <v>194789.85</v>
      </c>
      <c r="AB133" s="723" t="n"/>
      <c r="AC133" s="723" t="n"/>
      <c r="AD133" s="723" t="inlineStr">
        <is>
          <t>Retain source cost</t>
        </is>
      </c>
      <c r="AE133" s="723" t="inlineStr">
        <is>
          <t>No</t>
        </is>
      </c>
      <c r="AF133" s="723" t="n"/>
      <c r="AG133" s="723" t="n"/>
      <c r="AH133" s="920" t="n"/>
      <c r="AJ133" t="str">
        <f>IFERROR(INDEX(Lists!$U$1:$U$18,MATCH($I133,Lists!$T$1:$T$18,0)),"?")</f>
        <v>Customer</v>
      </c>
      <c r="AK133" t="str">
        <f>IF(LOWER($Q133)="v","Vacant",IF(LOWER($Q133)="pause","Paused",IF(LOWER($Q133)="cxc","Contractor",IF($Q133="Contractor","Contractor","Filled"))))</f>
        <v>Filled</v>
      </c>
      <c r="AL133" t="str">
        <f>IF($M133="NZ","NZ","AU")</f>
        <v>AU</v>
      </c>
      <c r="AM133">
        <f>COUNTIF($AJ$2:$AJ133,$AJ133)</f>
        <v>26.0</v>
      </c>
      <c r="AN133" t="str">
        <f>$AJ133&amp;"|"&amp;$AM133</f>
        <v>Customer|26</v>
      </c>
    </row>
    <row r="134" ht="18" customHeight="1" s="849">
      <c r="A134" s="714" t="n">
        <v>99999101540</v>
      </c>
      <c r="B134" s="715" t="inlineStr">
        <is>
          <t>James Nicolle</t>
        </is>
      </c>
      <c r="C134" s="715" t="inlineStr">
        <is>
          <t>Delivery Lead</t>
        </is>
      </c>
      <c r="D134" s="705" t="inlineStr">
        <is>
          <t>Vacant</t>
        </is>
      </c>
      <c r="E134" s="715" t="inlineStr">
        <is>
          <t>Delivery Manager, Digital</t>
        </is>
      </c>
      <c r="F134" s="716" t="inlineStr">
        <is>
          <t>Customer</t>
        </is>
      </c>
      <c r="G134" s="705" t="inlineStr">
        <is>
          <t>Digital</t>
        </is>
      </c>
      <c r="H134" s="705" t="inlineStr">
        <is>
          <t>Digital, Delivery</t>
        </is>
      </c>
      <c r="I134" s="715" t="inlineStr">
        <is>
          <t>Customer</t>
        </is>
      </c>
      <c r="J134" s="715" t="inlineStr">
        <is>
          <t>Customer Z</t>
        </is>
      </c>
      <c r="K134" s="715" t="inlineStr">
        <is>
          <t>Z Energy Apps</t>
        </is>
      </c>
      <c r="L134" s="705" t="n"/>
      <c r="M134" s="717" t="inlineStr">
        <is>
          <t>NZ</t>
        </is>
      </c>
      <c r="N134" s="705" t="inlineStr">
        <is>
          <t>CIC</t>
        </is>
      </c>
      <c r="O134" s="715" t="n">
        <v>1</v>
      </c>
      <c r="P134" s="705" t="n"/>
      <c r="Q134" s="715" t="inlineStr">
        <is>
          <t>Permanent - Full Time</t>
        </is>
      </c>
      <c r="R134" s="705" t="n"/>
      <c r="S134" s="705" t="n"/>
      <c r="T134" s="718" t="n">
        <v>133930</v>
      </c>
      <c r="U134" s="719" t="n">
        <v>123215.6</v>
      </c>
      <c r="V134" s="730" t="n">
        <v>0.15</v>
      </c>
      <c r="W134" s="705" t="n"/>
      <c r="X134" s="720" t="n">
        <v>0.05</v>
      </c>
      <c r="Y134" s="930" t="n">
        <v>2910</v>
      </c>
      <c r="Z134" s="720" t="n">
        <v>0.03</v>
      </c>
      <c r="AA134" s="929" t="n">
        <v>154465.188</v>
      </c>
      <c r="AB134" s="723" t="n">
        <v>113614</v>
      </c>
      <c r="AC134" s="723" t="n"/>
      <c r="AD134" s="723" t="inlineStr">
        <is>
          <t>Retain source cost</t>
        </is>
      </c>
      <c r="AE134" s="723" t="inlineStr">
        <is>
          <t>No</t>
        </is>
      </c>
      <c r="AF134" s="723" t="n"/>
      <c r="AG134" s="723" t="n"/>
      <c r="AH134" s="920" t="n"/>
      <c r="AJ134" t="str">
        <f>IFERROR(INDEX(Lists!$U$1:$U$18,MATCH($I134,Lists!$T$1:$T$18,0)),"?")</f>
        <v>Customer</v>
      </c>
      <c r="AK134" t="str">
        <f>IF(LOWER($Q134)="v","Vacant",IF(LOWER($Q134)="pause","Paused",IF(LOWER($Q134)="cxc","Contractor",IF($Q134="Contractor","Contractor","Filled"))))</f>
        <v>Filled</v>
      </c>
      <c r="AL134" t="str">
        <f>IF($M134="NZ","NZ","AU")</f>
        <v>NZ</v>
      </c>
      <c r="AM134">
        <f>COUNTIF($AJ$2:$AJ134,$AJ134)</f>
        <v>27.0</v>
      </c>
      <c r="AN134" t="str">
        <f>$AJ134&amp;"|"&amp;$AM134</f>
        <v>Customer|27</v>
      </c>
    </row>
    <row r="135" ht="18" customHeight="1" s="849">
      <c r="A135" s="714" t="n">
        <v>107144</v>
      </c>
      <c r="B135" s="715" t="inlineStr">
        <is>
          <t>Jasper Na</t>
        </is>
      </c>
      <c r="C135" s="715" t="inlineStr">
        <is>
          <t>Associate Engineer - BE</t>
        </is>
      </c>
      <c r="D135" s="715" t="inlineStr">
        <is>
          <t>Jin Zhong</t>
        </is>
      </c>
      <c r="E135" s="715" t="inlineStr">
        <is>
          <t>Lead Engineer - BE</t>
        </is>
      </c>
      <c r="F135" s="716" t="inlineStr">
        <is>
          <t>Customer</t>
        </is>
      </c>
      <c r="G135" s="705" t="inlineStr">
        <is>
          <t>Digital</t>
        </is>
      </c>
      <c r="H135" s="705" t="inlineStr">
        <is>
          <t>Tech, Digital Engineering</t>
        </is>
      </c>
      <c r="I135" s="705" t="inlineStr">
        <is>
          <t>Customer</t>
        </is>
      </c>
      <c r="J135" s="715" t="inlineStr">
        <is>
          <t>Ampol Digital</t>
        </is>
      </c>
      <c r="K135" s="715" t="inlineStr">
        <is>
          <t>Energy</t>
        </is>
      </c>
      <c r="L135" s="705" t="n"/>
      <c r="M135" s="717" t="inlineStr">
        <is>
          <t>Australia</t>
        </is>
      </c>
      <c r="N135" s="705" t="inlineStr">
        <is>
          <t>CIA</t>
        </is>
      </c>
      <c r="O135" s="705" t="n">
        <v>1</v>
      </c>
      <c r="P135" s="705" t="n"/>
      <c r="Q135" s="705" t="inlineStr">
        <is>
          <t>V</t>
        </is>
      </c>
      <c r="R135" s="705" t="n"/>
      <c r="S135" s="705" t="n"/>
      <c r="T135" s="718" t="n">
        <v>151000</v>
      </c>
      <c r="U135" s="719" t="n">
        <v>151000</v>
      </c>
      <c r="V135" s="720" t="n">
        <v>0.12</v>
      </c>
      <c r="W135" s="928" t="n">
        <v>0.055</v>
      </c>
      <c r="X135" s="928" t="n">
        <v>0.12</v>
      </c>
      <c r="Y135" s="928" t="n"/>
      <c r="Z135" s="928" t="n">
        <v>0.04</v>
      </c>
      <c r="AA135" s="929" t="n">
        <v>201585</v>
      </c>
      <c r="AB135" s="723" t="n"/>
      <c r="AC135" s="723" t="n"/>
      <c r="AD135" s="723" t="inlineStr">
        <is>
          <t>Retain source cost</t>
        </is>
      </c>
      <c r="AE135" s="723" t="inlineStr">
        <is>
          <t>No</t>
        </is>
      </c>
      <c r="AF135" s="723" t="n"/>
      <c r="AG135" s="723" t="n"/>
      <c r="AH135" s="920" t="n"/>
      <c r="AJ135" t="str">
        <f>IFERROR(INDEX(Lists!$U$1:$U$18,MATCH($I135,Lists!$T$1:$T$18,0)),"?")</f>
        <v>Customer</v>
      </c>
      <c r="AK135" t="str">
        <f>IF(LOWER($Q135)="v","Vacant",IF(LOWER($Q135)="pause","Paused",IF(LOWER($Q135)="cxc","Contractor",IF($Q135="Contractor","Contractor","Filled"))))</f>
        <v>Vacant</v>
      </c>
      <c r="AL135" t="str">
        <f>IF($M135="NZ","NZ","AU")</f>
        <v>AU</v>
      </c>
      <c r="AM135">
        <f>COUNTIF($AJ$2:$AJ135,$AJ135)</f>
        <v>28.0</v>
      </c>
      <c r="AN135" t="str">
        <f>$AJ135&amp;"|"&amp;$AM135</f>
        <v>Customer|28</v>
      </c>
    </row>
    <row r="136" ht="18" customHeight="1" s="849">
      <c r="A136" s="714" t="n">
        <v>111777</v>
      </c>
      <c r="B136" s="705" t="inlineStr">
        <is>
          <t>Jeremy Xu</t>
        </is>
      </c>
      <c r="C136" s="705" t="inlineStr">
        <is>
          <t>Data Analyst</t>
        </is>
      </c>
      <c r="D136" s="705" t="inlineStr">
        <is>
          <t>Vacant</t>
        </is>
      </c>
      <c r="E136" s="705" t="inlineStr">
        <is>
          <t>Technology Manager, Data &amp; Engineering</t>
        </is>
      </c>
      <c r="F136" s="716" t="inlineStr">
        <is>
          <t>Customer</t>
        </is>
      </c>
      <c r="G136" s="705" t="inlineStr">
        <is>
          <t>Loyalty &amp; Martech</t>
        </is>
      </c>
      <c r="H136" s="715" t="inlineStr">
        <is>
          <t>Loyalty, Data &amp; Engineering</t>
        </is>
      </c>
      <c r="I136" s="715" t="inlineStr">
        <is>
          <t>Customer</t>
        </is>
      </c>
      <c r="J136" s="705" t="inlineStr">
        <is>
          <t>Group Customer</t>
        </is>
      </c>
      <c r="K136" s="715" t="inlineStr">
        <is>
          <t>AU CRM &amp; Martech</t>
        </is>
      </c>
      <c r="L136" s="705" t="n"/>
      <c r="M136" s="717" t="inlineStr">
        <is>
          <t>Australia</t>
        </is>
      </c>
      <c r="N136" s="705" t="inlineStr">
        <is>
          <t>CIB</t>
        </is>
      </c>
      <c r="O136" s="705" t="n">
        <v>1</v>
      </c>
      <c r="P136" s="705" t="n"/>
      <c r="Q136" s="705" t="inlineStr">
        <is>
          <t>V</t>
        </is>
      </c>
      <c r="R136" s="705" t="n"/>
      <c r="S136" s="705" t="n"/>
      <c r="T136" s="718" t="n">
        <v>151950</v>
      </c>
      <c r="U136" s="719" t="n">
        <v>151950</v>
      </c>
      <c r="V136" s="720" t="n">
        <v>0.12</v>
      </c>
      <c r="W136" s="928" t="n">
        <v>0.055</v>
      </c>
      <c r="X136" s="928" t="n">
        <v>0.12</v>
      </c>
      <c r="Y136" s="928" t="n"/>
      <c r="Z136" s="928" t="n">
        <v>0.04</v>
      </c>
      <c r="AA136" s="929" t="n">
        <v>202853.25</v>
      </c>
      <c r="AB136" s="723" t="n"/>
      <c r="AC136" s="723" t="n"/>
      <c r="AD136" s="723" t="inlineStr">
        <is>
          <t>Retain source cost</t>
        </is>
      </c>
      <c r="AE136" s="723" t="inlineStr">
        <is>
          <t>No</t>
        </is>
      </c>
      <c r="AF136" s="723" t="n"/>
      <c r="AG136" s="723" t="n"/>
      <c r="AH136" s="920" t="n"/>
      <c r="AJ136" t="str">
        <f>IFERROR(INDEX(Lists!$U$1:$U$18,MATCH($I136,Lists!$T$1:$T$18,0)),"?")</f>
        <v>Customer</v>
      </c>
      <c r="AK136" t="str">
        <f>IF(LOWER($Q136)="v","Vacant",IF(LOWER($Q136)="pause","Paused",IF(LOWER($Q136)="cxc","Contractor",IF($Q136="Contractor","Contractor","Filled"))))</f>
        <v>Vacant</v>
      </c>
      <c r="AL136" t="str">
        <f>IF($M136="NZ","NZ","AU")</f>
        <v>AU</v>
      </c>
      <c r="AM136">
        <f>COUNTIF($AJ$2:$AJ136,$AJ136)</f>
        <v>29.0</v>
      </c>
      <c r="AN136" t="str">
        <f>$AJ136&amp;"|"&amp;$AM136</f>
        <v>Customer|29</v>
      </c>
    </row>
    <row r="137" ht="18" customHeight="1" s="849">
      <c r="A137" s="714" t="n">
        <v>114650</v>
      </c>
      <c r="B137" s="715" t="inlineStr">
        <is>
          <t>Jin Zhong</t>
        </is>
      </c>
      <c r="C137" s="715" t="inlineStr">
        <is>
          <t>Lead Engineer - BE</t>
        </is>
      </c>
      <c r="D137" s="715" t="inlineStr">
        <is>
          <t>Vacant</t>
        </is>
      </c>
      <c r="E137" s="715" t="inlineStr">
        <is>
          <t>Technology Manager, Digital Engineering</t>
        </is>
      </c>
      <c r="F137" s="716" t="inlineStr">
        <is>
          <t>Customer</t>
        </is>
      </c>
      <c r="G137" s="705" t="inlineStr">
        <is>
          <t>Digital</t>
        </is>
      </c>
      <c r="H137" s="705" t="inlineStr">
        <is>
          <t>Tech, Digital Engineering</t>
        </is>
      </c>
      <c r="I137" s="705" t="inlineStr">
        <is>
          <t>Customer</t>
        </is>
      </c>
      <c r="J137" s="715" t="inlineStr">
        <is>
          <t>Ampol Digital</t>
        </is>
      </c>
      <c r="K137" s="715" t="inlineStr">
        <is>
          <t>Ampol Web</t>
        </is>
      </c>
      <c r="L137" s="705" t="n"/>
      <c r="M137" s="717" t="inlineStr">
        <is>
          <t>Australia</t>
        </is>
      </c>
      <c r="N137" s="705" t="inlineStr">
        <is>
          <t>CIC</t>
        </is>
      </c>
      <c r="O137" s="705" t="n">
        <v>1</v>
      </c>
      <c r="P137" s="705" t="n"/>
      <c r="Q137" s="705" t="inlineStr">
        <is>
          <t>v</t>
        </is>
      </c>
      <c r="R137" s="705" t="n"/>
      <c r="S137" s="705" t="n"/>
      <c r="T137" s="718" t="n">
        <v>129650</v>
      </c>
      <c r="U137" s="719" t="n">
        <v>129650</v>
      </c>
      <c r="V137" s="720" t="n">
        <v>0.1</v>
      </c>
      <c r="W137" s="928" t="n">
        <v>0.055</v>
      </c>
      <c r="X137" s="928" t="n">
        <v>0.12</v>
      </c>
      <c r="Y137" s="928" t="n"/>
      <c r="Z137" s="928" t="n">
        <v>0.04</v>
      </c>
      <c r="AA137" s="929" t="n">
        <v>170489.75</v>
      </c>
      <c r="AB137" s="723" t="n"/>
      <c r="AC137" s="723" t="n"/>
      <c r="AD137" s="723" t="inlineStr">
        <is>
          <t>Retain source cost</t>
        </is>
      </c>
      <c r="AE137" s="723" t="inlineStr">
        <is>
          <t>No</t>
        </is>
      </c>
      <c r="AF137" s="723" t="n"/>
      <c r="AG137" s="723" t="n"/>
      <c r="AH137" s="920" t="n"/>
      <c r="AJ137" t="str">
        <f>IFERROR(INDEX(Lists!$U$1:$U$18,MATCH($I137,Lists!$T$1:$T$18,0)),"?")</f>
        <v>Customer</v>
      </c>
      <c r="AK137" t="str">
        <f>IF(LOWER($Q137)="v","Vacant",IF(LOWER($Q137)="pause","Paused",IF(LOWER($Q137)="cxc","Contractor",IF($Q137="Contractor","Contractor","Filled"))))</f>
        <v>Vacant</v>
      </c>
      <c r="AL137" t="str">
        <f>IF($M137="NZ","NZ","AU")</f>
        <v>AU</v>
      </c>
      <c r="AM137">
        <f>COUNTIF($AJ$2:$AJ137,$AJ137)</f>
        <v>30.0</v>
      </c>
      <c r="AN137" t="str">
        <f>$AJ137&amp;"|"&amp;$AM137</f>
        <v>Customer|30</v>
      </c>
    </row>
    <row r="138" ht="18" customHeight="1" s="849">
      <c r="A138" s="714" t="inlineStr">
        <is>
          <t>C</t>
        </is>
      </c>
      <c r="B138" s="715" t="inlineStr">
        <is>
          <t>Jordan Askwith</t>
        </is>
      </c>
      <c r="C138" s="715" t="inlineStr">
        <is>
          <t>Solution Architect</t>
        </is>
      </c>
      <c r="D138" s="715" t="inlineStr">
        <is>
          <t>Mitesh Shah</t>
        </is>
      </c>
      <c r="E138" s="715" t="inlineStr">
        <is>
          <t>Technology Manager, Digitial</t>
        </is>
      </c>
      <c r="F138" s="716" t="inlineStr">
        <is>
          <t>Customer</t>
        </is>
      </c>
      <c r="G138" s="705" t="inlineStr">
        <is>
          <t>Digital</t>
        </is>
      </c>
      <c r="H138" s="715" t="inlineStr">
        <is>
          <t>Digital, Tech</t>
        </is>
      </c>
      <c r="I138" s="705" t="inlineStr">
        <is>
          <t>Customer</t>
        </is>
      </c>
      <c r="J138" s="715" t="inlineStr">
        <is>
          <t>Ampol Digital</t>
        </is>
      </c>
      <c r="K138" s="715" t="inlineStr">
        <is>
          <t>Ampol Web</t>
        </is>
      </c>
      <c r="L138" s="705" t="n"/>
      <c r="M138" s="717" t="inlineStr">
        <is>
          <t>Australia</t>
        </is>
      </c>
      <c r="N138" s="705" t="inlineStr">
        <is>
          <t>NA</t>
        </is>
      </c>
      <c r="O138" s="705" t="n">
        <v>1</v>
      </c>
      <c r="P138" s="705" t="n"/>
      <c r="Q138" s="705" t="inlineStr">
        <is>
          <t>v</t>
        </is>
      </c>
      <c r="R138" s="705" t="n"/>
      <c r="S138" s="705" t="n"/>
      <c r="T138" s="718" t="n">
        <v>151950</v>
      </c>
      <c r="U138" s="719" t="n">
        <v>151950</v>
      </c>
      <c r="V138" s="720" t="n">
        <v>0.12</v>
      </c>
      <c r="W138" s="928" t="n">
        <v>0.055</v>
      </c>
      <c r="X138" s="928" t="n">
        <v>0.12</v>
      </c>
      <c r="Y138" s="928" t="n"/>
      <c r="Z138" s="928" t="n">
        <v>0.04</v>
      </c>
      <c r="AA138" s="929" t="n">
        <v>202853.25</v>
      </c>
      <c r="AB138" s="723" t="n"/>
      <c r="AC138" s="723" t="n"/>
      <c r="AD138" s="723" t="inlineStr">
        <is>
          <t>Retain source cost</t>
        </is>
      </c>
      <c r="AE138" s="723" t="inlineStr">
        <is>
          <t>No</t>
        </is>
      </c>
      <c r="AF138" s="723" t="n"/>
      <c r="AG138" s="723" t="n"/>
      <c r="AH138" s="920" t="n"/>
      <c r="AJ138" t="str">
        <f>IFERROR(INDEX(Lists!$U$1:$U$18,MATCH($I138,Lists!$T$1:$T$18,0)),"?")</f>
        <v>Customer</v>
      </c>
      <c r="AK138" t="str">
        <f>IF(LOWER($Q138)="v","Vacant",IF(LOWER($Q138)="pause","Paused",IF(LOWER($Q138)="cxc","Contractor",IF($Q138="Contractor","Contractor","Filled"))))</f>
        <v>Vacant</v>
      </c>
      <c r="AL138" t="str">
        <f>IF($M138="NZ","NZ","AU")</f>
        <v>AU</v>
      </c>
      <c r="AM138">
        <f>COUNTIF($AJ$2:$AJ138,$AJ138)</f>
        <v>31.0</v>
      </c>
      <c r="AN138" t="str">
        <f>$AJ138&amp;"|"&amp;$AM138</f>
        <v>Customer|31</v>
      </c>
    </row>
    <row r="139" ht="18" customHeight="1" s="849">
      <c r="A139" s="714" t="n">
        <v>99999101601</v>
      </c>
      <c r="B139" s="705" t="inlineStr">
        <is>
          <t>Jordan Kettles</t>
        </is>
      </c>
      <c r="C139" s="705" t="inlineStr">
        <is>
          <t>Engineer, Sotware</t>
        </is>
      </c>
      <c r="D139" s="705" t="inlineStr">
        <is>
          <t>Vacant</t>
        </is>
      </c>
      <c r="E139" s="705" t="inlineStr">
        <is>
          <t>Technology Manager, Data &amp; Engineering</t>
        </is>
      </c>
      <c r="F139" s="716" t="inlineStr">
        <is>
          <t>Customer</t>
        </is>
      </c>
      <c r="G139" s="705" t="inlineStr">
        <is>
          <t>Loyalty &amp; Martech</t>
        </is>
      </c>
      <c r="H139" s="715" t="inlineStr">
        <is>
          <t>Loyalty, Data &amp; Engineering</t>
        </is>
      </c>
      <c r="I139" s="715" t="inlineStr">
        <is>
          <t>Customer</t>
        </is>
      </c>
      <c r="J139" s="705" t="inlineStr">
        <is>
          <t>Customer Z</t>
        </is>
      </c>
      <c r="K139" s="705" t="inlineStr">
        <is>
          <t>Z Energy Martech</t>
        </is>
      </c>
      <c r="L139" s="705" t="n"/>
      <c r="M139" s="717" t="inlineStr">
        <is>
          <t>NZ</t>
        </is>
      </c>
      <c r="N139" s="705" t="inlineStr">
        <is>
          <t>CDB</t>
        </is>
      </c>
      <c r="O139" s="715" t="n">
        <v>1</v>
      </c>
      <c r="P139" s="705" t="n"/>
      <c r="Q139" s="705" t="inlineStr">
        <is>
          <t>V</t>
        </is>
      </c>
      <c r="R139" s="705" t="n"/>
      <c r="S139" s="705" t="n"/>
      <c r="T139" s="718" t="n">
        <v>151950</v>
      </c>
      <c r="U139" s="719" t="n">
        <v>151950</v>
      </c>
      <c r="V139" s="720" t="n">
        <v>0.12</v>
      </c>
      <c r="W139" s="928" t="n">
        <v>0.055</v>
      </c>
      <c r="X139" s="928" t="n">
        <v>0.12</v>
      </c>
      <c r="Y139" s="928" t="n"/>
      <c r="Z139" s="928" t="n">
        <v>0.04</v>
      </c>
      <c r="AA139" s="929" t="n">
        <v>202853.25</v>
      </c>
      <c r="AB139" s="723" t="n"/>
      <c r="AC139" s="723" t="n"/>
      <c r="AD139" s="723" t="inlineStr">
        <is>
          <t>Retain source cost</t>
        </is>
      </c>
      <c r="AE139" s="723" t="inlineStr">
        <is>
          <t>No</t>
        </is>
      </c>
      <c r="AF139" s="723" t="n"/>
      <c r="AG139" s="723" t="n"/>
      <c r="AH139" s="920" t="n"/>
      <c r="AJ139" t="str">
        <f>IFERROR(INDEX(Lists!$U$1:$U$18,MATCH($I139,Lists!$T$1:$T$18,0)),"?")</f>
        <v>Customer</v>
      </c>
      <c r="AK139" t="str">
        <f>IF(LOWER($Q139)="v","Vacant",IF(LOWER($Q139)="pause","Paused",IF(LOWER($Q139)="cxc","Contractor",IF($Q139="Contractor","Contractor","Filled"))))</f>
        <v>Vacant</v>
      </c>
      <c r="AL139" t="str">
        <f>IF($M139="NZ","NZ","AU")</f>
        <v>NZ</v>
      </c>
      <c r="AM139">
        <f>COUNTIF($AJ$2:$AJ139,$AJ139)</f>
        <v>32.0</v>
      </c>
      <c r="AN139" t="str">
        <f>$AJ139&amp;"|"&amp;$AM139</f>
        <v>Customer|32</v>
      </c>
    </row>
    <row r="140" ht="18" customHeight="1" s="849">
      <c r="A140" s="714" t="n">
        <v>99999101672</v>
      </c>
      <c r="B140" s="705" t="inlineStr">
        <is>
          <t>Kaye Javier</t>
        </is>
      </c>
      <c r="C140" s="705" t="inlineStr">
        <is>
          <t>QA Analyst</t>
        </is>
      </c>
      <c r="D140" s="705" t="inlineStr">
        <is>
          <t>Kris Hamilton</t>
        </is>
      </c>
      <c r="E140" s="705" t="inlineStr">
        <is>
          <t>Technology Manager, Loyalty &amp; Martech</t>
        </is>
      </c>
      <c r="F140" s="716" t="inlineStr">
        <is>
          <t>Customer</t>
        </is>
      </c>
      <c r="G140" s="705" t="inlineStr">
        <is>
          <t>Loyalty &amp; Martech</t>
        </is>
      </c>
      <c r="H140" s="705" t="inlineStr">
        <is>
          <t>Loyalty, Tech</t>
        </is>
      </c>
      <c r="I140" s="715" t="inlineStr">
        <is>
          <t>Customer</t>
        </is>
      </c>
      <c r="J140" s="705" t="inlineStr">
        <is>
          <t>Customer Z</t>
        </is>
      </c>
      <c r="K140" s="705" t="inlineStr">
        <is>
          <t>Z Energy Martech</t>
        </is>
      </c>
      <c r="L140" s="705" t="n"/>
      <c r="M140" s="717" t="inlineStr">
        <is>
          <t>NZ</t>
        </is>
      </c>
      <c r="N140" s="705" t="inlineStr">
        <is>
          <t>CDB</t>
        </is>
      </c>
      <c r="O140" s="715" t="n">
        <v>1</v>
      </c>
      <c r="P140" s="705" t="n"/>
      <c r="Q140" s="705" t="inlineStr">
        <is>
          <t>V</t>
        </is>
      </c>
      <c r="R140" s="705" t="n"/>
      <c r="S140" s="705" t="n"/>
      <c r="T140" s="718" t="n">
        <v>151950</v>
      </c>
      <c r="U140" s="719" t="n">
        <v>151950</v>
      </c>
      <c r="V140" s="720" t="n">
        <v>0.12</v>
      </c>
      <c r="W140" s="928" t="n">
        <v>0.055</v>
      </c>
      <c r="X140" s="928" t="n">
        <v>0.12</v>
      </c>
      <c r="Y140" s="928" t="n"/>
      <c r="Z140" s="928" t="n">
        <v>0.04</v>
      </c>
      <c r="AA140" s="929" t="n">
        <v>202853.25</v>
      </c>
      <c r="AB140" s="723" t="n"/>
      <c r="AC140" s="723" t="n"/>
      <c r="AD140" s="723" t="inlineStr">
        <is>
          <t>Retain source cost</t>
        </is>
      </c>
      <c r="AE140" s="723" t="inlineStr">
        <is>
          <t>No</t>
        </is>
      </c>
      <c r="AF140" s="723" t="n"/>
      <c r="AG140" s="723" t="n"/>
      <c r="AH140" s="920" t="n"/>
      <c r="AJ140" t="str">
        <f>IFERROR(INDEX(Lists!$U$1:$U$18,MATCH($I140,Lists!$T$1:$T$18,0)),"?")</f>
        <v>Customer</v>
      </c>
      <c r="AK140" t="str">
        <f>IF(LOWER($Q140)="v","Vacant",IF(LOWER($Q140)="pause","Paused",IF(LOWER($Q140)="cxc","Contractor",IF($Q140="Contractor","Contractor","Filled"))))</f>
        <v>Vacant</v>
      </c>
      <c r="AL140" t="str">
        <f>IF($M140="NZ","NZ","AU")</f>
        <v>NZ</v>
      </c>
      <c r="AM140">
        <f>COUNTIF($AJ$2:$AJ140,$AJ140)</f>
        <v>33.0</v>
      </c>
      <c r="AN140" t="str">
        <f>$AJ140&amp;"|"&amp;$AM140</f>
        <v>Customer|33</v>
      </c>
    </row>
    <row r="141" ht="18" customHeight="1" s="849">
      <c r="A141" s="714" t="n">
        <v>99999100621</v>
      </c>
      <c r="B141" s="705" t="inlineStr">
        <is>
          <t>Kellie Gathergood</t>
        </is>
      </c>
      <c r="C141" s="705" t="inlineStr">
        <is>
          <t>Lead Quality Assurance</t>
        </is>
      </c>
      <c r="D141" s="705" t="inlineStr">
        <is>
          <t>Kris Hamilton</t>
        </is>
      </c>
      <c r="E141" s="705" t="inlineStr">
        <is>
          <t>Technology Manager, Loyalty &amp; Martech</t>
        </is>
      </c>
      <c r="F141" s="716" t="inlineStr">
        <is>
          <t>Customer</t>
        </is>
      </c>
      <c r="G141" s="705" t="inlineStr">
        <is>
          <t>Loyalty &amp; Martech</t>
        </is>
      </c>
      <c r="H141" s="705" t="inlineStr">
        <is>
          <t>Loyalty, Tech</t>
        </is>
      </c>
      <c r="I141" s="715" t="inlineStr">
        <is>
          <t>Customer</t>
        </is>
      </c>
      <c r="J141" s="705" t="inlineStr">
        <is>
          <t>Customer Z</t>
        </is>
      </c>
      <c r="K141" s="705" t="inlineStr">
        <is>
          <t>Z Energy Martech</t>
        </is>
      </c>
      <c r="L141" s="705" t="n"/>
      <c r="M141" s="717" t="inlineStr">
        <is>
          <t>NZ</t>
        </is>
      </c>
      <c r="N141" s="705" t="inlineStr">
        <is>
          <t>CIC</t>
        </is>
      </c>
      <c r="O141" s="715" t="n">
        <v>0.8</v>
      </c>
      <c r="P141" s="705" t="n"/>
      <c r="Q141" s="705" t="inlineStr">
        <is>
          <t>V</t>
        </is>
      </c>
      <c r="R141" s="705" t="n"/>
      <c r="S141" s="705" t="n"/>
      <c r="T141" s="718" t="n">
        <v>151950</v>
      </c>
      <c r="U141" s="719" t="n">
        <v>151950</v>
      </c>
      <c r="V141" s="720" t="n">
        <v>0.12</v>
      </c>
      <c r="W141" s="928" t="n">
        <v>0.055</v>
      </c>
      <c r="X141" s="928" t="n">
        <v>0.12</v>
      </c>
      <c r="Y141" s="928" t="n"/>
      <c r="Z141" s="928" t="n">
        <v>0.04</v>
      </c>
      <c r="AA141" s="929" t="n">
        <v>202853.25</v>
      </c>
      <c r="AB141" s="723" t="n"/>
      <c r="AC141" s="723" t="n"/>
      <c r="AD141" s="723" t="inlineStr">
        <is>
          <t>Retain source cost</t>
        </is>
      </c>
      <c r="AE141" s="723" t="inlineStr">
        <is>
          <t>No</t>
        </is>
      </c>
      <c r="AF141" s="723" t="n"/>
      <c r="AG141" s="723" t="n"/>
      <c r="AH141" s="920" t="n"/>
      <c r="AJ141" t="str">
        <f>IFERROR(INDEX(Lists!$U$1:$U$18,MATCH($I141,Lists!$T$1:$T$18,0)),"?")</f>
        <v>Customer</v>
      </c>
      <c r="AK141" t="str">
        <f>IF(LOWER($Q141)="v","Vacant",IF(LOWER($Q141)="pause","Paused",IF(LOWER($Q141)="cxc","Contractor",IF($Q141="Contractor","Contractor","Filled"))))</f>
        <v>Vacant</v>
      </c>
      <c r="AL141" t="str">
        <f>IF($M141="NZ","NZ","AU")</f>
        <v>NZ</v>
      </c>
      <c r="AM141">
        <f>COUNTIF($AJ$2:$AJ141,$AJ141)</f>
        <v>34.0</v>
      </c>
      <c r="AN141" t="str">
        <f>$AJ141&amp;"|"&amp;$AM141</f>
        <v>Customer|34</v>
      </c>
    </row>
    <row r="142" ht="18" customHeight="1" s="849">
      <c r="A142" s="714" t="n">
        <v>97634</v>
      </c>
      <c r="B142" s="715" t="inlineStr">
        <is>
          <t>Khalid Mahmud</t>
        </is>
      </c>
      <c r="C142" s="715" t="inlineStr">
        <is>
          <t>Lead Engineer - BE</t>
        </is>
      </c>
      <c r="D142" s="715" t="inlineStr">
        <is>
          <t>Vacant</t>
        </is>
      </c>
      <c r="E142" s="715" t="inlineStr">
        <is>
          <t>Technology Manager, Digital Engineering</t>
        </is>
      </c>
      <c r="F142" s="716" t="inlineStr">
        <is>
          <t>Customer</t>
        </is>
      </c>
      <c r="G142" s="705" t="inlineStr">
        <is>
          <t>Digital</t>
        </is>
      </c>
      <c r="H142" s="705" t="inlineStr">
        <is>
          <t>Tech, Digital Engineering</t>
        </is>
      </c>
      <c r="I142" s="705" t="inlineStr">
        <is>
          <t>Customer</t>
        </is>
      </c>
      <c r="J142" s="715" t="inlineStr">
        <is>
          <t>Ampol Digital</t>
        </is>
      </c>
      <c r="K142" s="715" t="inlineStr">
        <is>
          <t>Ampol App</t>
        </is>
      </c>
      <c r="L142" s="705" t="n"/>
      <c r="M142" s="717" t="inlineStr">
        <is>
          <t>Australia</t>
        </is>
      </c>
      <c r="N142" s="705" t="inlineStr">
        <is>
          <t>CIC</t>
        </is>
      </c>
      <c r="O142" s="705" t="n">
        <v>1</v>
      </c>
      <c r="P142" s="705" t="n"/>
      <c r="Q142" s="705" t="inlineStr">
        <is>
          <t>v</t>
        </is>
      </c>
      <c r="R142" s="705" t="n"/>
      <c r="S142" s="705" t="n"/>
      <c r="T142" s="718" t="n">
        <v>151950</v>
      </c>
      <c r="U142" s="719" t="n">
        <v>151950</v>
      </c>
      <c r="V142" s="720" t="n">
        <v>0.12</v>
      </c>
      <c r="W142" s="928" t="n">
        <v>0.055</v>
      </c>
      <c r="X142" s="928" t="n">
        <v>0.12</v>
      </c>
      <c r="Y142" s="928" t="n"/>
      <c r="Z142" s="928" t="n">
        <v>0.04</v>
      </c>
      <c r="AA142" s="929" t="n">
        <v>202853.25</v>
      </c>
      <c r="AB142" s="723" t="n"/>
      <c r="AC142" s="723" t="n"/>
      <c r="AD142" s="723" t="inlineStr">
        <is>
          <t>Retain source cost</t>
        </is>
      </c>
      <c r="AE142" s="723" t="inlineStr">
        <is>
          <t>No</t>
        </is>
      </c>
      <c r="AF142" s="723" t="n"/>
      <c r="AG142" s="723" t="n"/>
      <c r="AH142" s="920" t="n"/>
      <c r="AJ142" t="str">
        <f>IFERROR(INDEX(Lists!$U$1:$U$18,MATCH($I142,Lists!$T$1:$T$18,0)),"?")</f>
        <v>Customer</v>
      </c>
      <c r="AK142" t="str">
        <f>IF(LOWER($Q142)="v","Vacant",IF(LOWER($Q142)="pause","Paused",IF(LOWER($Q142)="cxc","Contractor",IF($Q142="Contractor","Contractor","Filled"))))</f>
        <v>Vacant</v>
      </c>
      <c r="AL142" t="str">
        <f>IF($M142="NZ","NZ","AU")</f>
        <v>AU</v>
      </c>
      <c r="AM142">
        <f>COUNTIF($AJ$2:$AJ142,$AJ142)</f>
        <v>35.0</v>
      </c>
      <c r="AN142" t="str">
        <f>$AJ142&amp;"|"&amp;$AM142</f>
        <v>Customer|35</v>
      </c>
    </row>
    <row r="143" ht="18" customHeight="1" s="849">
      <c r="A143" s="714" t="n">
        <v>99999101633</v>
      </c>
      <c r="B143" s="705" t="inlineStr">
        <is>
          <t>Kishore Ganesan</t>
        </is>
      </c>
      <c r="C143" s="705" t="inlineStr">
        <is>
          <t>Intermediate Quality Assurance</t>
        </is>
      </c>
      <c r="D143" s="705" t="inlineStr">
        <is>
          <t>Kris Hamilton</t>
        </is>
      </c>
      <c r="E143" s="705" t="inlineStr">
        <is>
          <t>Technology Manager, Loyalty &amp; Martech</t>
        </is>
      </c>
      <c r="F143" s="716" t="inlineStr">
        <is>
          <t>Customer</t>
        </is>
      </c>
      <c r="G143" s="705" t="inlineStr">
        <is>
          <t>Loyalty &amp; Martech</t>
        </is>
      </c>
      <c r="H143" s="705" t="inlineStr">
        <is>
          <t>Loyalty, Tech</t>
        </is>
      </c>
      <c r="I143" s="715" t="inlineStr">
        <is>
          <t>Customer</t>
        </is>
      </c>
      <c r="J143" s="705" t="inlineStr">
        <is>
          <t>Customer Z</t>
        </is>
      </c>
      <c r="K143" s="705" t="inlineStr">
        <is>
          <t>Z Energy Martech</t>
        </is>
      </c>
      <c r="L143" s="705" t="n"/>
      <c r="M143" s="717" t="inlineStr">
        <is>
          <t>NZ</t>
        </is>
      </c>
      <c r="N143" s="705" t="inlineStr">
        <is>
          <t>CDC</t>
        </is>
      </c>
      <c r="O143" s="715" t="n">
        <v>1</v>
      </c>
      <c r="P143" s="705" t="n"/>
      <c r="Q143" s="705" t="inlineStr">
        <is>
          <t>Permanent - Full Time</t>
        </is>
      </c>
      <c r="R143" s="705" t="n"/>
      <c r="S143" s="705" t="n"/>
      <c r="T143" s="718" t="n">
        <v>126130</v>
      </c>
      <c r="U143" s="719" t="n">
        <v>126130</v>
      </c>
      <c r="V143" s="720" t="n">
        <v>0.1</v>
      </c>
      <c r="W143" s="928" t="n">
        <v>0.055</v>
      </c>
      <c r="X143" s="928" t="n">
        <v>0.12</v>
      </c>
      <c r="Y143" s="928" t="n"/>
      <c r="Z143" s="928" t="n">
        <v>0.04</v>
      </c>
      <c r="AA143" s="929" t="n">
        <v>165860.95</v>
      </c>
      <c r="AB143" s="723" t="n"/>
      <c r="AC143" s="723" t="n"/>
      <c r="AD143" s="723" t="inlineStr">
        <is>
          <t>Retain source cost</t>
        </is>
      </c>
      <c r="AE143" s="723" t="inlineStr">
        <is>
          <t>No</t>
        </is>
      </c>
      <c r="AF143" s="723" t="n"/>
      <c r="AG143" s="723" t="n"/>
      <c r="AH143" s="920" t="n"/>
      <c r="AJ143" t="str">
        <f>IFERROR(INDEX(Lists!$U$1:$U$18,MATCH($I143,Lists!$T$1:$T$18,0)),"?")</f>
        <v>Customer</v>
      </c>
      <c r="AK143" t="str">
        <f>IF(LOWER($Q143)="v","Vacant",IF(LOWER($Q143)="pause","Paused",IF(LOWER($Q143)="cxc","Contractor",IF($Q143="Contractor","Contractor","Filled"))))</f>
        <v>Filled</v>
      </c>
      <c r="AL143" t="str">
        <f>IF($M143="NZ","NZ","AU")</f>
        <v>NZ</v>
      </c>
      <c r="AM143">
        <f>COUNTIF($AJ$2:$AJ143,$AJ143)</f>
        <v>36.0</v>
      </c>
      <c r="AN143" t="str">
        <f>$AJ143&amp;"|"&amp;$AM143</f>
        <v>Customer|36</v>
      </c>
    </row>
    <row r="144" ht="18" customHeight="1" s="849">
      <c r="A144" s="714" t="n">
        <v>99999100279</v>
      </c>
      <c r="B144" s="715" t="inlineStr">
        <is>
          <t>Kris Hamilton</t>
        </is>
      </c>
      <c r="C144" s="715" t="inlineStr">
        <is>
          <t>Technology Manager - Loyalty &amp; Martech</t>
        </is>
      </c>
      <c r="D144" s="715" t="inlineStr">
        <is>
          <t>Andy Stewart</t>
        </is>
      </c>
      <c r="E144" s="715" t="inlineStr">
        <is>
          <t>Head of Technology, Loyalty &amp; Martech</t>
        </is>
      </c>
      <c r="F144" s="716" t="inlineStr">
        <is>
          <t>Customer</t>
        </is>
      </c>
      <c r="G144" s="705" t="inlineStr">
        <is>
          <t>Loyalty &amp; Martech</t>
        </is>
      </c>
      <c r="H144" s="715" t="inlineStr">
        <is>
          <t>Loyalty, Tech</t>
        </is>
      </c>
      <c r="I144" s="715" t="inlineStr">
        <is>
          <t>Customer</t>
        </is>
      </c>
      <c r="J144" s="715" t="inlineStr">
        <is>
          <t>Customer Z, Group Customer Platforms</t>
        </is>
      </c>
      <c r="K144" s="715" t="inlineStr">
        <is>
          <t>Leadership</t>
        </is>
      </c>
      <c r="L144" s="705" t="n"/>
      <c r="M144" s="717" t="inlineStr">
        <is>
          <t>NZ</t>
        </is>
      </c>
      <c r="N144" s="705" t="inlineStr">
        <is>
          <t>CSB</t>
        </is>
      </c>
      <c r="O144" s="715" t="n">
        <v>1</v>
      </c>
      <c r="P144" s="705" t="n"/>
      <c r="Q144" s="705" t="inlineStr">
        <is>
          <t>Permanent - Full Time</t>
        </is>
      </c>
      <c r="R144" s="705" t="n"/>
      <c r="S144" s="705" t="n"/>
      <c r="T144" s="718" t="n">
        <v>160740</v>
      </c>
      <c r="U144" s="719" t="n">
        <v>160740</v>
      </c>
      <c r="V144" s="720" t="n">
        <v>0.12</v>
      </c>
      <c r="W144" s="928" t="n">
        <v>0.055</v>
      </c>
      <c r="X144" s="928" t="n">
        <v>0.12</v>
      </c>
      <c r="Y144" s="928" t="n"/>
      <c r="Z144" s="928" t="n">
        <v>0.04</v>
      </c>
      <c r="AA144" s="929" t="n">
        <v>214587.9</v>
      </c>
      <c r="AB144" s="723" t="n"/>
      <c r="AC144" s="723" t="n"/>
      <c r="AD144" s="723" t="inlineStr">
        <is>
          <t>Retain source cost</t>
        </is>
      </c>
      <c r="AE144" s="723" t="inlineStr">
        <is>
          <t>No</t>
        </is>
      </c>
      <c r="AF144" s="723" t="n"/>
      <c r="AG144" s="723" t="n"/>
      <c r="AH144" s="920" t="n"/>
      <c r="AJ144" t="str">
        <f>IFERROR(INDEX(Lists!$U$1:$U$18,MATCH($I144,Lists!$T$1:$T$18,0)),"?")</f>
        <v>Customer</v>
      </c>
      <c r="AK144" t="str">
        <f>IF(LOWER($Q144)="v","Vacant",IF(LOWER($Q144)="pause","Paused",IF(LOWER($Q144)="cxc","Contractor",IF($Q144="Contractor","Contractor","Filled"))))</f>
        <v>Filled</v>
      </c>
      <c r="AL144" t="str">
        <f>IF($M144="NZ","NZ","AU")</f>
        <v>NZ</v>
      </c>
      <c r="AM144">
        <f>COUNTIF($AJ$2:$AJ144,$AJ144)</f>
        <v>37.0</v>
      </c>
      <c r="AN144" t="str">
        <f>$AJ144&amp;"|"&amp;$AM144</f>
        <v>Customer|37</v>
      </c>
    </row>
    <row r="145" ht="18" customHeight="1" s="849">
      <c r="A145" s="714" t="inlineStr">
        <is>
          <t>C</t>
        </is>
      </c>
      <c r="B145" s="715" t="inlineStr">
        <is>
          <t>Lily Fong</t>
        </is>
      </c>
      <c r="C145" s="715" t="inlineStr">
        <is>
          <t>Snr Business Analyst</t>
        </is>
      </c>
      <c r="D145" s="705" t="inlineStr">
        <is>
          <t>Vacant</t>
        </is>
      </c>
      <c r="E145" s="715" t="inlineStr">
        <is>
          <t>Delivery Manager, Digital</t>
        </is>
      </c>
      <c r="F145" s="716" t="inlineStr">
        <is>
          <t>Customer</t>
        </is>
      </c>
      <c r="G145" s="705" t="inlineStr">
        <is>
          <t>Digital</t>
        </is>
      </c>
      <c r="H145" s="705" t="inlineStr">
        <is>
          <t>Digital, Delivery</t>
        </is>
      </c>
      <c r="I145" s="705" t="inlineStr">
        <is>
          <t>Customer</t>
        </is>
      </c>
      <c r="J145" s="715" t="inlineStr">
        <is>
          <t>Ampol Digital</t>
        </is>
      </c>
      <c r="K145" s="715" t="inlineStr">
        <is>
          <t>Ampol Web</t>
        </is>
      </c>
      <c r="L145" s="705" t="n"/>
      <c r="M145" s="717" t="inlineStr">
        <is>
          <t>Australia</t>
        </is>
      </c>
      <c r="N145" s="705" t="inlineStr">
        <is>
          <t>NA</t>
        </is>
      </c>
      <c r="O145" s="705" t="n">
        <v>1</v>
      </c>
      <c r="P145" s="705" t="n"/>
      <c r="Q145" s="705" t="inlineStr">
        <is>
          <t>Permanent - Full Time</t>
        </is>
      </c>
      <c r="R145" s="705" t="n"/>
      <c r="S145" s="705" t="n"/>
      <c r="T145" s="718" t="n">
        <v>193100</v>
      </c>
      <c r="U145" s="719" t="n">
        <v>193100</v>
      </c>
      <c r="V145" s="720" t="n">
        <v>0.12</v>
      </c>
      <c r="W145" s="928" t="n">
        <v>0.055</v>
      </c>
      <c r="X145" s="928" t="n">
        <v>0.12</v>
      </c>
      <c r="Y145" s="928" t="n"/>
      <c r="Z145" s="928" t="n">
        <v>0.04</v>
      </c>
      <c r="AA145" s="929" t="n">
        <v>257788.5</v>
      </c>
      <c r="AB145" s="723" t="n"/>
      <c r="AC145" s="723" t="n"/>
      <c r="AD145" s="723" t="inlineStr">
        <is>
          <t>Retain source cost</t>
        </is>
      </c>
      <c r="AE145" s="723" t="inlineStr">
        <is>
          <t>No</t>
        </is>
      </c>
      <c r="AF145" s="723" t="n"/>
      <c r="AG145" s="723" t="n"/>
      <c r="AH145" s="920" t="n"/>
      <c r="AJ145" t="str">
        <f>IFERROR(INDEX(Lists!$U$1:$U$18,MATCH($I145,Lists!$T$1:$T$18,0)),"?")</f>
        <v>Customer</v>
      </c>
      <c r="AK145" t="str">
        <f>IF(LOWER($Q145)="v","Vacant",IF(LOWER($Q145)="pause","Paused",IF(LOWER($Q145)="cxc","Contractor",IF($Q145="Contractor","Contractor","Filled"))))</f>
        <v>Filled</v>
      </c>
      <c r="AL145" t="str">
        <f>IF($M145="NZ","NZ","AU")</f>
        <v>AU</v>
      </c>
      <c r="AM145">
        <f>COUNTIF($AJ$2:$AJ145,$AJ145)</f>
        <v>38.0</v>
      </c>
      <c r="AN145" t="str">
        <f>$AJ145&amp;"|"&amp;$AM145</f>
        <v>Customer|38</v>
      </c>
    </row>
    <row r="146" ht="18" customHeight="1" s="849">
      <c r="A146" s="714" t="n">
        <v>116714</v>
      </c>
      <c r="B146" s="715" t="inlineStr">
        <is>
          <t>Maria Salman</t>
        </is>
      </c>
      <c r="C146" s="715" t="inlineStr">
        <is>
          <t>Experience Designer</t>
        </is>
      </c>
      <c r="D146" s="715" t="inlineStr">
        <is>
          <t>Byron Thornhill</t>
        </is>
      </c>
      <c r="E146" s="715" t="inlineStr">
        <is>
          <t>Design Manager</t>
        </is>
      </c>
      <c r="F146" s="716" t="inlineStr">
        <is>
          <t>Customer</t>
        </is>
      </c>
      <c r="G146" s="705" t="inlineStr">
        <is>
          <t>Digital</t>
        </is>
      </c>
      <c r="H146" s="705" t="inlineStr">
        <is>
          <t>Digital, Design</t>
        </is>
      </c>
      <c r="I146" s="705" t="inlineStr">
        <is>
          <t>Customer</t>
        </is>
      </c>
      <c r="J146" s="715" t="inlineStr">
        <is>
          <t>Ampol Digital</t>
        </is>
      </c>
      <c r="K146" s="715" t="inlineStr">
        <is>
          <t>Ampol App</t>
        </is>
      </c>
      <c r="L146" s="705" t="n"/>
      <c r="M146" s="717" t="inlineStr">
        <is>
          <t>Australia</t>
        </is>
      </c>
      <c r="N146" s="705" t="inlineStr">
        <is>
          <t>CIC</t>
        </is>
      </c>
      <c r="O146" s="705" t="n">
        <v>1</v>
      </c>
      <c r="P146" s="705" t="n"/>
      <c r="Q146" s="705" t="inlineStr">
        <is>
          <t>?</t>
        </is>
      </c>
      <c r="R146" s="724" t="inlineStr">
        <is>
          <t>?</t>
        </is>
      </c>
      <c r="S146" s="705" t="n">
        <v>1200</v>
      </c>
      <c r="T146" s="718" t="n">
        <v>0</v>
      </c>
      <c r="U146" s="718" t="n"/>
      <c r="V146" s="705" t="n"/>
      <c r="W146" s="705" t="n"/>
      <c r="X146" s="705" t="n"/>
      <c r="Y146" s="705" t="n"/>
      <c r="Z146" s="705" t="n"/>
      <c r="AA146" s="725" t="n">
        <v>266400</v>
      </c>
      <c r="AB146" s="723" t="n"/>
      <c r="AC146" s="723" t="n"/>
      <c r="AD146" s="723" t="inlineStr">
        <is>
          <t>Retain source cost</t>
        </is>
      </c>
      <c r="AE146" s="723" t="inlineStr">
        <is>
          <t>No</t>
        </is>
      </c>
      <c r="AF146" s="723" t="n"/>
      <c r="AG146" s="723" t="n"/>
      <c r="AH146" s="920" t="n"/>
      <c r="AJ146" t="str">
        <f>IFERROR(INDEX(Lists!$U$1:$U$18,MATCH($I146,Lists!$T$1:$T$18,0)),"?")</f>
        <v>Customer</v>
      </c>
      <c r="AK146" t="str">
        <f>IF(LOWER($Q146)="v","Vacant",IF(LOWER($Q146)="pause","Paused",IF(LOWER($Q146)="cxc","Contractor",IF($Q146="Contractor","Contractor","Filled"))))</f>
        <v>Filled</v>
      </c>
      <c r="AL146" t="str">
        <f>IF($M146="NZ","NZ","AU")</f>
        <v>AU</v>
      </c>
      <c r="AM146">
        <f>COUNTIF($AJ$2:$AJ146,$AJ146)</f>
        <v>39.0</v>
      </c>
      <c r="AN146" t="str">
        <f>$AJ146&amp;"|"&amp;$AM146</f>
        <v>Customer|39</v>
      </c>
    </row>
    <row r="147" ht="18" customHeight="1" s="849">
      <c r="A147" s="714" t="n">
        <v>4781</v>
      </c>
      <c r="B147" s="715" t="inlineStr">
        <is>
          <t>Mark Wilson</t>
        </is>
      </c>
      <c r="C147" s="715" t="inlineStr">
        <is>
          <t>Digital Support Manager (AU)</t>
        </is>
      </c>
      <c r="D147" s="715" t="inlineStr">
        <is>
          <t>Shona Paul</t>
        </is>
      </c>
      <c r="E147" s="715" t="inlineStr">
        <is>
          <t>Head of Technology, Digital</t>
        </is>
      </c>
      <c r="F147" s="716" t="inlineStr">
        <is>
          <t>Customer</t>
        </is>
      </c>
      <c r="G147" s="705" t="inlineStr">
        <is>
          <t>Digital</t>
        </is>
      </c>
      <c r="H147" s="705" t="inlineStr">
        <is>
          <t>Digital Support (AU)</t>
        </is>
      </c>
      <c r="I147" s="705" t="inlineStr">
        <is>
          <t>Customer</t>
        </is>
      </c>
      <c r="J147" s="715" t="inlineStr">
        <is>
          <t>Ampol Digital</t>
        </is>
      </c>
      <c r="K147" s="715" t="inlineStr">
        <is>
          <t>Digital Ops Support</t>
        </is>
      </c>
      <c r="L147" s="705" t="n"/>
      <c r="M147" s="717" t="inlineStr">
        <is>
          <t>Australia</t>
        </is>
      </c>
      <c r="N147" s="705" t="inlineStr">
        <is>
          <t>CIC</t>
        </is>
      </c>
      <c r="O147" s="705" t="n">
        <v>1</v>
      </c>
      <c r="P147" s="705" t="n"/>
      <c r="Q147" s="705" t="inlineStr">
        <is>
          <t>V</t>
        </is>
      </c>
      <c r="R147" s="705" t="n"/>
      <c r="S147" s="705" t="n"/>
      <c r="T147" s="718" t="n">
        <v>151950</v>
      </c>
      <c r="U147" s="719" t="n">
        <v>151950</v>
      </c>
      <c r="V147" s="720" t="n">
        <v>0.12</v>
      </c>
      <c r="W147" s="928" t="n">
        <v>0.055</v>
      </c>
      <c r="X147" s="928" t="n">
        <v>0.12</v>
      </c>
      <c r="Y147" s="928" t="n"/>
      <c r="Z147" s="928" t="n">
        <v>0.04</v>
      </c>
      <c r="AA147" s="929" t="n">
        <v>202853.25</v>
      </c>
      <c r="AB147" s="723" t="n"/>
      <c r="AC147" s="723" t="n"/>
      <c r="AD147" s="723" t="inlineStr">
        <is>
          <t>Retain source cost</t>
        </is>
      </c>
      <c r="AE147" s="723" t="inlineStr">
        <is>
          <t>No</t>
        </is>
      </c>
      <c r="AF147" s="723" t="n"/>
      <c r="AG147" s="723" t="n"/>
      <c r="AH147" s="920" t="n"/>
      <c r="AJ147" t="str">
        <f>IFERROR(INDEX(Lists!$U$1:$U$18,MATCH($I147,Lists!$T$1:$T$18,0)),"?")</f>
        <v>Customer</v>
      </c>
      <c r="AK147" t="str">
        <f>IF(LOWER($Q147)="v","Vacant",IF(LOWER($Q147)="pause","Paused",IF(LOWER($Q147)="cxc","Contractor",IF($Q147="Contractor","Contractor","Filled"))))</f>
        <v>Vacant</v>
      </c>
      <c r="AL147" t="str">
        <f>IF($M147="NZ","NZ","AU")</f>
        <v>AU</v>
      </c>
      <c r="AM147">
        <f>COUNTIF($AJ$2:$AJ147,$AJ147)</f>
        <v>40.0</v>
      </c>
      <c r="AN147" t="str">
        <f>$AJ147&amp;"|"&amp;$AM147</f>
        <v>Customer|40</v>
      </c>
    </row>
    <row r="148" ht="18" customHeight="1" s="849">
      <c r="A148" s="714" t="n">
        <v>99999101312</v>
      </c>
      <c r="B148" s="705" t="inlineStr">
        <is>
          <t>Megan Rodgers</t>
        </is>
      </c>
      <c r="C148" s="705" t="inlineStr">
        <is>
          <t>Business Analyst</t>
        </is>
      </c>
      <c r="D148" s="705" t="inlineStr">
        <is>
          <t>Vacant</t>
        </is>
      </c>
      <c r="E148" s="705" t="inlineStr">
        <is>
          <t>Delivery Manager, Loyalty</t>
        </is>
      </c>
      <c r="F148" s="716" t="inlineStr">
        <is>
          <t>Customer</t>
        </is>
      </c>
      <c r="G148" s="705" t="inlineStr">
        <is>
          <t>Loyalty &amp; Martech</t>
        </is>
      </c>
      <c r="H148" s="715" t="inlineStr">
        <is>
          <t xml:space="preserve">Loyalty, Delivery </t>
        </is>
      </c>
      <c r="I148" s="715" t="inlineStr">
        <is>
          <t>Customer</t>
        </is>
      </c>
      <c r="J148" s="705" t="inlineStr">
        <is>
          <t>Customer Z</t>
        </is>
      </c>
      <c r="K148" s="705" t="inlineStr">
        <is>
          <t>Z Energy Martech</t>
        </is>
      </c>
      <c r="L148" s="705" t="n"/>
      <c r="M148" s="717" t="inlineStr">
        <is>
          <t>NZ</t>
        </is>
      </c>
      <c r="N148" s="705" t="inlineStr">
        <is>
          <t>CIA</t>
        </is>
      </c>
      <c r="O148" s="715" t="n">
        <v>0.8</v>
      </c>
      <c r="P148" s="705" t="n"/>
      <c r="Q148" s="705" t="inlineStr">
        <is>
          <t>V</t>
        </is>
      </c>
      <c r="R148" s="705" t="n"/>
      <c r="S148" s="705" t="n"/>
      <c r="T148" s="718" t="n">
        <v>151950</v>
      </c>
      <c r="U148" s="719" t="n">
        <v>151950</v>
      </c>
      <c r="V148" s="720" t="n">
        <v>0.12</v>
      </c>
      <c r="W148" s="928" t="n">
        <v>0.055</v>
      </c>
      <c r="X148" s="928" t="n">
        <v>0.12</v>
      </c>
      <c r="Y148" s="928" t="n"/>
      <c r="Z148" s="928" t="n">
        <v>0.04</v>
      </c>
      <c r="AA148" s="929" t="n">
        <v>202853.25</v>
      </c>
      <c r="AB148" s="723" t="n"/>
      <c r="AC148" s="723" t="n"/>
      <c r="AD148" s="723" t="inlineStr">
        <is>
          <t>Retain source cost</t>
        </is>
      </c>
      <c r="AE148" s="723" t="inlineStr">
        <is>
          <t>No</t>
        </is>
      </c>
      <c r="AF148" s="723" t="n"/>
      <c r="AG148" s="723" t="n"/>
      <c r="AH148" s="920" t="n"/>
      <c r="AJ148" t="str">
        <f>IFERROR(INDEX(Lists!$U$1:$U$18,MATCH($I148,Lists!$T$1:$T$18,0)),"?")</f>
        <v>Customer</v>
      </c>
      <c r="AK148" t="str">
        <f>IF(LOWER($Q148)="v","Vacant",IF(LOWER($Q148)="pause","Paused",IF(LOWER($Q148)="cxc","Contractor",IF($Q148="Contractor","Contractor","Filled"))))</f>
        <v>Vacant</v>
      </c>
      <c r="AL148" t="str">
        <f>IF($M148="NZ","NZ","AU")</f>
        <v>NZ</v>
      </c>
      <c r="AM148">
        <f>COUNTIF($AJ$2:$AJ148,$AJ148)</f>
        <v>41.0</v>
      </c>
      <c r="AN148" t="str">
        <f>$AJ148&amp;"|"&amp;$AM148</f>
        <v>Customer|41</v>
      </c>
    </row>
    <row r="149" ht="18" customHeight="1" s="849">
      <c r="A149" s="714" t="n">
        <v>97200</v>
      </c>
      <c r="B149" s="715" t="inlineStr">
        <is>
          <t>Mitesh Shah</t>
        </is>
      </c>
      <c r="C149" s="715" t="inlineStr">
        <is>
          <t>Technology Manager - Digital</t>
        </is>
      </c>
      <c r="D149" s="715" t="inlineStr">
        <is>
          <t>Shona Paul</t>
        </is>
      </c>
      <c r="E149" s="715" t="inlineStr">
        <is>
          <t>Head of Technology, Digital</t>
        </is>
      </c>
      <c r="F149" s="716" t="inlineStr">
        <is>
          <t>Customer</t>
        </is>
      </c>
      <c r="G149" s="705" t="inlineStr">
        <is>
          <t>Digital</t>
        </is>
      </c>
      <c r="H149" s="705" t="inlineStr">
        <is>
          <t>Tech, Digital</t>
        </is>
      </c>
      <c r="I149" s="715" t="inlineStr">
        <is>
          <t>Customer</t>
        </is>
      </c>
      <c r="J149" s="715" t="inlineStr">
        <is>
          <t>Ampol Digital</t>
        </is>
      </c>
      <c r="K149" s="715" t="inlineStr">
        <is>
          <t>Leadership</t>
        </is>
      </c>
      <c r="L149" s="705" t="n"/>
      <c r="M149" s="717" t="inlineStr">
        <is>
          <t>Australia</t>
        </is>
      </c>
      <c r="N149" s="705" t="inlineStr">
        <is>
          <t>CSB</t>
        </is>
      </c>
      <c r="O149" s="705" t="n">
        <v>1</v>
      </c>
      <c r="P149" s="705" t="n"/>
      <c r="Q149" s="705" t="inlineStr">
        <is>
          <t>v</t>
        </is>
      </c>
      <c r="R149" s="705" t="n"/>
      <c r="S149" s="705" t="n"/>
      <c r="T149" s="718" t="n">
        <v>129650</v>
      </c>
      <c r="U149" s="719" t="n">
        <v>129650</v>
      </c>
      <c r="V149" s="720" t="n">
        <v>0.1</v>
      </c>
      <c r="W149" s="928" t="n">
        <v>0.055</v>
      </c>
      <c r="X149" s="928" t="n">
        <v>0.12</v>
      </c>
      <c r="Y149" s="928" t="n"/>
      <c r="Z149" s="928" t="n">
        <v>0.04</v>
      </c>
      <c r="AA149" s="929" t="n">
        <v>170489.75</v>
      </c>
      <c r="AB149" s="723" t="n"/>
      <c r="AC149" s="723" t="n"/>
      <c r="AD149" s="723" t="inlineStr">
        <is>
          <t>Retain source cost</t>
        </is>
      </c>
      <c r="AE149" s="723" t="inlineStr">
        <is>
          <t>No</t>
        </is>
      </c>
      <c r="AF149" s="723" t="n"/>
      <c r="AG149" s="723" t="n"/>
      <c r="AH149" s="920" t="n"/>
      <c r="AJ149" t="str">
        <f>IFERROR(INDEX(Lists!$U$1:$U$18,MATCH($I149,Lists!$T$1:$T$18,0)),"?")</f>
        <v>Customer</v>
      </c>
      <c r="AK149" t="str">
        <f>IF(LOWER($Q149)="v","Vacant",IF(LOWER($Q149)="pause","Paused",IF(LOWER($Q149)="cxc","Contractor",IF($Q149="Contractor","Contractor","Filled"))))</f>
        <v>Vacant</v>
      </c>
      <c r="AL149" t="str">
        <f>IF($M149="NZ","NZ","AU")</f>
        <v>AU</v>
      </c>
      <c r="AM149">
        <f>COUNTIF($AJ$2:$AJ149,$AJ149)</f>
        <v>42.0</v>
      </c>
      <c r="AN149" t="str">
        <f>$AJ149&amp;"|"&amp;$AM149</f>
        <v>Customer|42</v>
      </c>
    </row>
    <row r="150" ht="18" customHeight="1" s="849">
      <c r="A150" s="714" t="n">
        <v>99999100847</v>
      </c>
      <c r="B150" s="705" t="inlineStr">
        <is>
          <t>Nimi Rose</t>
        </is>
      </c>
      <c r="C150" s="705" t="inlineStr">
        <is>
          <t>Marketing Technology Lead</t>
        </is>
      </c>
      <c r="D150" s="705" t="inlineStr">
        <is>
          <t>Kris Hamilton</t>
        </is>
      </c>
      <c r="E150" s="705" t="inlineStr">
        <is>
          <t>Technology Manager, Loyalty &amp; Martech</t>
        </is>
      </c>
      <c r="F150" s="716" t="inlineStr">
        <is>
          <t>Customer</t>
        </is>
      </c>
      <c r="G150" s="705" t="inlineStr">
        <is>
          <t>Loyalty &amp; Martech</t>
        </is>
      </c>
      <c r="H150" s="705" t="inlineStr">
        <is>
          <t>Loyalty, Tech</t>
        </is>
      </c>
      <c r="I150" s="715" t="inlineStr">
        <is>
          <t>Customer</t>
        </is>
      </c>
      <c r="J150" s="705" t="inlineStr">
        <is>
          <t>Customer Z</t>
        </is>
      </c>
      <c r="K150" s="705" t="inlineStr">
        <is>
          <t>Z Energy Martech</t>
        </is>
      </c>
      <c r="L150" s="705" t="n"/>
      <c r="M150" s="717" t="inlineStr">
        <is>
          <t>NZ</t>
        </is>
      </c>
      <c r="N150" s="705" t="inlineStr">
        <is>
          <t>CIC</t>
        </is>
      </c>
      <c r="O150" s="715" t="n">
        <v>1</v>
      </c>
      <c r="P150" s="705" t="n"/>
      <c r="Q150" s="705" t="inlineStr">
        <is>
          <t>cxc</t>
        </is>
      </c>
      <c r="R150" s="724" t="inlineStr">
        <is>
          <t>Daily</t>
        </is>
      </c>
      <c r="S150" s="705" t="n">
        <v>1084.84</v>
      </c>
      <c r="T150" s="718" t="n">
        <v>0</v>
      </c>
      <c r="U150" s="718" t="n"/>
      <c r="V150" s="705" t="n"/>
      <c r="W150" s="705" t="n"/>
      <c r="X150" s="705" t="n"/>
      <c r="Y150" s="705" t="n"/>
      <c r="Z150" s="705" t="n"/>
      <c r="AA150" s="725" t="n">
        <v>240834.48</v>
      </c>
      <c r="AB150" s="723" t="n"/>
      <c r="AC150" s="723" t="n"/>
      <c r="AD150" s="723" t="inlineStr">
        <is>
          <t>Retain source cost</t>
        </is>
      </c>
      <c r="AE150" s="723" t="inlineStr">
        <is>
          <t>No</t>
        </is>
      </c>
      <c r="AF150" s="723" t="n"/>
      <c r="AG150" s="723" t="n"/>
      <c r="AH150" s="920" t="n"/>
      <c r="AJ150" t="str">
        <f>IFERROR(INDEX(Lists!$U$1:$U$18,MATCH($I150,Lists!$T$1:$T$18,0)),"?")</f>
        <v>Customer</v>
      </c>
      <c r="AK150" t="str">
        <f>IF(LOWER($Q150)="v","Vacant",IF(LOWER($Q150)="pause","Paused",IF(LOWER($Q150)="cxc","Contractor",IF($Q150="Contractor","Contractor","Filled"))))</f>
        <v>Contractor</v>
      </c>
      <c r="AL150" t="str">
        <f>IF($M150="NZ","NZ","AU")</f>
        <v>NZ</v>
      </c>
      <c r="AM150">
        <f>COUNTIF($AJ$2:$AJ150,$AJ150)</f>
        <v>43.0</v>
      </c>
      <c r="AN150" t="str">
        <f>$AJ150&amp;"|"&amp;$AM150</f>
        <v>Customer|43</v>
      </c>
    </row>
    <row r="151" ht="18" customHeight="1" s="849">
      <c r="A151" s="714" t="n">
        <v>94663</v>
      </c>
      <c r="B151" s="715" t="inlineStr">
        <is>
          <t>Penny Pennisi</t>
        </is>
      </c>
      <c r="C151" s="715" t="inlineStr">
        <is>
          <t>Delivery Lead</t>
        </is>
      </c>
      <c r="D151" s="705" t="inlineStr">
        <is>
          <t>Vacant</t>
        </is>
      </c>
      <c r="E151" s="715" t="inlineStr">
        <is>
          <t>Delivery Manager, Digital</t>
        </is>
      </c>
      <c r="F151" s="716" t="inlineStr">
        <is>
          <t>Customer</t>
        </is>
      </c>
      <c r="G151" s="705" t="inlineStr">
        <is>
          <t>Digital</t>
        </is>
      </c>
      <c r="H151" s="705" t="inlineStr">
        <is>
          <t>Digital, Delivery</t>
        </is>
      </c>
      <c r="I151" s="705" t="inlineStr">
        <is>
          <t>Customer</t>
        </is>
      </c>
      <c r="J151" s="715" t="inlineStr">
        <is>
          <t>Ampol Digital</t>
        </is>
      </c>
      <c r="K151" s="715" t="inlineStr">
        <is>
          <t>Ampol App</t>
        </is>
      </c>
      <c r="L151" s="705" t="n"/>
      <c r="M151" s="717" t="inlineStr">
        <is>
          <t>Australia</t>
        </is>
      </c>
      <c r="N151" s="705" t="inlineStr">
        <is>
          <t>CIC</t>
        </is>
      </c>
      <c r="O151" s="705" t="n">
        <v>1</v>
      </c>
      <c r="P151" s="705" t="n"/>
      <c r="Q151" s="705" t="inlineStr">
        <is>
          <t>Permanent - Full Time</t>
        </is>
      </c>
      <c r="R151" s="705" t="n"/>
      <c r="S151" s="705" t="n"/>
      <c r="T151" s="718" t="n">
        <v>163990</v>
      </c>
      <c r="U151" s="719" t="n">
        <v>163990</v>
      </c>
      <c r="V151" s="720" t="n">
        <v>0.12</v>
      </c>
      <c r="W151" s="928" t="n">
        <v>0.055</v>
      </c>
      <c r="X151" s="928" t="n">
        <v>0.12</v>
      </c>
      <c r="Y151" s="928" t="n"/>
      <c r="Z151" s="928" t="n">
        <v>0.04</v>
      </c>
      <c r="AA151" s="929" t="n">
        <v>218926.65</v>
      </c>
      <c r="AB151" s="723" t="n"/>
      <c r="AC151" s="723" t="n"/>
      <c r="AD151" s="723" t="inlineStr">
        <is>
          <t>Retain source cost</t>
        </is>
      </c>
      <c r="AE151" s="723" t="inlineStr">
        <is>
          <t>No</t>
        </is>
      </c>
      <c r="AF151" s="723" t="n"/>
      <c r="AG151" s="723" t="n"/>
      <c r="AH151" s="920" t="n"/>
      <c r="AJ151" t="str">
        <f>IFERROR(INDEX(Lists!$U$1:$U$18,MATCH($I151,Lists!$T$1:$T$18,0)),"?")</f>
        <v>Customer</v>
      </c>
      <c r="AK151" t="str">
        <f>IF(LOWER($Q151)="v","Vacant",IF(LOWER($Q151)="pause","Paused",IF(LOWER($Q151)="cxc","Contractor",IF($Q151="Contractor","Contractor","Filled"))))</f>
        <v>Filled</v>
      </c>
      <c r="AL151" t="str">
        <f>IF($M151="NZ","NZ","AU")</f>
        <v>AU</v>
      </c>
      <c r="AM151">
        <f>COUNTIF($AJ$2:$AJ151,$AJ151)</f>
        <v>44.0</v>
      </c>
      <c r="AN151" t="str">
        <f>$AJ151&amp;"|"&amp;$AM151</f>
        <v>Customer|44</v>
      </c>
    </row>
    <row r="152" ht="18" customHeight="1" s="849">
      <c r="A152" s="714" t="inlineStr">
        <is>
          <t>C</t>
        </is>
      </c>
      <c r="B152" s="715" t="inlineStr">
        <is>
          <t>Peter Lee</t>
        </is>
      </c>
      <c r="C152" s="715" t="inlineStr">
        <is>
          <t>Snr Business Analyst</t>
        </is>
      </c>
      <c r="D152" s="705" t="inlineStr">
        <is>
          <t>Vacant</t>
        </is>
      </c>
      <c r="E152" s="715" t="inlineStr">
        <is>
          <t>Delivery Manager, Digital</t>
        </is>
      </c>
      <c r="F152" s="716" t="inlineStr">
        <is>
          <t>Customer</t>
        </is>
      </c>
      <c r="G152" s="705" t="inlineStr">
        <is>
          <t>Digital</t>
        </is>
      </c>
      <c r="H152" s="705" t="inlineStr">
        <is>
          <t>Digital, Delivery</t>
        </is>
      </c>
      <c r="I152" s="705" t="inlineStr">
        <is>
          <t>Customer</t>
        </is>
      </c>
      <c r="J152" s="715" t="inlineStr">
        <is>
          <t>Ampol Digital</t>
        </is>
      </c>
      <c r="K152" s="715" t="inlineStr">
        <is>
          <t>Ampol App</t>
        </is>
      </c>
      <c r="L152" s="705" t="n"/>
      <c r="M152" s="717" t="inlineStr">
        <is>
          <t>Australia</t>
        </is>
      </c>
      <c r="N152" s="705" t="inlineStr">
        <is>
          <t>NA</t>
        </is>
      </c>
      <c r="O152" s="705" t="n">
        <v>1</v>
      </c>
      <c r="P152" s="705" t="n"/>
      <c r="Q152" s="715" t="inlineStr">
        <is>
          <t>Permanent - Full Time</t>
        </is>
      </c>
      <c r="R152" s="724" t="n"/>
      <c r="S152" s="705" t="n"/>
      <c r="T152" s="731" t="n">
        <v>120000</v>
      </c>
      <c r="U152" s="719" t="n">
        <v>110400</v>
      </c>
      <c r="V152" s="730" t="n">
        <v>0.15</v>
      </c>
      <c r="W152" s="705" t="n"/>
      <c r="X152" s="720" t="n">
        <v>0.05</v>
      </c>
      <c r="Y152" s="930" t="n">
        <v>2910</v>
      </c>
      <c r="Z152" s="720" t="n">
        <v>0.03</v>
      </c>
      <c r="AA152" s="931" t="n">
        <v>138702</v>
      </c>
      <c r="AB152" s="723" t="n">
        <v>115809</v>
      </c>
      <c r="AC152" s="723" t="n"/>
      <c r="AD152" s="723" t="inlineStr">
        <is>
          <t>Retain source cost</t>
        </is>
      </c>
      <c r="AE152" s="723" t="inlineStr">
        <is>
          <t>No</t>
        </is>
      </c>
      <c r="AF152" s="723" t="n"/>
      <c r="AG152" s="723" t="n"/>
      <c r="AJ152" t="str">
        <f>IFERROR(INDEX(Lists!$U$1:$U$18,MATCH($I152,Lists!$T$1:$T$18,0)),"?")</f>
        <v>Customer</v>
      </c>
      <c r="AK152" t="str">
        <f>IF(LOWER($Q152)="v","Vacant",IF(LOWER($Q152)="pause","Paused",IF(LOWER($Q152)="cxc","Contractor",IF($Q152="Contractor","Contractor","Filled"))))</f>
        <v>Filled</v>
      </c>
      <c r="AL152" t="str">
        <f>IF($M152="NZ","NZ","AU")</f>
        <v>AU</v>
      </c>
      <c r="AM152">
        <f>COUNTIF($AJ$2:$AJ152,$AJ152)</f>
        <v>45.0</v>
      </c>
      <c r="AN152" t="str">
        <f>$AJ152&amp;"|"&amp;$AM152</f>
        <v>Customer|45</v>
      </c>
    </row>
    <row r="153" ht="18" customHeight="1" s="849">
      <c r="A153" s="714" t="inlineStr">
        <is>
          <t>C</t>
        </is>
      </c>
      <c r="B153" s="715" t="inlineStr">
        <is>
          <t>Phillip Kewley</t>
        </is>
      </c>
      <c r="C153" s="715" t="inlineStr">
        <is>
          <t>Quality Assurance</t>
        </is>
      </c>
      <c r="D153" s="715" t="inlineStr">
        <is>
          <t>Mitesh Shah</t>
        </is>
      </c>
      <c r="E153" s="715" t="inlineStr">
        <is>
          <t>Technology Manager, Digitial</t>
        </is>
      </c>
      <c r="F153" s="716" t="inlineStr">
        <is>
          <t>Customer</t>
        </is>
      </c>
      <c r="G153" s="705" t="inlineStr">
        <is>
          <t>Digital</t>
        </is>
      </c>
      <c r="H153" s="715" t="inlineStr">
        <is>
          <t>Digital, Tech</t>
        </is>
      </c>
      <c r="I153" s="705" t="inlineStr">
        <is>
          <t>Customer</t>
        </is>
      </c>
      <c r="J153" s="715" t="inlineStr">
        <is>
          <t>Ampol Digital</t>
        </is>
      </c>
      <c r="K153" s="715" t="inlineStr">
        <is>
          <t>Ampol App</t>
        </is>
      </c>
      <c r="L153" s="705" t="n"/>
      <c r="M153" s="717" t="inlineStr">
        <is>
          <t>Australia</t>
        </is>
      </c>
      <c r="N153" s="705" t="inlineStr">
        <is>
          <t>NA</t>
        </is>
      </c>
      <c r="O153" s="705" t="n">
        <v>1</v>
      </c>
      <c r="P153" s="705" t="n"/>
      <c r="Q153" s="705" t="inlineStr">
        <is>
          <t>Permanent - Full Time</t>
        </is>
      </c>
      <c r="R153" s="705" t="n"/>
      <c r="S153" s="705" t="n"/>
      <c r="T153" s="718" t="n">
        <v>167750</v>
      </c>
      <c r="U153" s="719" t="n">
        <v>167750</v>
      </c>
      <c r="V153" s="720" t="n">
        <v>0.12</v>
      </c>
      <c r="W153" s="928" t="n">
        <v>0.055</v>
      </c>
      <c r="X153" s="928" t="n">
        <v>0.12</v>
      </c>
      <c r="Y153" s="928" t="n"/>
      <c r="Z153" s="928" t="n">
        <v>0.04</v>
      </c>
      <c r="AA153" s="929" t="n">
        <v>223946.25</v>
      </c>
      <c r="AB153" s="723" t="n"/>
      <c r="AC153" s="723" t="n"/>
      <c r="AD153" s="723" t="inlineStr">
        <is>
          <t>Retain source cost</t>
        </is>
      </c>
      <c r="AE153" s="723" t="inlineStr">
        <is>
          <t>No</t>
        </is>
      </c>
      <c r="AF153" s="723" t="n"/>
      <c r="AG153" s="723" t="n"/>
      <c r="AH153" s="920" t="n"/>
      <c r="AJ153" t="str">
        <f>IFERROR(INDEX(Lists!$U$1:$U$18,MATCH($I153,Lists!$T$1:$T$18,0)),"?")</f>
        <v>Customer</v>
      </c>
      <c r="AK153" t="str">
        <f>IF(LOWER($Q153)="v","Vacant",IF(LOWER($Q153)="pause","Paused",IF(LOWER($Q153)="cxc","Contractor",IF($Q153="Contractor","Contractor","Filled"))))</f>
        <v>Filled</v>
      </c>
      <c r="AL153" t="str">
        <f>IF($M153="NZ","NZ","AU")</f>
        <v>AU</v>
      </c>
      <c r="AM153">
        <f>COUNTIF($AJ$2:$AJ153,$AJ153)</f>
        <v>46.0</v>
      </c>
      <c r="AN153" t="str">
        <f>$AJ153&amp;"|"&amp;$AM153</f>
        <v>Customer|46</v>
      </c>
    </row>
    <row r="154" ht="18" customHeight="1" s="849">
      <c r="A154" s="714" t="n">
        <v>116957</v>
      </c>
      <c r="B154" s="705" t="inlineStr">
        <is>
          <t>Raj Ganesan</t>
        </is>
      </c>
      <c r="C154" s="705" t="inlineStr">
        <is>
          <t>Engineer - Mobile (ios)</t>
        </is>
      </c>
      <c r="D154" s="705" t="inlineStr">
        <is>
          <t>Mitesh Shah</t>
        </is>
      </c>
      <c r="E154" s="715" t="inlineStr">
        <is>
          <t>Technology Manager, Digitial</t>
        </is>
      </c>
      <c r="F154" s="716" t="inlineStr">
        <is>
          <t>Customer</t>
        </is>
      </c>
      <c r="G154" s="705" t="inlineStr">
        <is>
          <t>Digital</t>
        </is>
      </c>
      <c r="H154" s="705" t="inlineStr">
        <is>
          <t>Tech, Digital</t>
        </is>
      </c>
      <c r="I154" s="705" t="inlineStr">
        <is>
          <t>Customer</t>
        </is>
      </c>
      <c r="J154" s="715" t="inlineStr">
        <is>
          <t>Ampol Digital</t>
        </is>
      </c>
      <c r="K154" s="715" t="inlineStr">
        <is>
          <t>Ampol App</t>
        </is>
      </c>
      <c r="L154" s="705" t="n"/>
      <c r="M154" s="717" t="inlineStr">
        <is>
          <t>Australia</t>
        </is>
      </c>
      <c r="N154" s="705" t="inlineStr">
        <is>
          <t>CIB</t>
        </is>
      </c>
      <c r="O154" s="705" t="n">
        <v>1</v>
      </c>
      <c r="P154" s="705" t="n"/>
      <c r="Q154" s="705" t="inlineStr">
        <is>
          <t>Permanent - Full Time</t>
        </is>
      </c>
      <c r="R154" s="705" t="n"/>
      <c r="S154" s="705" t="n"/>
      <c r="T154" s="718" t="n">
        <v>148310</v>
      </c>
      <c r="U154" s="719" t="n">
        <v>148310</v>
      </c>
      <c r="V154" s="720" t="n">
        <v>0.12</v>
      </c>
      <c r="W154" s="928" t="n">
        <v>0.055</v>
      </c>
      <c r="X154" s="928" t="n">
        <v>0.12</v>
      </c>
      <c r="Y154" s="928" t="n"/>
      <c r="Z154" s="928" t="n">
        <v>0.04</v>
      </c>
      <c r="AA154" s="929" t="n">
        <v>197993.85</v>
      </c>
      <c r="AB154" s="723" t="n"/>
      <c r="AC154" s="723" t="n"/>
      <c r="AD154" s="723" t="inlineStr">
        <is>
          <t>Retain source cost</t>
        </is>
      </c>
      <c r="AE154" s="723" t="inlineStr">
        <is>
          <t>No</t>
        </is>
      </c>
      <c r="AF154" s="723" t="n"/>
      <c r="AG154" s="723" t="n"/>
      <c r="AH154" s="920" t="n"/>
      <c r="AJ154" t="str">
        <f>IFERROR(INDEX(Lists!$U$1:$U$18,MATCH($I154,Lists!$T$1:$T$18,0)),"?")</f>
        <v>Customer</v>
      </c>
      <c r="AK154" t="str">
        <f>IF(LOWER($Q154)="v","Vacant",IF(LOWER($Q154)="pause","Paused",IF(LOWER($Q154)="cxc","Contractor",IF($Q154="Contractor","Contractor","Filled"))))</f>
        <v>Filled</v>
      </c>
      <c r="AL154" t="str">
        <f>IF($M154="NZ","NZ","AU")</f>
        <v>AU</v>
      </c>
      <c r="AM154">
        <f>COUNTIF($AJ$2:$AJ154,$AJ154)</f>
        <v>47.0</v>
      </c>
      <c r="AN154" t="str">
        <f>$AJ154&amp;"|"&amp;$AM154</f>
        <v>Customer|47</v>
      </c>
    </row>
    <row r="155" ht="18" customHeight="1" s="849">
      <c r="A155" s="714" t="n">
        <v>107781</v>
      </c>
      <c r="B155" s="715" t="inlineStr">
        <is>
          <t>Ramez Haider</t>
        </is>
      </c>
      <c r="C155" s="715" t="inlineStr">
        <is>
          <t>Solution Architect</t>
        </is>
      </c>
      <c r="D155" s="715" t="inlineStr">
        <is>
          <t>Mitesh Shah</t>
        </is>
      </c>
      <c r="E155" s="715" t="inlineStr">
        <is>
          <t>Technology Manager, Digitial</t>
        </is>
      </c>
      <c r="F155" s="716" t="inlineStr">
        <is>
          <t>Customer</t>
        </is>
      </c>
      <c r="G155" s="705" t="inlineStr">
        <is>
          <t>Digital</t>
        </is>
      </c>
      <c r="H155" s="715" t="inlineStr">
        <is>
          <t>Digital, Tech</t>
        </is>
      </c>
      <c r="I155" s="883" t="inlineStr">
        <is>
          <t>Ampol Customer</t>
        </is>
      </c>
      <c r="J155" s="715" t="inlineStr">
        <is>
          <t>EGI</t>
        </is>
      </c>
      <c r="K155" s="715" t="inlineStr">
        <is>
          <t>EGI Customer</t>
        </is>
      </c>
      <c r="L155" s="705" t="n"/>
      <c r="M155" s="717" t="inlineStr">
        <is>
          <t>Australia</t>
        </is>
      </c>
      <c r="N155" s="705" t="inlineStr">
        <is>
          <t>CIB</t>
        </is>
      </c>
      <c r="O155" s="705" t="n">
        <v>1</v>
      </c>
      <c r="P155" s="705" t="n"/>
      <c r="Q155" s="705" t="inlineStr">
        <is>
          <t>cxc</t>
        </is>
      </c>
      <c r="R155" s="724" t="inlineStr">
        <is>
          <t>Daily</t>
        </is>
      </c>
      <c r="S155" s="705" t="n">
        <v>1350</v>
      </c>
      <c r="T155" s="718" t="n">
        <v>0</v>
      </c>
      <c r="U155" s="718" t="n"/>
      <c r="V155" s="705" t="n"/>
      <c r="W155" s="705" t="n"/>
      <c r="X155" s="705" t="n"/>
      <c r="Y155" s="705" t="n"/>
      <c r="Z155" s="705" t="n"/>
      <c r="AA155" s="725" t="n">
        <v>299700</v>
      </c>
      <c r="AB155" s="723" t="n"/>
      <c r="AC155" s="723" t="n"/>
      <c r="AD155" s="723" t="inlineStr">
        <is>
          <t>Retain source cost</t>
        </is>
      </c>
      <c r="AE155" s="723" t="inlineStr">
        <is>
          <t>No</t>
        </is>
      </c>
      <c r="AF155" s="723" t="n"/>
      <c r="AG155" s="723" t="n"/>
      <c r="AH155" s="920" t="n"/>
      <c r="AJ155" t="str">
        <f>IFERROR(INDEX(Lists!$U$1:$U$18,MATCH($I155,Lists!$T$1:$T$18,0)),"?")</f>
        <v>Customer</v>
      </c>
      <c r="AK155" t="str">
        <f>IF(LOWER($Q155)="v","Vacant",IF(LOWER($Q155)="pause","Paused",IF(LOWER($Q155)="cxc","Contractor",IF($Q155="Contractor","Contractor","Filled"))))</f>
        <v>Contractor</v>
      </c>
      <c r="AL155" t="str">
        <f>IF($M155="NZ","NZ","AU")</f>
        <v>AU</v>
      </c>
      <c r="AM155">
        <f>COUNTIF($AJ$2:$AJ155,$AJ155)</f>
        <v>48.0</v>
      </c>
      <c r="AN155" t="str">
        <f>$AJ155&amp;"|"&amp;$AM155</f>
        <v>Customer|48</v>
      </c>
    </row>
    <row r="156" ht="18" customHeight="1" s="849">
      <c r="A156" s="714" t="n">
        <v>114395</v>
      </c>
      <c r="B156" s="715" t="inlineStr">
        <is>
          <t>Rishabh Bhatia</t>
        </is>
      </c>
      <c r="C156" s="715" t="inlineStr">
        <is>
          <t>Engineer - Mobile (Android)</t>
        </is>
      </c>
      <c r="D156" s="715" t="inlineStr">
        <is>
          <t>Mitesh Shah</t>
        </is>
      </c>
      <c r="E156" s="715" t="inlineStr">
        <is>
          <t>Technology Manager, Digitial</t>
        </is>
      </c>
      <c r="F156" s="716" t="inlineStr">
        <is>
          <t>Customer</t>
        </is>
      </c>
      <c r="G156" s="705" t="inlineStr">
        <is>
          <t>Digital</t>
        </is>
      </c>
      <c r="H156" s="715" t="inlineStr">
        <is>
          <t>Digital, Tech</t>
        </is>
      </c>
      <c r="I156" s="883" t="inlineStr">
        <is>
          <t>Ampol Customer</t>
        </is>
      </c>
      <c r="J156" s="715" t="inlineStr">
        <is>
          <t>EGI</t>
        </is>
      </c>
      <c r="K156" s="715" t="inlineStr">
        <is>
          <t>EGI Customer</t>
        </is>
      </c>
      <c r="L156" s="705" t="n"/>
      <c r="M156" s="717" t="inlineStr">
        <is>
          <t>Australia</t>
        </is>
      </c>
      <c r="N156" s="705" t="inlineStr">
        <is>
          <t>CIB</t>
        </is>
      </c>
      <c r="O156" s="705" t="n">
        <v>1</v>
      </c>
      <c r="P156" s="715" t="n"/>
      <c r="Q156" s="715" t="inlineStr">
        <is>
          <t>Permanent - Full Time</t>
        </is>
      </c>
      <c r="R156" s="715" t="n"/>
      <c r="S156" s="715" t="n"/>
      <c r="T156" s="731" t="n">
        <v>182760</v>
      </c>
      <c r="U156" s="725" t="n">
        <v>182760</v>
      </c>
      <c r="V156" s="733" t="n">
        <v>0.12</v>
      </c>
      <c r="W156" s="932" t="n">
        <v>0.055</v>
      </c>
      <c r="X156" s="932" t="n">
        <v>0.12</v>
      </c>
      <c r="Y156" s="932" t="n"/>
      <c r="Z156" s="932" t="n">
        <v>0.04</v>
      </c>
      <c r="AA156" s="933" t="n">
        <v>243984.6</v>
      </c>
      <c r="AB156" s="723" t="n"/>
      <c r="AC156" s="723" t="n"/>
      <c r="AD156" s="723" t="inlineStr">
        <is>
          <t>Retain source cost</t>
        </is>
      </c>
      <c r="AE156" s="723" t="inlineStr">
        <is>
          <t>No</t>
        </is>
      </c>
      <c r="AF156" s="723" t="n"/>
      <c r="AG156" s="723" t="n"/>
      <c r="AH156" s="920" t="n"/>
      <c r="AJ156" t="str">
        <f>IFERROR(INDEX(Lists!$U$1:$U$18,MATCH($I156,Lists!$T$1:$T$18,0)),"?")</f>
        <v>Customer</v>
      </c>
      <c r="AK156" t="str">
        <f>IF(LOWER($Q156)="v","Vacant",IF(LOWER($Q156)="pause","Paused",IF(LOWER($Q156)="cxc","Contractor",IF($Q156="Contractor","Contractor","Filled"))))</f>
        <v>Filled</v>
      </c>
      <c r="AL156" t="str">
        <f>IF($M156="NZ","NZ","AU")</f>
        <v>AU</v>
      </c>
      <c r="AM156">
        <f>COUNTIF($AJ$2:$AJ156,$AJ156)</f>
        <v>49.0</v>
      </c>
      <c r="AN156" t="str">
        <f>$AJ156&amp;"|"&amp;$AM156</f>
        <v>Customer|49</v>
      </c>
    </row>
    <row r="157" ht="18" customHeight="1" s="849">
      <c r="A157" s="714" t="inlineStr">
        <is>
          <t>C</t>
        </is>
      </c>
      <c r="B157" s="715" t="inlineStr">
        <is>
          <t>Rob Jadrjevic</t>
        </is>
      </c>
      <c r="C157" s="715" t="inlineStr">
        <is>
          <t>Engineer - BE</t>
        </is>
      </c>
      <c r="D157" s="715" t="inlineStr">
        <is>
          <t>Vacant</t>
        </is>
      </c>
      <c r="E157" s="715" t="inlineStr">
        <is>
          <t>Technology Manager, Digital Engineering</t>
        </is>
      </c>
      <c r="F157" s="716" t="inlineStr">
        <is>
          <t>Customer</t>
        </is>
      </c>
      <c r="G157" s="705" t="inlineStr">
        <is>
          <t>Digital</t>
        </is>
      </c>
      <c r="H157" s="705" t="inlineStr">
        <is>
          <t>Tech, Digital Engineering</t>
        </is>
      </c>
      <c r="I157" s="883" t="inlineStr">
        <is>
          <t>Ampol Customer</t>
        </is>
      </c>
      <c r="J157" s="715" t="inlineStr">
        <is>
          <t>EGI</t>
        </is>
      </c>
      <c r="K157" s="715" t="inlineStr">
        <is>
          <t>EGI Customer</t>
        </is>
      </c>
      <c r="L157" s="705" t="n"/>
      <c r="M157" s="717" t="inlineStr">
        <is>
          <t>Australia</t>
        </is>
      </c>
      <c r="N157" s="705" t="inlineStr">
        <is>
          <t>NA</t>
        </is>
      </c>
      <c r="O157" s="705" t="n">
        <v>1</v>
      </c>
      <c r="P157" s="705" t="n"/>
      <c r="Q157" s="705" t="inlineStr">
        <is>
          <t>Permanent - Full Time</t>
        </is>
      </c>
      <c r="R157" s="724" t="n"/>
      <c r="S157" s="705" t="n"/>
      <c r="T157" s="718" t="n">
        <v>160000</v>
      </c>
      <c r="U157" s="719" t="n">
        <v>160000</v>
      </c>
      <c r="V157" s="720" t="n">
        <v>0.12</v>
      </c>
      <c r="W157" s="928" t="n">
        <v>0.055</v>
      </c>
      <c r="X157" s="928" t="n">
        <v>0.12</v>
      </c>
      <c r="Y157" s="928" t="n"/>
      <c r="Z157" s="928" t="n">
        <v>0.04</v>
      </c>
      <c r="AA157" s="929" t="n">
        <v>213600</v>
      </c>
      <c r="AB157" s="723" t="n"/>
      <c r="AC157" s="723" t="n"/>
      <c r="AD157" s="723" t="inlineStr">
        <is>
          <t>Retain source cost</t>
        </is>
      </c>
      <c r="AE157" s="723" t="inlineStr">
        <is>
          <t>No</t>
        </is>
      </c>
      <c r="AF157" s="723" t="n"/>
      <c r="AG157" s="723" t="n"/>
      <c r="AH157" s="920" t="n"/>
      <c r="AJ157" t="str">
        <f>IFERROR(INDEX(Lists!$U$1:$U$18,MATCH($I157,Lists!$T$1:$T$18,0)),"?")</f>
        <v>Customer</v>
      </c>
      <c r="AK157" t="str">
        <f>IF(LOWER($Q157)="v","Vacant",IF(LOWER($Q157)="pause","Paused",IF(LOWER($Q157)="cxc","Contractor",IF($Q157="Contractor","Contractor","Filled"))))</f>
        <v>Filled</v>
      </c>
      <c r="AL157" t="str">
        <f>IF($M157="NZ","NZ","AU")</f>
        <v>AU</v>
      </c>
      <c r="AM157">
        <f>COUNTIF($AJ$2:$AJ157,$AJ157)</f>
        <v>50.0</v>
      </c>
      <c r="AN157" t="str">
        <f>$AJ157&amp;"|"&amp;$AM157</f>
        <v>Customer|50</v>
      </c>
    </row>
    <row r="158" ht="18" customHeight="1" s="849">
      <c r="A158" s="726" t="n">
        <v>88332</v>
      </c>
      <c r="B158" s="715" t="inlineStr">
        <is>
          <t>Safiq Iqbal</t>
        </is>
      </c>
      <c r="C158" s="715" t="inlineStr">
        <is>
          <t>Principal Engineer</t>
        </is>
      </c>
      <c r="D158" s="715" t="inlineStr">
        <is>
          <t>Shona Paul</t>
        </is>
      </c>
      <c r="E158" s="715" t="inlineStr">
        <is>
          <t>Head of Technology, Digital</t>
        </is>
      </c>
      <c r="F158" s="716" t="inlineStr">
        <is>
          <t>Customer</t>
        </is>
      </c>
      <c r="G158" s="705" t="inlineStr">
        <is>
          <t>Digital</t>
        </is>
      </c>
      <c r="H158" s="705" t="inlineStr">
        <is>
          <t>EGI</t>
        </is>
      </c>
      <c r="I158" s="883" t="inlineStr">
        <is>
          <t>Ampol Customer</t>
        </is>
      </c>
      <c r="J158" s="715" t="inlineStr">
        <is>
          <t>EGI</t>
        </is>
      </c>
      <c r="K158" s="715" t="inlineStr">
        <is>
          <t>EGI Customer</t>
        </is>
      </c>
      <c r="L158" s="705" t="n"/>
      <c r="M158" s="717" t="inlineStr">
        <is>
          <t>Australia</t>
        </is>
      </c>
      <c r="N158" s="715" t="inlineStr">
        <is>
          <t xml:space="preserve">CIC </t>
        </is>
      </c>
      <c r="O158" s="715" t="n">
        <v>1</v>
      </c>
      <c r="P158" s="705" t="n"/>
      <c r="Q158" s="724" t="inlineStr">
        <is>
          <t>Contractor</t>
        </is>
      </c>
      <c r="R158" s="724" t="inlineStr">
        <is>
          <t>Daily</t>
        </is>
      </c>
      <c r="S158" s="705" t="n">
        <v>1040</v>
      </c>
      <c r="T158" s="718" t="n">
        <v>0</v>
      </c>
      <c r="U158" s="718" t="n"/>
      <c r="V158" s="705" t="n"/>
      <c r="W158" s="705" t="n"/>
      <c r="X158" s="705" t="n"/>
      <c r="Y158" s="705" t="n"/>
      <c r="Z158" s="705" t="n"/>
      <c r="AA158" s="725" t="n">
        <v>230880</v>
      </c>
      <c r="AB158" s="723" t="n"/>
      <c r="AC158" s="723" t="n"/>
      <c r="AD158" s="723" t="inlineStr">
        <is>
          <t>Retain source cost</t>
        </is>
      </c>
      <c r="AE158" s="723" t="inlineStr">
        <is>
          <t>No</t>
        </is>
      </c>
      <c r="AF158" s="723" t="n"/>
      <c r="AG158" s="723" t="n"/>
      <c r="AH158" s="920" t="n"/>
      <c r="AJ158" t="str">
        <f>IFERROR(INDEX(Lists!$U$1:$U$18,MATCH($I158,Lists!$T$1:$T$18,0)),"?")</f>
        <v>Customer</v>
      </c>
      <c r="AK158" t="str">
        <f>IF(LOWER($Q158)="v","Vacant",IF(LOWER($Q158)="pause","Paused",IF(LOWER($Q158)="cxc","Contractor",IF($Q158="Contractor","Contractor","Filled"))))</f>
        <v>Contractor</v>
      </c>
      <c r="AL158" t="str">
        <f>IF($M158="NZ","NZ","AU")</f>
        <v>AU</v>
      </c>
      <c r="AM158">
        <f>COUNTIF($AJ$2:$AJ158,$AJ158)</f>
        <v>51.0</v>
      </c>
      <c r="AN158" t="str">
        <f>$AJ158&amp;"|"&amp;$AM158</f>
        <v>Customer|51</v>
      </c>
    </row>
    <row r="159" ht="18" customHeight="1" s="849">
      <c r="A159" s="714" t="n">
        <v>99999102079</v>
      </c>
      <c r="B159" s="715" t="inlineStr">
        <is>
          <t>Sam Turnball</t>
        </is>
      </c>
      <c r="C159" s="715" t="inlineStr">
        <is>
          <t>Associate Experience Designer</t>
        </is>
      </c>
      <c r="D159" s="715" t="inlineStr">
        <is>
          <t>Byron Thornhill</t>
        </is>
      </c>
      <c r="E159" s="715" t="inlineStr">
        <is>
          <t>Design Manager</t>
        </is>
      </c>
      <c r="F159" s="716" t="inlineStr">
        <is>
          <t>Customer</t>
        </is>
      </c>
      <c r="G159" s="705" t="inlineStr">
        <is>
          <t>Digital</t>
        </is>
      </c>
      <c r="H159" s="705" t="inlineStr">
        <is>
          <t>Digital, Design</t>
        </is>
      </c>
      <c r="I159" s="715" t="inlineStr">
        <is>
          <t>Customer</t>
        </is>
      </c>
      <c r="J159" s="727" t="inlineStr">
        <is>
          <t>Customer Z</t>
        </is>
      </c>
      <c r="K159" s="715" t="inlineStr">
        <is>
          <t>Z Energy Apps</t>
        </is>
      </c>
      <c r="L159" s="705" t="n"/>
      <c r="M159" s="717" t="inlineStr">
        <is>
          <t>NZ</t>
        </is>
      </c>
      <c r="N159" s="705" t="inlineStr">
        <is>
          <t>CIA</t>
        </is>
      </c>
      <c r="O159" s="715" t="n">
        <v>1</v>
      </c>
      <c r="P159" s="705" t="n"/>
      <c r="Q159" s="705" t="inlineStr">
        <is>
          <t>cxc</t>
        </is>
      </c>
      <c r="R159" s="724" t="inlineStr">
        <is>
          <t>Daily</t>
        </is>
      </c>
      <c r="S159" s="705" t="n">
        <v>1115</v>
      </c>
      <c r="T159" s="718" t="n">
        <v>0</v>
      </c>
      <c r="U159" s="718" t="n"/>
      <c r="V159" s="705" t="n"/>
      <c r="W159" s="705" t="n"/>
      <c r="X159" s="705" t="n"/>
      <c r="Y159" s="705" t="n"/>
      <c r="Z159" s="705" t="n"/>
      <c r="AA159" s="725" t="n">
        <v>247530</v>
      </c>
      <c r="AB159" s="723" t="n"/>
      <c r="AC159" s="723" t="n"/>
      <c r="AD159" s="723" t="inlineStr">
        <is>
          <t>Retain source cost</t>
        </is>
      </c>
      <c r="AE159" s="723" t="inlineStr">
        <is>
          <t>No</t>
        </is>
      </c>
      <c r="AF159" s="723" t="n"/>
      <c r="AG159" s="723" t="n"/>
      <c r="AH159" s="920" t="n"/>
      <c r="AJ159" t="str">
        <f>IFERROR(INDEX(Lists!$U$1:$U$18,MATCH($I159,Lists!$T$1:$T$18,0)),"?")</f>
        <v>Customer</v>
      </c>
      <c r="AK159" t="str">
        <f>IF(LOWER($Q159)="v","Vacant",IF(LOWER($Q159)="pause","Paused",IF(LOWER($Q159)="cxc","Contractor",IF($Q159="Contractor","Contractor","Filled"))))</f>
        <v>Contractor</v>
      </c>
      <c r="AL159" t="str">
        <f>IF($M159="NZ","NZ","AU")</f>
        <v>NZ</v>
      </c>
      <c r="AM159">
        <f>COUNTIF($AJ$2:$AJ159,$AJ159)</f>
        <v>52.0</v>
      </c>
      <c r="AN159" t="str">
        <f>$AJ159&amp;"|"&amp;$AM159</f>
        <v>Customer|52</v>
      </c>
    </row>
    <row r="160" ht="18" customHeight="1" s="849">
      <c r="A160" s="714" t="n">
        <v>108384</v>
      </c>
      <c r="B160" s="715" t="inlineStr">
        <is>
          <t>Saugata Acharya</t>
        </is>
      </c>
      <c r="C160" s="715" t="inlineStr">
        <is>
          <t>Delivery Lead</t>
        </is>
      </c>
      <c r="D160" s="705" t="inlineStr">
        <is>
          <t>Vacant</t>
        </is>
      </c>
      <c r="E160" s="715" t="inlineStr">
        <is>
          <t>Delivery Manager, Digital</t>
        </is>
      </c>
      <c r="F160" s="716" t="inlineStr">
        <is>
          <t>Customer</t>
        </is>
      </c>
      <c r="G160" s="705" t="inlineStr">
        <is>
          <t>Digital</t>
        </is>
      </c>
      <c r="H160" s="705" t="inlineStr">
        <is>
          <t>Digital, Delivery</t>
        </is>
      </c>
      <c r="I160" s="705" t="inlineStr">
        <is>
          <t>Customer</t>
        </is>
      </c>
      <c r="J160" s="727" t="inlineStr">
        <is>
          <t>Ampol Digital</t>
        </is>
      </c>
      <c r="K160" s="715" t="inlineStr">
        <is>
          <t>Ampol Web</t>
        </is>
      </c>
      <c r="L160" s="705" t="n"/>
      <c r="M160" s="717" t="inlineStr">
        <is>
          <t>Australia</t>
        </is>
      </c>
      <c r="N160" s="705" t="inlineStr">
        <is>
          <t>CIC</t>
        </is>
      </c>
      <c r="O160" s="705" t="n">
        <v>1</v>
      </c>
      <c r="P160" s="705" t="n"/>
      <c r="Q160" s="705" t="inlineStr">
        <is>
          <t>Permanent - Full Time</t>
        </is>
      </c>
      <c r="R160" s="705" t="n"/>
      <c r="S160" s="705" t="n"/>
      <c r="T160" s="718" t="n">
        <v>104000</v>
      </c>
      <c r="U160" s="719" t="n">
        <v>104000</v>
      </c>
      <c r="V160" s="720" t="n">
        <v>0.1</v>
      </c>
      <c r="W160" s="928" t="n">
        <v>0.055</v>
      </c>
      <c r="X160" s="928" t="n">
        <v>0.12</v>
      </c>
      <c r="Y160" s="928" t="n"/>
      <c r="Z160" s="928" t="n">
        <v>0.04</v>
      </c>
      <c r="AA160" s="929" t="n">
        <v>136760</v>
      </c>
      <c r="AB160" s="723" t="n"/>
      <c r="AC160" s="723" t="n"/>
      <c r="AD160" s="723" t="inlineStr">
        <is>
          <t>Retain source cost</t>
        </is>
      </c>
      <c r="AE160" s="723" t="inlineStr">
        <is>
          <t>No</t>
        </is>
      </c>
      <c r="AF160" s="723" t="n"/>
      <c r="AG160" s="723" t="n"/>
      <c r="AH160" s="920" t="n"/>
      <c r="AJ160" t="str">
        <f>IFERROR(INDEX(Lists!$U$1:$U$18,MATCH($I160,Lists!$T$1:$T$18,0)),"?")</f>
        <v>Customer</v>
      </c>
      <c r="AK160" t="str">
        <f>IF(LOWER($Q160)="v","Vacant",IF(LOWER($Q160)="pause","Paused",IF(LOWER($Q160)="cxc","Contractor",IF($Q160="Contractor","Contractor","Filled"))))</f>
        <v>Filled</v>
      </c>
      <c r="AL160" t="str">
        <f>IF($M160="NZ","NZ","AU")</f>
        <v>AU</v>
      </c>
      <c r="AM160">
        <f>COUNTIF($AJ$2:$AJ160,$AJ160)</f>
        <v>53.0</v>
      </c>
      <c r="AN160" t="str">
        <f>$AJ160&amp;"|"&amp;$AM160</f>
        <v>Customer|53</v>
      </c>
    </row>
    <row r="161" ht="18" customHeight="1" s="849">
      <c r="A161" s="714" t="n">
        <v>99999101730</v>
      </c>
      <c r="B161" s="705" t="inlineStr">
        <is>
          <t>Scott Cullen</t>
        </is>
      </c>
      <c r="C161" s="705" t="inlineStr">
        <is>
          <t>Engineer, Dev Ops</t>
        </is>
      </c>
      <c r="D161" s="705" t="inlineStr">
        <is>
          <t>Vacant</t>
        </is>
      </c>
      <c r="E161" s="705" t="inlineStr">
        <is>
          <t>Technology Manager, Data &amp; Engineering</t>
        </is>
      </c>
      <c r="F161" s="716" t="inlineStr">
        <is>
          <t>Customer</t>
        </is>
      </c>
      <c r="G161" s="705" t="inlineStr">
        <is>
          <t>Loyalty &amp; Martech</t>
        </is>
      </c>
      <c r="H161" s="715" t="inlineStr">
        <is>
          <t>Loyalty, Data &amp; Engineering</t>
        </is>
      </c>
      <c r="I161" s="715" t="inlineStr">
        <is>
          <t>Customer</t>
        </is>
      </c>
      <c r="J161" s="705" t="inlineStr">
        <is>
          <t>Customer Z</t>
        </is>
      </c>
      <c r="K161" s="705" t="inlineStr">
        <is>
          <t>Z Energy Martech</t>
        </is>
      </c>
      <c r="L161" s="705" t="n"/>
      <c r="M161" s="717" t="inlineStr">
        <is>
          <t>NZ</t>
        </is>
      </c>
      <c r="N161" s="705" t="inlineStr">
        <is>
          <t>CDB</t>
        </is>
      </c>
      <c r="O161" s="715" t="n">
        <v>1</v>
      </c>
      <c r="P161" s="705" t="n"/>
      <c r="Q161" s="705" t="inlineStr">
        <is>
          <t>V</t>
        </is>
      </c>
      <c r="R161" s="705" t="n"/>
      <c r="S161" s="705" t="n"/>
      <c r="T161" s="718" t="n">
        <v>151950</v>
      </c>
      <c r="U161" s="719" t="n">
        <v>151950</v>
      </c>
      <c r="V161" s="720" t="n">
        <v>0.12</v>
      </c>
      <c r="W161" s="928" t="n">
        <v>0.055</v>
      </c>
      <c r="X161" s="928" t="n">
        <v>0.12</v>
      </c>
      <c r="Y161" s="928" t="n"/>
      <c r="Z161" s="928" t="n">
        <v>0.04</v>
      </c>
      <c r="AA161" s="929" t="n">
        <v>202853.25</v>
      </c>
      <c r="AB161" s="723" t="n"/>
      <c r="AC161" s="723" t="n"/>
      <c r="AD161" s="723" t="inlineStr">
        <is>
          <t>Retain source cost</t>
        </is>
      </c>
      <c r="AE161" s="723" t="inlineStr">
        <is>
          <t>No</t>
        </is>
      </c>
      <c r="AF161" s="723" t="n"/>
      <c r="AG161" s="723" t="n"/>
      <c r="AH161" s="920" t="n"/>
      <c r="AJ161" t="str">
        <f>IFERROR(INDEX(Lists!$U$1:$U$18,MATCH($I161,Lists!$T$1:$T$18,0)),"?")</f>
        <v>Customer</v>
      </c>
      <c r="AK161" t="str">
        <f>IF(LOWER($Q161)="v","Vacant",IF(LOWER($Q161)="pause","Paused",IF(LOWER($Q161)="cxc","Contractor",IF($Q161="Contractor","Contractor","Filled"))))</f>
        <v>Vacant</v>
      </c>
      <c r="AL161" t="str">
        <f>IF($M161="NZ","NZ","AU")</f>
        <v>NZ</v>
      </c>
      <c r="AM161">
        <f>COUNTIF($AJ$2:$AJ161,$AJ161)</f>
        <v>54.0</v>
      </c>
      <c r="AN161" t="str">
        <f>$AJ161&amp;"|"&amp;$AM161</f>
        <v>Customer|54</v>
      </c>
    </row>
    <row r="162" ht="18" customHeight="1" s="849">
      <c r="A162" s="714" t="n">
        <v>99999101612</v>
      </c>
      <c r="B162" s="715" t="inlineStr">
        <is>
          <t>Shane Abrahams</t>
        </is>
      </c>
      <c r="C162" s="715" t="inlineStr">
        <is>
          <t>Digital Support Manager - NZ</t>
        </is>
      </c>
      <c r="D162" s="715" t="inlineStr">
        <is>
          <t>Shona Paul</t>
        </is>
      </c>
      <c r="E162" s="715" t="inlineStr">
        <is>
          <t>Head of Technology, Digital</t>
        </is>
      </c>
      <c r="F162" s="716" t="inlineStr">
        <is>
          <t>Customer</t>
        </is>
      </c>
      <c r="G162" s="705" t="inlineStr">
        <is>
          <t>Digital</t>
        </is>
      </c>
      <c r="H162" s="705" t="inlineStr">
        <is>
          <t>Digital Support (NZ)</t>
        </is>
      </c>
      <c r="I162" s="715" t="inlineStr">
        <is>
          <t>Customer</t>
        </is>
      </c>
      <c r="J162" s="715" t="inlineStr">
        <is>
          <t>Customer Z</t>
        </is>
      </c>
      <c r="K162" s="715" t="inlineStr">
        <is>
          <t>Z Energy Apps</t>
        </is>
      </c>
      <c r="L162" s="705" t="n"/>
      <c r="M162" s="717" t="inlineStr">
        <is>
          <t>NZ</t>
        </is>
      </c>
      <c r="N162" s="705" t="inlineStr">
        <is>
          <t>CIC</t>
        </is>
      </c>
      <c r="O162" s="715" t="n">
        <v>1</v>
      </c>
      <c r="P162" s="705" t="n"/>
      <c r="Q162" s="705" t="inlineStr">
        <is>
          <t>Temporary - Full Time</t>
        </is>
      </c>
      <c r="R162" s="705" t="n"/>
      <c r="S162" s="705" t="n"/>
      <c r="T162" s="718" t="n">
        <v>160000</v>
      </c>
      <c r="U162" s="719" t="n">
        <v>160000</v>
      </c>
      <c r="V162" s="720" t="n">
        <v>0.12</v>
      </c>
      <c r="W162" s="928" t="n">
        <v>0.055</v>
      </c>
      <c r="X162" s="928" t="n">
        <v>0.12</v>
      </c>
      <c r="Y162" s="928" t="n"/>
      <c r="Z162" s="928" t="n">
        <v>0.04</v>
      </c>
      <c r="AA162" s="929" t="n">
        <v>213600</v>
      </c>
      <c r="AB162" s="723" t="n"/>
      <c r="AC162" s="723" t="n"/>
      <c r="AD162" s="723" t="inlineStr">
        <is>
          <t>Retain source cost</t>
        </is>
      </c>
      <c r="AE162" s="723" t="inlineStr">
        <is>
          <t>No</t>
        </is>
      </c>
      <c r="AF162" s="723" t="n"/>
      <c r="AG162" s="723" t="n"/>
      <c r="AH162" s="920" t="n"/>
      <c r="AJ162" t="str">
        <f>IFERROR(INDEX(Lists!$U$1:$U$18,MATCH($I162,Lists!$T$1:$T$18,0)),"?")</f>
        <v>Customer</v>
      </c>
      <c r="AK162" t="str">
        <f>IF(LOWER($Q162)="v","Vacant",IF(LOWER($Q162)="pause","Paused",IF(LOWER($Q162)="cxc","Contractor",IF($Q162="Contractor","Contractor","Filled"))))</f>
        <v>Filled</v>
      </c>
      <c r="AL162" t="str">
        <f>IF($M162="NZ","NZ","AU")</f>
        <v>NZ</v>
      </c>
      <c r="AM162">
        <f>COUNTIF($AJ$2:$AJ162,$AJ162)</f>
        <v>55.0</v>
      </c>
      <c r="AN162" t="str">
        <f>$AJ162&amp;"|"&amp;$AM162</f>
        <v>Customer|55</v>
      </c>
    </row>
    <row r="163" ht="18" customHeight="1" s="849">
      <c r="A163" s="714" t="inlineStr">
        <is>
          <t>C</t>
        </is>
      </c>
      <c r="B163" s="715" t="inlineStr">
        <is>
          <t>Sheetal Karkera</t>
        </is>
      </c>
      <c r="C163" s="715" t="inlineStr">
        <is>
          <t>Lead Engineer - Mobile</t>
        </is>
      </c>
      <c r="D163" s="715" t="inlineStr">
        <is>
          <t>Mitesh Shah</t>
        </is>
      </c>
      <c r="E163" s="715" t="inlineStr">
        <is>
          <t>Technology Manager, Digitial</t>
        </is>
      </c>
      <c r="F163" s="716" t="inlineStr">
        <is>
          <t>Customer</t>
        </is>
      </c>
      <c r="G163" s="705" t="inlineStr">
        <is>
          <t>Digital</t>
        </is>
      </c>
      <c r="H163" s="715" t="inlineStr">
        <is>
          <t>Digital, Tech</t>
        </is>
      </c>
      <c r="I163" s="705" t="inlineStr">
        <is>
          <t>Customer</t>
        </is>
      </c>
      <c r="J163" s="715" t="inlineStr">
        <is>
          <t>Ampol Digital</t>
        </is>
      </c>
      <c r="K163" s="715" t="inlineStr">
        <is>
          <t>Ampol App</t>
        </is>
      </c>
      <c r="L163" s="705" t="n"/>
      <c r="M163" s="717" t="inlineStr">
        <is>
          <t>Australia</t>
        </is>
      </c>
      <c r="N163" s="705" t="inlineStr">
        <is>
          <t>NA</t>
        </is>
      </c>
      <c r="O163" s="705" t="n">
        <v>1</v>
      </c>
      <c r="P163" s="715" t="n"/>
      <c r="Q163" s="715" t="inlineStr">
        <is>
          <t>Permanent - Full Time</t>
        </is>
      </c>
      <c r="R163" s="715" t="n"/>
      <c r="S163" s="715" t="n"/>
      <c r="T163" s="731" t="n">
        <v>253260</v>
      </c>
      <c r="U163" s="719" t="n">
        <v>232999.2</v>
      </c>
      <c r="V163" s="730" t="n">
        <v>0.2</v>
      </c>
      <c r="W163" s="715" t="n"/>
      <c r="X163" s="720" t="n">
        <v>0.05</v>
      </c>
      <c r="Y163" s="930" t="n">
        <v>2910</v>
      </c>
      <c r="Z163" s="720" t="n">
        <v>0.03</v>
      </c>
      <c r="AA163" s="929" t="n">
        <v>301148.976</v>
      </c>
      <c r="AB163" s="723" t="n">
        <v>113507</v>
      </c>
      <c r="AC163" s="723" t="n"/>
      <c r="AD163" s="723" t="inlineStr">
        <is>
          <t>Retain source cost</t>
        </is>
      </c>
      <c r="AE163" s="723" t="inlineStr">
        <is>
          <t>No</t>
        </is>
      </c>
      <c r="AF163" s="723" t="n"/>
      <c r="AG163" s="723" t="n"/>
      <c r="AH163" s="920" t="n">
        <v>330</v>
      </c>
      <c r="AJ163" t="str">
        <f>IFERROR(INDEX(Lists!$U$1:$U$18,MATCH($I163,Lists!$T$1:$T$18,0)),"?")</f>
        <v>Customer</v>
      </c>
      <c r="AK163" t="str">
        <f>IF(LOWER($Q163)="v","Vacant",IF(LOWER($Q163)="pause","Paused",IF(LOWER($Q163)="cxc","Contractor",IF($Q163="Contractor","Contractor","Filled"))))</f>
        <v>Filled</v>
      </c>
      <c r="AL163" t="str">
        <f>IF($M163="NZ","NZ","AU")</f>
        <v>AU</v>
      </c>
      <c r="AM163">
        <f>COUNTIF($AJ$2:$AJ163,$AJ163)</f>
        <v>56.0</v>
      </c>
      <c r="AN163" t="str">
        <f>$AJ163&amp;"|"&amp;$AM163</f>
        <v>Customer|56</v>
      </c>
    </row>
    <row r="164" ht="18" customHeight="1" s="849">
      <c r="A164" s="714" t="n">
        <v>99999101891</v>
      </c>
      <c r="B164" s="705" t="inlineStr">
        <is>
          <t>Shinal Chamberlain</t>
        </is>
      </c>
      <c r="C164" s="705" t="inlineStr">
        <is>
          <t>Business Analyst</t>
        </is>
      </c>
      <c r="D164" s="705" t="inlineStr">
        <is>
          <t>Vacant</t>
        </is>
      </c>
      <c r="E164" s="705" t="inlineStr">
        <is>
          <t>Delivery Manager, Loyalty</t>
        </is>
      </c>
      <c r="F164" s="716" t="inlineStr">
        <is>
          <t>Customer</t>
        </is>
      </c>
      <c r="G164" s="705" t="inlineStr">
        <is>
          <t>Loyalty &amp; Martech</t>
        </is>
      </c>
      <c r="H164" s="715" t="inlineStr">
        <is>
          <t xml:space="preserve">Loyalty, Delivery </t>
        </is>
      </c>
      <c r="I164" s="715" t="inlineStr">
        <is>
          <t>Customer</t>
        </is>
      </c>
      <c r="J164" s="705" t="inlineStr">
        <is>
          <t>Group Customer</t>
        </is>
      </c>
      <c r="K164" s="705" t="inlineStr">
        <is>
          <t>AU CRM &amp; Martech</t>
        </is>
      </c>
      <c r="L164" s="705" t="n"/>
      <c r="M164" s="717" t="inlineStr">
        <is>
          <t>NZ</t>
        </is>
      </c>
      <c r="N164" s="705" t="inlineStr">
        <is>
          <t>CIA</t>
        </is>
      </c>
      <c r="O164" s="715" t="n">
        <v>1</v>
      </c>
      <c r="P164" s="705" t="n"/>
      <c r="Q164" s="715" t="inlineStr">
        <is>
          <t>Permanent - Full Time</t>
        </is>
      </c>
      <c r="R164" s="705" t="n"/>
      <c r="S164" s="705" t="n"/>
      <c r="T164" s="718" t="n">
        <v>190000</v>
      </c>
      <c r="U164" s="719" t="n">
        <v>174800</v>
      </c>
      <c r="V164" s="730" t="n">
        <v>0.15</v>
      </c>
      <c r="W164" s="715" t="n"/>
      <c r="X164" s="720" t="n">
        <v>0.05</v>
      </c>
      <c r="Y164" s="930" t="n">
        <v>2910</v>
      </c>
      <c r="Z164" s="720" t="n">
        <v>0.03</v>
      </c>
      <c r="AA164" s="929" t="n">
        <v>217914</v>
      </c>
      <c r="AB164" s="723" t="n">
        <v>15184</v>
      </c>
      <c r="AC164" s="723" t="n"/>
      <c r="AD164" s="723" t="inlineStr">
        <is>
          <t>Retain source cost</t>
        </is>
      </c>
      <c r="AE164" s="723" t="inlineStr">
        <is>
          <t>No</t>
        </is>
      </c>
      <c r="AF164" s="723" t="n"/>
      <c r="AG164" s="723" t="n"/>
      <c r="AJ164" t="str">
        <f>IFERROR(INDEX(Lists!$U$1:$U$18,MATCH($I164,Lists!$T$1:$T$18,0)),"?")</f>
        <v>Customer</v>
      </c>
      <c r="AK164" t="str">
        <f>IF(LOWER($Q164)="v","Vacant",IF(LOWER($Q164)="pause","Paused",IF(LOWER($Q164)="cxc","Contractor",IF($Q164="Contractor","Contractor","Filled"))))</f>
        <v>Filled</v>
      </c>
      <c r="AL164" t="str">
        <f>IF($M164="NZ","NZ","AU")</f>
        <v>NZ</v>
      </c>
      <c r="AM164">
        <f>COUNTIF($AJ$2:$AJ164,$AJ164)</f>
        <v>57.0</v>
      </c>
      <c r="AN164" t="str">
        <f>$AJ164&amp;"|"&amp;$AM164</f>
        <v>Customer|57</v>
      </c>
    </row>
    <row r="165" ht="18" customHeight="1" s="849">
      <c r="A165" s="714" t="n">
        <v>99999101543</v>
      </c>
      <c r="B165" s="715" t="inlineStr">
        <is>
          <t>Shona Paul</t>
        </is>
      </c>
      <c r="C165" s="715" t="inlineStr">
        <is>
          <t>Head of Technology - Digital</t>
        </is>
      </c>
      <c r="D165" s="715" t="inlineStr">
        <is>
          <t>Harley Giles</t>
        </is>
      </c>
      <c r="E165" s="715" t="inlineStr">
        <is>
          <t>GM TDD, Customer</t>
        </is>
      </c>
      <c r="F165" s="716" t="inlineStr">
        <is>
          <t>Customer</t>
        </is>
      </c>
      <c r="G165" s="705" t="inlineStr">
        <is>
          <t>Digital</t>
        </is>
      </c>
      <c r="H165" s="715" t="n"/>
      <c r="I165" s="715" t="inlineStr">
        <is>
          <t>Customer</t>
        </is>
      </c>
      <c r="J165" s="715" t="inlineStr">
        <is>
          <t>(All Customer)</t>
        </is>
      </c>
      <c r="K165" s="715" t="inlineStr">
        <is>
          <t>Leadership</t>
        </is>
      </c>
      <c r="L165" s="705" t="n"/>
      <c r="M165" s="717" t="inlineStr">
        <is>
          <t>NZ</t>
        </is>
      </c>
      <c r="N165" s="705" t="inlineStr">
        <is>
          <t>CSC</t>
        </is>
      </c>
      <c r="O165" s="715" t="n">
        <v>1</v>
      </c>
      <c r="P165" s="705" t="n"/>
      <c r="Q165" s="705" t="inlineStr">
        <is>
          <t>Temporary - Full Time</t>
        </is>
      </c>
      <c r="R165" s="705" t="n"/>
      <c r="S165" s="705" t="n"/>
      <c r="T165" s="718" t="n">
        <v>165000</v>
      </c>
      <c r="U165" s="719" t="n">
        <v>165000</v>
      </c>
      <c r="V165" s="720" t="n">
        <v>0.12</v>
      </c>
      <c r="W165" s="928" t="n">
        <v>0.055</v>
      </c>
      <c r="X165" s="928" t="n">
        <v>0.12</v>
      </c>
      <c r="Y165" s="928" t="n"/>
      <c r="Z165" s="928" t="n">
        <v>0.04</v>
      </c>
      <c r="AA165" s="929" t="n">
        <v>220275</v>
      </c>
      <c r="AB165" s="723" t="n"/>
      <c r="AC165" s="723" t="n"/>
      <c r="AD165" s="723" t="inlineStr">
        <is>
          <t>Retain source cost</t>
        </is>
      </c>
      <c r="AE165" s="723" t="inlineStr">
        <is>
          <t>No</t>
        </is>
      </c>
      <c r="AF165" s="723" t="n"/>
      <c r="AG165" s="723" t="n"/>
      <c r="AH165" s="920" t="n"/>
      <c r="AJ165" t="str">
        <f>IFERROR(INDEX(Lists!$U$1:$U$18,MATCH($I165,Lists!$T$1:$T$18,0)),"?")</f>
        <v>Customer</v>
      </c>
      <c r="AK165" t="str">
        <f>IF(LOWER($Q165)="v","Vacant",IF(LOWER($Q165)="pause","Paused",IF(LOWER($Q165)="cxc","Contractor",IF($Q165="Contractor","Contractor","Filled"))))</f>
        <v>Filled</v>
      </c>
      <c r="AL165" t="str">
        <f>IF($M165="NZ","NZ","AU")</f>
        <v>NZ</v>
      </c>
      <c r="AM165">
        <f>COUNTIF($AJ$2:$AJ165,$AJ165)</f>
        <v>58.0</v>
      </c>
      <c r="AN165" t="str">
        <f>$AJ165&amp;"|"&amp;$AM165</f>
        <v>Customer|58</v>
      </c>
    </row>
    <row r="166" ht="18" customHeight="1" s="849">
      <c r="A166" s="714" t="inlineStr">
        <is>
          <t>c</t>
        </is>
      </c>
      <c r="B166" s="715" t="inlineStr">
        <is>
          <t>Shreema Das</t>
        </is>
      </c>
      <c r="C166" s="715" t="inlineStr">
        <is>
          <t>Solution Architect</t>
        </is>
      </c>
      <c r="D166" s="715" t="inlineStr">
        <is>
          <t>Mitesh Shah</t>
        </is>
      </c>
      <c r="E166" s="715" t="inlineStr">
        <is>
          <t>Technology Manager, Digitial</t>
        </is>
      </c>
      <c r="F166" s="716" t="inlineStr">
        <is>
          <t>Customer</t>
        </is>
      </c>
      <c r="G166" s="705" t="inlineStr">
        <is>
          <t>Digital</t>
        </is>
      </c>
      <c r="H166" s="715" t="inlineStr">
        <is>
          <t>Digital, Tech</t>
        </is>
      </c>
      <c r="I166" s="705" t="inlineStr">
        <is>
          <t>Customer</t>
        </is>
      </c>
      <c r="J166" s="715" t="inlineStr">
        <is>
          <t>Ampol Digital</t>
        </is>
      </c>
      <c r="K166" s="715" t="inlineStr">
        <is>
          <t>Digital Ops Support</t>
        </is>
      </c>
      <c r="L166" s="705" t="n"/>
      <c r="M166" s="717" t="inlineStr">
        <is>
          <t>Australia</t>
        </is>
      </c>
      <c r="N166" s="705" t="inlineStr">
        <is>
          <t>NA</t>
        </is>
      </c>
      <c r="O166" s="705" t="n">
        <v>1</v>
      </c>
      <c r="P166" s="705" t="n"/>
      <c r="Q166" s="715" t="inlineStr">
        <is>
          <t>Permanent - Full Time</t>
        </is>
      </c>
      <c r="R166" s="705" t="n"/>
      <c r="S166" s="705" t="n"/>
      <c r="T166" s="718" t="n">
        <v>194670</v>
      </c>
      <c r="U166" s="719" t="n">
        <v>179096.4</v>
      </c>
      <c r="V166" s="730" t="n">
        <v>0.15</v>
      </c>
      <c r="W166" s="715" t="n"/>
      <c r="X166" s="720" t="n">
        <v>0.05</v>
      </c>
      <c r="Y166" s="930" t="n">
        <v>2910</v>
      </c>
      <c r="Z166" s="720" t="n">
        <v>0.03</v>
      </c>
      <c r="AA166" s="929" t="n">
        <v>223198.572</v>
      </c>
      <c r="AB166" s="723" t="n">
        <v>113568</v>
      </c>
      <c r="AC166" s="723" t="n"/>
      <c r="AD166" s="723" t="inlineStr">
        <is>
          <t>Retain source cost</t>
        </is>
      </c>
      <c r="AE166" s="723" t="inlineStr">
        <is>
          <t>No</t>
        </is>
      </c>
      <c r="AF166" s="723" t="n"/>
      <c r="AG166" s="723" t="n"/>
      <c r="AH166" s="920" t="n"/>
      <c r="AJ166" t="str">
        <f>IFERROR(INDEX(Lists!$U$1:$U$18,MATCH($I166,Lists!$T$1:$T$18,0)),"?")</f>
        <v>Customer</v>
      </c>
      <c r="AK166" t="str">
        <f>IF(LOWER($Q166)="v","Vacant",IF(LOWER($Q166)="pause","Paused",IF(LOWER($Q166)="cxc","Contractor",IF($Q166="Contractor","Contractor","Filled"))))</f>
        <v>Filled</v>
      </c>
      <c r="AL166" t="str">
        <f>IF($M166="NZ","NZ","AU")</f>
        <v>AU</v>
      </c>
      <c r="AM166">
        <f>COUNTIF($AJ$2:$AJ166,$AJ166)</f>
        <v>59.0</v>
      </c>
      <c r="AN166" t="str">
        <f>$AJ166&amp;"|"&amp;$AM166</f>
        <v>Customer|59</v>
      </c>
    </row>
    <row r="167" ht="18" customHeight="1" s="849">
      <c r="A167" s="714" t="n">
        <v>117595</v>
      </c>
      <c r="B167" s="715" t="inlineStr">
        <is>
          <t>Sri Balan Raj</t>
        </is>
      </c>
      <c r="C167" s="715" t="inlineStr">
        <is>
          <t>Business Analyst</t>
        </is>
      </c>
      <c r="D167" s="705" t="inlineStr">
        <is>
          <t>Vacant</t>
        </is>
      </c>
      <c r="E167" s="715" t="inlineStr">
        <is>
          <t>Delivery Manager, Digital</t>
        </is>
      </c>
      <c r="F167" s="716" t="inlineStr">
        <is>
          <t>Customer</t>
        </is>
      </c>
      <c r="G167" s="705" t="inlineStr">
        <is>
          <t>Digital</t>
        </is>
      </c>
      <c r="H167" s="705" t="inlineStr">
        <is>
          <t>Digital, Delivery</t>
        </is>
      </c>
      <c r="I167" s="883" t="inlineStr">
        <is>
          <t>Ampol Customer</t>
        </is>
      </c>
      <c r="J167" s="715" t="inlineStr">
        <is>
          <t>EGI</t>
        </is>
      </c>
      <c r="K167" s="715" t="inlineStr">
        <is>
          <t>EGI Customer</t>
        </is>
      </c>
      <c r="L167" s="705" t="n"/>
      <c r="M167" s="717" t="inlineStr">
        <is>
          <t>Australia</t>
        </is>
      </c>
      <c r="N167" s="705" t="inlineStr">
        <is>
          <t>CIB</t>
        </is>
      </c>
      <c r="O167" s="705" t="n">
        <v>1</v>
      </c>
      <c r="P167" s="705" t="n"/>
      <c r="Q167" s="705" t="inlineStr">
        <is>
          <t>Permanent - Full Time</t>
        </is>
      </c>
      <c r="R167" s="705" t="n"/>
      <c r="S167" s="705" t="n"/>
      <c r="T167" s="718" t="n">
        <v>222190</v>
      </c>
      <c r="U167" s="719" t="n">
        <v>222190</v>
      </c>
      <c r="V167" s="720" t="n">
        <v>0.14</v>
      </c>
      <c r="W167" s="928" t="n">
        <v>0.055</v>
      </c>
      <c r="X167" s="928" t="n">
        <v>0.12</v>
      </c>
      <c r="Y167" s="928" t="n"/>
      <c r="Z167" s="928" t="n">
        <v>0.04</v>
      </c>
      <c r="AA167" s="929" t="n">
        <v>301067.45</v>
      </c>
      <c r="AB167" s="723" t="n"/>
      <c r="AC167" s="723" t="n"/>
      <c r="AD167" s="723" t="inlineStr">
        <is>
          <t>Retain source cost</t>
        </is>
      </c>
      <c r="AE167" s="723" t="inlineStr">
        <is>
          <t>No</t>
        </is>
      </c>
      <c r="AF167" s="723" t="n"/>
      <c r="AG167" s="723" t="n"/>
      <c r="AH167" s="920" t="n"/>
      <c r="AJ167" t="str">
        <f>IFERROR(INDEX(Lists!$U$1:$U$18,MATCH($I167,Lists!$T$1:$T$18,0)),"?")</f>
        <v>Customer</v>
      </c>
      <c r="AK167" t="str">
        <f>IF(LOWER($Q167)="v","Vacant",IF(LOWER($Q167)="pause","Paused",IF(LOWER($Q167)="cxc","Contractor",IF($Q167="Contractor","Contractor","Filled"))))</f>
        <v>Filled</v>
      </c>
      <c r="AL167" t="str">
        <f>IF($M167="NZ","NZ","AU")</f>
        <v>AU</v>
      </c>
      <c r="AM167">
        <f>COUNTIF($AJ$2:$AJ167,$AJ167)</f>
        <v>60.0</v>
      </c>
      <c r="AN167" t="str">
        <f>$AJ167&amp;"|"&amp;$AM167</f>
        <v>Customer|60</v>
      </c>
    </row>
    <row r="168" ht="18" customHeight="1" s="849">
      <c r="A168" s="714" t="inlineStr">
        <is>
          <t>C</t>
        </is>
      </c>
      <c r="B168" s="715" t="inlineStr">
        <is>
          <t>Swapnil Pithwa</t>
        </is>
      </c>
      <c r="C168" s="715" t="inlineStr">
        <is>
          <t>Engineer - BE</t>
        </is>
      </c>
      <c r="D168" s="715" t="inlineStr">
        <is>
          <t>Vacant</t>
        </is>
      </c>
      <c r="E168" s="715" t="inlineStr">
        <is>
          <t>Technology Manager, Digital Engineering</t>
        </is>
      </c>
      <c r="F168" s="716" t="inlineStr">
        <is>
          <t>Customer</t>
        </is>
      </c>
      <c r="G168" s="705" t="inlineStr">
        <is>
          <t>Digital</t>
        </is>
      </c>
      <c r="H168" s="705" t="inlineStr">
        <is>
          <t>Tech, Digital Engineering</t>
        </is>
      </c>
      <c r="I168" s="883" t="inlineStr">
        <is>
          <t>Ampol Customer</t>
        </is>
      </c>
      <c r="J168" s="715" t="inlineStr">
        <is>
          <t>EGI</t>
        </is>
      </c>
      <c r="K168" s="715" t="inlineStr">
        <is>
          <t>EGI Customer</t>
        </is>
      </c>
      <c r="L168" s="705" t="n"/>
      <c r="M168" s="717" t="inlineStr">
        <is>
          <t>Australia</t>
        </is>
      </c>
      <c r="N168" s="705" t="inlineStr">
        <is>
          <t>NA</t>
        </is>
      </c>
      <c r="O168" s="705" t="n">
        <v>1</v>
      </c>
      <c r="P168" s="705" t="n"/>
      <c r="Q168" s="715" t="inlineStr">
        <is>
          <t>Permanent - Full Time</t>
        </is>
      </c>
      <c r="R168" s="705" t="n"/>
      <c r="S168" s="705" t="n"/>
      <c r="T168" s="718" t="n">
        <v>230470</v>
      </c>
      <c r="U168" s="719" t="n">
        <v>212032.4</v>
      </c>
      <c r="V168" s="730" t="n">
        <v>0.2</v>
      </c>
      <c r="W168" s="705" t="n"/>
      <c r="X168" s="720" t="n">
        <v>0.05</v>
      </c>
      <c r="Y168" s="930" t="n">
        <v>2910</v>
      </c>
      <c r="Z168" s="720" t="n">
        <v>0.03</v>
      </c>
      <c r="AA168" s="929" t="n">
        <v>274311.472</v>
      </c>
      <c r="AB168" s="723" t="n">
        <v>113616</v>
      </c>
      <c r="AC168" s="723" t="n"/>
      <c r="AD168" s="723" t="inlineStr">
        <is>
          <t>Retain source cost</t>
        </is>
      </c>
      <c r="AE168" s="723" t="inlineStr">
        <is>
          <t>No</t>
        </is>
      </c>
      <c r="AF168" s="723" t="n"/>
      <c r="AG168" s="723" t="n"/>
      <c r="AH168" s="920" t="n"/>
      <c r="AJ168" t="str">
        <f>IFERROR(INDEX(Lists!$U$1:$U$18,MATCH($I168,Lists!$T$1:$T$18,0)),"?")</f>
        <v>Customer</v>
      </c>
      <c r="AK168" t="str">
        <f>IF(LOWER($Q168)="v","Vacant",IF(LOWER($Q168)="pause","Paused",IF(LOWER($Q168)="cxc","Contractor",IF($Q168="Contractor","Contractor","Filled"))))</f>
        <v>Filled</v>
      </c>
      <c r="AL168" t="str">
        <f>IF($M168="NZ","NZ","AU")</f>
        <v>AU</v>
      </c>
      <c r="AM168">
        <f>COUNTIF($AJ$2:$AJ168,$AJ168)</f>
        <v>61.0</v>
      </c>
      <c r="AN168" t="str">
        <f>$AJ168&amp;"|"&amp;$AM168</f>
        <v>Customer|61</v>
      </c>
    </row>
    <row r="169" ht="18" customHeight="1" s="849">
      <c r="A169" s="714" t="n">
        <v>99999101757</v>
      </c>
      <c r="B169" s="715" t="inlineStr">
        <is>
          <t>Tim Corin</t>
        </is>
      </c>
      <c r="C169" s="715" t="inlineStr">
        <is>
          <t>Experience Designer</t>
        </is>
      </c>
      <c r="D169" s="715" t="inlineStr">
        <is>
          <t>Byron Thornhill</t>
        </is>
      </c>
      <c r="E169" s="715" t="inlineStr">
        <is>
          <t>Design Manager</t>
        </is>
      </c>
      <c r="F169" s="716" t="inlineStr">
        <is>
          <t>Customer</t>
        </is>
      </c>
      <c r="G169" s="705" t="inlineStr">
        <is>
          <t>Digital</t>
        </is>
      </c>
      <c r="H169" s="705" t="inlineStr">
        <is>
          <t>Digital, Design</t>
        </is>
      </c>
      <c r="I169" s="715" t="inlineStr">
        <is>
          <t>Customer</t>
        </is>
      </c>
      <c r="J169" s="715" t="inlineStr">
        <is>
          <t>Customer Z</t>
        </is>
      </c>
      <c r="K169" s="715" t="inlineStr">
        <is>
          <t>Z Energy Apps</t>
        </is>
      </c>
      <c r="L169" s="705" t="n"/>
      <c r="M169" s="717" t="inlineStr">
        <is>
          <t>NZ</t>
        </is>
      </c>
      <c r="N169" s="705" t="inlineStr">
        <is>
          <t>CIC</t>
        </is>
      </c>
      <c r="O169" s="715" t="n">
        <v>1</v>
      </c>
      <c r="P169" s="705" t="n"/>
      <c r="Q169" s="705" t="inlineStr">
        <is>
          <t>V</t>
        </is>
      </c>
      <c r="R169" s="705" t="n"/>
      <c r="S169" s="705" t="n"/>
      <c r="T169" s="718" t="n">
        <v>203550</v>
      </c>
      <c r="U169" s="719" t="n">
        <v>203550</v>
      </c>
      <c r="V169" s="720" t="n">
        <v>0.14</v>
      </c>
      <c r="W169" s="928" t="n">
        <v>0.055</v>
      </c>
      <c r="X169" s="928" t="n">
        <v>0.12</v>
      </c>
      <c r="Y169" s="928" t="n"/>
      <c r="Z169" s="928" t="n">
        <v>0.04</v>
      </c>
      <c r="AA169" s="929" t="n">
        <v>275810.25</v>
      </c>
      <c r="AB169" s="723" t="n"/>
      <c r="AC169" s="723" t="n"/>
      <c r="AD169" s="723" t="inlineStr">
        <is>
          <t>Retain source cost</t>
        </is>
      </c>
      <c r="AE169" s="723" t="inlineStr">
        <is>
          <t>No</t>
        </is>
      </c>
      <c r="AF169" s="723" t="n"/>
      <c r="AG169" s="723" t="n"/>
      <c r="AH169" s="920" t="n"/>
      <c r="AJ169" t="str">
        <f>IFERROR(INDEX(Lists!$U$1:$U$18,MATCH($I169,Lists!$T$1:$T$18,0)),"?")</f>
        <v>Customer</v>
      </c>
      <c r="AK169" t="str">
        <f>IF(LOWER($Q169)="v","Vacant",IF(LOWER($Q169)="pause","Paused",IF(LOWER($Q169)="cxc","Contractor",IF($Q169="Contractor","Contractor","Filled"))))</f>
        <v>Vacant</v>
      </c>
      <c r="AL169" t="str">
        <f>IF($M169="NZ","NZ","AU")</f>
        <v>NZ</v>
      </c>
      <c r="AM169">
        <f>COUNTIF($AJ$2:$AJ169,$AJ169)</f>
        <v>62.0</v>
      </c>
      <c r="AN169" t="str">
        <f>$AJ169&amp;"|"&amp;$AM169</f>
        <v>Customer|62</v>
      </c>
    </row>
    <row r="170" ht="18" customHeight="1" s="849">
      <c r="A170" s="714" t="n">
        <v>115964</v>
      </c>
      <c r="B170" s="715" t="inlineStr">
        <is>
          <t>Toby Clark</t>
        </is>
      </c>
      <c r="C170" s="715" t="inlineStr">
        <is>
          <t>Engineer - Mobile (iOS)</t>
        </is>
      </c>
      <c r="D170" s="715" t="inlineStr">
        <is>
          <t>Mitesh Shah</t>
        </is>
      </c>
      <c r="E170" s="715" t="inlineStr">
        <is>
          <t>Technology Manager, Digitial</t>
        </is>
      </c>
      <c r="F170" s="716" t="inlineStr">
        <is>
          <t>Customer</t>
        </is>
      </c>
      <c r="G170" s="705" t="inlineStr">
        <is>
          <t>Digital</t>
        </is>
      </c>
      <c r="H170" s="715" t="inlineStr">
        <is>
          <t>Digital, Tech</t>
        </is>
      </c>
      <c r="I170" s="705" t="inlineStr">
        <is>
          <t>Customer</t>
        </is>
      </c>
      <c r="J170" s="715" t="inlineStr">
        <is>
          <t>Ampol Digital</t>
        </is>
      </c>
      <c r="K170" s="715" t="inlineStr">
        <is>
          <t>Ampol App</t>
        </is>
      </c>
      <c r="L170" s="705" t="n"/>
      <c r="M170" s="717" t="inlineStr">
        <is>
          <t>Australia</t>
        </is>
      </c>
      <c r="N170" s="705" t="inlineStr">
        <is>
          <t>CIB</t>
        </is>
      </c>
      <c r="O170" s="705" t="n">
        <v>1</v>
      </c>
      <c r="P170" s="705" t="n"/>
      <c r="Q170" s="705" t="inlineStr">
        <is>
          <t>V</t>
        </is>
      </c>
      <c r="R170" s="705" t="n"/>
      <c r="S170" s="705" t="n"/>
      <c r="T170" s="718" t="n">
        <v>203550</v>
      </c>
      <c r="U170" s="719" t="n">
        <v>203550</v>
      </c>
      <c r="V170" s="720" t="n">
        <v>0.14</v>
      </c>
      <c r="W170" s="928" t="n">
        <v>0.055</v>
      </c>
      <c r="X170" s="928" t="n">
        <v>0.12</v>
      </c>
      <c r="Y170" s="928" t="n"/>
      <c r="Z170" s="928" t="n">
        <v>0.04</v>
      </c>
      <c r="AA170" s="929" t="n">
        <v>275810.25</v>
      </c>
      <c r="AB170" s="723" t="n"/>
      <c r="AC170" s="723" t="n"/>
      <c r="AD170" s="723" t="inlineStr">
        <is>
          <t>Retain source cost</t>
        </is>
      </c>
      <c r="AE170" s="723" t="inlineStr">
        <is>
          <t>No</t>
        </is>
      </c>
      <c r="AF170" s="723" t="n"/>
      <c r="AG170" s="723" t="n"/>
      <c r="AH170" s="920" t="n"/>
      <c r="AJ170" t="str">
        <f>IFERROR(INDEX(Lists!$U$1:$U$18,MATCH($I170,Lists!$T$1:$T$18,0)),"?")</f>
        <v>Customer</v>
      </c>
      <c r="AK170" t="str">
        <f>IF(LOWER($Q170)="v","Vacant",IF(LOWER($Q170)="pause","Paused",IF(LOWER($Q170)="cxc","Contractor",IF($Q170="Contractor","Contractor","Filled"))))</f>
        <v>Vacant</v>
      </c>
      <c r="AL170" t="str">
        <f>IF($M170="NZ","NZ","AU")</f>
        <v>AU</v>
      </c>
      <c r="AM170">
        <f>COUNTIF($AJ$2:$AJ170,$AJ170)</f>
        <v>63.0</v>
      </c>
      <c r="AN170" t="str">
        <f>$AJ170&amp;"|"&amp;$AM170</f>
        <v>Customer|63</v>
      </c>
    </row>
    <row r="171" ht="18" customHeight="1" s="849">
      <c r="A171" s="714" t="inlineStr">
        <is>
          <t>V</t>
        </is>
      </c>
      <c r="B171" s="705" t="inlineStr">
        <is>
          <t>Vacant</t>
        </is>
      </c>
      <c r="C171" s="705" t="inlineStr">
        <is>
          <t>Engineer, Software</t>
        </is>
      </c>
      <c r="D171" s="705" t="inlineStr">
        <is>
          <t>Vacant</t>
        </is>
      </c>
      <c r="E171" s="705" t="inlineStr">
        <is>
          <t>Technology Manager, Data &amp; Engineering</t>
        </is>
      </c>
      <c r="F171" s="716" t="inlineStr">
        <is>
          <t>Customer</t>
        </is>
      </c>
      <c r="G171" s="705" t="inlineStr">
        <is>
          <t>Loyalty &amp; Martech</t>
        </is>
      </c>
      <c r="H171" s="715" t="inlineStr">
        <is>
          <t>Loyalty, Data &amp; Engineering</t>
        </is>
      </c>
      <c r="I171" s="715" t="inlineStr">
        <is>
          <t>Customer</t>
        </is>
      </c>
      <c r="J171" s="705" t="inlineStr">
        <is>
          <t>Customer Z</t>
        </is>
      </c>
      <c r="K171" s="705" t="inlineStr">
        <is>
          <t>Z Energy Martech</t>
        </is>
      </c>
      <c r="L171" s="705" t="n"/>
      <c r="M171" s="717" t="inlineStr">
        <is>
          <t>Australia</t>
        </is>
      </c>
      <c r="N171" s="705" t="inlineStr">
        <is>
          <t>CIB</t>
        </is>
      </c>
      <c r="O171" s="705" t="n">
        <v>1</v>
      </c>
      <c r="P171" s="705" t="n"/>
      <c r="Q171" s="715" t="inlineStr">
        <is>
          <t>Temporary - Full Time</t>
        </is>
      </c>
      <c r="R171" s="705" t="n"/>
      <c r="S171" s="705" t="n"/>
      <c r="T171" s="718" t="n">
        <v>135000</v>
      </c>
      <c r="U171" s="719" t="n">
        <v>124200</v>
      </c>
      <c r="V171" s="730" t="n">
        <v>0.15</v>
      </c>
      <c r="W171" s="715" t="n"/>
      <c r="X171" s="720" t="n">
        <v>0.05</v>
      </c>
      <c r="Y171" s="930" t="n">
        <v>2910</v>
      </c>
      <c r="Z171" s="720" t="n">
        <v>0.03</v>
      </c>
      <c r="AA171" s="929" t="n">
        <v>155676</v>
      </c>
      <c r="AB171" s="723" t="n">
        <v>117426</v>
      </c>
      <c r="AC171" s="723" t="n"/>
      <c r="AD171" s="723" t="inlineStr">
        <is>
          <t>Retain source cost</t>
        </is>
      </c>
      <c r="AE171" s="723" t="inlineStr">
        <is>
          <t>No</t>
        </is>
      </c>
      <c r="AF171" s="723" t="n"/>
      <c r="AG171" s="723" t="n"/>
      <c r="AJ171" t="str">
        <f>IFERROR(INDEX(Lists!$U$1:$U$18,MATCH($I171,Lists!$T$1:$T$18,0)),"?")</f>
        <v>Customer</v>
      </c>
      <c r="AK171" t="str">
        <f>IF(LOWER($Q171)="v","Vacant",IF(LOWER($Q171)="pause","Paused",IF(LOWER($Q171)="cxc","Contractor",IF($Q171="Contractor","Contractor","Filled"))))</f>
        <v>Filled</v>
      </c>
      <c r="AL171" t="str">
        <f>IF($M171="NZ","NZ","AU")</f>
        <v>AU</v>
      </c>
      <c r="AM171">
        <f>COUNTIF($AJ$2:$AJ171,$AJ171)</f>
        <v>64.0</v>
      </c>
      <c r="AN171" t="str">
        <f>$AJ171&amp;"|"&amp;$AM171</f>
        <v>Customer|64</v>
      </c>
    </row>
    <row r="172" ht="18" customHeight="1" s="849">
      <c r="A172" s="714" t="inlineStr">
        <is>
          <t>V</t>
        </is>
      </c>
      <c r="B172" s="715" t="inlineStr">
        <is>
          <t>Vacant</t>
        </is>
      </c>
      <c r="C172" s="715" t="inlineStr">
        <is>
          <t>Snr Engineer - BE</t>
        </is>
      </c>
      <c r="D172" s="715" t="inlineStr">
        <is>
          <t>Jin Zhong</t>
        </is>
      </c>
      <c r="E172" s="715" t="inlineStr">
        <is>
          <t>Lead Engineer - BE</t>
        </is>
      </c>
      <c r="F172" s="716" t="inlineStr">
        <is>
          <t>Customer</t>
        </is>
      </c>
      <c r="G172" s="705" t="inlineStr">
        <is>
          <t>Digital</t>
        </is>
      </c>
      <c r="H172" s="705" t="inlineStr">
        <is>
          <t>Tech, Digital Engineering</t>
        </is>
      </c>
      <c r="I172" s="705" t="inlineStr">
        <is>
          <t>Customer</t>
        </is>
      </c>
      <c r="J172" s="715" t="inlineStr">
        <is>
          <t>Ampol Digital</t>
        </is>
      </c>
      <c r="K172" s="715" t="inlineStr">
        <is>
          <t>Ampol Web</t>
        </is>
      </c>
      <c r="L172" s="705" t="n"/>
      <c r="M172" s="717" t="inlineStr">
        <is>
          <t>NZ</t>
        </is>
      </c>
      <c r="N172" s="705" t="inlineStr">
        <is>
          <t>CIB</t>
        </is>
      </c>
      <c r="O172" s="705" t="n">
        <v>1</v>
      </c>
      <c r="P172" s="705" t="n"/>
      <c r="Q172" s="715" t="inlineStr">
        <is>
          <t>Permanent - Full Time</t>
        </is>
      </c>
      <c r="R172" s="705" t="n"/>
      <c r="S172" s="705" t="n"/>
      <c r="T172" s="718" t="n">
        <v>119630</v>
      </c>
      <c r="U172" s="719" t="n">
        <v>110059.6</v>
      </c>
      <c r="V172" s="730" t="n">
        <v>0.15</v>
      </c>
      <c r="W172" s="715" t="n"/>
      <c r="X172" s="720" t="n">
        <v>0.05</v>
      </c>
      <c r="Y172" s="930" t="n">
        <v>2910</v>
      </c>
      <c r="Z172" s="720" t="n">
        <v>0.03</v>
      </c>
      <c r="AA172" s="929" t="n">
        <v>138283.308</v>
      </c>
      <c r="AB172" s="723" t="n">
        <v>115807</v>
      </c>
      <c r="AC172" s="723" t="n"/>
      <c r="AD172" s="723" t="inlineStr">
        <is>
          <t>Retain source cost</t>
        </is>
      </c>
      <c r="AE172" s="723" t="inlineStr">
        <is>
          <t>No</t>
        </is>
      </c>
      <c r="AF172" s="723" t="n"/>
      <c r="AG172" s="723" t="n"/>
      <c r="AJ172" t="str">
        <f>IFERROR(INDEX(Lists!$U$1:$U$18,MATCH($I172,Lists!$T$1:$T$18,0)),"?")</f>
        <v>Customer</v>
      </c>
      <c r="AK172" t="str">
        <f>IF(LOWER($Q172)="v","Vacant",IF(LOWER($Q172)="pause","Paused",IF(LOWER($Q172)="cxc","Contractor",IF($Q172="Contractor","Contractor","Filled"))))</f>
        <v>Filled</v>
      </c>
      <c r="AL172" t="str">
        <f>IF($M172="NZ","NZ","AU")</f>
        <v>NZ</v>
      </c>
      <c r="AM172">
        <f>COUNTIF($AJ$2:$AJ172,$AJ172)</f>
        <v>65.0</v>
      </c>
      <c r="AN172" t="str">
        <f>$AJ172&amp;"|"&amp;$AM172</f>
        <v>Customer|65</v>
      </c>
    </row>
    <row r="173" ht="18" customHeight="1" s="849">
      <c r="A173" s="714" t="inlineStr">
        <is>
          <t>V</t>
        </is>
      </c>
      <c r="B173" s="715" t="inlineStr">
        <is>
          <t>Vacant</t>
        </is>
      </c>
      <c r="C173" s="705" t="inlineStr">
        <is>
          <t>Engineer, (TBD)</t>
        </is>
      </c>
      <c r="D173" s="705" t="inlineStr">
        <is>
          <t>Vacant</t>
        </is>
      </c>
      <c r="E173" s="705" t="inlineStr">
        <is>
          <t>AI Enablement Lead</t>
        </is>
      </c>
      <c r="F173" s="716" t="inlineStr">
        <is>
          <t>Customer</t>
        </is>
      </c>
      <c r="G173" s="705" t="inlineStr">
        <is>
          <t>Customer, AI Enablement</t>
        </is>
      </c>
      <c r="H173" s="705" t="n"/>
      <c r="I173" s="705" t="inlineStr">
        <is>
          <t>Customer</t>
        </is>
      </c>
      <c r="J173" s="705" t="inlineStr">
        <is>
          <t>(All Customer)</t>
        </is>
      </c>
      <c r="K173" s="715" t="inlineStr">
        <is>
          <t>Customer, AI</t>
        </is>
      </c>
      <c r="L173" s="705" t="n"/>
      <c r="M173" s="717" t="inlineStr">
        <is>
          <t>Australia</t>
        </is>
      </c>
      <c r="N173" s="705" t="inlineStr">
        <is>
          <t>CIB</t>
        </is>
      </c>
      <c r="O173" s="705" t="n">
        <v>1</v>
      </c>
      <c r="P173" s="705" t="n"/>
      <c r="Q173" s="715" t="inlineStr">
        <is>
          <t>Permanent - Full Time</t>
        </is>
      </c>
      <c r="R173" s="705" t="n"/>
      <c r="S173" s="705" t="n"/>
      <c r="T173" s="718" t="n">
        <v>142000</v>
      </c>
      <c r="U173" s="719" t="n">
        <v>130640</v>
      </c>
      <c r="V173" s="730" t="n">
        <v>0.15</v>
      </c>
      <c r="W173" s="705" t="n"/>
      <c r="X173" s="720" t="n">
        <v>0.05</v>
      </c>
      <c r="Y173" s="930" t="n">
        <v>2910</v>
      </c>
      <c r="Z173" s="720" t="n">
        <v>0.03</v>
      </c>
      <c r="AA173" s="929" t="n">
        <v>163597.2</v>
      </c>
      <c r="AB173" s="723" t="n">
        <v>113618</v>
      </c>
      <c r="AC173" s="723" t="n"/>
      <c r="AD173" s="723" t="inlineStr">
        <is>
          <t>Hold AI Enablement engineering role</t>
        </is>
      </c>
      <c r="AE173" s="723" t="inlineStr">
        <is>
          <t>No</t>
        </is>
      </c>
      <c r="AF173" s="723" t="n"/>
      <c r="AG173" s="723" t="n"/>
      <c r="AJ173" t="str">
        <f>IFERROR(INDEX(Lists!$U$1:$U$18,MATCH($I173,Lists!$T$1:$T$18,0)),"?")</f>
        <v>Customer</v>
      </c>
      <c r="AK173" t="str">
        <f>IF(LOWER($Q173)="v","Vacant",IF(LOWER($Q173)="pause","Paused",IF(LOWER($Q173)="cxc","Contractor",IF($Q173="Contractor","Contractor","Filled"))))</f>
        <v>Filled</v>
      </c>
      <c r="AL173" t="str">
        <f>IF($M173="NZ","NZ","AU")</f>
        <v>AU</v>
      </c>
      <c r="AM173">
        <f>COUNTIF($AJ$2:$AJ173,$AJ173)</f>
        <v>66.0</v>
      </c>
      <c r="AN173" t="str">
        <f>$AJ173&amp;"|"&amp;$AM173</f>
        <v>Customer|66</v>
      </c>
    </row>
    <row r="174" ht="18" customHeight="1" s="849">
      <c r="A174" s="714" t="inlineStr">
        <is>
          <t>V</t>
        </is>
      </c>
      <c r="B174" s="705" t="inlineStr">
        <is>
          <t>Vacant</t>
        </is>
      </c>
      <c r="C174" s="705" t="inlineStr">
        <is>
          <t>Engineer Data (Snowflake)</t>
        </is>
      </c>
      <c r="D174" s="705" t="inlineStr">
        <is>
          <t>Vacant</t>
        </is>
      </c>
      <c r="E174" s="705" t="inlineStr">
        <is>
          <t>Technology Manager, Data &amp; Engineering</t>
        </is>
      </c>
      <c r="F174" s="716" t="inlineStr">
        <is>
          <t>Customer</t>
        </is>
      </c>
      <c r="G174" s="705" t="inlineStr">
        <is>
          <t>Loyalty &amp; Martech</t>
        </is>
      </c>
      <c r="H174" s="715" t="inlineStr">
        <is>
          <t>Loyalty, Data &amp; Engineering</t>
        </is>
      </c>
      <c r="I174" s="715" t="inlineStr">
        <is>
          <t>Customer</t>
        </is>
      </c>
      <c r="J174" s="705" t="inlineStr">
        <is>
          <t>Group Customer</t>
        </is>
      </c>
      <c r="K174" s="715" t="inlineStr">
        <is>
          <t>AU CRM &amp; Martech</t>
        </is>
      </c>
      <c r="L174" s="705" t="n"/>
      <c r="M174" s="717" t="inlineStr">
        <is>
          <t>Australia</t>
        </is>
      </c>
      <c r="N174" s="705" t="inlineStr">
        <is>
          <t>CIB</t>
        </is>
      </c>
      <c r="O174" s="705" t="n">
        <v>1</v>
      </c>
      <c r="P174" s="705" t="n"/>
      <c r="Q174" s="715" t="inlineStr">
        <is>
          <t>Permanent - Full Time</t>
        </is>
      </c>
      <c r="R174" s="705" t="n"/>
      <c r="S174" s="705" t="n"/>
      <c r="T174" s="718" t="n">
        <v>162180</v>
      </c>
      <c r="U174" s="719" t="n">
        <v>149205.6</v>
      </c>
      <c r="V174" s="730" t="n">
        <v>0.15</v>
      </c>
      <c r="W174" s="705" t="n"/>
      <c r="X174" s="720" t="n">
        <v>0.05</v>
      </c>
      <c r="Y174" s="930" t="n">
        <v>2910</v>
      </c>
      <c r="Z174" s="720" t="n">
        <v>0.03</v>
      </c>
      <c r="AA174" s="929" t="n">
        <v>186432.888</v>
      </c>
      <c r="AB174" s="723" t="n">
        <v>113612</v>
      </c>
      <c r="AC174" s="736" t="n"/>
      <c r="AD174" s="723" t="inlineStr">
        <is>
          <t>Retain source cost</t>
        </is>
      </c>
      <c r="AE174" s="723" t="inlineStr">
        <is>
          <t>No</t>
        </is>
      </c>
      <c r="AF174" s="723" t="n"/>
      <c r="AG174" s="723" t="n"/>
      <c r="AJ174" t="str">
        <f>IFERROR(INDEX(Lists!$U$1:$U$18,MATCH($I174,Lists!$T$1:$T$18,0)),"?")</f>
        <v>Customer</v>
      </c>
      <c r="AK174" t="str">
        <f>IF(LOWER($Q174)="v","Vacant",IF(LOWER($Q174)="pause","Paused",IF(LOWER($Q174)="cxc","Contractor",IF($Q174="Contractor","Contractor","Filled"))))</f>
        <v>Filled</v>
      </c>
      <c r="AL174" t="str">
        <f>IF($M174="NZ","NZ","AU")</f>
        <v>AU</v>
      </c>
      <c r="AM174">
        <f>COUNTIF($AJ$2:$AJ174,$AJ174)</f>
        <v>67.0</v>
      </c>
      <c r="AN174" t="str">
        <f>$AJ174&amp;"|"&amp;$AM174</f>
        <v>Customer|67</v>
      </c>
    </row>
    <row r="175" ht="18" customHeight="1" s="849">
      <c r="A175" s="714" t="inlineStr">
        <is>
          <t>V</t>
        </is>
      </c>
      <c r="B175" s="715" t="inlineStr">
        <is>
          <t>Vacant</t>
        </is>
      </c>
      <c r="C175" s="715" t="inlineStr">
        <is>
          <t>Technology Manager, Engineering</t>
        </is>
      </c>
      <c r="D175" s="715" t="inlineStr">
        <is>
          <t>Shona Paul</t>
        </is>
      </c>
      <c r="E175" s="715" t="inlineStr">
        <is>
          <t>Head of Technology, Digital</t>
        </is>
      </c>
      <c r="F175" s="716" t="inlineStr">
        <is>
          <t>Customer</t>
        </is>
      </c>
      <c r="G175" s="705" t="inlineStr">
        <is>
          <t>Digital</t>
        </is>
      </c>
      <c r="H175" s="705" t="inlineStr">
        <is>
          <t>Tech, Digital Engineering</t>
        </is>
      </c>
      <c r="I175" s="705" t="inlineStr">
        <is>
          <t>Customer</t>
        </is>
      </c>
      <c r="J175" s="715" t="inlineStr">
        <is>
          <t>Ampol Digital</t>
        </is>
      </c>
      <c r="K175" s="715" t="inlineStr">
        <is>
          <t>Leadership</t>
        </is>
      </c>
      <c r="L175" s="705" t="n"/>
      <c r="M175" s="717" t="inlineStr">
        <is>
          <t>Australia</t>
        </is>
      </c>
      <c r="N175" s="705" t="inlineStr">
        <is>
          <t>CSB</t>
        </is>
      </c>
      <c r="O175" s="705" t="n">
        <v>1</v>
      </c>
      <c r="P175" s="705" t="n"/>
      <c r="Q175" s="715" t="inlineStr">
        <is>
          <t>Permanent - Full Time</t>
        </is>
      </c>
      <c r="R175" s="705" t="n"/>
      <c r="S175" s="705" t="n"/>
      <c r="T175" s="718" t="n">
        <v>170880</v>
      </c>
      <c r="U175" s="719" t="n">
        <v>157209.6</v>
      </c>
      <c r="V175" s="730" t="n">
        <v>0.15</v>
      </c>
      <c r="W175" s="705" t="n"/>
      <c r="X175" s="720" t="n">
        <v>0.05</v>
      </c>
      <c r="Y175" s="930" t="n">
        <v>2910</v>
      </c>
      <c r="Z175" s="720" t="n">
        <v>0.03</v>
      </c>
      <c r="AA175" s="929" t="n">
        <v>196277.808</v>
      </c>
      <c r="AB175" s="723" t="n">
        <v>113601</v>
      </c>
      <c r="AC175" s="723" t="n"/>
      <c r="AD175" s="723" t="inlineStr">
        <is>
          <t>Retain source cost</t>
        </is>
      </c>
      <c r="AE175" s="723" t="inlineStr">
        <is>
          <t>No</t>
        </is>
      </c>
      <c r="AF175" s="723" t="n"/>
      <c r="AG175" s="723" t="n"/>
      <c r="AH175" s="920" t="n"/>
      <c r="AJ175" t="str">
        <f>IFERROR(INDEX(Lists!$U$1:$U$18,MATCH($I175,Lists!$T$1:$T$18,0)),"?")</f>
        <v>Customer</v>
      </c>
      <c r="AK175" t="str">
        <f>IF(LOWER($Q175)="v","Vacant",IF(LOWER($Q175)="pause","Paused",IF(LOWER($Q175)="cxc","Contractor",IF($Q175="Contractor","Contractor","Filled"))))</f>
        <v>Filled</v>
      </c>
      <c r="AL175" t="str">
        <f>IF($M175="NZ","NZ","AU")</f>
        <v>AU</v>
      </c>
      <c r="AM175">
        <f>COUNTIF($AJ$2:$AJ175,$AJ175)</f>
        <v>68.0</v>
      </c>
      <c r="AN175" t="str">
        <f>$AJ175&amp;"|"&amp;$AM175</f>
        <v>Customer|68</v>
      </c>
    </row>
    <row r="176" ht="18" customHeight="1" s="849">
      <c r="A176" s="714" t="inlineStr">
        <is>
          <t>V</t>
        </is>
      </c>
      <c r="B176" s="715" t="inlineStr">
        <is>
          <t>Vacant</t>
        </is>
      </c>
      <c r="C176" s="715" t="inlineStr">
        <is>
          <t>Technology Manager – Data &amp; Engineering</t>
        </is>
      </c>
      <c r="D176" s="715" t="inlineStr">
        <is>
          <t>Andy Stewart</t>
        </is>
      </c>
      <c r="E176" s="715" t="inlineStr">
        <is>
          <t>Head of Technology, Loyalty &amp; Martech</t>
        </is>
      </c>
      <c r="F176" s="716" t="inlineStr">
        <is>
          <t>Customer</t>
        </is>
      </c>
      <c r="G176" s="705" t="inlineStr">
        <is>
          <t>Loyalty &amp; Martech</t>
        </is>
      </c>
      <c r="H176" s="715" t="inlineStr">
        <is>
          <t>Loyalty, Data &amp; Engineering</t>
        </is>
      </c>
      <c r="I176" s="715" t="inlineStr">
        <is>
          <t>Customer</t>
        </is>
      </c>
      <c r="J176" s="715" t="inlineStr">
        <is>
          <t>Customer Z, Group Customer Platforms</t>
        </is>
      </c>
      <c r="K176" s="715" t="inlineStr">
        <is>
          <t>Leadership</t>
        </is>
      </c>
      <c r="L176" s="705" t="n"/>
      <c r="M176" s="717" t="inlineStr">
        <is>
          <t>Australia</t>
        </is>
      </c>
      <c r="N176" s="705" t="inlineStr">
        <is>
          <t>CSB</t>
        </is>
      </c>
      <c r="O176" s="705" t="n">
        <v>1</v>
      </c>
      <c r="P176" s="705" t="n"/>
      <c r="Q176" s="715" t="inlineStr">
        <is>
          <t>Permanent - Part Time</t>
        </is>
      </c>
      <c r="R176" s="705" t="n"/>
      <c r="S176" s="705" t="n"/>
      <c r="T176" s="718" t="n">
        <v>128530</v>
      </c>
      <c r="U176" s="719" t="n">
        <v>118247.6</v>
      </c>
      <c r="V176" s="730" t="n">
        <v>0.15</v>
      </c>
      <c r="W176" s="705" t="n"/>
      <c r="X176" s="720" t="n">
        <v>0.05</v>
      </c>
      <c r="Y176" s="930" t="n">
        <v>2910</v>
      </c>
      <c r="Z176" s="720" t="n">
        <v>0.03</v>
      </c>
      <c r="AA176" s="929" t="n">
        <v>148354.548</v>
      </c>
      <c r="AB176" s="723" t="n">
        <v>113590</v>
      </c>
      <c r="AC176" s="723" t="n"/>
      <c r="AD176" s="723" t="inlineStr">
        <is>
          <t>Retain source cost</t>
        </is>
      </c>
      <c r="AE176" s="723" t="inlineStr">
        <is>
          <t>No</t>
        </is>
      </c>
      <c r="AF176" s="723" t="n"/>
      <c r="AG176" s="723" t="n"/>
      <c r="AH176" s="920" t="n"/>
      <c r="AJ176" t="str">
        <f>IFERROR(INDEX(Lists!$U$1:$U$18,MATCH($I176,Lists!$T$1:$T$18,0)),"?")</f>
        <v>Customer</v>
      </c>
      <c r="AK176" t="str">
        <f>IF(LOWER($Q176)="v","Vacant",IF(LOWER($Q176)="pause","Paused",IF(LOWER($Q176)="cxc","Contractor",IF($Q176="Contractor","Contractor","Filled"))))</f>
        <v>Filled</v>
      </c>
      <c r="AL176" t="str">
        <f>IF($M176="NZ","NZ","AU")</f>
        <v>AU</v>
      </c>
      <c r="AM176">
        <f>COUNTIF($AJ$2:$AJ176,$AJ176)</f>
        <v>69.0</v>
      </c>
      <c r="AN176" t="str">
        <f>$AJ176&amp;"|"&amp;$AM176</f>
        <v>Customer|69</v>
      </c>
    </row>
    <row r="177" ht="18" customHeight="1" s="849">
      <c r="A177" s="714" t="inlineStr">
        <is>
          <t>V</t>
        </is>
      </c>
      <c r="B177" s="705" t="inlineStr">
        <is>
          <t>Vacant</t>
        </is>
      </c>
      <c r="C177" s="705" t="inlineStr">
        <is>
          <t>System Specialist</t>
        </is>
      </c>
      <c r="D177" s="705" t="inlineStr">
        <is>
          <t>Vacant</t>
        </is>
      </c>
      <c r="E177" s="705" t="inlineStr">
        <is>
          <t>Delivery Manager, Loyalty</t>
        </is>
      </c>
      <c r="F177" s="716" t="inlineStr">
        <is>
          <t>Customer</t>
        </is>
      </c>
      <c r="G177" s="705" t="inlineStr">
        <is>
          <t>Loyalty &amp; Martech</t>
        </is>
      </c>
      <c r="H177" s="715" t="inlineStr">
        <is>
          <t xml:space="preserve">Loyalty, Delivery </t>
        </is>
      </c>
      <c r="I177" s="715" t="inlineStr">
        <is>
          <t>Customer</t>
        </is>
      </c>
      <c r="J177" s="705" t="inlineStr">
        <is>
          <t>Group Customer</t>
        </is>
      </c>
      <c r="K177" s="705" t="inlineStr">
        <is>
          <t>AU CRM &amp; Martech</t>
        </is>
      </c>
      <c r="L177" s="705" t="n"/>
      <c r="M177" s="717" t="inlineStr">
        <is>
          <t>Australia</t>
        </is>
      </c>
      <c r="N177" s="705" t="inlineStr">
        <is>
          <t>CIB</t>
        </is>
      </c>
      <c r="O177" s="705" t="n">
        <v>1</v>
      </c>
      <c r="P177" s="705" t="n"/>
      <c r="Q177" s="715" t="inlineStr">
        <is>
          <t>Permanent - Full Time</t>
        </is>
      </c>
      <c r="R177" s="705" t="n"/>
      <c r="S177" s="705" t="n"/>
      <c r="T177" s="718" t="n">
        <v>96140</v>
      </c>
      <c r="U177" s="719" t="n">
        <v>88448.8</v>
      </c>
      <c r="V177" s="730" t="n">
        <v>0.1</v>
      </c>
      <c r="W177" s="715" t="n"/>
      <c r="X177" s="720" t="n">
        <v>0.05</v>
      </c>
      <c r="Y177" s="930" t="n">
        <v>2910</v>
      </c>
      <c r="Z177" s="720" t="n">
        <v>0.03</v>
      </c>
      <c r="AA177" s="929" t="n">
        <v>107279.584</v>
      </c>
      <c r="AB177" s="723" t="n">
        <v>113567</v>
      </c>
      <c r="AC177" s="723" t="n"/>
      <c r="AD177" s="723" t="inlineStr">
        <is>
          <t>Wipro repriced</t>
        </is>
      </c>
      <c r="AE177" s="723" t="inlineStr">
        <is>
          <t>Yes</t>
        </is>
      </c>
      <c r="AF177" s="723" t="inlineStr">
        <is>
          <t>Systems Analyst / Mid</t>
        </is>
      </c>
      <c r="AG177" s="723" t="inlineStr">
        <is>
          <t>Offshore</t>
        </is>
      </c>
      <c r="AH177" s="920" t="n"/>
      <c r="AJ177" t="str">
        <f>IFERROR(INDEX(Lists!$U$1:$U$18,MATCH($I177,Lists!$T$1:$T$18,0)),"?")</f>
        <v>Customer</v>
      </c>
      <c r="AK177" t="str">
        <f>IF(LOWER($Q177)="v","Vacant",IF(LOWER($Q177)="pause","Paused",IF(LOWER($Q177)="cxc","Contractor",IF($Q177="Contractor","Contractor","Filled"))))</f>
        <v>Filled</v>
      </c>
      <c r="AL177" t="str">
        <f>IF($M177="NZ","NZ","AU")</f>
        <v>AU</v>
      </c>
      <c r="AM177">
        <f>COUNTIF($AJ$2:$AJ177,$AJ177)</f>
        <v>70.0</v>
      </c>
      <c r="AN177" t="str">
        <f>$AJ177&amp;"|"&amp;$AM177</f>
        <v>Customer|70</v>
      </c>
    </row>
    <row r="178" ht="18" customHeight="1" s="849">
      <c r="A178" s="714" t="inlineStr">
        <is>
          <t>V</t>
        </is>
      </c>
      <c r="B178" s="705" t="inlineStr">
        <is>
          <t>Vacant</t>
        </is>
      </c>
      <c r="C178" s="705" t="inlineStr">
        <is>
          <t>Solution Architect</t>
        </is>
      </c>
      <c r="D178" s="705" t="inlineStr">
        <is>
          <t>Kris Hamilton</t>
        </is>
      </c>
      <c r="E178" s="705" t="inlineStr">
        <is>
          <t>Technology Manager, Loyalty &amp; Martech</t>
        </is>
      </c>
      <c r="F178" s="716" t="inlineStr">
        <is>
          <t>Customer</t>
        </is>
      </c>
      <c r="G178" s="705" t="inlineStr">
        <is>
          <t>Loyalty &amp; Martech</t>
        </is>
      </c>
      <c r="H178" s="705" t="inlineStr">
        <is>
          <t>Loyalty, Tech</t>
        </is>
      </c>
      <c r="I178" s="715" t="inlineStr">
        <is>
          <t>Customer</t>
        </is>
      </c>
      <c r="J178" s="705" t="inlineStr">
        <is>
          <t>Customer Z</t>
        </is>
      </c>
      <c r="K178" s="705" t="inlineStr">
        <is>
          <t>Z Energy Martech</t>
        </is>
      </c>
      <c r="L178" s="705" t="n"/>
      <c r="M178" s="717" t="inlineStr">
        <is>
          <t>australia</t>
        </is>
      </c>
      <c r="N178" s="705" t="inlineStr">
        <is>
          <t>CIC</t>
        </is>
      </c>
      <c r="O178" s="705" t="n">
        <v>1</v>
      </c>
      <c r="P178" s="705" t="n"/>
      <c r="Q178" s="715" t="inlineStr">
        <is>
          <t>Permanent - Part Time</t>
        </is>
      </c>
      <c r="R178" s="705" t="n"/>
      <c r="S178" s="705" t="n"/>
      <c r="T178" s="718" t="n">
        <v>169080</v>
      </c>
      <c r="U178" s="719" t="n">
        <v>155553.6</v>
      </c>
      <c r="V178" s="730" t="n">
        <v>0.15</v>
      </c>
      <c r="W178" s="715" t="n"/>
      <c r="X178" s="720" t="n">
        <v>0.05</v>
      </c>
      <c r="Y178" s="930" t="n">
        <v>2910</v>
      </c>
      <c r="Z178" s="720" t="n">
        <v>0.03</v>
      </c>
      <c r="AA178" s="929" t="n">
        <v>194240.928</v>
      </c>
      <c r="AB178" s="723" t="n">
        <v>113565</v>
      </c>
      <c r="AC178" s="723" t="n"/>
      <c r="AD178" s="723" t="inlineStr">
        <is>
          <t>Retain source cost</t>
        </is>
      </c>
      <c r="AE178" s="723" t="inlineStr">
        <is>
          <t>No</t>
        </is>
      </c>
      <c r="AF178" s="723" t="n"/>
      <c r="AG178" s="723" t="n"/>
      <c r="AJ178" t="str">
        <f>IFERROR(INDEX(Lists!$U$1:$U$18,MATCH($I178,Lists!$T$1:$T$18,0)),"?")</f>
        <v>Customer</v>
      </c>
      <c r="AK178" t="str">
        <f>IF(LOWER($Q178)="v","Vacant",IF(LOWER($Q178)="pause","Paused",IF(LOWER($Q178)="cxc","Contractor",IF($Q178="Contractor","Contractor","Filled"))))</f>
        <v>Filled</v>
      </c>
      <c r="AL178" t="str">
        <f>IF($M178="NZ","NZ","AU")</f>
        <v>AU</v>
      </c>
      <c r="AM178">
        <f>COUNTIF($AJ$2:$AJ178,$AJ178)</f>
        <v>71.0</v>
      </c>
      <c r="AN178" t="str">
        <f>$AJ178&amp;"|"&amp;$AM178</f>
        <v>Customer|71</v>
      </c>
    </row>
    <row r="179" ht="18" customHeight="1" s="849">
      <c r="A179" s="714" t="inlineStr">
        <is>
          <t>V</t>
        </is>
      </c>
      <c r="B179" s="705" t="inlineStr">
        <is>
          <t>Vacant</t>
        </is>
      </c>
      <c r="C179" s="705" t="inlineStr">
        <is>
          <t>Snr Engineer, Data</t>
        </is>
      </c>
      <c r="D179" s="705" t="inlineStr">
        <is>
          <t>Vacant</t>
        </is>
      </c>
      <c r="E179" s="705" t="inlineStr">
        <is>
          <t>Technology Manager, Data &amp; Engineering</t>
        </is>
      </c>
      <c r="F179" s="716" t="inlineStr">
        <is>
          <t>Customer</t>
        </is>
      </c>
      <c r="G179" s="705" t="inlineStr">
        <is>
          <t>Loyalty &amp; Martech</t>
        </is>
      </c>
      <c r="H179" s="715" t="inlineStr">
        <is>
          <t>Loyalty, Data &amp; Engineering</t>
        </is>
      </c>
      <c r="I179" s="715" t="inlineStr">
        <is>
          <t>Customer</t>
        </is>
      </c>
      <c r="J179" s="705" t="inlineStr">
        <is>
          <t>Customer Z</t>
        </is>
      </c>
      <c r="K179" s="705" t="inlineStr">
        <is>
          <t>Z Energy Martech</t>
        </is>
      </c>
      <c r="L179" s="705" t="n"/>
      <c r="M179" s="717" t="inlineStr">
        <is>
          <t>Australia</t>
        </is>
      </c>
      <c r="N179" s="705" t="inlineStr">
        <is>
          <t>CIB</t>
        </is>
      </c>
      <c r="O179" s="705" t="n">
        <v>1</v>
      </c>
      <c r="P179" s="705" t="n"/>
      <c r="Q179" s="715" t="inlineStr">
        <is>
          <t>Permanent - Full Time</t>
        </is>
      </c>
      <c r="R179" s="705" t="n"/>
      <c r="S179" s="705" t="n"/>
      <c r="T179" s="718" t="n">
        <v>94080</v>
      </c>
      <c r="U179" s="719" t="n">
        <v>86553.60000000001</v>
      </c>
      <c r="V179" s="730" t="n">
        <v>0.1</v>
      </c>
      <c r="W179" s="715" t="n"/>
      <c r="X179" s="720" t="n">
        <v>0.05</v>
      </c>
      <c r="Y179" s="930" t="n">
        <v>2910</v>
      </c>
      <c r="Z179" s="720" t="n">
        <v>0.03</v>
      </c>
      <c r="AA179" s="929" t="n">
        <v>105043.248</v>
      </c>
      <c r="AB179" s="723" t="n">
        <v>113564</v>
      </c>
      <c r="AC179" s="723" t="n"/>
      <c r="AD179" s="723" t="inlineStr">
        <is>
          <t>Retain source cost</t>
        </is>
      </c>
      <c r="AE179" s="723" t="inlineStr">
        <is>
          <t>No</t>
        </is>
      </c>
      <c r="AF179" s="723" t="n"/>
      <c r="AG179" s="723" t="n"/>
      <c r="AH179" s="920" t="n"/>
      <c r="AJ179" t="str">
        <f>IFERROR(INDEX(Lists!$U$1:$U$18,MATCH($I179,Lists!$T$1:$T$18,0)),"?")</f>
        <v>Customer</v>
      </c>
      <c r="AK179" t="str">
        <f>IF(LOWER($Q179)="v","Vacant",IF(LOWER($Q179)="pause","Paused",IF(LOWER($Q179)="cxc","Contractor",IF($Q179="Contractor","Contractor","Filled"))))</f>
        <v>Filled</v>
      </c>
      <c r="AL179" t="str">
        <f>IF($M179="NZ","NZ","AU")</f>
        <v>AU</v>
      </c>
      <c r="AM179">
        <f>COUNTIF($AJ$2:$AJ179,$AJ179)</f>
        <v>72.0</v>
      </c>
      <c r="AN179" t="str">
        <f>$AJ179&amp;"|"&amp;$AM179</f>
        <v>Customer|72</v>
      </c>
    </row>
    <row r="180" ht="18" customHeight="1" s="849">
      <c r="A180" s="714" t="inlineStr">
        <is>
          <t>V</t>
        </is>
      </c>
      <c r="B180" s="715" t="inlineStr">
        <is>
          <t>Vacant</t>
        </is>
      </c>
      <c r="C180" s="705" t="inlineStr">
        <is>
          <t>Snr Engineer, (TBD</t>
        </is>
      </c>
      <c r="D180" s="705" t="inlineStr">
        <is>
          <t>Vacant</t>
        </is>
      </c>
      <c r="E180" s="705" t="inlineStr">
        <is>
          <t>AI Enablement Lead</t>
        </is>
      </c>
      <c r="F180" s="716" t="inlineStr">
        <is>
          <t>Customer</t>
        </is>
      </c>
      <c r="G180" s="705" t="inlineStr">
        <is>
          <t>Customer, AI Enablement</t>
        </is>
      </c>
      <c r="H180" s="737" t="n"/>
      <c r="I180" s="705" t="inlineStr">
        <is>
          <t>Customer</t>
        </is>
      </c>
      <c r="J180" s="705" t="inlineStr">
        <is>
          <t>(All Customer)</t>
        </is>
      </c>
      <c r="K180" s="715" t="inlineStr">
        <is>
          <t>Customer, AI</t>
        </is>
      </c>
      <c r="L180" s="705" t="n"/>
      <c r="M180" s="717" t="inlineStr">
        <is>
          <t>Australia</t>
        </is>
      </c>
      <c r="N180" s="705" t="inlineStr">
        <is>
          <t>CIB</t>
        </is>
      </c>
      <c r="O180" s="705" t="n">
        <v>1</v>
      </c>
      <c r="P180" s="705" t="n"/>
      <c r="Q180" s="715" t="inlineStr">
        <is>
          <t>Permanent - Full Time</t>
        </is>
      </c>
      <c r="R180" s="705" t="n"/>
      <c r="S180" s="705" t="n"/>
      <c r="T180" s="718" t="n">
        <v>95440</v>
      </c>
      <c r="U180" s="719" t="n">
        <v>87804.8</v>
      </c>
      <c r="V180" s="730" t="n">
        <v>0.1</v>
      </c>
      <c r="W180" s="715" t="n"/>
      <c r="X180" s="720" t="n">
        <v>0.05</v>
      </c>
      <c r="Y180" s="930" t="n">
        <v>2910</v>
      </c>
      <c r="Z180" s="720" t="n">
        <v>0.03</v>
      </c>
      <c r="AA180" s="929" t="n">
        <v>106519.664</v>
      </c>
      <c r="AB180" s="723" t="n">
        <v>113560</v>
      </c>
      <c r="AC180" s="723" t="n"/>
      <c r="AD180" s="723" t="inlineStr">
        <is>
          <t>Hold AI Enablement engineering role</t>
        </is>
      </c>
      <c r="AE180" s="723" t="inlineStr">
        <is>
          <t>No</t>
        </is>
      </c>
      <c r="AF180" s="723" t="n"/>
      <c r="AG180" s="723" t="n"/>
      <c r="AH180" s="920" t="n"/>
      <c r="AJ180" t="str">
        <f>IFERROR(INDEX(Lists!$U$1:$U$18,MATCH($I180,Lists!$T$1:$T$18,0)),"?")</f>
        <v>Customer</v>
      </c>
      <c r="AK180" t="str">
        <f>IF(LOWER($Q180)="v","Vacant",IF(LOWER($Q180)="pause","Paused",IF(LOWER($Q180)="cxc","Contractor",IF($Q180="Contractor","Contractor","Filled"))))</f>
        <v>Filled</v>
      </c>
      <c r="AL180" t="str">
        <f>IF($M180="NZ","NZ","AU")</f>
        <v>AU</v>
      </c>
      <c r="AM180">
        <f>COUNTIF($AJ$2:$AJ180,$AJ180)</f>
        <v>73.0</v>
      </c>
      <c r="AN180" t="str">
        <f>$AJ180&amp;"|"&amp;$AM180</f>
        <v>Customer|73</v>
      </c>
    </row>
    <row r="181" ht="18" customHeight="1" s="849">
      <c r="A181" s="714" t="inlineStr">
        <is>
          <t>V</t>
        </is>
      </c>
      <c r="B181" s="715" t="inlineStr">
        <is>
          <t>Vacant</t>
        </is>
      </c>
      <c r="C181" s="715" t="inlineStr">
        <is>
          <t>Engineer - BE</t>
        </is>
      </c>
      <c r="D181" s="715" t="inlineStr">
        <is>
          <t>Mark Wilson</t>
        </is>
      </c>
      <c r="E181" s="715" t="inlineStr">
        <is>
          <t>Digital Support Manager(AU)</t>
        </is>
      </c>
      <c r="F181" s="716" t="inlineStr">
        <is>
          <t>Customer</t>
        </is>
      </c>
      <c r="G181" s="705" t="inlineStr">
        <is>
          <t>Digital</t>
        </is>
      </c>
      <c r="H181" s="715" t="inlineStr">
        <is>
          <t>Digital Support (AU)</t>
        </is>
      </c>
      <c r="I181" s="705" t="inlineStr">
        <is>
          <t>Customer</t>
        </is>
      </c>
      <c r="J181" s="715" t="inlineStr">
        <is>
          <t>Ampol Digital</t>
        </is>
      </c>
      <c r="K181" s="715" t="inlineStr">
        <is>
          <t>Digital Ops Support</t>
        </is>
      </c>
      <c r="L181" s="705" t="n"/>
      <c r="M181" s="717" t="inlineStr">
        <is>
          <t>Australia</t>
        </is>
      </c>
      <c r="N181" s="705" t="inlineStr">
        <is>
          <t>CIB</t>
        </is>
      </c>
      <c r="O181" s="705" t="n">
        <v>1</v>
      </c>
      <c r="P181" s="705" t="n"/>
      <c r="Q181" s="715" t="inlineStr">
        <is>
          <t>Permanent - Full Time</t>
        </is>
      </c>
      <c r="R181" s="705" t="n"/>
      <c r="S181" s="705" t="n"/>
      <c r="T181" s="718" t="n">
        <v>154980</v>
      </c>
      <c r="U181" s="719" t="n">
        <v>142581.6</v>
      </c>
      <c r="V181" s="730" t="n">
        <v>0.15</v>
      </c>
      <c r="W181" s="715" t="n"/>
      <c r="X181" s="720" t="n">
        <v>0.05</v>
      </c>
      <c r="Y181" s="930" t="n">
        <v>2910</v>
      </c>
      <c r="Z181" s="720" t="n">
        <v>0.03</v>
      </c>
      <c r="AA181" s="929" t="n">
        <v>178285.368</v>
      </c>
      <c r="AB181" s="723" t="n">
        <v>113552</v>
      </c>
      <c r="AC181" s="723" t="n"/>
      <c r="AD181" s="723" t="inlineStr">
        <is>
          <t>Wipro repriced</t>
        </is>
      </c>
      <c r="AE181" s="723" t="inlineStr">
        <is>
          <t>Yes</t>
        </is>
      </c>
      <c r="AF181" s="723" t="inlineStr">
        <is>
          <t>.NET Back End Developer / Mid</t>
        </is>
      </c>
      <c r="AG181" s="723" t="inlineStr">
        <is>
          <t>Offshore</t>
        </is>
      </c>
      <c r="AJ181" t="str">
        <f>IFERROR(INDEX(Lists!$U$1:$U$18,MATCH($I181,Lists!$T$1:$T$18,0)),"?")</f>
        <v>Customer</v>
      </c>
      <c r="AK181" t="str">
        <f>IF(LOWER($Q181)="v","Vacant",IF(LOWER($Q181)="pause","Paused",IF(LOWER($Q181)="cxc","Contractor",IF($Q181="Contractor","Contractor","Filled"))))</f>
        <v>Filled</v>
      </c>
      <c r="AL181" t="str">
        <f>IF($M181="NZ","NZ","AU")</f>
        <v>AU</v>
      </c>
      <c r="AM181">
        <f>COUNTIF($AJ$2:$AJ181,$AJ181)</f>
        <v>74.0</v>
      </c>
      <c r="AN181" t="str">
        <f>$AJ181&amp;"|"&amp;$AM181</f>
        <v>Customer|74</v>
      </c>
    </row>
    <row r="182" ht="18" customHeight="1" s="849">
      <c r="A182" s="714" t="inlineStr">
        <is>
          <t>V</t>
        </is>
      </c>
      <c r="B182" s="715" t="inlineStr">
        <is>
          <t>Vacant</t>
        </is>
      </c>
      <c r="C182" s="715" t="inlineStr">
        <is>
          <t>Quality Assurance</t>
        </is>
      </c>
      <c r="D182" s="715" t="inlineStr">
        <is>
          <t>Mark Wilson</t>
        </is>
      </c>
      <c r="E182" s="715" t="inlineStr">
        <is>
          <t>Digital Support Manager(AU)</t>
        </is>
      </c>
      <c r="F182" s="716" t="inlineStr">
        <is>
          <t>Customer</t>
        </is>
      </c>
      <c r="G182" s="705" t="inlineStr">
        <is>
          <t>Digital</t>
        </is>
      </c>
      <c r="H182" s="715" t="inlineStr">
        <is>
          <t>Digital Support (AU)</t>
        </is>
      </c>
      <c r="I182" s="705" t="inlineStr">
        <is>
          <t>Customer</t>
        </is>
      </c>
      <c r="J182" s="715" t="inlineStr">
        <is>
          <t>Ampol Digital</t>
        </is>
      </c>
      <c r="K182" s="715" t="inlineStr">
        <is>
          <t>Digital Ops Support</t>
        </is>
      </c>
      <c r="L182" s="705" t="n"/>
      <c r="M182" s="717" t="inlineStr">
        <is>
          <t>Australia</t>
        </is>
      </c>
      <c r="N182" s="705" t="inlineStr">
        <is>
          <t>CIA</t>
        </is>
      </c>
      <c r="O182" s="705" t="n">
        <v>1</v>
      </c>
      <c r="P182" s="705" t="n"/>
      <c r="Q182" s="715" t="inlineStr">
        <is>
          <t>Permanent - Full Time</t>
        </is>
      </c>
      <c r="R182" s="705" t="n"/>
      <c r="S182" s="705" t="n"/>
      <c r="T182" s="718" t="n">
        <v>171670</v>
      </c>
      <c r="U182" s="719" t="n">
        <v>157936.4</v>
      </c>
      <c r="V182" s="730" t="n">
        <v>0.15</v>
      </c>
      <c r="W182" s="715" t="n"/>
      <c r="X182" s="720" t="n">
        <v>0.05</v>
      </c>
      <c r="Y182" s="930" t="n">
        <v>2910</v>
      </c>
      <c r="Z182" s="720" t="n">
        <v>0.03</v>
      </c>
      <c r="AA182" s="929" t="n">
        <v>197171.772</v>
      </c>
      <c r="AB182" s="723" t="n">
        <v>113528</v>
      </c>
      <c r="AC182" s="723" t="n"/>
      <c r="AD182" s="723" t="inlineStr">
        <is>
          <t>Wipro repriced</t>
        </is>
      </c>
      <c r="AE182" s="723" t="inlineStr">
        <is>
          <t>Yes</t>
        </is>
      </c>
      <c r="AF182" s="723" t="inlineStr">
        <is>
          <t>QA / Tester / Mid</t>
        </is>
      </c>
      <c r="AG182" s="723" t="inlineStr">
        <is>
          <t>Offshore</t>
        </is>
      </c>
      <c r="AH182" s="920" t="n"/>
      <c r="AJ182" t="str">
        <f>IFERROR(INDEX(Lists!$U$1:$U$18,MATCH($I182,Lists!$T$1:$T$18,0)),"?")</f>
        <v>Customer</v>
      </c>
      <c r="AK182" t="str">
        <f>IF(LOWER($Q182)="v","Vacant",IF(LOWER($Q182)="pause","Paused",IF(LOWER($Q182)="cxc","Contractor",IF($Q182="Contractor","Contractor","Filled"))))</f>
        <v>Filled</v>
      </c>
      <c r="AL182" t="str">
        <f>IF($M182="NZ","NZ","AU")</f>
        <v>AU</v>
      </c>
      <c r="AM182">
        <f>COUNTIF($AJ$2:$AJ182,$AJ182)</f>
        <v>75.0</v>
      </c>
      <c r="AN182" t="str">
        <f>$AJ182&amp;"|"&amp;$AM182</f>
        <v>Customer|75</v>
      </c>
    </row>
    <row r="183" ht="18" customHeight="1" s="849">
      <c r="A183" s="714" t="inlineStr">
        <is>
          <t>V</t>
        </is>
      </c>
      <c r="B183" s="705" t="inlineStr">
        <is>
          <t>Vacant</t>
        </is>
      </c>
      <c r="C183" s="705" t="inlineStr">
        <is>
          <t>Quality Assurance</t>
        </is>
      </c>
      <c r="D183" s="705" t="inlineStr">
        <is>
          <t>Vacant</t>
        </is>
      </c>
      <c r="E183" s="705" t="inlineStr">
        <is>
          <t>Delivery Manager, Loyalty</t>
        </is>
      </c>
      <c r="F183" s="716" t="inlineStr">
        <is>
          <t>Customer</t>
        </is>
      </c>
      <c r="G183" s="705" t="inlineStr">
        <is>
          <t>Loyalty &amp; Martech</t>
        </is>
      </c>
      <c r="H183" s="715" t="inlineStr">
        <is>
          <t xml:space="preserve">Loyalty, Delivery </t>
        </is>
      </c>
      <c r="I183" s="715" t="inlineStr">
        <is>
          <t>Customer</t>
        </is>
      </c>
      <c r="J183" s="705" t="inlineStr">
        <is>
          <t>Group Customer</t>
        </is>
      </c>
      <c r="K183" s="705" t="inlineStr">
        <is>
          <t>AU CRM &amp; Martech</t>
        </is>
      </c>
      <c r="L183" s="705" t="n"/>
      <c r="M183" s="717" t="inlineStr">
        <is>
          <t>Australia</t>
        </is>
      </c>
      <c r="N183" s="705" t="inlineStr">
        <is>
          <t>CIA</t>
        </is>
      </c>
      <c r="O183" s="705" t="n">
        <v>1</v>
      </c>
      <c r="P183" s="705" t="n"/>
      <c r="Q183" s="715" t="inlineStr">
        <is>
          <t>Permanent - Full Time</t>
        </is>
      </c>
      <c r="R183" s="705" t="n"/>
      <c r="S183" s="705" t="n"/>
      <c r="T183" s="718" t="n">
        <v>137040</v>
      </c>
      <c r="U183" s="719" t="n">
        <v>126076.8</v>
      </c>
      <c r="V183" s="730" t="n">
        <v>0.15</v>
      </c>
      <c r="W183" s="715" t="n"/>
      <c r="X183" s="720" t="n">
        <v>0.05</v>
      </c>
      <c r="Y183" s="930" t="n">
        <v>2910</v>
      </c>
      <c r="Z183" s="720" t="n">
        <v>0.03</v>
      </c>
      <c r="AA183" s="929" t="n">
        <v>157984.464</v>
      </c>
      <c r="AB183" s="723" t="n">
        <v>113526</v>
      </c>
      <c r="AC183" s="723" t="n"/>
      <c r="AD183" s="723" t="inlineStr">
        <is>
          <t>Wipro repriced</t>
        </is>
      </c>
      <c r="AE183" s="723" t="inlineStr">
        <is>
          <t>Yes</t>
        </is>
      </c>
      <c r="AF183" s="723" t="inlineStr">
        <is>
          <t>QA / Tester / Mid</t>
        </is>
      </c>
      <c r="AG183" s="723" t="inlineStr">
        <is>
          <t>Offshore</t>
        </is>
      </c>
      <c r="AH183" s="920" t="n"/>
      <c r="AJ183" t="str">
        <f>IFERROR(INDEX(Lists!$U$1:$U$18,MATCH($I183,Lists!$T$1:$T$18,0)),"?")</f>
        <v>Customer</v>
      </c>
      <c r="AK183" t="str">
        <f>IF(LOWER($Q183)="v","Vacant",IF(LOWER($Q183)="pause","Paused",IF(LOWER($Q183)="cxc","Contractor",IF($Q183="Contractor","Contractor","Filled"))))</f>
        <v>Filled</v>
      </c>
      <c r="AL183" t="str">
        <f>IF($M183="NZ","NZ","AU")</f>
        <v>AU</v>
      </c>
      <c r="AM183">
        <f>COUNTIF($AJ$2:$AJ183,$AJ183)</f>
        <v>76.0</v>
      </c>
      <c r="AN183" t="str">
        <f>$AJ183&amp;"|"&amp;$AM183</f>
        <v>Customer|76</v>
      </c>
    </row>
    <row r="184" ht="18" customHeight="1" s="849">
      <c r="A184" s="714" t="inlineStr">
        <is>
          <t>V</t>
        </is>
      </c>
      <c r="B184" s="715" t="inlineStr">
        <is>
          <t>Vacant</t>
        </is>
      </c>
      <c r="C184" s="715" t="inlineStr">
        <is>
          <t>Program Manager</t>
        </is>
      </c>
      <c r="D184" s="715" t="inlineStr">
        <is>
          <t>Harley Giles</t>
        </is>
      </c>
      <c r="E184" s="715" t="inlineStr">
        <is>
          <t>GM TDD, Customer</t>
        </is>
      </c>
      <c r="F184" s="716" t="inlineStr">
        <is>
          <t>Customer</t>
        </is>
      </c>
      <c r="G184" s="705" t="inlineStr">
        <is>
          <t>Customer, PMO</t>
        </is>
      </c>
      <c r="H184" s="715" t="n"/>
      <c r="I184" s="715" t="inlineStr">
        <is>
          <t>Customer</t>
        </is>
      </c>
      <c r="J184" s="715" t="inlineStr">
        <is>
          <t>Ampol Digital, Group Customer Platforms</t>
        </is>
      </c>
      <c r="K184" s="715" t="inlineStr">
        <is>
          <t>Leadership</t>
        </is>
      </c>
      <c r="L184" s="705" t="n"/>
      <c r="M184" s="717" t="inlineStr">
        <is>
          <t>Australia</t>
        </is>
      </c>
      <c r="N184" s="705" t="inlineStr">
        <is>
          <t>CSB</t>
        </is>
      </c>
      <c r="O184" s="705" t="n">
        <v>1</v>
      </c>
      <c r="P184" s="705" t="n"/>
      <c r="Q184" s="715" t="inlineStr">
        <is>
          <t>Permanent - Full Time</t>
        </is>
      </c>
      <c r="R184" s="705" t="n"/>
      <c r="S184" s="705" t="n"/>
      <c r="T184" s="718" t="n">
        <v>151850</v>
      </c>
      <c r="U184" s="719" t="n">
        <v>139702</v>
      </c>
      <c r="V184" s="730" t="n">
        <v>0.15</v>
      </c>
      <c r="W184" s="715" t="n"/>
      <c r="X184" s="720" t="n">
        <v>0.05</v>
      </c>
      <c r="Y184" s="930" t="n">
        <v>2910</v>
      </c>
      <c r="Z184" s="720" t="n">
        <v>0.03</v>
      </c>
      <c r="AA184" s="929" t="n">
        <v>174743.46</v>
      </c>
      <c r="AB184" s="723" t="n">
        <v>113519</v>
      </c>
      <c r="AC184" s="723" t="n"/>
      <c r="AD184" s="723" t="inlineStr">
        <is>
          <t>Retain source cost</t>
        </is>
      </c>
      <c r="AE184" s="723" t="inlineStr">
        <is>
          <t>No</t>
        </is>
      </c>
      <c r="AF184" s="723" t="n"/>
      <c r="AG184" s="723" t="n"/>
      <c r="AH184" s="920" t="n"/>
      <c r="AJ184" t="str">
        <f>IFERROR(INDEX(Lists!$U$1:$U$18,MATCH($I184,Lists!$T$1:$T$18,0)),"?")</f>
        <v>Customer</v>
      </c>
      <c r="AK184" t="str">
        <f>IF(LOWER($Q184)="v","Vacant",IF(LOWER($Q184)="pause","Paused",IF(LOWER($Q184)="cxc","Contractor",IF($Q184="Contractor","Contractor","Filled"))))</f>
        <v>Filled</v>
      </c>
      <c r="AL184" t="str">
        <f>IF($M184="NZ","NZ","AU")</f>
        <v>AU</v>
      </c>
      <c r="AM184">
        <f>COUNTIF($AJ$2:$AJ184,$AJ184)</f>
        <v>77.0</v>
      </c>
      <c r="AN184" t="str">
        <f>$AJ184&amp;"|"&amp;$AM184</f>
        <v>Customer|77</v>
      </c>
    </row>
    <row r="185" ht="18" customHeight="1" s="849">
      <c r="A185" s="714" t="inlineStr">
        <is>
          <t>V</t>
        </is>
      </c>
      <c r="B185" s="715" t="inlineStr">
        <is>
          <t>Vacant</t>
        </is>
      </c>
      <c r="C185" s="715" t="inlineStr">
        <is>
          <t>Engineer - BE</t>
        </is>
      </c>
      <c r="D185" s="715" t="inlineStr">
        <is>
          <t>Mark Wilson</t>
        </is>
      </c>
      <c r="E185" s="715" t="inlineStr">
        <is>
          <t>Digital Support Manager(AU)</t>
        </is>
      </c>
      <c r="F185" s="716" t="inlineStr">
        <is>
          <t>Customer</t>
        </is>
      </c>
      <c r="G185" s="705" t="inlineStr">
        <is>
          <t>Digital</t>
        </is>
      </c>
      <c r="H185" s="715" t="inlineStr">
        <is>
          <t>Digital Support (AU)</t>
        </is>
      </c>
      <c r="I185" s="705" t="inlineStr">
        <is>
          <t>Customer</t>
        </is>
      </c>
      <c r="J185" s="715" t="inlineStr">
        <is>
          <t>Ampol Digital</t>
        </is>
      </c>
      <c r="K185" s="715" t="inlineStr">
        <is>
          <t>Digital Ops Support</t>
        </is>
      </c>
      <c r="L185" s="705" t="n"/>
      <c r="M185" s="717" t="inlineStr">
        <is>
          <t>Australia</t>
        </is>
      </c>
      <c r="N185" s="705" t="inlineStr">
        <is>
          <t>CIB</t>
        </is>
      </c>
      <c r="O185" s="705" t="n">
        <v>1</v>
      </c>
      <c r="P185" s="705" t="n"/>
      <c r="Q185" s="715" t="inlineStr">
        <is>
          <t>Permanent - Full Time</t>
        </is>
      </c>
      <c r="R185" s="705" t="n"/>
      <c r="S185" s="705" t="n"/>
      <c r="T185" s="718" t="n">
        <v>157460</v>
      </c>
      <c r="U185" s="719" t="n">
        <v>144863.2</v>
      </c>
      <c r="V185" s="730" t="n">
        <v>0.15</v>
      </c>
      <c r="W185" s="715" t="n"/>
      <c r="X185" s="720" t="n">
        <v>0.05</v>
      </c>
      <c r="Y185" s="930" t="n">
        <v>2910</v>
      </c>
      <c r="Z185" s="720" t="n">
        <v>0.03</v>
      </c>
      <c r="AA185" s="929" t="n">
        <v>181091.736</v>
      </c>
      <c r="AB185" s="723" t="n">
        <v>113514</v>
      </c>
      <c r="AC185" s="723" t="n"/>
      <c r="AD185" s="723" t="inlineStr">
        <is>
          <t>Wipro repriced</t>
        </is>
      </c>
      <c r="AE185" s="723" t="inlineStr">
        <is>
          <t>Yes</t>
        </is>
      </c>
      <c r="AF185" s="723" t="inlineStr">
        <is>
          <t>.NET Back End Developer / Mid</t>
        </is>
      </c>
      <c r="AG185" s="723" t="inlineStr">
        <is>
          <t>Offshore</t>
        </is>
      </c>
      <c r="AH185" s="920" t="n"/>
      <c r="AJ185" t="str">
        <f>IFERROR(INDEX(Lists!$U$1:$U$18,MATCH($I185,Lists!$T$1:$T$18,0)),"?")</f>
        <v>Customer</v>
      </c>
      <c r="AK185" t="str">
        <f>IF(LOWER($Q185)="v","Vacant",IF(LOWER($Q185)="pause","Paused",IF(LOWER($Q185)="cxc","Contractor",IF($Q185="Contractor","Contractor","Filled"))))</f>
        <v>Filled</v>
      </c>
      <c r="AL185" t="str">
        <f>IF($M185="NZ","NZ","AU")</f>
        <v>AU</v>
      </c>
      <c r="AM185">
        <f>COUNTIF($AJ$2:$AJ185,$AJ185)</f>
        <v>78.0</v>
      </c>
      <c r="AN185" t="str">
        <f>$AJ185&amp;"|"&amp;$AM185</f>
        <v>Customer|78</v>
      </c>
    </row>
    <row r="186" ht="18" customHeight="1" s="849">
      <c r="A186" s="714" t="inlineStr">
        <is>
          <t>V</t>
        </is>
      </c>
      <c r="B186" s="715" t="inlineStr">
        <is>
          <t>Vacant</t>
        </is>
      </c>
      <c r="C186" s="715" t="inlineStr">
        <is>
          <t>AI Enablement Lead</t>
        </is>
      </c>
      <c r="D186" s="715" t="inlineStr">
        <is>
          <t>Harley Giles</t>
        </is>
      </c>
      <c r="E186" s="715" t="inlineStr">
        <is>
          <t>GM TDD, Customer</t>
        </is>
      </c>
      <c r="F186" s="716" t="inlineStr">
        <is>
          <t>Customer</t>
        </is>
      </c>
      <c r="G186" s="705" t="inlineStr">
        <is>
          <t>Customer, AI Enablement</t>
        </is>
      </c>
      <c r="H186" s="715" t="n"/>
      <c r="I186" s="715" t="inlineStr">
        <is>
          <t>Customer</t>
        </is>
      </c>
      <c r="J186" s="715" t="inlineStr">
        <is>
          <t>(All Customer)</t>
        </is>
      </c>
      <c r="K186" s="715" t="inlineStr">
        <is>
          <t>Leadership</t>
        </is>
      </c>
      <c r="L186" s="705" t="n"/>
      <c r="M186" s="717" t="inlineStr">
        <is>
          <t>Australia</t>
        </is>
      </c>
      <c r="N186" s="705" t="inlineStr">
        <is>
          <t>CSB</t>
        </is>
      </c>
      <c r="O186" s="705" t="n">
        <v>1</v>
      </c>
      <c r="P186" s="705" t="n"/>
      <c r="Q186" s="705" t="inlineStr">
        <is>
          <t>v</t>
        </is>
      </c>
      <c r="R186" s="705" t="n"/>
      <c r="S186" s="705" t="n"/>
      <c r="T186" s="718" t="n">
        <v>203550</v>
      </c>
      <c r="U186" s="719" t="n">
        <v>203550</v>
      </c>
      <c r="V186" s="720" t="n">
        <v>0.14</v>
      </c>
      <c r="W186" s="928" t="n">
        <v>0.055</v>
      </c>
      <c r="X186" s="928" t="n">
        <v>0.12</v>
      </c>
      <c r="Y186" s="928" t="n"/>
      <c r="Z186" s="928" t="n">
        <v>0.04</v>
      </c>
      <c r="AA186" s="929" t="n">
        <v>275810.25</v>
      </c>
      <c r="AB186" s="723" t="n"/>
      <c r="AC186" s="723" t="n"/>
      <c r="AD186" s="723" t="inlineStr">
        <is>
          <t>Retain initial AI Enablement Lead</t>
        </is>
      </c>
      <c r="AE186" s="723" t="inlineStr">
        <is>
          <t>No</t>
        </is>
      </c>
      <c r="AF186" s="723" t="n"/>
      <c r="AG186" s="723" t="n"/>
      <c r="AJ186" t="str">
        <f>IFERROR(INDEX(Lists!$U$1:$U$18,MATCH($I186,Lists!$T$1:$T$18,0)),"?")</f>
        <v>Customer</v>
      </c>
      <c r="AK186" t="str">
        <f>IF(LOWER($Q186)="v","Vacant",IF(LOWER($Q186)="pause","Paused",IF(LOWER($Q186)="cxc","Contractor",IF($Q186="Contractor","Contractor","Filled"))))</f>
        <v>Vacant</v>
      </c>
      <c r="AL186" t="str">
        <f>IF($M186="NZ","NZ","AU")</f>
        <v>AU</v>
      </c>
      <c r="AM186">
        <f>COUNTIF($AJ$2:$AJ186,$AJ186)</f>
        <v>79.0</v>
      </c>
      <c r="AN186" t="str">
        <f>$AJ186&amp;"|"&amp;$AM186</f>
        <v>Customer|79</v>
      </c>
    </row>
    <row r="187" ht="18" customHeight="1" s="849">
      <c r="A187" s="714" t="inlineStr">
        <is>
          <t>V</t>
        </is>
      </c>
      <c r="B187" s="705" t="inlineStr">
        <is>
          <t>Vacant</t>
        </is>
      </c>
      <c r="C187" s="705" t="inlineStr">
        <is>
          <t>Data Analyst</t>
        </is>
      </c>
      <c r="D187" s="705" t="inlineStr">
        <is>
          <t>Vacant</t>
        </is>
      </c>
      <c r="E187" s="705" t="inlineStr">
        <is>
          <t>Technology Manager, Data &amp; Engineering</t>
        </is>
      </c>
      <c r="F187" s="716" t="inlineStr">
        <is>
          <t>Customer</t>
        </is>
      </c>
      <c r="G187" s="705" t="inlineStr">
        <is>
          <t>Loyalty &amp; Martech</t>
        </is>
      </c>
      <c r="H187" s="715" t="inlineStr">
        <is>
          <t>Loyalty, Data &amp; Engineering</t>
        </is>
      </c>
      <c r="I187" s="715" t="inlineStr">
        <is>
          <t>Customer</t>
        </is>
      </c>
      <c r="J187" s="705" t="inlineStr">
        <is>
          <t>Group Customer</t>
        </is>
      </c>
      <c r="K187" s="715" t="inlineStr">
        <is>
          <t>AU CRM &amp; Martech</t>
        </is>
      </c>
      <c r="L187" s="705" t="n"/>
      <c r="M187" s="717" t="inlineStr">
        <is>
          <t>Australia</t>
        </is>
      </c>
      <c r="N187" s="705" t="inlineStr">
        <is>
          <t>CIB</t>
        </is>
      </c>
      <c r="O187" s="705" t="n">
        <v>1</v>
      </c>
      <c r="P187" s="705" t="n"/>
      <c r="Q187" s="705" t="inlineStr">
        <is>
          <t>v</t>
        </is>
      </c>
      <c r="R187" s="705" t="n"/>
      <c r="S187" s="705" t="n"/>
      <c r="T187" s="718" t="n">
        <v>203550</v>
      </c>
      <c r="U187" s="719" t="n">
        <v>203550</v>
      </c>
      <c r="V187" s="720" t="n">
        <v>0.14</v>
      </c>
      <c r="W187" s="928" t="n">
        <v>0.055</v>
      </c>
      <c r="X187" s="928" t="n">
        <v>0.12</v>
      </c>
      <c r="Y187" s="928" t="n"/>
      <c r="Z187" s="928" t="n">
        <v>0.04</v>
      </c>
      <c r="AA187" s="929" t="n">
        <v>275810.25</v>
      </c>
      <c r="AB187" s="723" t="n"/>
      <c r="AC187" s="723" t="n"/>
      <c r="AD187" s="723" t="inlineStr">
        <is>
          <t>Retain source cost</t>
        </is>
      </c>
      <c r="AE187" s="723" t="inlineStr">
        <is>
          <t>No</t>
        </is>
      </c>
      <c r="AF187" s="723" t="n"/>
      <c r="AG187" s="723" t="n"/>
      <c r="AH187" s="920" t="n"/>
      <c r="AJ187" t="str">
        <f>IFERROR(INDEX(Lists!$U$1:$U$18,MATCH($I187,Lists!$T$1:$T$18,0)),"?")</f>
        <v>Customer</v>
      </c>
      <c r="AK187" t="str">
        <f>IF(LOWER($Q187)="v","Vacant",IF(LOWER($Q187)="pause","Paused",IF(LOWER($Q187)="cxc","Contractor",IF($Q187="Contractor","Contractor","Filled"))))</f>
        <v>Vacant</v>
      </c>
      <c r="AL187" t="str">
        <f>IF($M187="NZ","NZ","AU")</f>
        <v>AU</v>
      </c>
      <c r="AM187">
        <f>COUNTIF($AJ$2:$AJ187,$AJ187)</f>
        <v>80.0</v>
      </c>
      <c r="AN187" t="str">
        <f>$AJ187&amp;"|"&amp;$AM187</f>
        <v>Customer|80</v>
      </c>
    </row>
    <row r="188" ht="18" customHeight="1" s="849">
      <c r="A188" s="714" t="inlineStr">
        <is>
          <t>V</t>
        </is>
      </c>
      <c r="B188" s="715" t="inlineStr">
        <is>
          <t>Vacant</t>
        </is>
      </c>
      <c r="C188" s="715" t="inlineStr">
        <is>
          <t>Delivery Manager</t>
        </is>
      </c>
      <c r="D188" s="715" t="inlineStr">
        <is>
          <t>Shona Paul</t>
        </is>
      </c>
      <c r="E188" s="715" t="inlineStr">
        <is>
          <t>Head of Technology, Digital</t>
        </is>
      </c>
      <c r="F188" s="716" t="inlineStr">
        <is>
          <t>Customer</t>
        </is>
      </c>
      <c r="G188" s="705" t="inlineStr">
        <is>
          <t>Digital</t>
        </is>
      </c>
      <c r="H188" s="715" t="inlineStr">
        <is>
          <t>Digital, Delivery</t>
        </is>
      </c>
      <c r="I188" s="715" t="inlineStr">
        <is>
          <t>Customer</t>
        </is>
      </c>
      <c r="J188" s="715" t="inlineStr">
        <is>
          <t>Ampol Digital</t>
        </is>
      </c>
      <c r="K188" s="715" t="inlineStr">
        <is>
          <t>Leadership</t>
        </is>
      </c>
      <c r="L188" s="705" t="n"/>
      <c r="M188" s="717" t="inlineStr">
        <is>
          <t>Australia</t>
        </is>
      </c>
      <c r="N188" s="705" t="inlineStr">
        <is>
          <t>CSB</t>
        </is>
      </c>
      <c r="O188" s="705" t="n">
        <v>1</v>
      </c>
      <c r="P188" s="705" t="n"/>
      <c r="Q188" s="705" t="inlineStr">
        <is>
          <t>V</t>
        </is>
      </c>
      <c r="R188" s="705" t="n"/>
      <c r="S188" s="705" t="n"/>
      <c r="T188" s="718" t="n">
        <v>203550</v>
      </c>
      <c r="U188" s="719" t="n">
        <v>203550</v>
      </c>
      <c r="V188" s="720" t="n">
        <v>0.14</v>
      </c>
      <c r="W188" s="928" t="n">
        <v>0.055</v>
      </c>
      <c r="X188" s="928" t="n">
        <v>0.12</v>
      </c>
      <c r="Y188" s="928" t="n"/>
      <c r="Z188" s="928" t="n">
        <v>0.04</v>
      </c>
      <c r="AA188" s="929" t="n">
        <v>275810.25</v>
      </c>
      <c r="AB188" s="723" t="n"/>
      <c r="AC188" s="723" t="n"/>
      <c r="AD188" s="723" t="inlineStr">
        <is>
          <t>Retain source cost</t>
        </is>
      </c>
      <c r="AE188" s="723" t="inlineStr">
        <is>
          <t>No</t>
        </is>
      </c>
      <c r="AF188" s="723" t="n"/>
      <c r="AG188" s="723" t="n"/>
      <c r="AH188" s="920" t="n"/>
      <c r="AJ188" t="str">
        <f>IFERROR(INDEX(Lists!$U$1:$U$18,MATCH($I188,Lists!$T$1:$T$18,0)),"?")</f>
        <v>Customer</v>
      </c>
      <c r="AK188" t="str">
        <f>IF(LOWER($Q188)="v","Vacant",IF(LOWER($Q188)="pause","Paused",IF(LOWER($Q188)="cxc","Contractor",IF($Q188="Contractor","Contractor","Filled"))))</f>
        <v>Vacant</v>
      </c>
      <c r="AL188" t="str">
        <f>IF($M188="NZ","NZ","AU")</f>
        <v>AU</v>
      </c>
      <c r="AM188">
        <f>COUNTIF($AJ$2:$AJ188,$AJ188)</f>
        <v>81.0</v>
      </c>
      <c r="AN188" t="str">
        <f>$AJ188&amp;"|"&amp;$AM188</f>
        <v>Customer|81</v>
      </c>
    </row>
    <row r="189" ht="18" customHeight="1" s="849">
      <c r="A189" s="714" t="inlineStr">
        <is>
          <t>V</t>
        </is>
      </c>
      <c r="B189" s="715" t="inlineStr">
        <is>
          <t>Vacant</t>
        </is>
      </c>
      <c r="C189" s="715" t="inlineStr">
        <is>
          <t>Delivery Manager</t>
        </is>
      </c>
      <c r="D189" s="715" t="inlineStr">
        <is>
          <t>Andy Stewart</t>
        </is>
      </c>
      <c r="E189" s="715" t="inlineStr">
        <is>
          <t>Head of Technology, Loyalty &amp; Martech</t>
        </is>
      </c>
      <c r="F189" s="716" t="inlineStr">
        <is>
          <t>Customer</t>
        </is>
      </c>
      <c r="G189" s="705" t="inlineStr">
        <is>
          <t>Loyalty &amp; Martech</t>
        </is>
      </c>
      <c r="H189" s="715" t="inlineStr">
        <is>
          <t xml:space="preserve">Loyalty, Delivery </t>
        </is>
      </c>
      <c r="I189" s="715" t="inlineStr">
        <is>
          <t>Customer</t>
        </is>
      </c>
      <c r="J189" s="727" t="inlineStr">
        <is>
          <t>Customer Z, Group Customer Platforms</t>
        </is>
      </c>
      <c r="K189" s="715" t="inlineStr">
        <is>
          <t>Leadership</t>
        </is>
      </c>
      <c r="L189" s="705" t="n"/>
      <c r="M189" s="717" t="inlineStr">
        <is>
          <t>Australia</t>
        </is>
      </c>
      <c r="N189" s="705" t="inlineStr">
        <is>
          <t>CSB</t>
        </is>
      </c>
      <c r="O189" s="705" t="n">
        <v>1</v>
      </c>
      <c r="P189" s="705" t="n"/>
      <c r="Q189" s="705" t="inlineStr">
        <is>
          <t>v</t>
        </is>
      </c>
      <c r="R189" s="705" t="n"/>
      <c r="S189" s="705" t="n"/>
      <c r="T189" s="718" t="n">
        <v>203550</v>
      </c>
      <c r="U189" s="719" t="n">
        <v>203550</v>
      </c>
      <c r="V189" s="720" t="n">
        <v>0.14</v>
      </c>
      <c r="W189" s="928" t="n">
        <v>0.055</v>
      </c>
      <c r="X189" s="928" t="n">
        <v>0.12</v>
      </c>
      <c r="Y189" s="928" t="n"/>
      <c r="Z189" s="928" t="n">
        <v>0.04</v>
      </c>
      <c r="AA189" s="929" t="n">
        <v>275810.25</v>
      </c>
      <c r="AB189" s="723" t="n"/>
      <c r="AC189" s="723" t="n"/>
      <c r="AD189" s="723" t="inlineStr">
        <is>
          <t>Retain source cost</t>
        </is>
      </c>
      <c r="AE189" s="723" t="inlineStr">
        <is>
          <t>No</t>
        </is>
      </c>
      <c r="AF189" s="723" t="n"/>
      <c r="AG189" s="723" t="n"/>
      <c r="AH189" s="920" t="n"/>
      <c r="AJ189" t="str">
        <f>IFERROR(INDEX(Lists!$U$1:$U$18,MATCH($I189,Lists!$T$1:$T$18,0)),"?")</f>
        <v>Customer</v>
      </c>
      <c r="AK189" t="str">
        <f>IF(LOWER($Q189)="v","Vacant",IF(LOWER($Q189)="pause","Paused",IF(LOWER($Q189)="cxc","Contractor",IF($Q189="Contractor","Contractor","Filled"))))</f>
        <v>Vacant</v>
      </c>
      <c r="AL189" t="str">
        <f>IF($M189="NZ","NZ","AU")</f>
        <v>AU</v>
      </c>
      <c r="AM189">
        <f>COUNTIF($AJ$2:$AJ189,$AJ189)</f>
        <v>82.0</v>
      </c>
      <c r="AN189" t="str">
        <f>$AJ189&amp;"|"&amp;$AM189</f>
        <v>Customer|82</v>
      </c>
    </row>
    <row r="190" ht="18" customHeight="1" s="849">
      <c r="A190" s="714" t="inlineStr">
        <is>
          <t>C</t>
        </is>
      </c>
      <c r="B190" s="715" t="inlineStr">
        <is>
          <t>Waheed Malek</t>
        </is>
      </c>
      <c r="C190" s="715" t="inlineStr">
        <is>
          <t>Quality Assurance</t>
        </is>
      </c>
      <c r="D190" s="715" t="inlineStr">
        <is>
          <t>Mitesh Shah</t>
        </is>
      </c>
      <c r="E190" s="715" t="inlineStr">
        <is>
          <t>Technology Manager, Digitial</t>
        </is>
      </c>
      <c r="F190" s="716" t="inlineStr">
        <is>
          <t>Customer</t>
        </is>
      </c>
      <c r="G190" s="705" t="inlineStr">
        <is>
          <t>Digital</t>
        </is>
      </c>
      <c r="H190" s="715" t="inlineStr">
        <is>
          <t>Digital, Tech</t>
        </is>
      </c>
      <c r="I190" s="883" t="inlineStr">
        <is>
          <t>Ampol Customer</t>
        </is>
      </c>
      <c r="J190" s="715" t="inlineStr">
        <is>
          <t>EGI</t>
        </is>
      </c>
      <c r="K190" s="715" t="inlineStr">
        <is>
          <t>EGI Customer</t>
        </is>
      </c>
      <c r="L190" s="705" t="n"/>
      <c r="M190" s="717" t="inlineStr">
        <is>
          <t>Australia</t>
        </is>
      </c>
      <c r="N190" s="705" t="inlineStr">
        <is>
          <t>NA</t>
        </is>
      </c>
      <c r="O190" s="705" t="n">
        <v>1</v>
      </c>
      <c r="P190" s="705" t="n"/>
      <c r="Q190" s="705" t="inlineStr">
        <is>
          <t>V</t>
        </is>
      </c>
      <c r="R190" s="705" t="n"/>
      <c r="S190" s="705" t="n"/>
      <c r="T190" s="718" t="n">
        <v>151950</v>
      </c>
      <c r="U190" s="719" t="n">
        <v>151950</v>
      </c>
      <c r="V190" s="720" t="n">
        <v>0.12</v>
      </c>
      <c r="W190" s="928" t="n">
        <v>0.055</v>
      </c>
      <c r="X190" s="928" t="n">
        <v>0.12</v>
      </c>
      <c r="Y190" s="928" t="n"/>
      <c r="Z190" s="928" t="n">
        <v>0.04</v>
      </c>
      <c r="AA190" s="929" t="n">
        <v>202853.25</v>
      </c>
      <c r="AB190" s="723" t="n"/>
      <c r="AC190" s="723" t="n"/>
      <c r="AD190" s="723" t="inlineStr">
        <is>
          <t>Retain source cost</t>
        </is>
      </c>
      <c r="AE190" s="723" t="inlineStr">
        <is>
          <t>No</t>
        </is>
      </c>
      <c r="AF190" s="723" t="n"/>
      <c r="AG190" s="723" t="n"/>
      <c r="AH190" s="920" t="n"/>
      <c r="AJ190" t="str">
        <f>IFERROR(INDEX(Lists!$U$1:$U$18,MATCH($I190,Lists!$T$1:$T$18,0)),"?")</f>
        <v>Customer</v>
      </c>
      <c r="AK190" t="str">
        <f>IF(LOWER($Q190)="v","Vacant",IF(LOWER($Q190)="pause","Paused",IF(LOWER($Q190)="cxc","Contractor",IF($Q190="Contractor","Contractor","Filled"))))</f>
        <v>Vacant</v>
      </c>
      <c r="AL190" t="str">
        <f>IF($M190="NZ","NZ","AU")</f>
        <v>AU</v>
      </c>
      <c r="AM190">
        <f>COUNTIF($AJ$2:$AJ190,$AJ190)</f>
        <v>83.0</v>
      </c>
      <c r="AN190" t="str">
        <f>$AJ190&amp;"|"&amp;$AM190</f>
        <v>Customer|83</v>
      </c>
    </row>
    <row r="191" ht="18" customHeight="1" s="849">
      <c r="A191" s="714" t="n">
        <v>99999102155</v>
      </c>
      <c r="B191" s="705" t="inlineStr">
        <is>
          <t>Yash Thakkar</t>
        </is>
      </c>
      <c r="C191" s="705" t="inlineStr">
        <is>
          <t>Martech Specialist</t>
        </is>
      </c>
      <c r="D191" s="705" t="inlineStr">
        <is>
          <t>Kris Hamilton</t>
        </is>
      </c>
      <c r="E191" s="705" t="inlineStr">
        <is>
          <t>Technology Manager, Loyalty &amp; Martech</t>
        </is>
      </c>
      <c r="F191" s="716" t="inlineStr">
        <is>
          <t>Customer</t>
        </is>
      </c>
      <c r="G191" s="705" t="inlineStr">
        <is>
          <t>Loyalty &amp; Martech</t>
        </is>
      </c>
      <c r="H191" s="705" t="inlineStr">
        <is>
          <t>Loyalty, Tech</t>
        </is>
      </c>
      <c r="I191" s="715" t="inlineStr">
        <is>
          <t>Customer</t>
        </is>
      </c>
      <c r="J191" s="705" t="inlineStr">
        <is>
          <t>(All Customer)</t>
        </is>
      </c>
      <c r="K191" s="705" t="inlineStr">
        <is>
          <t>Z Energy Martech</t>
        </is>
      </c>
      <c r="L191" s="705" t="n"/>
      <c r="M191" s="717" t="inlineStr">
        <is>
          <t>NZ</t>
        </is>
      </c>
      <c r="N191" s="705" t="inlineStr">
        <is>
          <t>CIA</t>
        </is>
      </c>
      <c r="O191" s="715" t="n">
        <v>1</v>
      </c>
      <c r="P191" s="705" t="n"/>
      <c r="Q191" s="705" t="inlineStr">
        <is>
          <t>v</t>
        </is>
      </c>
      <c r="R191" s="705" t="n"/>
      <c r="S191" s="705" t="n"/>
      <c r="T191" s="718" t="n">
        <v>151950</v>
      </c>
      <c r="U191" s="719" t="n">
        <v>151950</v>
      </c>
      <c r="V191" s="720" t="n">
        <v>0.12</v>
      </c>
      <c r="W191" s="928" t="n">
        <v>0.055</v>
      </c>
      <c r="X191" s="928" t="n">
        <v>0.12</v>
      </c>
      <c r="Y191" s="928" t="n"/>
      <c r="Z191" s="928" t="n">
        <v>0.04</v>
      </c>
      <c r="AA191" s="929" t="n">
        <v>202853.25</v>
      </c>
      <c r="AB191" s="723" t="n"/>
      <c r="AC191" s="723" t="n"/>
      <c r="AD191" s="723" t="inlineStr">
        <is>
          <t>Retain source cost</t>
        </is>
      </c>
      <c r="AE191" s="723" t="inlineStr">
        <is>
          <t>No</t>
        </is>
      </c>
      <c r="AF191" s="723" t="n"/>
      <c r="AG191" s="723" t="n"/>
      <c r="AH191" s="920" t="n"/>
      <c r="AJ191" t="str">
        <f>IFERROR(INDEX(Lists!$U$1:$U$18,MATCH($I191,Lists!$T$1:$T$18,0)),"?")</f>
        <v>Customer</v>
      </c>
      <c r="AK191" t="str">
        <f>IF(LOWER($Q191)="v","Vacant",IF(LOWER($Q191)="pause","Paused",IF(LOWER($Q191)="cxc","Contractor",IF($Q191="Contractor","Contractor","Filled"))))</f>
        <v>Vacant</v>
      </c>
      <c r="AL191" t="str">
        <f>IF($M191="NZ","NZ","AU")</f>
        <v>NZ</v>
      </c>
      <c r="AM191">
        <f>COUNTIF($AJ$2:$AJ191,$AJ191)</f>
        <v>84.0</v>
      </c>
      <c r="AN191" t="str">
        <f>$AJ191&amp;"|"&amp;$AM191</f>
        <v>Customer|84</v>
      </c>
    </row>
    <row r="192" ht="18" customHeight="1" s="849">
      <c r="A192" s="714" t="n">
        <v>115607</v>
      </c>
      <c r="B192" s="715" t="inlineStr">
        <is>
          <t>Zohan Sim</t>
        </is>
      </c>
      <c r="C192" s="715" t="inlineStr">
        <is>
          <t>Engineer - BE</t>
        </is>
      </c>
      <c r="D192" s="715" t="inlineStr">
        <is>
          <t>Jin Zhong</t>
        </is>
      </c>
      <c r="E192" s="715" t="inlineStr">
        <is>
          <t>Lead Engineer - BE</t>
        </is>
      </c>
      <c r="F192" s="716" t="inlineStr">
        <is>
          <t>Customer</t>
        </is>
      </c>
      <c r="G192" s="705" t="inlineStr">
        <is>
          <t>Digital</t>
        </is>
      </c>
      <c r="H192" s="705" t="inlineStr">
        <is>
          <t>Tech, Digital Engineering</t>
        </is>
      </c>
      <c r="I192" s="705" t="inlineStr">
        <is>
          <t>Customer</t>
        </is>
      </c>
      <c r="J192" s="715" t="inlineStr">
        <is>
          <t>Ampol Digital</t>
        </is>
      </c>
      <c r="K192" s="715" t="inlineStr">
        <is>
          <t>Ampol Web</t>
        </is>
      </c>
      <c r="L192" s="705" t="n"/>
      <c r="M192" s="717" t="inlineStr">
        <is>
          <t>Australia</t>
        </is>
      </c>
      <c r="N192" s="705" t="inlineStr">
        <is>
          <t>CIA</t>
        </is>
      </c>
      <c r="O192" s="705" t="n">
        <v>1</v>
      </c>
      <c r="P192" s="705" t="n"/>
      <c r="Q192" s="715" t="inlineStr">
        <is>
          <t>Permanent - Full Time</t>
        </is>
      </c>
      <c r="R192" s="705" t="n"/>
      <c r="S192" s="705" t="n"/>
      <c r="T192" s="718" t="n">
        <v>130000</v>
      </c>
      <c r="U192" s="719" t="n">
        <v>119600</v>
      </c>
      <c r="V192" s="730" t="n">
        <v>0.15</v>
      </c>
      <c r="W192" s="705" t="n"/>
      <c r="X192" s="720" t="n">
        <v>0.05</v>
      </c>
      <c r="Y192" s="930" t="n">
        <v>2910</v>
      </c>
      <c r="Z192" s="720" t="n">
        <v>0.03</v>
      </c>
      <c r="AA192" s="929" t="n">
        <v>150018</v>
      </c>
      <c r="AB192" s="723" t="n">
        <v>117151</v>
      </c>
      <c r="AC192" s="723" t="n"/>
      <c r="AD192" s="723" t="inlineStr">
        <is>
          <t>Retain source cost</t>
        </is>
      </c>
      <c r="AE192" s="723" t="inlineStr">
        <is>
          <t>No</t>
        </is>
      </c>
      <c r="AF192" s="723" t="n"/>
      <c r="AG192" s="723" t="n"/>
      <c r="AJ192" t="str">
        <f>IFERROR(INDEX(Lists!$U$1:$U$18,MATCH($I192,Lists!$T$1:$T$18,0)),"?")</f>
        <v>Customer</v>
      </c>
      <c r="AK192" t="str">
        <f>IF(LOWER($Q192)="v","Vacant",IF(LOWER($Q192)="pause","Paused",IF(LOWER($Q192)="cxc","Contractor",IF($Q192="Contractor","Contractor","Filled"))))</f>
        <v>Filled</v>
      </c>
      <c r="AL192" t="str">
        <f>IF($M192="NZ","NZ","AU")</f>
        <v>AU</v>
      </c>
      <c r="AM192">
        <f>COUNTIF($AJ$2:$AJ192,$AJ192)</f>
        <v>85.0</v>
      </c>
      <c r="AN192" t="str">
        <f>$AJ192&amp;"|"&amp;$AM192</f>
        <v>Customer|85</v>
      </c>
    </row>
    <row r="193" ht="18" customHeight="1" s="849">
      <c r="A193" s="659" t="n">
        <v>99999101684</v>
      </c>
      <c r="B193" s="660" t="inlineStr">
        <is>
          <t>Ashley Mueller</t>
        </is>
      </c>
      <c r="C193" s="660" t="inlineStr">
        <is>
          <t>Lead – Service Assurance</t>
        </is>
      </c>
      <c r="D193" s="660" t="inlineStr">
        <is>
          <t>Mick Collins</t>
        </is>
      </c>
      <c r="E193" s="660" t="inlineStr">
        <is>
          <t>Cyber Architecture Lead</t>
        </is>
      </c>
      <c r="F193" s="660" t="inlineStr">
        <is>
          <t>Cyber, Risk &amp; Operations</t>
        </is>
      </c>
      <c r="G193" s="662" t="inlineStr">
        <is>
          <t>Service Op &amp; Assurance</t>
        </is>
      </c>
      <c r="H193" s="660" t="inlineStr">
        <is>
          <t xml:space="preserve">Service Performance &amp; Assurance </t>
        </is>
      </c>
      <c r="I193" s="660" t="inlineStr">
        <is>
          <t>COE - Cyber, Risk &amp; Operations</t>
        </is>
      </c>
      <c r="J193" s="660" t="inlineStr">
        <is>
          <t>NA</t>
        </is>
      </c>
      <c r="K193" s="660" t="inlineStr">
        <is>
          <t>NA</t>
        </is>
      </c>
      <c r="L193" s="660" t="n"/>
      <c r="M193" s="663" t="inlineStr">
        <is>
          <t>NZ</t>
        </is>
      </c>
      <c r="N193" s="664" t="inlineStr">
        <is>
          <t>CIC</t>
        </is>
      </c>
      <c r="O193" s="665" t="n">
        <v>1</v>
      </c>
      <c r="P193" s="664" t="n"/>
      <c r="Q193" s="665" t="inlineStr">
        <is>
          <t>Permanent - Full Time</t>
        </is>
      </c>
      <c r="R193" s="666" t="n"/>
      <c r="S193" s="666" t="n"/>
      <c r="T193" s="667" t="n">
        <v>165310</v>
      </c>
      <c r="U193" s="668" t="n">
        <v>152085.2</v>
      </c>
      <c r="V193" s="669" t="n">
        <v>0.15</v>
      </c>
      <c r="W193" s="665" t="n"/>
      <c r="X193" s="670" t="n">
        <v>0.05</v>
      </c>
      <c r="Y193" s="918" t="n">
        <v>2910</v>
      </c>
      <c r="Z193" s="670" t="n">
        <v>0.03</v>
      </c>
      <c r="AA193" s="919" t="n">
        <v>189974.796</v>
      </c>
      <c r="AB193" s="707" t="n"/>
      <c r="AC193" s="707" t="n"/>
      <c r="AJ193" t="str">
        <f>IFERROR(INDEX(Lists!$U$1:$U$18,MATCH($I193,Lists!$T$1:$T$18,0)),"?")</f>
        <v>COE Cyber</v>
      </c>
      <c r="AK193" t="str">
        <f>IF(LOWER($Q193)="v","Vacant",IF(LOWER($Q193)="pause","Paused",IF(LOWER($Q193)="cxc","Contractor",IF($Q193="Contractor","Contractor","Filled"))))</f>
        <v>Filled</v>
      </c>
      <c r="AL193" t="str">
        <f>IF($M193="NZ","NZ","AU")</f>
        <v>NZ</v>
      </c>
      <c r="AM193">
        <f>COUNTIF($AJ$2:$AJ193,$AJ193)</f>
        <v>1.0</v>
      </c>
      <c r="AN193" t="str">
        <f>$AJ193&amp;"|"&amp;$AM193</f>
        <v>COE Cyber|1</v>
      </c>
    </row>
    <row r="194" ht="18" customHeight="1" s="849">
      <c r="A194" s="659" t="n">
        <v>108013</v>
      </c>
      <c r="B194" s="660" t="inlineStr">
        <is>
          <t>Belinda Hoskens</t>
        </is>
      </c>
      <c r="C194" s="660" t="inlineStr">
        <is>
          <t>Technology Support Engineer</t>
        </is>
      </c>
      <c r="D194" s="660" t="inlineStr">
        <is>
          <t>Mark Pearson</t>
        </is>
      </c>
      <c r="E194" s="660" t="inlineStr">
        <is>
          <t xml:space="preserve">Lead Technology Support </t>
        </is>
      </c>
      <c r="F194" s="660" t="inlineStr">
        <is>
          <t>Cyber, Risk &amp; Operations</t>
        </is>
      </c>
      <c r="G194" s="662" t="inlineStr">
        <is>
          <t>Service Op &amp; Assurance</t>
        </is>
      </c>
      <c r="H194" s="660" t="inlineStr">
        <is>
          <t xml:space="preserve">Technology Support </t>
        </is>
      </c>
      <c r="I194" s="660" t="inlineStr">
        <is>
          <t>COE - Cyber, Risk &amp; Operations</t>
        </is>
      </c>
      <c r="J194" s="660" t="inlineStr">
        <is>
          <t>NA</t>
        </is>
      </c>
      <c r="K194" s="660" t="inlineStr">
        <is>
          <t>NA</t>
        </is>
      </c>
      <c r="L194" s="660" t="n"/>
      <c r="M194" s="663" t="inlineStr">
        <is>
          <t>Australia</t>
        </is>
      </c>
      <c r="N194" s="664" t="inlineStr">
        <is>
          <t>CIA</t>
        </is>
      </c>
      <c r="O194" s="664" t="n">
        <v>1</v>
      </c>
      <c r="P194" s="664" t="n"/>
      <c r="Q194" s="664" t="inlineStr">
        <is>
          <t>Permanent - Full Time</t>
        </is>
      </c>
      <c r="R194" s="666" t="n"/>
      <c r="S194" s="666" t="n"/>
      <c r="T194" s="667" t="n">
        <v>123300</v>
      </c>
      <c r="U194" s="668" t="n">
        <v>123300</v>
      </c>
      <c r="V194" s="670" t="n">
        <v>0.1</v>
      </c>
      <c r="W194" s="921" t="n">
        <v>0.055</v>
      </c>
      <c r="X194" s="921" t="n">
        <v>0.12</v>
      </c>
      <c r="Y194" s="922" t="n"/>
      <c r="Z194" s="921" t="n">
        <v>0.04</v>
      </c>
      <c r="AA194" s="919" t="n">
        <v>162139.5</v>
      </c>
      <c r="AB194" s="707" t="n"/>
      <c r="AC194" s="707" t="n"/>
      <c r="AJ194" t="str">
        <f>IFERROR(INDEX(Lists!$U$1:$U$18,MATCH($I194,Lists!$T$1:$T$18,0)),"?")</f>
        <v>COE Cyber</v>
      </c>
      <c r="AK194" t="str">
        <f>IF(LOWER($Q194)="v","Vacant",IF(LOWER($Q194)="pause","Paused",IF(LOWER($Q194)="cxc","Contractor",IF($Q194="Contractor","Contractor","Filled"))))</f>
        <v>Filled</v>
      </c>
      <c r="AL194" t="str">
        <f>IF($M194="NZ","NZ","AU")</f>
        <v>AU</v>
      </c>
      <c r="AM194">
        <f>COUNTIF($AJ$2:$AJ194,$AJ194)</f>
        <v>2.0</v>
      </c>
      <c r="AN194" t="str">
        <f>$AJ194&amp;"|"&amp;$AM194</f>
        <v>COE Cyber|2</v>
      </c>
    </row>
    <row r="195" ht="18" customHeight="1" s="849">
      <c r="A195" s="659" t="n">
        <v>98823</v>
      </c>
      <c r="B195" s="660" t="inlineStr">
        <is>
          <t>Brian Gates</t>
        </is>
      </c>
      <c r="C195" s="660" t="inlineStr">
        <is>
          <t>Manager Risk &amp; Resilience</t>
        </is>
      </c>
      <c r="D195" s="660" t="inlineStr">
        <is>
          <t>Frances Bouzo</t>
        </is>
      </c>
      <c r="E195" s="660" t="inlineStr">
        <is>
          <t xml:space="preserve">CISO </t>
        </is>
      </c>
      <c r="F195" s="660" t="inlineStr">
        <is>
          <t>Cyber, Risk &amp; Operations</t>
        </is>
      </c>
      <c r="G195" s="662" t="inlineStr">
        <is>
          <t>Cyber Risk</t>
        </is>
      </c>
      <c r="H195" s="660" t="inlineStr">
        <is>
          <t xml:space="preserve">Risk &amp; Resilience </t>
        </is>
      </c>
      <c r="I195" s="660" t="inlineStr">
        <is>
          <t>COE - Cyber, Risk &amp; Operations</t>
        </is>
      </c>
      <c r="J195" s="660" t="inlineStr">
        <is>
          <t>NA</t>
        </is>
      </c>
      <c r="K195" s="660" t="inlineStr">
        <is>
          <t>NA</t>
        </is>
      </c>
      <c r="L195" s="660" t="n"/>
      <c r="M195" s="663" t="inlineStr">
        <is>
          <t>Australia</t>
        </is>
      </c>
      <c r="N195" s="664" t="inlineStr">
        <is>
          <t>CSB</t>
        </is>
      </c>
      <c r="O195" s="664" t="n">
        <v>1</v>
      </c>
      <c r="P195" s="664" t="n"/>
      <c r="Q195" s="664" t="inlineStr">
        <is>
          <t>Permanent - Full Time</t>
        </is>
      </c>
      <c r="R195" s="666" t="n"/>
      <c r="S195" s="666" t="n"/>
      <c r="T195" s="667" t="n">
        <v>211840</v>
      </c>
      <c r="U195" s="668" t="n">
        <v>211840</v>
      </c>
      <c r="V195" s="670" t="n">
        <v>0.14</v>
      </c>
      <c r="W195" s="921" t="n">
        <v>0.055</v>
      </c>
      <c r="X195" s="921" t="n">
        <v>0.12</v>
      </c>
      <c r="Y195" s="922" t="n"/>
      <c r="Z195" s="921" t="n">
        <v>0.04</v>
      </c>
      <c r="AA195" s="919" t="n">
        <v>287043.2</v>
      </c>
      <c r="AB195" s="707" t="n"/>
      <c r="AC195" s="707" t="n"/>
      <c r="AJ195" t="str">
        <f>IFERROR(INDEX(Lists!$U$1:$U$18,MATCH($I195,Lists!$T$1:$T$18,0)),"?")</f>
        <v>COE Cyber</v>
      </c>
      <c r="AK195" t="str">
        <f>IF(LOWER($Q195)="v","Vacant",IF(LOWER($Q195)="pause","Paused",IF(LOWER($Q195)="cxc","Contractor",IF($Q195="Contractor","Contractor","Filled"))))</f>
        <v>Filled</v>
      </c>
      <c r="AL195" t="str">
        <f>IF($M195="NZ","NZ","AU")</f>
        <v>AU</v>
      </c>
      <c r="AM195">
        <f>COUNTIF($AJ$2:$AJ195,$AJ195)</f>
        <v>3.0</v>
      </c>
      <c r="AN195" t="str">
        <f>$AJ195&amp;"|"&amp;$AM195</f>
        <v>COE Cyber|3</v>
      </c>
    </row>
    <row r="196" ht="18" customHeight="1" s="849">
      <c r="A196" s="659" t="n">
        <v>86962</v>
      </c>
      <c r="B196" s="660" t="inlineStr">
        <is>
          <t>Cameron Watman</t>
        </is>
      </c>
      <c r="C196" s="660" t="inlineStr">
        <is>
          <t>Engineer - IDAM</t>
        </is>
      </c>
      <c r="D196" s="660" t="inlineStr">
        <is>
          <t>Joe Nahma</t>
        </is>
      </c>
      <c r="E196" s="660" t="inlineStr">
        <is>
          <t xml:space="preserve">Head of Cyber Strategy &amp; Technology </t>
        </is>
      </c>
      <c r="F196" s="660" t="inlineStr">
        <is>
          <t>Cyber, Risk &amp; Operations</t>
        </is>
      </c>
      <c r="G196" s="662" t="inlineStr">
        <is>
          <t>Cyber Strat &amp; Tech</t>
        </is>
      </c>
      <c r="H196" s="685" t="inlineStr">
        <is>
          <t xml:space="preserve">Identity &amp; Access Management </t>
        </is>
      </c>
      <c r="I196" s="660" t="inlineStr">
        <is>
          <t>COE - Cyber, Risk &amp; Operations</t>
        </is>
      </c>
      <c r="J196" s="660" t="inlineStr">
        <is>
          <t>NA</t>
        </is>
      </c>
      <c r="K196" s="707" t="inlineStr">
        <is>
          <t>NA</t>
        </is>
      </c>
      <c r="L196" s="660" t="n"/>
      <c r="M196" s="663" t="inlineStr">
        <is>
          <t>Australia</t>
        </is>
      </c>
      <c r="N196" s="666" t="inlineStr">
        <is>
          <t>CIA</t>
        </is>
      </c>
      <c r="O196" s="666" t="n">
        <v>1</v>
      </c>
      <c r="P196" s="666" t="n"/>
      <c r="Q196" s="666" t="inlineStr">
        <is>
          <t>Permanent - Full Time</t>
        </is>
      </c>
      <c r="R196" s="666" t="n"/>
      <c r="S196" s="666" t="n"/>
      <c r="T196" s="667" t="n">
        <v>131660</v>
      </c>
      <c r="U196" s="668" t="n">
        <v>131660</v>
      </c>
      <c r="V196" s="670" t="n">
        <v>0.1</v>
      </c>
      <c r="W196" s="921" t="n">
        <v>0.055</v>
      </c>
      <c r="X196" s="921" t="n">
        <v>0.12</v>
      </c>
      <c r="Y196" s="922" t="n"/>
      <c r="Z196" s="921" t="n">
        <v>0.04</v>
      </c>
      <c r="AA196" s="919" t="n">
        <v>173132.9</v>
      </c>
      <c r="AB196" s="707" t="n"/>
      <c r="AC196" s="707" t="n"/>
      <c r="AJ196" t="str">
        <f>IFERROR(INDEX(Lists!$U$1:$U$18,MATCH($I196,Lists!$T$1:$T$18,0)),"?")</f>
        <v>COE Cyber</v>
      </c>
      <c r="AK196" t="str">
        <f>IF(LOWER($Q196)="v","Vacant",IF(LOWER($Q196)="pause","Paused",IF(LOWER($Q196)="cxc","Contractor",IF($Q196="Contractor","Contractor","Filled"))))</f>
        <v>Filled</v>
      </c>
      <c r="AL196" t="str">
        <f>IF($M196="NZ","NZ","AU")</f>
        <v>AU</v>
      </c>
      <c r="AM196">
        <f>COUNTIF($AJ$2:$AJ196,$AJ196)</f>
        <v>4.0</v>
      </c>
      <c r="AN196" t="str">
        <f>$AJ196&amp;"|"&amp;$AM196</f>
        <v>COE Cyber|4</v>
      </c>
    </row>
    <row r="197" ht="18" customHeight="1" s="849">
      <c r="A197" s="659" t="n">
        <v>106511</v>
      </c>
      <c r="B197" s="660" t="inlineStr">
        <is>
          <t>Catherine Gire</t>
        </is>
      </c>
      <c r="C197" s="660" t="inlineStr">
        <is>
          <t>Cyber Technical Business Analyst</t>
        </is>
      </c>
      <c r="D197" s="660" t="inlineStr">
        <is>
          <t>Vivienne Vasak</t>
        </is>
      </c>
      <c r="E197" s="660" t="inlineStr">
        <is>
          <t xml:space="preserve">Portfolio Manger Cyber Security </t>
        </is>
      </c>
      <c r="F197" s="660" t="inlineStr">
        <is>
          <t>Cyber, Risk &amp; Operations</t>
        </is>
      </c>
      <c r="G197" s="662" t="inlineStr">
        <is>
          <t>Cyber Strat &amp; Tech</t>
        </is>
      </c>
      <c r="H197" s="660" t="inlineStr">
        <is>
          <t>Cyber Security Uplift Program</t>
        </is>
      </c>
      <c r="I197" s="660" t="inlineStr">
        <is>
          <t>COE - Cyber, Risk &amp; Operations</t>
        </is>
      </c>
      <c r="J197" s="660" t="inlineStr">
        <is>
          <t>NA</t>
        </is>
      </c>
      <c r="K197" s="660" t="inlineStr">
        <is>
          <t>NA</t>
        </is>
      </c>
      <c r="L197" s="660" t="n"/>
      <c r="M197" s="663" t="inlineStr">
        <is>
          <t>Australia</t>
        </is>
      </c>
      <c r="N197" s="664" t="inlineStr">
        <is>
          <t>CIB</t>
        </is>
      </c>
      <c r="O197" s="664" t="n">
        <v>1</v>
      </c>
      <c r="P197" s="664" t="n"/>
      <c r="Q197" s="664" t="inlineStr">
        <is>
          <t>Permanent - Full Time</t>
        </is>
      </c>
      <c r="R197" s="666" t="n"/>
      <c r="S197" s="666" t="n"/>
      <c r="T197" s="667" t="n">
        <v>170160</v>
      </c>
      <c r="U197" s="668" t="n">
        <v>170160</v>
      </c>
      <c r="V197" s="670" t="n">
        <v>0.12</v>
      </c>
      <c r="W197" s="921" t="n">
        <v>0.055</v>
      </c>
      <c r="X197" s="921" t="n">
        <v>0.12</v>
      </c>
      <c r="Y197" s="922" t="n"/>
      <c r="Z197" s="921" t="n">
        <v>0.04</v>
      </c>
      <c r="AA197" s="919" t="n">
        <v>227163.6</v>
      </c>
      <c r="AB197" s="707" t="n"/>
      <c r="AC197" s="707" t="n"/>
      <c r="AJ197" t="str">
        <f>IFERROR(INDEX(Lists!$U$1:$U$18,MATCH($I197,Lists!$T$1:$T$18,0)),"?")</f>
        <v>COE Cyber</v>
      </c>
      <c r="AK197" t="str">
        <f>IF(LOWER($Q197)="v","Vacant",IF(LOWER($Q197)="pause","Paused",IF(LOWER($Q197)="cxc","Contractor",IF($Q197="Contractor","Contractor","Filled"))))</f>
        <v>Filled</v>
      </c>
      <c r="AL197" t="str">
        <f>IF($M197="NZ","NZ","AU")</f>
        <v>AU</v>
      </c>
      <c r="AM197">
        <f>COUNTIF($AJ$2:$AJ197,$AJ197)</f>
        <v>5.0</v>
      </c>
      <c r="AN197" t="str">
        <f>$AJ197&amp;"|"&amp;$AM197</f>
        <v>COE Cyber|5</v>
      </c>
    </row>
    <row r="198" ht="18" customHeight="1" s="849">
      <c r="A198" s="659" t="n">
        <v>102385</v>
      </c>
      <c r="B198" s="660" t="inlineStr">
        <is>
          <t>Chris Lyons</t>
        </is>
      </c>
      <c r="C198" s="660" t="inlineStr">
        <is>
          <t>Cyber Security Architect</t>
        </is>
      </c>
      <c r="D198" s="660" t="inlineStr">
        <is>
          <t>Kevin Sheerin</t>
        </is>
      </c>
      <c r="E198" s="660" t="inlineStr">
        <is>
          <t xml:space="preserve">Head of Cyber Strategy &amp; Technology </t>
        </is>
      </c>
      <c r="F198" s="660" t="inlineStr">
        <is>
          <t>Cyber, Risk &amp; Operations</t>
        </is>
      </c>
      <c r="G198" s="662" t="inlineStr">
        <is>
          <t>Cyber Strat &amp; Tech</t>
        </is>
      </c>
      <c r="H198" s="660" t="inlineStr">
        <is>
          <t>NA</t>
        </is>
      </c>
      <c r="I198" s="660" t="inlineStr">
        <is>
          <t>COE - Cyber, Risk &amp; Operations</t>
        </is>
      </c>
      <c r="J198" s="660" t="inlineStr">
        <is>
          <t>NA</t>
        </is>
      </c>
      <c r="K198" s="660" t="inlineStr">
        <is>
          <t>NA</t>
        </is>
      </c>
      <c r="L198" s="660" t="n"/>
      <c r="M198" s="663" t="inlineStr">
        <is>
          <t>Australia</t>
        </is>
      </c>
      <c r="N198" s="664" t="inlineStr">
        <is>
          <t>CIC</t>
        </is>
      </c>
      <c r="O198" s="664" t="n">
        <v>1</v>
      </c>
      <c r="P198" s="664" t="n"/>
      <c r="Q198" s="664" t="inlineStr">
        <is>
          <t>Permanent - Full Time</t>
        </is>
      </c>
      <c r="R198" s="666" t="n"/>
      <c r="S198" s="666" t="n"/>
      <c r="T198" s="667" t="n">
        <v>212250</v>
      </c>
      <c r="U198" s="668" t="n">
        <v>212250</v>
      </c>
      <c r="V198" s="670" t="n">
        <v>0.12</v>
      </c>
      <c r="W198" s="921" t="n">
        <v>0.055</v>
      </c>
      <c r="X198" s="921" t="n">
        <v>0.12</v>
      </c>
      <c r="Y198" s="922" t="n"/>
      <c r="Z198" s="921" t="n">
        <v>0.04</v>
      </c>
      <c r="AA198" s="919" t="n">
        <v>283353.75</v>
      </c>
      <c r="AB198" s="707" t="n"/>
      <c r="AC198" s="707" t="n"/>
      <c r="AJ198" t="str">
        <f>IFERROR(INDEX(Lists!$U$1:$U$18,MATCH($I198,Lists!$T$1:$T$18,0)),"?")</f>
        <v>COE Cyber</v>
      </c>
      <c r="AK198" t="str">
        <f>IF(LOWER($Q198)="v","Vacant",IF(LOWER($Q198)="pause","Paused",IF(LOWER($Q198)="cxc","Contractor",IF($Q198="Contractor","Contractor","Filled"))))</f>
        <v>Filled</v>
      </c>
      <c r="AL198" t="str">
        <f>IF($M198="NZ","NZ","AU")</f>
        <v>AU</v>
      </c>
      <c r="AM198">
        <f>COUNTIF($AJ$2:$AJ198,$AJ198)</f>
        <v>6.0</v>
      </c>
      <c r="AN198" t="str">
        <f>$AJ198&amp;"|"&amp;$AM198</f>
        <v>COE Cyber|6</v>
      </c>
    </row>
    <row r="199" ht="18" customHeight="1" s="849">
      <c r="A199" s="659" t="n">
        <v>84274</v>
      </c>
      <c r="B199" s="660" t="inlineStr">
        <is>
          <t>Chris Rojas</t>
        </is>
      </c>
      <c r="C199" s="660" t="inlineStr">
        <is>
          <t>Manager, Customer Support Operations</t>
        </is>
      </c>
      <c r="D199" s="660" t="inlineStr">
        <is>
          <t>Rajini Onteddu Reddy</t>
        </is>
      </c>
      <c r="E199" s="660" t="inlineStr">
        <is>
          <t xml:space="preserve">Manager Cyber Security Operations </t>
        </is>
      </c>
      <c r="F199" s="660" t="inlineStr">
        <is>
          <t>Cyber, Risk &amp; Operations</t>
        </is>
      </c>
      <c r="G199" s="662" t="inlineStr">
        <is>
          <t>Service Op &amp; Assurance</t>
        </is>
      </c>
      <c r="H199" s="660" t="inlineStr">
        <is>
          <t>NA</t>
        </is>
      </c>
      <c r="I199" s="660" t="inlineStr">
        <is>
          <t>COE - Cyber, Risk &amp; Operations</t>
        </is>
      </c>
      <c r="J199" s="660" t="inlineStr">
        <is>
          <t>NA</t>
        </is>
      </c>
      <c r="K199" s="660" t="inlineStr">
        <is>
          <t>NA</t>
        </is>
      </c>
      <c r="L199" s="660" t="n"/>
      <c r="M199" s="663" t="inlineStr">
        <is>
          <t>Australia</t>
        </is>
      </c>
      <c r="N199" s="666" t="inlineStr">
        <is>
          <t>CIC</t>
        </is>
      </c>
      <c r="O199" s="666" t="n">
        <v>1</v>
      </c>
      <c r="P199" s="666" t="n"/>
      <c r="Q199" s="666" t="inlineStr">
        <is>
          <t>Permanent - Full Time</t>
        </is>
      </c>
      <c r="R199" s="666" t="n"/>
      <c r="S199" s="666" t="n"/>
      <c r="T199" s="667" t="n">
        <v>182250</v>
      </c>
      <c r="U199" s="668" t="n">
        <v>182250</v>
      </c>
      <c r="V199" s="670" t="n">
        <v>0.12</v>
      </c>
      <c r="W199" s="921" t="n">
        <v>0.055</v>
      </c>
      <c r="X199" s="921" t="n">
        <v>0.12</v>
      </c>
      <c r="Y199" s="922" t="n"/>
      <c r="Z199" s="921" t="n">
        <v>0.04</v>
      </c>
      <c r="AA199" s="919" t="n">
        <v>243303.75</v>
      </c>
      <c r="AB199" s="707" t="n"/>
      <c r="AC199" s="707" t="n"/>
      <c r="AJ199" t="str">
        <f>IFERROR(INDEX(Lists!$U$1:$U$18,MATCH($I199,Lists!$T$1:$T$18,0)),"?")</f>
        <v>COE Cyber</v>
      </c>
      <c r="AK199" t="str">
        <f>IF(LOWER($Q199)="v","Vacant",IF(LOWER($Q199)="pause","Paused",IF(LOWER($Q199)="cxc","Contractor",IF($Q199="Contractor","Contractor","Filled"))))</f>
        <v>Filled</v>
      </c>
      <c r="AL199" t="str">
        <f>IF($M199="NZ","NZ","AU")</f>
        <v>AU</v>
      </c>
      <c r="AM199">
        <f>COUNTIF($AJ$2:$AJ199,$AJ199)</f>
        <v>7.0</v>
      </c>
      <c r="AN199" t="str">
        <f>$AJ199&amp;"|"&amp;$AM199</f>
        <v>COE Cyber|7</v>
      </c>
    </row>
    <row r="200" ht="18" customHeight="1" s="849">
      <c r="A200" s="659" t="n">
        <v>98924</v>
      </c>
      <c r="B200" s="660" t="inlineStr">
        <is>
          <t>Dan Balsamo</t>
        </is>
      </c>
      <c r="C200" s="660" t="inlineStr">
        <is>
          <t>Senior Cyber Project Manager</t>
        </is>
      </c>
      <c r="D200" s="660" t="inlineStr">
        <is>
          <t>Vivienne Vasak</t>
        </is>
      </c>
      <c r="E200" s="660" t="inlineStr">
        <is>
          <t xml:space="preserve">Head of Cyber Strategy &amp; Technology </t>
        </is>
      </c>
      <c r="F200" s="660" t="inlineStr">
        <is>
          <t>Cyber, Risk &amp; Operations</t>
        </is>
      </c>
      <c r="G200" s="662" t="inlineStr">
        <is>
          <t>Cyber Strat &amp; Tech</t>
        </is>
      </c>
      <c r="H200" s="660" t="inlineStr">
        <is>
          <t>NA</t>
        </is>
      </c>
      <c r="I200" s="660" t="inlineStr">
        <is>
          <t>COE - Cyber, Risk &amp; Operations</t>
        </is>
      </c>
      <c r="J200" s="660" t="inlineStr">
        <is>
          <t>NA</t>
        </is>
      </c>
      <c r="K200" s="660" t="inlineStr">
        <is>
          <t>NA</t>
        </is>
      </c>
      <c r="L200" s="660" t="n"/>
      <c r="M200" s="663" t="inlineStr">
        <is>
          <t>Australia</t>
        </is>
      </c>
      <c r="N200" s="664" t="inlineStr">
        <is>
          <t>CIC</t>
        </is>
      </c>
      <c r="O200" s="664" t="n">
        <v>1</v>
      </c>
      <c r="P200" s="664" t="n"/>
      <c r="Q200" s="664" t="inlineStr">
        <is>
          <t>Permanent - Full Time</t>
        </is>
      </c>
      <c r="R200" s="666" t="n"/>
      <c r="S200" s="666" t="n"/>
      <c r="T200" s="667" t="n">
        <v>193690</v>
      </c>
      <c r="U200" s="668" t="n">
        <v>193690</v>
      </c>
      <c r="V200" s="670" t="n">
        <v>0.12</v>
      </c>
      <c r="W200" s="921" t="n">
        <v>0.055</v>
      </c>
      <c r="X200" s="921" t="n">
        <v>0.12</v>
      </c>
      <c r="Y200" s="922" t="n"/>
      <c r="Z200" s="921" t="n">
        <v>0.04</v>
      </c>
      <c r="AA200" s="919" t="n">
        <v>258576.15</v>
      </c>
      <c r="AB200" s="707" t="n"/>
      <c r="AC200" s="707" t="n"/>
      <c r="AJ200" t="str">
        <f>IFERROR(INDEX(Lists!$U$1:$U$18,MATCH($I200,Lists!$T$1:$T$18,0)),"?")</f>
        <v>COE Cyber</v>
      </c>
      <c r="AK200" t="str">
        <f>IF(LOWER($Q200)="v","Vacant",IF(LOWER($Q200)="pause","Paused",IF(LOWER($Q200)="cxc","Contractor",IF($Q200="Contractor","Contractor","Filled"))))</f>
        <v>Filled</v>
      </c>
      <c r="AL200" t="str">
        <f>IF($M200="NZ","NZ","AU")</f>
        <v>AU</v>
      </c>
      <c r="AM200">
        <f>COUNTIF($AJ$2:$AJ200,$AJ200)</f>
        <v>8.0</v>
      </c>
      <c r="AN200" t="str">
        <f>$AJ200&amp;"|"&amp;$AM200</f>
        <v>COE Cyber|8</v>
      </c>
    </row>
    <row r="201" ht="18" customHeight="1" s="849">
      <c r="A201" s="659" t="n">
        <v>110204</v>
      </c>
      <c r="B201" s="660" t="inlineStr">
        <is>
          <t>Daniel Jolley</t>
        </is>
      </c>
      <c r="C201" s="660" t="inlineStr">
        <is>
          <t>Tech Support Technician</t>
        </is>
      </c>
      <c r="D201" s="660" t="inlineStr">
        <is>
          <t>Mark Pearson</t>
        </is>
      </c>
      <c r="E201" s="660" t="inlineStr">
        <is>
          <t xml:space="preserve">Lead Technology Support </t>
        </is>
      </c>
      <c r="F201" s="660" t="inlineStr">
        <is>
          <t>Cyber, Risk &amp; Operations</t>
        </is>
      </c>
      <c r="G201" s="662" t="inlineStr">
        <is>
          <t>Service Op &amp; Assurance</t>
        </is>
      </c>
      <c r="H201" s="660" t="inlineStr">
        <is>
          <t>NA</t>
        </is>
      </c>
      <c r="I201" s="660" t="inlineStr">
        <is>
          <t>COE - Cyber, Risk &amp; Operations</t>
        </is>
      </c>
      <c r="J201" s="660" t="inlineStr">
        <is>
          <t>NA</t>
        </is>
      </c>
      <c r="K201" s="660" t="inlineStr">
        <is>
          <t>NA</t>
        </is>
      </c>
      <c r="L201" s="660" t="n"/>
      <c r="M201" s="663" t="inlineStr">
        <is>
          <t>Australia</t>
        </is>
      </c>
      <c r="N201" s="664" t="inlineStr">
        <is>
          <t>CDC</t>
        </is>
      </c>
      <c r="O201" s="664" t="n">
        <v>1</v>
      </c>
      <c r="P201" s="664" t="n"/>
      <c r="Q201" s="664" t="inlineStr">
        <is>
          <t>Permanent - Full Time</t>
        </is>
      </c>
      <c r="R201" s="666" t="n"/>
      <c r="S201" s="666" t="n"/>
      <c r="T201" s="667" t="n">
        <v>88100</v>
      </c>
      <c r="U201" s="668" t="n">
        <v>88100</v>
      </c>
      <c r="V201" s="670" t="n">
        <v>0.1</v>
      </c>
      <c r="W201" s="921" t="n">
        <v>0.055</v>
      </c>
      <c r="X201" s="921" t="n">
        <v>0.12</v>
      </c>
      <c r="Y201" s="922" t="n"/>
      <c r="Z201" s="921" t="n">
        <v>0.04</v>
      </c>
      <c r="AA201" s="919" t="n">
        <v>115851.5</v>
      </c>
      <c r="AB201" s="707" t="n"/>
      <c r="AC201" s="707" t="n"/>
      <c r="AJ201" t="str">
        <f>IFERROR(INDEX(Lists!$U$1:$U$18,MATCH($I201,Lists!$T$1:$T$18,0)),"?")</f>
        <v>COE Cyber</v>
      </c>
      <c r="AK201" t="str">
        <f>IF(LOWER($Q201)="v","Vacant",IF(LOWER($Q201)="pause","Paused",IF(LOWER($Q201)="cxc","Contractor",IF($Q201="Contractor","Contractor","Filled"))))</f>
        <v>Filled</v>
      </c>
      <c r="AL201" t="str">
        <f>IF($M201="NZ","NZ","AU")</f>
        <v>AU</v>
      </c>
      <c r="AM201">
        <f>COUNTIF($AJ$2:$AJ201,$AJ201)</f>
        <v>9.0</v>
      </c>
      <c r="AN201" t="str">
        <f>$AJ201&amp;"|"&amp;$AM201</f>
        <v>COE Cyber|9</v>
      </c>
    </row>
    <row r="202" ht="18" customHeight="1" s="849">
      <c r="A202" s="659" t="n">
        <v>6307</v>
      </c>
      <c r="B202" s="660" t="inlineStr">
        <is>
          <t>Darren Koller</t>
        </is>
      </c>
      <c r="C202" s="660" t="inlineStr">
        <is>
          <t>Manager, Service Management &amp; Major Incident Mgmt Lead</t>
        </is>
      </c>
      <c r="D202" s="660" t="inlineStr">
        <is>
          <t>Rajini Onteddu Reddy</t>
        </is>
      </c>
      <c r="E202" s="660" t="inlineStr">
        <is>
          <t>Head of Service Operatoins &amp; Assurance</t>
        </is>
      </c>
      <c r="F202" s="660" t="inlineStr">
        <is>
          <t>Cyber, Risk &amp; Operations</t>
        </is>
      </c>
      <c r="G202" s="662" t="inlineStr">
        <is>
          <t>Service Op &amp; Assurance</t>
        </is>
      </c>
      <c r="H202" s="660" t="inlineStr">
        <is>
          <t>NA</t>
        </is>
      </c>
      <c r="I202" s="660" t="inlineStr">
        <is>
          <t>COE - Cyber, Risk &amp; Operations</t>
        </is>
      </c>
      <c r="J202" s="660" t="inlineStr">
        <is>
          <t>NA</t>
        </is>
      </c>
      <c r="K202" s="660" t="inlineStr">
        <is>
          <t>NA</t>
        </is>
      </c>
      <c r="L202" s="660" t="n"/>
      <c r="M202" s="663" t="inlineStr">
        <is>
          <t>Australia</t>
        </is>
      </c>
      <c r="N202" s="666" t="inlineStr">
        <is>
          <t>CIC</t>
        </is>
      </c>
      <c r="O202" s="666" t="n">
        <v>1</v>
      </c>
      <c r="P202" s="666" t="n"/>
      <c r="Q202" s="666" t="inlineStr">
        <is>
          <t>Permanent - Full Time</t>
        </is>
      </c>
      <c r="R202" s="666" t="n"/>
      <c r="S202" s="666" t="n"/>
      <c r="T202" s="667" t="n">
        <v>205950</v>
      </c>
      <c r="U202" s="668" t="n">
        <v>205950</v>
      </c>
      <c r="V202" s="670" t="n">
        <v>0.12</v>
      </c>
      <c r="W202" s="921" t="n">
        <v>0.055</v>
      </c>
      <c r="X202" s="921" t="n">
        <v>0.12</v>
      </c>
      <c r="Y202" s="922" t="n"/>
      <c r="Z202" s="921" t="n">
        <v>0.04</v>
      </c>
      <c r="AA202" s="919" t="n">
        <v>274943.25</v>
      </c>
      <c r="AB202" s="707" t="n"/>
      <c r="AC202" s="707" t="n"/>
      <c r="AJ202" t="str">
        <f>IFERROR(INDEX(Lists!$U$1:$U$18,MATCH($I202,Lists!$T$1:$T$18,0)),"?")</f>
        <v>COE Cyber</v>
      </c>
      <c r="AK202" t="str">
        <f>IF(LOWER($Q202)="v","Vacant",IF(LOWER($Q202)="pause","Paused",IF(LOWER($Q202)="cxc","Contractor",IF($Q202="Contractor","Contractor","Filled"))))</f>
        <v>Filled</v>
      </c>
      <c r="AL202" t="str">
        <f>IF($M202="NZ","NZ","AU")</f>
        <v>AU</v>
      </c>
      <c r="AM202">
        <f>COUNTIF($AJ$2:$AJ202,$AJ202)</f>
        <v>10.0</v>
      </c>
      <c r="AN202" t="str">
        <f>$AJ202&amp;"|"&amp;$AM202</f>
        <v>COE Cyber|10</v>
      </c>
    </row>
    <row r="203" ht="18" customHeight="1" s="849">
      <c r="A203" s="659" t="n">
        <v>99707</v>
      </c>
      <c r="B203" s="660" t="inlineStr">
        <is>
          <t>Darshan Suvama</t>
        </is>
      </c>
      <c r="C203" s="660" t="inlineStr">
        <is>
          <t>Cyber Offensive Security Lead</t>
        </is>
      </c>
      <c r="D203" s="660" t="inlineStr">
        <is>
          <t>Kevin Sheerin</t>
        </is>
      </c>
      <c r="E203" s="660" t="inlineStr">
        <is>
          <t>Cyber Architecture Lead</t>
        </is>
      </c>
      <c r="F203" s="660" t="inlineStr">
        <is>
          <t>Cyber, Risk &amp; Operations</t>
        </is>
      </c>
      <c r="G203" s="662" t="inlineStr">
        <is>
          <t>Cyber Strat &amp; Tech</t>
        </is>
      </c>
      <c r="H203" s="660" t="inlineStr">
        <is>
          <t>NA</t>
        </is>
      </c>
      <c r="I203" s="660" t="inlineStr">
        <is>
          <t>COE - Cyber, Risk &amp; Operations</t>
        </is>
      </c>
      <c r="J203" s="660" t="inlineStr">
        <is>
          <t>NA</t>
        </is>
      </c>
      <c r="K203" s="660" t="inlineStr">
        <is>
          <t>NA</t>
        </is>
      </c>
      <c r="L203" s="660" t="n"/>
      <c r="M203" s="663" t="inlineStr">
        <is>
          <t>Australia</t>
        </is>
      </c>
      <c r="N203" s="664" t="inlineStr">
        <is>
          <t>CIC</t>
        </is>
      </c>
      <c r="O203" s="664" t="n">
        <v>1</v>
      </c>
      <c r="P203" s="664" t="n"/>
      <c r="Q203" s="664" t="inlineStr">
        <is>
          <t>Permanent - Full Time</t>
        </is>
      </c>
      <c r="R203" s="666" t="n"/>
      <c r="S203" s="666" t="n"/>
      <c r="T203" s="667" t="n">
        <v>213740</v>
      </c>
      <c r="U203" s="668" t="n">
        <v>213740</v>
      </c>
      <c r="V203" s="670" t="n">
        <v>0.12</v>
      </c>
      <c r="W203" s="921" t="n">
        <v>0.055</v>
      </c>
      <c r="X203" s="921" t="n">
        <v>0.12</v>
      </c>
      <c r="Y203" s="922" t="n"/>
      <c r="Z203" s="921" t="n">
        <v>0.04</v>
      </c>
      <c r="AA203" s="919" t="n">
        <v>285342.9</v>
      </c>
      <c r="AB203" s="707" t="n"/>
      <c r="AC203" s="707" t="n"/>
      <c r="AJ203" t="str">
        <f>IFERROR(INDEX(Lists!$U$1:$U$18,MATCH($I203,Lists!$T$1:$T$18,0)),"?")</f>
        <v>COE Cyber</v>
      </c>
      <c r="AK203" t="str">
        <f>IF(LOWER($Q203)="v","Vacant",IF(LOWER($Q203)="pause","Paused",IF(LOWER($Q203)="cxc","Contractor",IF($Q203="Contractor","Contractor","Filled"))))</f>
        <v>Filled</v>
      </c>
      <c r="AL203" t="str">
        <f>IF($M203="NZ","NZ","AU")</f>
        <v>AU</v>
      </c>
      <c r="AM203">
        <f>COUNTIF($AJ$2:$AJ203,$AJ203)</f>
        <v>11.0</v>
      </c>
      <c r="AN203" t="str">
        <f>$AJ203&amp;"|"&amp;$AM203</f>
        <v>COE Cyber|11</v>
      </c>
    </row>
    <row r="204" ht="18" customHeight="1" s="849">
      <c r="A204" s="659" t="n">
        <v>101700</v>
      </c>
      <c r="B204" s="660" t="inlineStr">
        <is>
          <t>Diya Thomas</t>
        </is>
      </c>
      <c r="C204" s="660" t="inlineStr">
        <is>
          <t>Manager Cyber Security GRC</t>
        </is>
      </c>
      <c r="D204" s="660" t="inlineStr">
        <is>
          <t>Frances Bouzo</t>
        </is>
      </c>
      <c r="E204" s="660" t="inlineStr">
        <is>
          <t xml:space="preserve">Manager Cyber Security Operations </t>
        </is>
      </c>
      <c r="F204" s="660" t="inlineStr">
        <is>
          <t>Cyber, Risk &amp; Operations</t>
        </is>
      </c>
      <c r="G204" s="662" t="inlineStr">
        <is>
          <t>Cyber GRC</t>
        </is>
      </c>
      <c r="H204" s="660" t="inlineStr">
        <is>
          <t>NA</t>
        </is>
      </c>
      <c r="I204" s="660" t="inlineStr">
        <is>
          <t>COE - Cyber, Risk &amp; Operations</t>
        </is>
      </c>
      <c r="J204" s="660" t="inlineStr">
        <is>
          <t>NA</t>
        </is>
      </c>
      <c r="K204" s="660" t="inlineStr">
        <is>
          <t>NA</t>
        </is>
      </c>
      <c r="L204" s="660" t="n"/>
      <c r="M204" s="663" t="inlineStr">
        <is>
          <t>Australia</t>
        </is>
      </c>
      <c r="N204" s="664" t="inlineStr">
        <is>
          <t>CSB</t>
        </is>
      </c>
      <c r="O204" s="664" t="n">
        <v>1</v>
      </c>
      <c r="P204" s="664" t="n"/>
      <c r="Q204" s="664" t="inlineStr">
        <is>
          <t>Permanent - Full Time</t>
        </is>
      </c>
      <c r="R204" s="666" t="n"/>
      <c r="S204" s="666" t="n"/>
      <c r="T204" s="667" t="n">
        <v>211840</v>
      </c>
      <c r="U204" s="668" t="n">
        <v>211840</v>
      </c>
      <c r="V204" s="670" t="n">
        <v>0.14</v>
      </c>
      <c r="W204" s="921" t="n">
        <v>0.055</v>
      </c>
      <c r="X204" s="921" t="n">
        <v>0.12</v>
      </c>
      <c r="Y204" s="922" t="n"/>
      <c r="Z204" s="921" t="n">
        <v>0.04</v>
      </c>
      <c r="AA204" s="919" t="n">
        <v>287043.2</v>
      </c>
      <c r="AB204" s="707" t="n"/>
      <c r="AC204" s="707" t="n"/>
      <c r="AJ204" t="str">
        <f>IFERROR(INDEX(Lists!$U$1:$U$18,MATCH($I204,Lists!$T$1:$T$18,0)),"?")</f>
        <v>COE Cyber</v>
      </c>
      <c r="AK204" t="str">
        <f>IF(LOWER($Q204)="v","Vacant",IF(LOWER($Q204)="pause","Paused",IF(LOWER($Q204)="cxc","Contractor",IF($Q204="Contractor","Contractor","Filled"))))</f>
        <v>Filled</v>
      </c>
      <c r="AL204" t="str">
        <f>IF($M204="NZ","NZ","AU")</f>
        <v>AU</v>
      </c>
      <c r="AM204">
        <f>COUNTIF($AJ$2:$AJ204,$AJ204)</f>
        <v>12.0</v>
      </c>
      <c r="AN204" t="str">
        <f>$AJ204&amp;"|"&amp;$AM204</f>
        <v>COE Cyber|12</v>
      </c>
    </row>
    <row r="205" ht="18" customHeight="1" s="849">
      <c r="A205" s="659" t="n">
        <v>99999102157</v>
      </c>
      <c r="B205" s="660" t="inlineStr">
        <is>
          <t>Ethan Lamhert (FT)</t>
        </is>
      </c>
      <c r="C205" s="660" t="inlineStr">
        <is>
          <t>Tech Support Technician</t>
        </is>
      </c>
      <c r="D205" s="660" t="inlineStr">
        <is>
          <t>Mark Pearson</t>
        </is>
      </c>
      <c r="E205" s="660" t="inlineStr">
        <is>
          <t xml:space="preserve">Lead Technology Support </t>
        </is>
      </c>
      <c r="F205" s="660" t="inlineStr">
        <is>
          <t>Cyber, Risk &amp; Operations</t>
        </is>
      </c>
      <c r="G205" s="662" t="inlineStr">
        <is>
          <t>Service Op &amp; Assurance</t>
        </is>
      </c>
      <c r="H205" s="660" t="inlineStr">
        <is>
          <t>NA</t>
        </is>
      </c>
      <c r="I205" s="660" t="inlineStr">
        <is>
          <t>COE - Cyber, Risk &amp; Operations</t>
        </is>
      </c>
      <c r="J205" s="660" t="inlineStr">
        <is>
          <t>NA</t>
        </is>
      </c>
      <c r="K205" s="660" t="inlineStr">
        <is>
          <t>NA</t>
        </is>
      </c>
      <c r="L205" s="660" t="n"/>
      <c r="M205" s="663" t="inlineStr">
        <is>
          <t>NZ</t>
        </is>
      </c>
      <c r="N205" s="664" t="inlineStr">
        <is>
          <t>CDB</t>
        </is>
      </c>
      <c r="O205" s="665" t="n">
        <v>1</v>
      </c>
      <c r="P205" s="664" t="n"/>
      <c r="Q205" s="665" t="inlineStr">
        <is>
          <t>Temporary - Full Time</t>
        </is>
      </c>
      <c r="R205" s="666" t="n"/>
      <c r="S205" s="666" t="n"/>
      <c r="T205" s="667" t="n">
        <v>80000</v>
      </c>
      <c r="U205" s="668" t="n">
        <v>73600</v>
      </c>
      <c r="V205" s="669" t="n">
        <v>0.1</v>
      </c>
      <c r="W205" s="665" t="n"/>
      <c r="X205" s="670" t="n">
        <v>0.05</v>
      </c>
      <c r="Y205" s="918" t="n">
        <v>2910</v>
      </c>
      <c r="Z205" s="670" t="n">
        <v>0.03</v>
      </c>
      <c r="AA205" s="919" t="n">
        <v>89758.00000000001</v>
      </c>
      <c r="AB205" s="707" t="n"/>
      <c r="AC205" s="707" t="n"/>
      <c r="AJ205" t="str">
        <f>IFERROR(INDEX(Lists!$U$1:$U$18,MATCH($I205,Lists!$T$1:$T$18,0)),"?")</f>
        <v>COE Cyber</v>
      </c>
      <c r="AK205" t="str">
        <f>IF(LOWER($Q205)="v","Vacant",IF(LOWER($Q205)="pause","Paused",IF(LOWER($Q205)="cxc","Contractor",IF($Q205="Contractor","Contractor","Filled"))))</f>
        <v>Filled</v>
      </c>
      <c r="AL205" t="str">
        <f>IF($M205="NZ","NZ","AU")</f>
        <v>NZ</v>
      </c>
      <c r="AM205">
        <f>COUNTIF($AJ$2:$AJ205,$AJ205)</f>
        <v>13.0</v>
      </c>
      <c r="AN205" t="str">
        <f>$AJ205&amp;"|"&amp;$AM205</f>
        <v>COE Cyber|13</v>
      </c>
    </row>
    <row r="206" ht="18" customHeight="1" s="849">
      <c r="A206" s="659" t="n">
        <v>87951</v>
      </c>
      <c r="B206" s="660" t="inlineStr">
        <is>
          <t>Iwan Wibisono</t>
        </is>
      </c>
      <c r="C206" s="660" t="inlineStr">
        <is>
          <t>Engineer - IDAM</t>
        </is>
      </c>
      <c r="D206" s="660" t="inlineStr">
        <is>
          <t>Joe Nahma</t>
        </is>
      </c>
      <c r="E206" s="660" t="inlineStr">
        <is>
          <t xml:space="preserve">Lead Service Desk </t>
        </is>
      </c>
      <c r="F206" s="660" t="inlineStr">
        <is>
          <t>Cyber, Risk &amp; Operations</t>
        </is>
      </c>
      <c r="G206" s="662" t="inlineStr">
        <is>
          <t>Cyber Strat &amp; Tech</t>
        </is>
      </c>
      <c r="H206" s="660" t="inlineStr">
        <is>
          <t>NA</t>
        </is>
      </c>
      <c r="I206" s="660" t="inlineStr">
        <is>
          <t>COE - Cyber, Risk &amp; Operations</t>
        </is>
      </c>
      <c r="J206" s="660" t="inlineStr">
        <is>
          <t>NA</t>
        </is>
      </c>
      <c r="K206" s="660" t="inlineStr">
        <is>
          <t>NA</t>
        </is>
      </c>
      <c r="L206" s="660" t="n"/>
      <c r="M206" s="663" t="inlineStr">
        <is>
          <t>Australia</t>
        </is>
      </c>
      <c r="N206" s="666" t="inlineStr">
        <is>
          <t>CIB</t>
        </is>
      </c>
      <c r="O206" s="666" t="n">
        <v>1</v>
      </c>
      <c r="P206" s="666" t="n"/>
      <c r="Q206" s="666" t="inlineStr">
        <is>
          <t>Permanent - Full Time</t>
        </is>
      </c>
      <c r="R206" s="666" t="n"/>
      <c r="S206" s="666" t="n"/>
      <c r="T206" s="667" t="n">
        <v>161560</v>
      </c>
      <c r="U206" s="668" t="n">
        <v>161560</v>
      </c>
      <c r="V206" s="670" t="n">
        <v>0.12</v>
      </c>
      <c r="W206" s="921" t="n">
        <v>0.055</v>
      </c>
      <c r="X206" s="921" t="n">
        <v>0.12</v>
      </c>
      <c r="Y206" s="922" t="n"/>
      <c r="Z206" s="921" t="n">
        <v>0.04</v>
      </c>
      <c r="AA206" s="919" t="n">
        <v>215682.6</v>
      </c>
      <c r="AB206" s="707" t="n"/>
      <c r="AC206" s="707" t="n"/>
      <c r="AJ206" t="str">
        <f>IFERROR(INDEX(Lists!$U$1:$U$18,MATCH($I206,Lists!$T$1:$T$18,0)),"?")</f>
        <v>COE Cyber</v>
      </c>
      <c r="AK206" t="str">
        <f>IF(LOWER($Q206)="v","Vacant",IF(LOWER($Q206)="pause","Paused",IF(LOWER($Q206)="cxc","Contractor",IF($Q206="Contractor","Contractor","Filled"))))</f>
        <v>Filled</v>
      </c>
      <c r="AL206" t="str">
        <f>IF($M206="NZ","NZ","AU")</f>
        <v>AU</v>
      </c>
      <c r="AM206">
        <f>COUNTIF($AJ$2:$AJ206,$AJ206)</f>
        <v>14.0</v>
      </c>
      <c r="AN206" t="str">
        <f>$AJ206&amp;"|"&amp;$AM206</f>
        <v>COE Cyber|14</v>
      </c>
    </row>
    <row r="207" ht="18" customHeight="1" s="849">
      <c r="A207" s="659" t="n">
        <v>113382</v>
      </c>
      <c r="B207" s="660" t="inlineStr">
        <is>
          <t>Jack Jenkins</t>
        </is>
      </c>
      <c r="C207" s="660" t="inlineStr">
        <is>
          <t>Asset Analyst</t>
        </is>
      </c>
      <c r="D207" s="660" t="inlineStr">
        <is>
          <t>Vacant</t>
        </is>
      </c>
      <c r="E207" s="660" t="inlineStr">
        <is>
          <t>Lead – Asset &amp; Configuration (Vacant)</t>
        </is>
      </c>
      <c r="F207" s="660" t="inlineStr">
        <is>
          <t>Cyber, Risk &amp; Operations</t>
        </is>
      </c>
      <c r="G207" s="662" t="inlineStr">
        <is>
          <t>Service Op &amp; Assurance</t>
        </is>
      </c>
      <c r="H207" s="660" t="inlineStr">
        <is>
          <t>NA</t>
        </is>
      </c>
      <c r="I207" s="660" t="inlineStr">
        <is>
          <t>COE - Cyber, Risk &amp; Operations</t>
        </is>
      </c>
      <c r="J207" s="660" t="inlineStr">
        <is>
          <t>NA</t>
        </is>
      </c>
      <c r="K207" s="660" t="inlineStr">
        <is>
          <t>NA</t>
        </is>
      </c>
      <c r="L207" s="660" t="n"/>
      <c r="M207" s="663" t="inlineStr">
        <is>
          <t>Australia</t>
        </is>
      </c>
      <c r="N207" s="664" t="inlineStr">
        <is>
          <t>CIA</t>
        </is>
      </c>
      <c r="O207" s="664" t="n">
        <v>1</v>
      </c>
      <c r="P207" s="664" t="n"/>
      <c r="Q207" s="664" t="inlineStr">
        <is>
          <t>Permanent - Full Time</t>
        </is>
      </c>
      <c r="R207" s="666" t="n"/>
      <c r="S207" s="666" t="n"/>
      <c r="T207" s="667" t="n">
        <v>105710</v>
      </c>
      <c r="U207" s="668" t="n">
        <v>105710</v>
      </c>
      <c r="V207" s="670" t="n">
        <v>0.1</v>
      </c>
      <c r="W207" s="921" t="n">
        <v>0.055</v>
      </c>
      <c r="X207" s="921" t="n">
        <v>0.12</v>
      </c>
      <c r="Y207" s="922" t="n"/>
      <c r="Z207" s="921" t="n">
        <v>0.04</v>
      </c>
      <c r="AA207" s="919" t="n">
        <v>139008.65</v>
      </c>
      <c r="AB207" s="707" t="n"/>
      <c r="AC207" s="707" t="n"/>
      <c r="AJ207" t="str">
        <f>IFERROR(INDEX(Lists!$U$1:$U$18,MATCH($I207,Lists!$T$1:$T$18,0)),"?")</f>
        <v>COE Cyber</v>
      </c>
      <c r="AK207" t="str">
        <f>IF(LOWER($Q207)="v","Vacant",IF(LOWER($Q207)="pause","Paused",IF(LOWER($Q207)="cxc","Contractor",IF($Q207="Contractor","Contractor","Filled"))))</f>
        <v>Filled</v>
      </c>
      <c r="AL207" t="str">
        <f>IF($M207="NZ","NZ","AU")</f>
        <v>AU</v>
      </c>
      <c r="AM207">
        <f>COUNTIF($AJ$2:$AJ207,$AJ207)</f>
        <v>15.0</v>
      </c>
      <c r="AN207" t="str">
        <f>$AJ207&amp;"|"&amp;$AM207</f>
        <v>COE Cyber|15</v>
      </c>
    </row>
    <row r="208" ht="18" customHeight="1" s="849">
      <c r="A208" s="659" t="n">
        <v>100825</v>
      </c>
      <c r="B208" s="660" t="inlineStr">
        <is>
          <t>James Byrne</t>
        </is>
      </c>
      <c r="C208" s="660" t="inlineStr">
        <is>
          <t>Head of Cyber Strategy &amp; Technology</t>
        </is>
      </c>
      <c r="D208" s="660" t="inlineStr">
        <is>
          <t>Frances Bouzo</t>
        </is>
      </c>
      <c r="E208" s="660" t="inlineStr">
        <is>
          <t xml:space="preserve">Manager Customer Support Operations </t>
        </is>
      </c>
      <c r="F208" s="660" t="inlineStr">
        <is>
          <t>Cyber, Risk &amp; Operations</t>
        </is>
      </c>
      <c r="G208" s="662" t="inlineStr">
        <is>
          <t>Cyber Strat &amp; Tech</t>
        </is>
      </c>
      <c r="H208" s="660" t="inlineStr">
        <is>
          <t>NA</t>
        </is>
      </c>
      <c r="I208" s="660" t="inlineStr">
        <is>
          <t>COE - Cyber, Risk &amp; Operations</t>
        </is>
      </c>
      <c r="J208" s="660" t="inlineStr">
        <is>
          <t>NA</t>
        </is>
      </c>
      <c r="K208" s="660" t="inlineStr">
        <is>
          <t>NA</t>
        </is>
      </c>
      <c r="L208" s="660" t="n"/>
      <c r="M208" s="663" t="inlineStr">
        <is>
          <t>Australia</t>
        </is>
      </c>
      <c r="N208" s="664" t="inlineStr">
        <is>
          <t>CSC</t>
        </is>
      </c>
      <c r="O208" s="664" t="n">
        <v>1</v>
      </c>
      <c r="P208" s="664" t="n"/>
      <c r="Q208" s="664" t="inlineStr">
        <is>
          <t>Permanent - Full Time</t>
        </is>
      </c>
      <c r="R208" s="666" t="n"/>
      <c r="S208" s="666" t="n"/>
      <c r="T208" s="667" t="n">
        <v>270380</v>
      </c>
      <c r="U208" s="668" t="n">
        <v>270380</v>
      </c>
      <c r="V208" s="670" t="n">
        <v>0.2</v>
      </c>
      <c r="W208" s="934" t="n">
        <v>0.055</v>
      </c>
      <c r="X208" s="934" t="n">
        <v>0.12</v>
      </c>
      <c r="Y208" s="935" t="n"/>
      <c r="Z208" s="934" t="n">
        <v>0.04</v>
      </c>
      <c r="AA208" s="919" t="n">
        <v>382587.7</v>
      </c>
      <c r="AB208" s="707" t="n"/>
      <c r="AC208" s="707" t="n"/>
      <c r="AJ208" t="str">
        <f>IFERROR(INDEX(Lists!$U$1:$U$18,MATCH($I208,Lists!$T$1:$T$18,0)),"?")</f>
        <v>COE Cyber</v>
      </c>
      <c r="AK208" t="str">
        <f>IF(LOWER($Q208)="v","Vacant",IF(LOWER($Q208)="pause","Paused",IF(LOWER($Q208)="cxc","Contractor",IF($Q208="Contractor","Contractor","Filled"))))</f>
        <v>Filled</v>
      </c>
      <c r="AL208" t="str">
        <f>IF($M208="NZ","NZ","AU")</f>
        <v>AU</v>
      </c>
      <c r="AM208">
        <f>COUNTIF($AJ$2:$AJ208,$AJ208)</f>
        <v>16.0</v>
      </c>
      <c r="AN208" t="str">
        <f>$AJ208&amp;"|"&amp;$AM208</f>
        <v>COE Cyber|16</v>
      </c>
    </row>
    <row r="209" ht="18" customHeight="1" s="849">
      <c r="A209" s="659" t="n">
        <v>108727</v>
      </c>
      <c r="B209" s="660" t="inlineStr">
        <is>
          <t>Jas Mann</t>
        </is>
      </c>
      <c r="C209" s="660" t="inlineStr">
        <is>
          <t>Technology Support Engineer</t>
        </is>
      </c>
      <c r="D209" s="660" t="inlineStr">
        <is>
          <t>Mark Pearson</t>
        </is>
      </c>
      <c r="E209" s="660" t="inlineStr">
        <is>
          <t xml:space="preserve">Lead Technology Support </t>
        </is>
      </c>
      <c r="F209" s="660" t="inlineStr">
        <is>
          <t>Cyber, Risk &amp; Operations</t>
        </is>
      </c>
      <c r="G209" s="662" t="inlineStr">
        <is>
          <t>Service Op &amp; Assurance</t>
        </is>
      </c>
      <c r="H209" s="660" t="inlineStr">
        <is>
          <t>NA</t>
        </is>
      </c>
      <c r="I209" s="660" t="inlineStr">
        <is>
          <t>COE - Cyber, Risk &amp; Operations</t>
        </is>
      </c>
      <c r="J209" s="660" t="inlineStr">
        <is>
          <t>NA</t>
        </is>
      </c>
      <c r="K209" s="660" t="inlineStr">
        <is>
          <t>NA</t>
        </is>
      </c>
      <c r="L209" s="660" t="n"/>
      <c r="M209" s="663" t="inlineStr">
        <is>
          <t>Australia</t>
        </is>
      </c>
      <c r="N209" s="664" t="inlineStr">
        <is>
          <t>CIA</t>
        </is>
      </c>
      <c r="O209" s="664" t="n">
        <v>1</v>
      </c>
      <c r="P209" s="664" t="n"/>
      <c r="Q209" s="664" t="inlineStr">
        <is>
          <t>Permanent - Full Time</t>
        </is>
      </c>
      <c r="R209" s="666" t="n"/>
      <c r="S209" s="666" t="n"/>
      <c r="T209" s="667" t="n">
        <v>111700</v>
      </c>
      <c r="U209" s="668" t="n">
        <v>111700</v>
      </c>
      <c r="V209" s="670" t="n">
        <v>0.1</v>
      </c>
      <c r="W209" s="921" t="n">
        <v>0.055</v>
      </c>
      <c r="X209" s="921" t="n">
        <v>0.12</v>
      </c>
      <c r="Y209" s="922" t="n"/>
      <c r="Z209" s="921" t="n">
        <v>0.04</v>
      </c>
      <c r="AA209" s="919" t="n">
        <v>146885.5</v>
      </c>
      <c r="AB209" s="707" t="n"/>
      <c r="AC209" s="707" t="n"/>
      <c r="AJ209" t="str">
        <f>IFERROR(INDEX(Lists!$U$1:$U$18,MATCH($I209,Lists!$T$1:$T$18,0)),"?")</f>
        <v>COE Cyber</v>
      </c>
      <c r="AK209" t="str">
        <f>IF(LOWER($Q209)="v","Vacant",IF(LOWER($Q209)="pause","Paused",IF(LOWER($Q209)="cxc","Contractor",IF($Q209="Contractor","Contractor","Filled"))))</f>
        <v>Filled</v>
      </c>
      <c r="AL209" t="str">
        <f>IF($M209="NZ","NZ","AU")</f>
        <v>AU</v>
      </c>
      <c r="AM209">
        <f>COUNTIF($AJ$2:$AJ209,$AJ209)</f>
        <v>17.0</v>
      </c>
      <c r="AN209" t="str">
        <f>$AJ209&amp;"|"&amp;$AM209</f>
        <v>COE Cyber|17</v>
      </c>
    </row>
    <row r="210" ht="18" customHeight="1" s="849">
      <c r="A210" s="659" t="n">
        <v>108809</v>
      </c>
      <c r="B210" s="660" t="inlineStr">
        <is>
          <t>Joe Nahma</t>
        </is>
      </c>
      <c r="C210" s="660" t="inlineStr">
        <is>
          <t>Manager Identity &amp; Access Management</t>
        </is>
      </c>
      <c r="D210" s="660" t="inlineStr">
        <is>
          <t>James Byrne</t>
        </is>
      </c>
      <c r="E210" s="660" t="inlineStr">
        <is>
          <t>Manager Cyber Security GRC</t>
        </is>
      </c>
      <c r="F210" s="660" t="inlineStr">
        <is>
          <t>Cyber, Risk &amp; Operations</t>
        </is>
      </c>
      <c r="G210" s="662" t="inlineStr">
        <is>
          <t>Cyber Strat &amp; Tech</t>
        </is>
      </c>
      <c r="H210" s="660" t="inlineStr">
        <is>
          <t>NA</t>
        </is>
      </c>
      <c r="I210" s="660" t="inlineStr">
        <is>
          <t>COE - Cyber, Risk &amp; Operations</t>
        </is>
      </c>
      <c r="J210" s="660" t="inlineStr">
        <is>
          <t>NA</t>
        </is>
      </c>
      <c r="K210" s="660" t="inlineStr">
        <is>
          <t>NA</t>
        </is>
      </c>
      <c r="L210" s="660" t="n"/>
      <c r="M210" s="663" t="inlineStr">
        <is>
          <t>Australia</t>
        </is>
      </c>
      <c r="N210" s="664" t="inlineStr">
        <is>
          <t>CIC</t>
        </is>
      </c>
      <c r="O210" s="664" t="n">
        <v>1</v>
      </c>
      <c r="P210" s="664" t="n"/>
      <c r="Q210" s="664" t="inlineStr">
        <is>
          <t>Permanent - Full Time</t>
        </is>
      </c>
      <c r="R210" s="666" t="n"/>
      <c r="S210" s="666" t="n"/>
      <c r="T210" s="667" t="n">
        <v>193790</v>
      </c>
      <c r="U210" s="668" t="n">
        <v>193790</v>
      </c>
      <c r="V210" s="670" t="n">
        <v>0.12</v>
      </c>
      <c r="W210" s="921" t="n">
        <v>0.055</v>
      </c>
      <c r="X210" s="921" t="n">
        <v>0.12</v>
      </c>
      <c r="Y210" s="922" t="n"/>
      <c r="Z210" s="921" t="n">
        <v>0.04</v>
      </c>
      <c r="AA210" s="919" t="n">
        <v>258709.65</v>
      </c>
      <c r="AB210" s="707" t="n"/>
      <c r="AC210" s="707" t="n"/>
      <c r="AJ210" t="str">
        <f>IFERROR(INDEX(Lists!$U$1:$U$18,MATCH($I210,Lists!$T$1:$T$18,0)),"?")</f>
        <v>COE Cyber</v>
      </c>
      <c r="AK210" t="str">
        <f>IF(LOWER($Q210)="v","Vacant",IF(LOWER($Q210)="pause","Paused",IF(LOWER($Q210)="cxc","Contractor",IF($Q210="Contractor","Contractor","Filled"))))</f>
        <v>Filled</v>
      </c>
      <c r="AL210" t="str">
        <f>IF($M210="NZ","NZ","AU")</f>
        <v>AU</v>
      </c>
      <c r="AM210">
        <f>COUNTIF($AJ$2:$AJ210,$AJ210)</f>
        <v>18.0</v>
      </c>
      <c r="AN210" t="str">
        <f>$AJ210&amp;"|"&amp;$AM210</f>
        <v>COE Cyber|18</v>
      </c>
    </row>
    <row r="211" ht="18" customHeight="1" s="849">
      <c r="A211" s="659" t="n">
        <v>114354</v>
      </c>
      <c r="B211" s="660" t="inlineStr">
        <is>
          <t>Kaaviya Salai Manimudian</t>
        </is>
      </c>
      <c r="C211" s="660" t="inlineStr">
        <is>
          <t>Graduate</t>
        </is>
      </c>
      <c r="D211" s="660" t="inlineStr">
        <is>
          <t>Lynda Niewidok</t>
        </is>
      </c>
      <c r="E211" s="660" t="inlineStr">
        <is>
          <t xml:space="preserve">Manager Customer Support Operations </t>
        </is>
      </c>
      <c r="F211" s="660" t="inlineStr">
        <is>
          <t>Cyber, Risk &amp; Operations</t>
        </is>
      </c>
      <c r="G211" s="662" t="inlineStr">
        <is>
          <t>Service Op &amp; Assurance</t>
        </is>
      </c>
      <c r="H211" s="660" t="inlineStr">
        <is>
          <t>NA</t>
        </is>
      </c>
      <c r="I211" s="660" t="inlineStr">
        <is>
          <t>COE - Cyber, Risk &amp; Operations</t>
        </is>
      </c>
      <c r="J211" s="707" t="inlineStr">
        <is>
          <t>NA</t>
        </is>
      </c>
      <c r="K211" s="660" t="inlineStr">
        <is>
          <t>NA</t>
        </is>
      </c>
      <c r="L211" s="660" t="n"/>
      <c r="M211" s="663" t="inlineStr">
        <is>
          <t>Australia</t>
        </is>
      </c>
      <c r="N211" s="664" t="inlineStr">
        <is>
          <t>CDB</t>
        </is>
      </c>
      <c r="O211" s="664" t="n">
        <v>1</v>
      </c>
      <c r="P211" s="664" t="n"/>
      <c r="Q211" s="664" t="inlineStr">
        <is>
          <t>Permanent - Full Time</t>
        </is>
      </c>
      <c r="R211" s="666" t="n"/>
      <c r="S211" s="666" t="n"/>
      <c r="T211" s="667" t="n">
        <v>85000</v>
      </c>
      <c r="U211" s="668" t="n">
        <v>85000</v>
      </c>
      <c r="V211" s="670" t="n">
        <v>0.08</v>
      </c>
      <c r="W211" s="921" t="n">
        <v>0.055</v>
      </c>
      <c r="X211" s="921" t="n">
        <v>0.12</v>
      </c>
      <c r="Y211" s="922" t="n"/>
      <c r="Z211" s="921" t="n">
        <v>0.04</v>
      </c>
      <c r="AA211" s="919" t="n">
        <v>110075</v>
      </c>
      <c r="AB211" s="707" t="n"/>
      <c r="AC211" s="707" t="n"/>
      <c r="AJ211" t="str">
        <f>IFERROR(INDEX(Lists!$U$1:$U$18,MATCH($I211,Lists!$T$1:$T$18,0)),"?")</f>
        <v>COE Cyber</v>
      </c>
      <c r="AK211" t="str">
        <f>IF(LOWER($Q211)="v","Vacant",IF(LOWER($Q211)="pause","Paused",IF(LOWER($Q211)="cxc","Contractor",IF($Q211="Contractor","Contractor","Filled"))))</f>
        <v>Filled</v>
      </c>
      <c r="AL211" t="str">
        <f>IF($M211="NZ","NZ","AU")</f>
        <v>AU</v>
      </c>
      <c r="AM211">
        <f>COUNTIF($AJ$2:$AJ211,$AJ211)</f>
        <v>19.0</v>
      </c>
      <c r="AN211" t="str">
        <f>$AJ211&amp;"|"&amp;$AM211</f>
        <v>COE Cyber|19</v>
      </c>
    </row>
    <row r="212" ht="18" customHeight="1" s="849">
      <c r="A212" s="659" t="n">
        <v>97592</v>
      </c>
      <c r="B212" s="660" t="inlineStr">
        <is>
          <t>Kevin Sheerin</t>
        </is>
      </c>
      <c r="C212" s="660" t="inlineStr">
        <is>
          <t>Cyber Architecture Lead</t>
        </is>
      </c>
      <c r="D212" s="660" t="inlineStr">
        <is>
          <t>James Byrne</t>
        </is>
      </c>
      <c r="E212" s="660" t="n"/>
      <c r="F212" s="660" t="inlineStr">
        <is>
          <t>Cyber, Risk &amp; Operations</t>
        </is>
      </c>
      <c r="G212" s="662" t="inlineStr">
        <is>
          <t>Cyber Strat &amp; Tech</t>
        </is>
      </c>
      <c r="H212" s="660" t="inlineStr">
        <is>
          <t>NA</t>
        </is>
      </c>
      <c r="I212" s="660" t="inlineStr">
        <is>
          <t>COE - Cyber, Risk &amp; Operations</t>
        </is>
      </c>
      <c r="J212" s="660" t="inlineStr">
        <is>
          <t>NA</t>
        </is>
      </c>
      <c r="K212" s="660" t="inlineStr">
        <is>
          <t>NA</t>
        </is>
      </c>
      <c r="L212" s="660" t="n"/>
      <c r="M212" s="663" t="inlineStr">
        <is>
          <t>Australia</t>
        </is>
      </c>
      <c r="N212" s="664" t="inlineStr">
        <is>
          <t>CIC</t>
        </is>
      </c>
      <c r="O212" s="664" t="n">
        <v>1</v>
      </c>
      <c r="P212" s="664" t="n"/>
      <c r="Q212" s="664" t="inlineStr">
        <is>
          <t>Permanent - Full Time</t>
        </is>
      </c>
      <c r="R212" s="666" t="n"/>
      <c r="S212" s="666" t="n"/>
      <c r="T212" s="667" t="n">
        <v>213470</v>
      </c>
      <c r="U212" s="668" t="n">
        <v>213470</v>
      </c>
      <c r="V212" s="670" t="n">
        <v>0.12</v>
      </c>
      <c r="W212" s="921" t="n">
        <v>0.055</v>
      </c>
      <c r="X212" s="921" t="n">
        <v>0.12</v>
      </c>
      <c r="Y212" s="922" t="n"/>
      <c r="Z212" s="921" t="n">
        <v>0.04</v>
      </c>
      <c r="AA212" s="919" t="n">
        <v>284982.45</v>
      </c>
      <c r="AB212" s="707" t="n"/>
      <c r="AC212" s="707" t="n"/>
      <c r="AJ212" t="str">
        <f>IFERROR(INDEX(Lists!$U$1:$U$18,MATCH($I212,Lists!$T$1:$T$18,0)),"?")</f>
        <v>COE Cyber</v>
      </c>
      <c r="AK212" t="str">
        <f>IF(LOWER($Q212)="v","Vacant",IF(LOWER($Q212)="pause","Paused",IF(LOWER($Q212)="cxc","Contractor",IF($Q212="Contractor","Contractor","Filled"))))</f>
        <v>Filled</v>
      </c>
      <c r="AL212" t="str">
        <f>IF($M212="NZ","NZ","AU")</f>
        <v>AU</v>
      </c>
      <c r="AM212">
        <f>COUNTIF($AJ$2:$AJ212,$AJ212)</f>
        <v>20.0</v>
      </c>
      <c r="AN212" t="str">
        <f>$AJ212&amp;"|"&amp;$AM212</f>
        <v>COE Cyber|20</v>
      </c>
    </row>
    <row r="213" ht="18" customHeight="1" s="849">
      <c r="A213" s="659" t="n">
        <v>99999101673</v>
      </c>
      <c r="B213" s="660" t="inlineStr">
        <is>
          <t>Lisa Ng</t>
        </is>
      </c>
      <c r="C213" s="660" t="inlineStr">
        <is>
          <t>Cyber Security Analyst</t>
        </is>
      </c>
      <c r="D213" s="660" t="inlineStr">
        <is>
          <t>Steven Atcheson</t>
        </is>
      </c>
      <c r="E213" s="660" t="n"/>
      <c r="F213" s="660" t="inlineStr">
        <is>
          <t>Cyber, Risk &amp; Operations</t>
        </is>
      </c>
      <c r="G213" s="662" t="inlineStr">
        <is>
          <t>Cyber Sec Ops</t>
        </is>
      </c>
      <c r="H213" s="660" t="inlineStr">
        <is>
          <t>NA</t>
        </is>
      </c>
      <c r="I213" s="660" t="inlineStr">
        <is>
          <t>COE - Cyber, Risk &amp; Operations</t>
        </is>
      </c>
      <c r="J213" s="660" t="inlineStr">
        <is>
          <t>NA</t>
        </is>
      </c>
      <c r="K213" s="660" t="inlineStr">
        <is>
          <t>NA</t>
        </is>
      </c>
      <c r="L213" s="660" t="n"/>
      <c r="M213" s="663" t="inlineStr">
        <is>
          <t>NZ</t>
        </is>
      </c>
      <c r="N213" s="664" t="inlineStr">
        <is>
          <t>CIA</t>
        </is>
      </c>
      <c r="O213" s="665" t="n">
        <v>0.8</v>
      </c>
      <c r="P213" s="664" t="n"/>
      <c r="Q213" s="665" t="inlineStr">
        <is>
          <t>Permanent - Part Time</t>
        </is>
      </c>
      <c r="R213" s="666" t="n"/>
      <c r="S213" s="666" t="n"/>
      <c r="T213" s="667" t="n">
        <v>128040</v>
      </c>
      <c r="U213" s="668" t="n">
        <v>117796.8</v>
      </c>
      <c r="V213" s="669" t="n">
        <v>0.15</v>
      </c>
      <c r="W213" s="666" t="n"/>
      <c r="X213" s="670" t="n">
        <v>0.05</v>
      </c>
      <c r="Y213" s="918" t="n">
        <v>2910</v>
      </c>
      <c r="Z213" s="670" t="n">
        <v>0.03</v>
      </c>
      <c r="AA213" s="919" t="n">
        <v>147800.064</v>
      </c>
      <c r="AB213" s="707" t="n"/>
      <c r="AC213" s="707" t="n"/>
      <c r="AJ213" t="str">
        <f>IFERROR(INDEX(Lists!$U$1:$U$18,MATCH($I213,Lists!$T$1:$T$18,0)),"?")</f>
        <v>COE Cyber</v>
      </c>
      <c r="AK213" t="str">
        <f>IF(LOWER($Q213)="v","Vacant",IF(LOWER($Q213)="pause","Paused",IF(LOWER($Q213)="cxc","Contractor",IF($Q213="Contractor","Contractor","Filled"))))</f>
        <v>Filled</v>
      </c>
      <c r="AL213" t="str">
        <f>IF($M213="NZ","NZ","AU")</f>
        <v>NZ</v>
      </c>
      <c r="AM213">
        <f>COUNTIF($AJ$2:$AJ213,$AJ213)</f>
        <v>21.0</v>
      </c>
      <c r="AN213" t="str">
        <f>$AJ213&amp;"|"&amp;$AM213</f>
        <v>COE Cyber|21</v>
      </c>
    </row>
    <row r="214" ht="18" customHeight="1" s="849">
      <c r="A214" s="659" t="n">
        <v>96830</v>
      </c>
      <c r="B214" s="660" t="inlineStr">
        <is>
          <t>Lynda Niewidok</t>
        </is>
      </c>
      <c r="C214" s="660" t="inlineStr">
        <is>
          <t>Lead – Service Desk</t>
        </is>
      </c>
      <c r="D214" s="660" t="inlineStr">
        <is>
          <t>Chris Rojas</t>
        </is>
      </c>
      <c r="E214" s="660" t="inlineStr">
        <is>
          <t xml:space="preserve">CISO </t>
        </is>
      </c>
      <c r="F214" s="660" t="inlineStr">
        <is>
          <t>Cyber, Risk &amp; Operations</t>
        </is>
      </c>
      <c r="G214" s="662" t="inlineStr">
        <is>
          <t>Service Op &amp; Assurance</t>
        </is>
      </c>
      <c r="H214" s="660" t="inlineStr">
        <is>
          <t>NA</t>
        </is>
      </c>
      <c r="I214" s="660" t="inlineStr">
        <is>
          <t>COE - Cyber, Risk &amp; Operations</t>
        </is>
      </c>
      <c r="J214" s="660" t="inlineStr">
        <is>
          <t>NA</t>
        </is>
      </c>
      <c r="K214" s="660" t="inlineStr">
        <is>
          <t>NA</t>
        </is>
      </c>
      <c r="L214" s="660" t="n"/>
      <c r="M214" s="663" t="inlineStr">
        <is>
          <t>Australia</t>
        </is>
      </c>
      <c r="N214" s="664" t="inlineStr">
        <is>
          <t>CIB</t>
        </is>
      </c>
      <c r="O214" s="664" t="n">
        <v>1</v>
      </c>
      <c r="P214" s="664" t="n"/>
      <c r="Q214" s="664" t="inlineStr">
        <is>
          <t>Permanent - Full Time</t>
        </is>
      </c>
      <c r="R214" s="666" t="n"/>
      <c r="S214" s="666" t="n"/>
      <c r="T214" s="667" t="n">
        <v>152800</v>
      </c>
      <c r="U214" s="668" t="n">
        <v>152800</v>
      </c>
      <c r="V214" s="670" t="n">
        <v>0.12</v>
      </c>
      <c r="W214" s="921" t="n">
        <v>0.055</v>
      </c>
      <c r="X214" s="921" t="n">
        <v>0.12</v>
      </c>
      <c r="Y214" s="922" t="n"/>
      <c r="Z214" s="921" t="n">
        <v>0.04</v>
      </c>
      <c r="AA214" s="919" t="n">
        <v>203988</v>
      </c>
      <c r="AB214" s="707" t="n"/>
      <c r="AC214" s="707" t="n"/>
      <c r="AJ214" t="str">
        <f>IFERROR(INDEX(Lists!$U$1:$U$18,MATCH($I214,Lists!$T$1:$T$18,0)),"?")</f>
        <v>COE Cyber</v>
      </c>
      <c r="AK214" t="str">
        <f>IF(LOWER($Q214)="v","Vacant",IF(LOWER($Q214)="pause","Paused",IF(LOWER($Q214)="cxc","Contractor",IF($Q214="Contractor","Contractor","Filled"))))</f>
        <v>Filled</v>
      </c>
      <c r="AL214" t="str">
        <f>IF($M214="NZ","NZ","AU")</f>
        <v>AU</v>
      </c>
      <c r="AM214">
        <f>COUNTIF($AJ$2:$AJ214,$AJ214)</f>
        <v>22.0</v>
      </c>
      <c r="AN214" t="str">
        <f>$AJ214&amp;"|"&amp;$AM214</f>
        <v>COE Cyber|22</v>
      </c>
    </row>
    <row r="215" ht="18" customHeight="1" s="849">
      <c r="A215" s="659" t="n">
        <v>92681</v>
      </c>
      <c r="B215" s="660" t="inlineStr">
        <is>
          <t>Mark Pearson</t>
        </is>
      </c>
      <c r="C215" s="660" t="inlineStr">
        <is>
          <t>Lead – Technology Support</t>
        </is>
      </c>
      <c r="D215" s="660" t="inlineStr">
        <is>
          <t>Chris Rojas</t>
        </is>
      </c>
      <c r="E215" s="660" t="inlineStr">
        <is>
          <t xml:space="preserve">Manager Service Management &amp; Major Incident Management Lead </t>
        </is>
      </c>
      <c r="F215" s="660" t="inlineStr">
        <is>
          <t>Cyber, Risk &amp; Operations</t>
        </is>
      </c>
      <c r="G215" s="662" t="inlineStr">
        <is>
          <t>Service Op &amp; Assurance</t>
        </is>
      </c>
      <c r="H215" s="660" t="inlineStr">
        <is>
          <t>NA</t>
        </is>
      </c>
      <c r="I215" s="660" t="inlineStr">
        <is>
          <t>COE - Cyber, Risk &amp; Operations</t>
        </is>
      </c>
      <c r="J215" s="660" t="inlineStr">
        <is>
          <t>NA</t>
        </is>
      </c>
      <c r="K215" s="660" t="inlineStr">
        <is>
          <t>NA</t>
        </is>
      </c>
      <c r="L215" s="660" t="n"/>
      <c r="M215" s="663" t="inlineStr">
        <is>
          <t>Australia</t>
        </is>
      </c>
      <c r="N215" s="664" t="inlineStr">
        <is>
          <t>CIB</t>
        </is>
      </c>
      <c r="O215" s="664" t="n">
        <v>1</v>
      </c>
      <c r="P215" s="664" t="n"/>
      <c r="Q215" s="664" t="inlineStr">
        <is>
          <t>Permanent - Full Time</t>
        </is>
      </c>
      <c r="R215" s="666" t="n"/>
      <c r="S215" s="666" t="n"/>
      <c r="T215" s="667" t="n">
        <v>152690</v>
      </c>
      <c r="U215" s="668" t="n">
        <v>152690</v>
      </c>
      <c r="V215" s="670" t="n">
        <v>0.12</v>
      </c>
      <c r="W215" s="921" t="n">
        <v>0.055</v>
      </c>
      <c r="X215" s="921" t="n">
        <v>0.12</v>
      </c>
      <c r="Y215" s="922" t="n"/>
      <c r="Z215" s="921" t="n">
        <v>0.04</v>
      </c>
      <c r="AA215" s="919" t="n">
        <v>203841.15</v>
      </c>
      <c r="AB215" s="707" t="n"/>
      <c r="AC215" s="707" t="n"/>
      <c r="AJ215" t="str">
        <f>IFERROR(INDEX(Lists!$U$1:$U$18,MATCH($I215,Lists!$T$1:$T$18,0)),"?")</f>
        <v>COE Cyber</v>
      </c>
      <c r="AK215" t="str">
        <f>IF(LOWER($Q215)="v","Vacant",IF(LOWER($Q215)="pause","Paused",IF(LOWER($Q215)="cxc","Contractor",IF($Q215="Contractor","Contractor","Filled"))))</f>
        <v>Filled</v>
      </c>
      <c r="AL215" t="str">
        <f>IF($M215="NZ","NZ","AU")</f>
        <v>AU</v>
      </c>
      <c r="AM215">
        <f>COUNTIF($AJ$2:$AJ215,$AJ215)</f>
        <v>23.0</v>
      </c>
      <c r="AN215" t="str">
        <f>$AJ215&amp;"|"&amp;$AM215</f>
        <v>COE Cyber|23</v>
      </c>
    </row>
    <row r="216" ht="18" customHeight="1" s="849">
      <c r="A216" s="659" t="n">
        <v>90096</v>
      </c>
      <c r="B216" s="660" t="inlineStr">
        <is>
          <t>Mary-Grace Rivera</t>
        </is>
      </c>
      <c r="C216" s="660" t="inlineStr">
        <is>
          <t>Lead, Service Management</t>
        </is>
      </c>
      <c r="D216" s="740" t="inlineStr">
        <is>
          <t>Vacant</t>
        </is>
      </c>
      <c r="E216" s="660" t="inlineStr">
        <is>
          <t>Darren Koller</t>
        </is>
      </c>
      <c r="F216" s="660" t="inlineStr">
        <is>
          <t>Cyber, Risk &amp; Operations</t>
        </is>
      </c>
      <c r="G216" s="662" t="inlineStr">
        <is>
          <t>Service Op &amp; Assurance</t>
        </is>
      </c>
      <c r="H216" s="660" t="inlineStr">
        <is>
          <t>NA</t>
        </is>
      </c>
      <c r="I216" s="660" t="inlineStr">
        <is>
          <t>COE - Cyber, Risk &amp; Operations</t>
        </is>
      </c>
      <c r="J216" s="660" t="inlineStr">
        <is>
          <t>NA</t>
        </is>
      </c>
      <c r="K216" s="660" t="inlineStr">
        <is>
          <t>NA</t>
        </is>
      </c>
      <c r="L216" s="660" t="n"/>
      <c r="M216" s="663" t="inlineStr">
        <is>
          <t>Australia</t>
        </is>
      </c>
      <c r="N216" s="664" t="inlineStr">
        <is>
          <t>CIA</t>
        </is>
      </c>
      <c r="O216" s="664" t="n">
        <v>1</v>
      </c>
      <c r="P216" s="664" t="n"/>
      <c r="Q216" s="664" t="inlineStr">
        <is>
          <t>Permanent - Full Time</t>
        </is>
      </c>
      <c r="R216" s="666" t="n"/>
      <c r="S216" s="666" t="n"/>
      <c r="T216" s="667" t="n">
        <v>137620</v>
      </c>
      <c r="U216" s="668" t="n">
        <v>137620</v>
      </c>
      <c r="V216" s="670" t="n">
        <v>0.1</v>
      </c>
      <c r="W216" s="921" t="n">
        <v>0.055</v>
      </c>
      <c r="X216" s="921" t="n">
        <v>0.12</v>
      </c>
      <c r="Y216" s="922" t="n"/>
      <c r="Z216" s="921" t="n">
        <v>0.04</v>
      </c>
      <c r="AA216" s="919" t="n">
        <v>180970.3</v>
      </c>
      <c r="AB216" s="707" t="n"/>
      <c r="AC216" s="707" t="n"/>
      <c r="AJ216" t="str">
        <f>IFERROR(INDEX(Lists!$U$1:$U$18,MATCH($I216,Lists!$T$1:$T$18,0)),"?")</f>
        <v>COE Cyber</v>
      </c>
      <c r="AK216" t="str">
        <f>IF(LOWER($Q216)="v","Vacant",IF(LOWER($Q216)="pause","Paused",IF(LOWER($Q216)="cxc","Contractor",IF($Q216="Contractor","Contractor","Filled"))))</f>
        <v>Filled</v>
      </c>
      <c r="AL216" t="str">
        <f>IF($M216="NZ","NZ","AU")</f>
        <v>AU</v>
      </c>
      <c r="AM216">
        <f>COUNTIF($AJ$2:$AJ216,$AJ216)</f>
        <v>24.0</v>
      </c>
      <c r="AN216" t="str">
        <f>$AJ216&amp;"|"&amp;$AM216</f>
        <v>COE Cyber|24</v>
      </c>
    </row>
    <row r="217" ht="18" customHeight="1" s="849">
      <c r="A217" s="659" t="n">
        <v>113900</v>
      </c>
      <c r="B217" s="660" t="inlineStr">
        <is>
          <t>Mick Collins</t>
        </is>
      </c>
      <c r="C217" s="660" t="inlineStr">
        <is>
          <t>Manager, Service Performance &amp; Assurance</t>
        </is>
      </c>
      <c r="D217" s="660" t="inlineStr">
        <is>
          <t>Rajini Onteddu Reddy</t>
        </is>
      </c>
      <c r="E217" s="660" t="n"/>
      <c r="F217" s="660" t="inlineStr">
        <is>
          <t>Cyber, Risk &amp; Operations</t>
        </is>
      </c>
      <c r="G217" s="662" t="inlineStr">
        <is>
          <t>Service Op &amp; Assurance</t>
        </is>
      </c>
      <c r="H217" s="660" t="inlineStr">
        <is>
          <t>NA</t>
        </is>
      </c>
      <c r="I217" s="660" t="inlineStr">
        <is>
          <t>COE - Cyber, Risk &amp; Operations</t>
        </is>
      </c>
      <c r="J217" s="660" t="inlineStr">
        <is>
          <t>NA</t>
        </is>
      </c>
      <c r="K217" s="660" t="inlineStr">
        <is>
          <t>NA</t>
        </is>
      </c>
      <c r="L217" s="660" t="n"/>
      <c r="M217" s="663" t="inlineStr">
        <is>
          <t>Australia</t>
        </is>
      </c>
      <c r="N217" s="664" t="inlineStr">
        <is>
          <t>CSB</t>
        </is>
      </c>
      <c r="O217" s="664" t="n">
        <v>1</v>
      </c>
      <c r="P217" s="664" t="n"/>
      <c r="Q217" s="664" t="inlineStr">
        <is>
          <t>Permanent - Full Time</t>
        </is>
      </c>
      <c r="R217" s="666" t="n"/>
      <c r="S217" s="666" t="n"/>
      <c r="T217" s="667" t="n">
        <v>200790</v>
      </c>
      <c r="U217" s="668" t="n">
        <v>200790</v>
      </c>
      <c r="V217" s="670" t="n">
        <v>0.14</v>
      </c>
      <c r="W217" s="921" t="n">
        <v>0.055</v>
      </c>
      <c r="X217" s="921" t="n">
        <v>0.12</v>
      </c>
      <c r="Y217" s="922" t="n"/>
      <c r="Z217" s="921" t="n">
        <v>0.04</v>
      </c>
      <c r="AA217" s="919" t="n">
        <v>272070.45</v>
      </c>
      <c r="AB217" s="707" t="n"/>
      <c r="AC217" s="707" t="n"/>
      <c r="AJ217" t="str">
        <f>IFERROR(INDEX(Lists!$U$1:$U$18,MATCH($I217,Lists!$T$1:$T$18,0)),"?")</f>
        <v>COE Cyber</v>
      </c>
      <c r="AK217" t="str">
        <f>IF(LOWER($Q217)="v","Vacant",IF(LOWER($Q217)="pause","Paused",IF(LOWER($Q217)="cxc","Contractor",IF($Q217="Contractor","Contractor","Filled"))))</f>
        <v>Filled</v>
      </c>
      <c r="AL217" t="str">
        <f>IF($M217="NZ","NZ","AU")</f>
        <v>AU</v>
      </c>
      <c r="AM217">
        <f>COUNTIF($AJ$2:$AJ217,$AJ217)</f>
        <v>25.0</v>
      </c>
      <c r="AN217" t="str">
        <f>$AJ217&amp;"|"&amp;$AM217</f>
        <v>COE Cyber|25</v>
      </c>
    </row>
    <row r="218" ht="18" customHeight="1" s="849">
      <c r="A218" s="659" t="n">
        <v>97425</v>
      </c>
      <c r="B218" s="660" t="inlineStr">
        <is>
          <t>Nischal Bhusal</t>
        </is>
      </c>
      <c r="C218" s="660" t="inlineStr">
        <is>
          <t>Cyber Security Analyst</t>
        </is>
      </c>
      <c r="D218" s="660" t="inlineStr">
        <is>
          <t>Steven Atcheson</t>
        </is>
      </c>
      <c r="E218" s="660" t="n"/>
      <c r="F218" s="660" t="inlineStr">
        <is>
          <t>Cyber, Risk &amp; Operations</t>
        </is>
      </c>
      <c r="G218" s="662" t="inlineStr">
        <is>
          <t>Cyber Sec Ops</t>
        </is>
      </c>
      <c r="H218" s="707" t="inlineStr">
        <is>
          <t>NA</t>
        </is>
      </c>
      <c r="I218" s="660" t="inlineStr">
        <is>
          <t>COE - Cyber, Risk &amp; Operations</t>
        </is>
      </c>
      <c r="J218" s="660" t="inlineStr">
        <is>
          <t>NA</t>
        </is>
      </c>
      <c r="K218" s="707" t="inlineStr">
        <is>
          <t>NA</t>
        </is>
      </c>
      <c r="L218" s="660" t="n"/>
      <c r="M218" s="663" t="inlineStr">
        <is>
          <t>Australia</t>
        </is>
      </c>
      <c r="N218" s="664" t="inlineStr">
        <is>
          <t>CIB</t>
        </is>
      </c>
      <c r="O218" s="664" t="n">
        <v>1</v>
      </c>
      <c r="P218" s="664" t="n"/>
      <c r="Q218" s="664" t="inlineStr">
        <is>
          <t>Permanent - Full Time</t>
        </is>
      </c>
      <c r="R218" s="666" t="n"/>
      <c r="S218" s="666" t="n"/>
      <c r="T218" s="667" t="n">
        <v>161520</v>
      </c>
      <c r="U218" s="668" t="n">
        <v>161520</v>
      </c>
      <c r="V218" s="670" t="n">
        <v>0.12</v>
      </c>
      <c r="W218" s="921" t="n">
        <v>0.055</v>
      </c>
      <c r="X218" s="921" t="n">
        <v>0.12</v>
      </c>
      <c r="Y218" s="922" t="n"/>
      <c r="Z218" s="921" t="n">
        <v>0.04</v>
      </c>
      <c r="AA218" s="919" t="n">
        <v>215629.2</v>
      </c>
      <c r="AB218" s="707" t="n"/>
      <c r="AC218" s="707" t="n"/>
      <c r="AJ218" t="str">
        <f>IFERROR(INDEX(Lists!$U$1:$U$18,MATCH($I218,Lists!$T$1:$T$18,0)),"?")</f>
        <v>COE Cyber</v>
      </c>
      <c r="AK218" t="str">
        <f>IF(LOWER($Q218)="v","Vacant",IF(LOWER($Q218)="pause","Paused",IF(LOWER($Q218)="cxc","Contractor",IF($Q218="Contractor","Contractor","Filled"))))</f>
        <v>Filled</v>
      </c>
      <c r="AL218" t="str">
        <f>IF($M218="NZ","NZ","AU")</f>
        <v>AU</v>
      </c>
      <c r="AM218">
        <f>COUNTIF($AJ$2:$AJ218,$AJ218)</f>
        <v>26.0</v>
      </c>
      <c r="AN218" t="str">
        <f>$AJ218&amp;"|"&amp;$AM218</f>
        <v>COE Cyber|26</v>
      </c>
    </row>
    <row r="219" ht="18" customHeight="1" s="849">
      <c r="A219" s="659" t="n">
        <v>109491</v>
      </c>
      <c r="B219" s="660" t="inlineStr">
        <is>
          <t>Pooja Kuperkar</t>
        </is>
      </c>
      <c r="C219" s="660" t="inlineStr">
        <is>
          <t>Cyber GRC Analyst</t>
        </is>
      </c>
      <c r="D219" s="660" t="inlineStr">
        <is>
          <t>Diya Thomas</t>
        </is>
      </c>
      <c r="E219" s="660" t="n"/>
      <c r="F219" s="660" t="inlineStr">
        <is>
          <t>Cyber, Risk &amp; Operations</t>
        </is>
      </c>
      <c r="G219" s="662" t="inlineStr">
        <is>
          <t>Cyber GRC</t>
        </is>
      </c>
      <c r="H219" s="660" t="inlineStr">
        <is>
          <t>NA</t>
        </is>
      </c>
      <c r="I219" s="660" t="inlineStr">
        <is>
          <t>COE - Cyber, Risk &amp; Operations</t>
        </is>
      </c>
      <c r="J219" s="660" t="inlineStr">
        <is>
          <t>NA</t>
        </is>
      </c>
      <c r="K219" s="660" t="inlineStr">
        <is>
          <t>NA</t>
        </is>
      </c>
      <c r="L219" s="660" t="n"/>
      <c r="M219" s="663" t="inlineStr">
        <is>
          <t>Australia</t>
        </is>
      </c>
      <c r="N219" s="664" t="inlineStr">
        <is>
          <t>CIB</t>
        </is>
      </c>
      <c r="O219" s="664" t="n">
        <v>1</v>
      </c>
      <c r="P219" s="664" t="n"/>
      <c r="Q219" s="664" t="inlineStr">
        <is>
          <t>Permanent - Full Time</t>
        </is>
      </c>
      <c r="R219" s="666" t="n"/>
      <c r="S219" s="666" t="n"/>
      <c r="T219" s="667" t="n">
        <v>152390</v>
      </c>
      <c r="U219" s="668" t="n">
        <v>152390</v>
      </c>
      <c r="V219" s="670" t="n">
        <v>0.12</v>
      </c>
      <c r="W219" s="921" t="n">
        <v>0.055</v>
      </c>
      <c r="X219" s="921" t="n">
        <v>0.12</v>
      </c>
      <c r="Y219" s="922" t="n"/>
      <c r="Z219" s="921" t="n">
        <v>0.04</v>
      </c>
      <c r="AA219" s="919" t="n">
        <v>203440.65</v>
      </c>
      <c r="AB219" s="707" t="n"/>
      <c r="AC219" s="707" t="n"/>
      <c r="AJ219" t="str">
        <f>IFERROR(INDEX(Lists!$U$1:$U$18,MATCH($I219,Lists!$T$1:$T$18,0)),"?")</f>
        <v>COE Cyber</v>
      </c>
      <c r="AK219" t="str">
        <f>IF(LOWER($Q219)="v","Vacant",IF(LOWER($Q219)="pause","Paused",IF(LOWER($Q219)="cxc","Contractor",IF($Q219="Contractor","Contractor","Filled"))))</f>
        <v>Filled</v>
      </c>
      <c r="AL219" t="str">
        <f>IF($M219="NZ","NZ","AU")</f>
        <v>AU</v>
      </c>
      <c r="AM219">
        <f>COUNTIF($AJ$2:$AJ219,$AJ219)</f>
        <v>27.0</v>
      </c>
      <c r="AN219" t="str">
        <f>$AJ219&amp;"|"&amp;$AM219</f>
        <v>COE Cyber|27</v>
      </c>
    </row>
    <row r="220" ht="18" customHeight="1" s="849">
      <c r="A220" s="659" t="n">
        <v>114683</v>
      </c>
      <c r="B220" s="660" t="inlineStr">
        <is>
          <t>Prashanth Chandran</t>
        </is>
      </c>
      <c r="C220" s="660" t="inlineStr">
        <is>
          <t>Senior Cyber GRC Specialist</t>
        </is>
      </c>
      <c r="D220" s="660" t="inlineStr">
        <is>
          <t>Diya Thomas</t>
        </is>
      </c>
      <c r="E220" s="660" t="inlineStr">
        <is>
          <t>Manager Cyber Security GRC</t>
        </is>
      </c>
      <c r="F220" s="660" t="inlineStr">
        <is>
          <t>Cyber, Risk &amp; Operations</t>
        </is>
      </c>
      <c r="G220" s="662" t="inlineStr">
        <is>
          <t>Cyber GRC</t>
        </is>
      </c>
      <c r="H220" s="660" t="inlineStr">
        <is>
          <t>NA</t>
        </is>
      </c>
      <c r="I220" s="660" t="inlineStr">
        <is>
          <t>COE - Cyber, Risk &amp; Operations</t>
        </is>
      </c>
      <c r="J220" s="660" t="inlineStr">
        <is>
          <t>NA</t>
        </is>
      </c>
      <c r="K220" s="660" t="inlineStr">
        <is>
          <t>NA</t>
        </is>
      </c>
      <c r="L220" s="660" t="n"/>
      <c r="M220" s="663" t="inlineStr">
        <is>
          <t>Australia</t>
        </is>
      </c>
      <c r="N220" s="664" t="inlineStr">
        <is>
          <t>CIC</t>
        </is>
      </c>
      <c r="O220" s="664" t="n">
        <v>1</v>
      </c>
      <c r="P220" s="664" t="n"/>
      <c r="Q220" s="664" t="inlineStr">
        <is>
          <t>Permanent - Full Time</t>
        </is>
      </c>
      <c r="R220" s="666" t="n"/>
      <c r="S220" s="666" t="n"/>
      <c r="T220" s="667" t="n">
        <v>165000</v>
      </c>
      <c r="U220" s="668" t="n">
        <v>165000</v>
      </c>
      <c r="V220" s="670" t="n">
        <v>0.12</v>
      </c>
      <c r="W220" s="921" t="n">
        <v>0.055</v>
      </c>
      <c r="X220" s="921" t="n">
        <v>0.12</v>
      </c>
      <c r="Y220" s="922" t="n"/>
      <c r="Z220" s="921" t="n">
        <v>0.04</v>
      </c>
      <c r="AA220" s="919" t="n">
        <v>220275</v>
      </c>
      <c r="AB220" s="707" t="n"/>
      <c r="AC220" s="707" t="n"/>
      <c r="AJ220" t="str">
        <f>IFERROR(INDEX(Lists!$U$1:$U$18,MATCH($I220,Lists!$T$1:$T$18,0)),"?")</f>
        <v>COE Cyber</v>
      </c>
      <c r="AK220" t="str">
        <f>IF(LOWER($Q220)="v","Vacant",IF(LOWER($Q220)="pause","Paused",IF(LOWER($Q220)="cxc","Contractor",IF($Q220="Contractor","Contractor","Filled"))))</f>
        <v>Filled</v>
      </c>
      <c r="AL220" t="str">
        <f>IF($M220="NZ","NZ","AU")</f>
        <v>AU</v>
      </c>
      <c r="AM220">
        <f>COUNTIF($AJ$2:$AJ220,$AJ220)</f>
        <v>28.0</v>
      </c>
      <c r="AN220" t="str">
        <f>$AJ220&amp;"|"&amp;$AM220</f>
        <v>COE Cyber|28</v>
      </c>
    </row>
    <row r="221" ht="18" customHeight="1" s="849">
      <c r="A221" s="659" t="n">
        <v>104966</v>
      </c>
      <c r="B221" s="660" t="inlineStr">
        <is>
          <t>Rahul Sahni</t>
        </is>
      </c>
      <c r="C221" s="660" t="inlineStr">
        <is>
          <t>Cyber Security Architect</t>
        </is>
      </c>
      <c r="D221" s="660" t="inlineStr">
        <is>
          <t>Kevin Sheerin</t>
        </is>
      </c>
      <c r="E221" s="660" t="n"/>
      <c r="F221" s="660" t="inlineStr">
        <is>
          <t>Cyber, Risk &amp; Operations</t>
        </is>
      </c>
      <c r="G221" s="662" t="inlineStr">
        <is>
          <t>Cyber Strat &amp; Tech</t>
        </is>
      </c>
      <c r="H221" s="660" t="inlineStr">
        <is>
          <t>NA</t>
        </is>
      </c>
      <c r="I221" s="660" t="inlineStr">
        <is>
          <t>COE - Cyber, Risk &amp; Operations</t>
        </is>
      </c>
      <c r="J221" s="660" t="inlineStr">
        <is>
          <t>NA</t>
        </is>
      </c>
      <c r="K221" s="660" t="inlineStr">
        <is>
          <t>NA</t>
        </is>
      </c>
      <c r="L221" s="660" t="n"/>
      <c r="M221" s="663" t="inlineStr">
        <is>
          <t>Australia</t>
        </is>
      </c>
      <c r="N221" s="664" t="inlineStr">
        <is>
          <t>CIC</t>
        </is>
      </c>
      <c r="O221" s="664" t="n">
        <v>1</v>
      </c>
      <c r="P221" s="664" t="n"/>
      <c r="Q221" s="664" t="inlineStr">
        <is>
          <t>Permanent - Full Time</t>
        </is>
      </c>
      <c r="R221" s="666" t="n"/>
      <c r="S221" s="666" t="n"/>
      <c r="T221" s="667" t="n">
        <v>169500</v>
      </c>
      <c r="U221" s="668" t="n">
        <v>169500</v>
      </c>
      <c r="V221" s="670" t="n">
        <v>0.12</v>
      </c>
      <c r="W221" s="921" t="n">
        <v>0.055</v>
      </c>
      <c r="X221" s="921" t="n">
        <v>0.12</v>
      </c>
      <c r="Y221" s="922" t="n"/>
      <c r="Z221" s="921" t="n">
        <v>0.04</v>
      </c>
      <c r="AA221" s="919" t="n">
        <v>226282.5</v>
      </c>
      <c r="AB221" s="707" t="n"/>
      <c r="AC221" s="707" t="n"/>
      <c r="AJ221" t="str">
        <f>IFERROR(INDEX(Lists!$U$1:$U$18,MATCH($I221,Lists!$T$1:$T$18,0)),"?")</f>
        <v>COE Cyber</v>
      </c>
      <c r="AK221" t="str">
        <f>IF(LOWER($Q221)="v","Vacant",IF(LOWER($Q221)="pause","Paused",IF(LOWER($Q221)="cxc","Contractor",IF($Q221="Contractor","Contractor","Filled"))))</f>
        <v>Filled</v>
      </c>
      <c r="AL221" t="str">
        <f>IF($M221="NZ","NZ","AU")</f>
        <v>AU</v>
      </c>
      <c r="AM221">
        <f>COUNTIF($AJ$2:$AJ221,$AJ221)</f>
        <v>29.0</v>
      </c>
      <c r="AN221" t="str">
        <f>$AJ221&amp;"|"&amp;$AM221</f>
        <v>COE Cyber|29</v>
      </c>
    </row>
    <row r="222" ht="18" customHeight="1" s="849">
      <c r="A222" s="659" t="n">
        <v>105647</v>
      </c>
      <c r="B222" s="660" t="inlineStr">
        <is>
          <t>Rajini Onteddu Reddy</t>
        </is>
      </c>
      <c r="C222" s="660" t="inlineStr">
        <is>
          <t>Head of Service Operations &amp; Assurance</t>
        </is>
      </c>
      <c r="D222" s="660" t="inlineStr">
        <is>
          <t>Frances Bouzo</t>
        </is>
      </c>
      <c r="E222" s="660" t="inlineStr">
        <is>
          <t xml:space="preserve">Manager Service Management &amp; Major Incident Management Lead </t>
        </is>
      </c>
      <c r="F222" s="660" t="inlineStr">
        <is>
          <t>Cyber, Risk &amp; Operations</t>
        </is>
      </c>
      <c r="G222" s="662" t="inlineStr">
        <is>
          <t>Service Op &amp; Assurance</t>
        </is>
      </c>
      <c r="H222" s="660" t="inlineStr">
        <is>
          <t>NA</t>
        </is>
      </c>
      <c r="I222" s="660" t="inlineStr">
        <is>
          <t>COE - Cyber, Risk &amp; Operations</t>
        </is>
      </c>
      <c r="J222" s="660" t="inlineStr">
        <is>
          <t>NA</t>
        </is>
      </c>
      <c r="K222" s="660" t="inlineStr">
        <is>
          <t>NA</t>
        </is>
      </c>
      <c r="L222" s="660" t="n"/>
      <c r="M222" s="663" t="inlineStr">
        <is>
          <t>Australia</t>
        </is>
      </c>
      <c r="N222" s="664" t="inlineStr">
        <is>
          <t>CSC</t>
        </is>
      </c>
      <c r="O222" s="664" t="n">
        <v>1</v>
      </c>
      <c r="P222" s="664" t="n"/>
      <c r="Q222" s="664" t="inlineStr">
        <is>
          <t>Permanent - Full Time</t>
        </is>
      </c>
      <c r="R222" s="666" t="n"/>
      <c r="S222" s="666" t="n"/>
      <c r="T222" s="667" t="n">
        <v>283160</v>
      </c>
      <c r="U222" s="668" t="n">
        <v>283160</v>
      </c>
      <c r="V222" s="670" t="n">
        <v>0.2</v>
      </c>
      <c r="W222" s="921" t="n">
        <v>0.055</v>
      </c>
      <c r="X222" s="921" t="n">
        <v>0.12</v>
      </c>
      <c r="Y222" s="922" t="n"/>
      <c r="Z222" s="921" t="n">
        <v>0.04</v>
      </c>
      <c r="AA222" s="919" t="n">
        <v>400671.4</v>
      </c>
      <c r="AB222" s="707" t="n"/>
      <c r="AC222" s="707" t="n"/>
      <c r="AJ222" t="str">
        <f>IFERROR(INDEX(Lists!$U$1:$U$18,MATCH($I222,Lists!$T$1:$T$18,0)),"?")</f>
        <v>COE Cyber</v>
      </c>
      <c r="AK222" t="str">
        <f>IF(LOWER($Q222)="v","Vacant",IF(LOWER($Q222)="pause","Paused",IF(LOWER($Q222)="cxc","Contractor",IF($Q222="Contractor","Contractor","Filled"))))</f>
        <v>Filled</v>
      </c>
      <c r="AL222" t="str">
        <f>IF($M222="NZ","NZ","AU")</f>
        <v>AU</v>
      </c>
      <c r="AM222">
        <f>COUNTIF($AJ$2:$AJ222,$AJ222)</f>
        <v>30.0</v>
      </c>
      <c r="AN222" t="str">
        <f>$AJ222&amp;"|"&amp;$AM222</f>
        <v>COE Cyber|30</v>
      </c>
    </row>
    <row r="223" ht="18" customHeight="1" s="849">
      <c r="A223" s="659" t="n">
        <v>116241</v>
      </c>
      <c r="B223" s="660" t="inlineStr">
        <is>
          <t>Raymond Cheung</t>
        </is>
      </c>
      <c r="C223" s="660" t="inlineStr">
        <is>
          <t>Engineer - IDAM</t>
        </is>
      </c>
      <c r="D223" s="660" t="inlineStr">
        <is>
          <t>Joe Nahma</t>
        </is>
      </c>
      <c r="E223" s="660" t="inlineStr">
        <is>
          <t xml:space="preserve">Head Cyber Strategy &amp; Technology </t>
        </is>
      </c>
      <c r="F223" s="660" t="inlineStr">
        <is>
          <t>Cyber, Risk &amp; Operations</t>
        </is>
      </c>
      <c r="G223" s="662" t="inlineStr">
        <is>
          <t>Cyber Strat &amp; Tech</t>
        </is>
      </c>
      <c r="H223" s="660" t="inlineStr">
        <is>
          <t>NA</t>
        </is>
      </c>
      <c r="I223" s="660" t="inlineStr">
        <is>
          <t>COE - Cyber, Risk &amp; Operations</t>
        </is>
      </c>
      <c r="J223" s="660" t="inlineStr">
        <is>
          <t>NA</t>
        </is>
      </c>
      <c r="K223" s="660" t="inlineStr">
        <is>
          <t>NA</t>
        </is>
      </c>
      <c r="L223" s="660" t="n"/>
      <c r="M223" s="663" t="inlineStr">
        <is>
          <t>Australia</t>
        </is>
      </c>
      <c r="N223" s="664" t="inlineStr">
        <is>
          <t>CIA</t>
        </is>
      </c>
      <c r="O223" s="664" t="n">
        <v>1</v>
      </c>
      <c r="P223" s="664" t="n"/>
      <c r="Q223" s="664" t="inlineStr">
        <is>
          <t>Permanent - Full Time</t>
        </is>
      </c>
      <c r="R223" s="666" t="n"/>
      <c r="S223" s="666" t="n"/>
      <c r="T223" s="667" t="n">
        <v>145000</v>
      </c>
      <c r="U223" s="668" t="n">
        <v>145000</v>
      </c>
      <c r="V223" s="670" t="n">
        <v>0.1</v>
      </c>
      <c r="W223" s="921" t="n">
        <v>0.055</v>
      </c>
      <c r="X223" s="921" t="n">
        <v>0.12</v>
      </c>
      <c r="Y223" s="922" t="n"/>
      <c r="Z223" s="921" t="n">
        <v>0.04</v>
      </c>
      <c r="AA223" s="919" t="n">
        <v>190675</v>
      </c>
      <c r="AB223" s="707" t="n"/>
      <c r="AC223" s="707" t="n"/>
      <c r="AJ223" t="str">
        <f>IFERROR(INDEX(Lists!$U$1:$U$18,MATCH($I223,Lists!$T$1:$T$18,0)),"?")</f>
        <v>COE Cyber</v>
      </c>
      <c r="AK223" t="str">
        <f>IF(LOWER($Q223)="v","Vacant",IF(LOWER($Q223)="pause","Paused",IF(LOWER($Q223)="cxc","Contractor",IF($Q223="Contractor","Contractor","Filled"))))</f>
        <v>Filled</v>
      </c>
      <c r="AL223" t="str">
        <f>IF($M223="NZ","NZ","AU")</f>
        <v>AU</v>
      </c>
      <c r="AM223">
        <f>COUNTIF($AJ$2:$AJ223,$AJ223)</f>
        <v>31.0</v>
      </c>
      <c r="AN223" t="str">
        <f>$AJ223&amp;"|"&amp;$AM223</f>
        <v>COE Cyber|31</v>
      </c>
    </row>
    <row r="224" ht="18" customHeight="1" s="849">
      <c r="A224" s="659" t="n">
        <v>108728</v>
      </c>
      <c r="B224" s="660" t="inlineStr">
        <is>
          <t>Remya Pookat</t>
        </is>
      </c>
      <c r="C224" s="660" t="inlineStr">
        <is>
          <t>Lead – Change &amp; Release Management</t>
        </is>
      </c>
      <c r="D224" s="660" t="inlineStr">
        <is>
          <t>Darren Koller</t>
        </is>
      </c>
      <c r="E224" s="660" t="inlineStr">
        <is>
          <t>Manager Cyber Security GRC</t>
        </is>
      </c>
      <c r="F224" s="660" t="inlineStr">
        <is>
          <t>Cyber, Risk &amp; Operations</t>
        </is>
      </c>
      <c r="G224" s="662" t="inlineStr">
        <is>
          <t>Service Op &amp; Assurance</t>
        </is>
      </c>
      <c r="H224" s="660" t="inlineStr">
        <is>
          <t>NA</t>
        </is>
      </c>
      <c r="I224" s="660" t="inlineStr">
        <is>
          <t>COE - Cyber, Risk &amp; Operations</t>
        </is>
      </c>
      <c r="J224" s="660" t="inlineStr">
        <is>
          <t>NA</t>
        </is>
      </c>
      <c r="K224" s="660" t="inlineStr">
        <is>
          <t>NA</t>
        </is>
      </c>
      <c r="L224" s="660" t="n"/>
      <c r="M224" s="663" t="inlineStr">
        <is>
          <t>Australia</t>
        </is>
      </c>
      <c r="N224" s="664" t="inlineStr">
        <is>
          <t>CIB</t>
        </is>
      </c>
      <c r="O224" s="664" t="n">
        <v>1</v>
      </c>
      <c r="P224" s="664" t="n"/>
      <c r="Q224" s="664" t="inlineStr">
        <is>
          <t>Permanent - Full Time</t>
        </is>
      </c>
      <c r="R224" s="666" t="n"/>
      <c r="S224" s="666" t="n"/>
      <c r="T224" s="667" t="n">
        <v>165450</v>
      </c>
      <c r="U224" s="668" t="n">
        <v>165450</v>
      </c>
      <c r="V224" s="670" t="n">
        <v>0.12</v>
      </c>
      <c r="W224" s="921" t="n">
        <v>0.055</v>
      </c>
      <c r="X224" s="921" t="n">
        <v>0.12</v>
      </c>
      <c r="Y224" s="922" t="n"/>
      <c r="Z224" s="921" t="n">
        <v>0.04</v>
      </c>
      <c r="AA224" s="919" t="n">
        <v>220875.75</v>
      </c>
      <c r="AB224" s="707" t="n"/>
      <c r="AC224" s="707" t="n"/>
      <c r="AJ224" t="str">
        <f>IFERROR(INDEX(Lists!$U$1:$U$18,MATCH($I224,Lists!$T$1:$T$18,0)),"?")</f>
        <v>COE Cyber</v>
      </c>
      <c r="AK224" t="str">
        <f>IF(LOWER($Q224)="v","Vacant",IF(LOWER($Q224)="pause","Paused",IF(LOWER($Q224)="cxc","Contractor",IF($Q224="Contractor","Contractor","Filled"))))</f>
        <v>Filled</v>
      </c>
      <c r="AL224" t="str">
        <f>IF($M224="NZ","NZ","AU")</f>
        <v>AU</v>
      </c>
      <c r="AM224">
        <f>COUNTIF($AJ$2:$AJ224,$AJ224)</f>
        <v>32.0</v>
      </c>
      <c r="AN224" t="str">
        <f>$AJ224&amp;"|"&amp;$AM224</f>
        <v>COE Cyber|32</v>
      </c>
    </row>
    <row r="225" ht="18" customHeight="1" s="849">
      <c r="A225" s="659" t="n">
        <v>104555</v>
      </c>
      <c r="B225" s="660" t="inlineStr">
        <is>
          <t>Ritika Salaria</t>
        </is>
      </c>
      <c r="C225" s="660" t="inlineStr">
        <is>
          <t>Configuration Analyst</t>
        </is>
      </c>
      <c r="D225" s="660" t="inlineStr">
        <is>
          <t>Lead – Asset &amp; Configuration (Vacant)</t>
        </is>
      </c>
      <c r="E225" s="660" t="n"/>
      <c r="F225" s="660" t="inlineStr">
        <is>
          <t>Cyber, Risk &amp; Operations</t>
        </is>
      </c>
      <c r="G225" s="662" t="inlineStr">
        <is>
          <t>Service Op &amp; Assurance</t>
        </is>
      </c>
      <c r="H225" s="660" t="inlineStr">
        <is>
          <t>NA</t>
        </is>
      </c>
      <c r="I225" s="660" t="inlineStr">
        <is>
          <t>COE - Cyber, Risk &amp; Operations</t>
        </is>
      </c>
      <c r="J225" s="660" t="inlineStr">
        <is>
          <t>NA</t>
        </is>
      </c>
      <c r="K225" s="660" t="inlineStr">
        <is>
          <t>NA</t>
        </is>
      </c>
      <c r="L225" s="660" t="n"/>
      <c r="M225" s="663" t="inlineStr">
        <is>
          <t>Australia</t>
        </is>
      </c>
      <c r="N225" s="664" t="inlineStr">
        <is>
          <t>CIA</t>
        </is>
      </c>
      <c r="O225" s="664" t="n">
        <v>1</v>
      </c>
      <c r="P225" s="664" t="n"/>
      <c r="Q225" s="664" t="inlineStr">
        <is>
          <t>Permanent - Full Time</t>
        </is>
      </c>
      <c r="R225" s="666" t="n"/>
      <c r="S225" s="666" t="n"/>
      <c r="T225" s="667" t="n">
        <v>131640</v>
      </c>
      <c r="U225" s="668" t="n">
        <v>131640</v>
      </c>
      <c r="V225" s="670" t="n">
        <v>0.1</v>
      </c>
      <c r="W225" s="921" t="n">
        <v>0.055</v>
      </c>
      <c r="X225" s="921" t="n">
        <v>0.12</v>
      </c>
      <c r="Y225" s="922" t="n"/>
      <c r="Z225" s="921" t="n">
        <v>0.04</v>
      </c>
      <c r="AA225" s="919" t="n">
        <v>173106.6</v>
      </c>
      <c r="AB225" s="707" t="n"/>
      <c r="AC225" s="707" t="n"/>
      <c r="AJ225" t="str">
        <f>IFERROR(INDEX(Lists!$U$1:$U$18,MATCH($I225,Lists!$T$1:$T$18,0)),"?")</f>
        <v>COE Cyber</v>
      </c>
      <c r="AK225" t="str">
        <f>IF(LOWER($Q225)="v","Vacant",IF(LOWER($Q225)="pause","Paused",IF(LOWER($Q225)="cxc","Contractor",IF($Q225="Contractor","Contractor","Filled"))))</f>
        <v>Filled</v>
      </c>
      <c r="AL225" t="str">
        <f>IF($M225="NZ","NZ","AU")</f>
        <v>AU</v>
      </c>
      <c r="AM225">
        <f>COUNTIF($AJ$2:$AJ225,$AJ225)</f>
        <v>33.0</v>
      </c>
      <c r="AN225" t="str">
        <f>$AJ225&amp;"|"&amp;$AM225</f>
        <v>COE Cyber|33</v>
      </c>
    </row>
    <row r="226" ht="18" customHeight="1" s="849">
      <c r="A226" s="659" t="n">
        <v>99999101321</v>
      </c>
      <c r="B226" s="660" t="inlineStr">
        <is>
          <t>Sameer Pattanaik</t>
        </is>
      </c>
      <c r="C226" s="660" t="inlineStr">
        <is>
          <t>Cyber Security Operations Lead</t>
        </is>
      </c>
      <c r="D226" s="660" t="inlineStr">
        <is>
          <t>Steven Atcheson</t>
        </is>
      </c>
      <c r="E226" s="660" t="n"/>
      <c r="F226" s="660" t="inlineStr">
        <is>
          <t>Cyber, Risk &amp; Operations</t>
        </is>
      </c>
      <c r="G226" s="662" t="inlineStr">
        <is>
          <t>Cyber Sec Ops</t>
        </is>
      </c>
      <c r="H226" s="660" t="inlineStr">
        <is>
          <t>NA</t>
        </is>
      </c>
      <c r="I226" s="660" t="inlineStr">
        <is>
          <t>COE - Cyber, Risk &amp; Operations</t>
        </is>
      </c>
      <c r="J226" s="660" t="inlineStr">
        <is>
          <t>NA</t>
        </is>
      </c>
      <c r="K226" s="660" t="inlineStr">
        <is>
          <t>NA</t>
        </is>
      </c>
      <c r="L226" s="660" t="n"/>
      <c r="M226" s="663" t="inlineStr">
        <is>
          <t>NZ</t>
        </is>
      </c>
      <c r="N226" s="664" t="inlineStr">
        <is>
          <t>CIC</t>
        </is>
      </c>
      <c r="O226" s="665" t="n">
        <v>1</v>
      </c>
      <c r="P226" s="664" t="n"/>
      <c r="Q226" s="665" t="inlineStr">
        <is>
          <t>Permanent - Full Time</t>
        </is>
      </c>
      <c r="R226" s="666" t="n"/>
      <c r="S226" s="666" t="n"/>
      <c r="T226" s="667" t="n">
        <v>185550</v>
      </c>
      <c r="U226" s="668" t="n">
        <v>170706</v>
      </c>
      <c r="V226" s="669" t="n">
        <v>0.15</v>
      </c>
      <c r="W226" s="666" t="n"/>
      <c r="X226" s="670" t="n">
        <v>0.05</v>
      </c>
      <c r="Y226" s="918" t="n">
        <v>2910</v>
      </c>
      <c r="Z226" s="670" t="n">
        <v>0.03</v>
      </c>
      <c r="AA226" s="919" t="n">
        <v>212878.38</v>
      </c>
      <c r="AB226" s="707" t="n"/>
      <c r="AC226" s="707" t="n"/>
      <c r="AJ226" t="str">
        <f>IFERROR(INDEX(Lists!$U$1:$U$18,MATCH($I226,Lists!$T$1:$T$18,0)),"?")</f>
        <v>COE Cyber</v>
      </c>
      <c r="AK226" t="str">
        <f>IF(LOWER($Q226)="v","Vacant",IF(LOWER($Q226)="pause","Paused",IF(LOWER($Q226)="cxc","Contractor",IF($Q226="Contractor","Contractor","Filled"))))</f>
        <v>Filled</v>
      </c>
      <c r="AL226" t="str">
        <f>IF($M226="NZ","NZ","AU")</f>
        <v>NZ</v>
      </c>
      <c r="AM226">
        <f>COUNTIF($AJ$2:$AJ226,$AJ226)</f>
        <v>34.0</v>
      </c>
      <c r="AN226" t="str">
        <f>$AJ226&amp;"|"&amp;$AM226</f>
        <v>COE Cyber|34</v>
      </c>
    </row>
    <row r="227" ht="18" customHeight="1" s="849">
      <c r="A227" s="659" t="n">
        <v>99999101346</v>
      </c>
      <c r="B227" s="660" t="inlineStr">
        <is>
          <t>Shomiya Shayal</t>
        </is>
      </c>
      <c r="C227" s="660" t="inlineStr">
        <is>
          <t>Risk &amp; Resilience Lead</t>
        </is>
      </c>
      <c r="D227" s="660" t="inlineStr">
        <is>
          <t>Brian Gates</t>
        </is>
      </c>
      <c r="E227" s="660" t="inlineStr">
        <is>
          <t xml:space="preserve">Manager Risk &amp; Resilience </t>
        </is>
      </c>
      <c r="F227" s="660" t="inlineStr">
        <is>
          <t>Cyber, Risk &amp; Operations</t>
        </is>
      </c>
      <c r="G227" s="662" t="inlineStr">
        <is>
          <t>Cyber Risk</t>
        </is>
      </c>
      <c r="H227" s="660" t="inlineStr">
        <is>
          <t>NA</t>
        </is>
      </c>
      <c r="I227" s="660" t="inlineStr">
        <is>
          <t>COE - Cyber, Risk &amp; Operations</t>
        </is>
      </c>
      <c r="J227" s="660" t="inlineStr">
        <is>
          <t>NA</t>
        </is>
      </c>
      <c r="K227" s="660" t="inlineStr">
        <is>
          <t>NA</t>
        </is>
      </c>
      <c r="L227" s="660" t="n"/>
      <c r="M227" s="663" t="inlineStr">
        <is>
          <t>NZ</t>
        </is>
      </c>
      <c r="N227" s="664" t="inlineStr">
        <is>
          <t>CIC</t>
        </is>
      </c>
      <c r="O227" s="665" t="n">
        <v>1</v>
      </c>
      <c r="P227" s="664" t="n"/>
      <c r="Q227" s="665" t="inlineStr">
        <is>
          <t>Permanent - Full Time</t>
        </is>
      </c>
      <c r="R227" s="666" t="n"/>
      <c r="S227" s="666" t="n"/>
      <c r="T227" s="667" t="n">
        <v>164020</v>
      </c>
      <c r="U227" s="668" t="n">
        <v>150898.4</v>
      </c>
      <c r="V227" s="669" t="n">
        <v>0.15</v>
      </c>
      <c r="W227" s="666" t="n"/>
      <c r="X227" s="670" t="n">
        <v>0.05</v>
      </c>
      <c r="Y227" s="918" t="n">
        <v>2910</v>
      </c>
      <c r="Z227" s="670" t="n">
        <v>0.03</v>
      </c>
      <c r="AA227" s="919" t="n">
        <v>188515.032</v>
      </c>
      <c r="AB227" s="707" t="n"/>
      <c r="AC227" s="707" t="n"/>
      <c r="AJ227" t="str">
        <f>IFERROR(INDEX(Lists!$U$1:$U$18,MATCH($I227,Lists!$T$1:$T$18,0)),"?")</f>
        <v>COE Cyber</v>
      </c>
      <c r="AK227" t="str">
        <f>IF(LOWER($Q227)="v","Vacant",IF(LOWER($Q227)="pause","Paused",IF(LOWER($Q227)="cxc","Contractor",IF($Q227="Contractor","Contractor","Filled"))))</f>
        <v>Filled</v>
      </c>
      <c r="AL227" t="str">
        <f>IF($M227="NZ","NZ","AU")</f>
        <v>NZ</v>
      </c>
      <c r="AM227">
        <f>COUNTIF($AJ$2:$AJ227,$AJ227)</f>
        <v>35.0</v>
      </c>
      <c r="AN227" t="str">
        <f>$AJ227&amp;"|"&amp;$AM227</f>
        <v>COE Cyber|35</v>
      </c>
    </row>
    <row r="228" ht="18" customHeight="1" s="849">
      <c r="A228" s="659" t="n">
        <v>104805</v>
      </c>
      <c r="B228" s="660" t="inlineStr">
        <is>
          <t>Shruti Manchanda</t>
        </is>
      </c>
      <c r="C228" s="660" t="inlineStr">
        <is>
          <t>Cyber GRC Analyst</t>
        </is>
      </c>
      <c r="D228" s="660" t="inlineStr">
        <is>
          <t>Diya Thomas</t>
        </is>
      </c>
      <c r="E228" s="660" t="n"/>
      <c r="F228" s="660" t="inlineStr">
        <is>
          <t>Cyber, Risk &amp; Operations</t>
        </is>
      </c>
      <c r="G228" s="662" t="inlineStr">
        <is>
          <t>Cyber GRC</t>
        </is>
      </c>
      <c r="H228" s="660" t="inlineStr">
        <is>
          <t>NA</t>
        </is>
      </c>
      <c r="I228" s="660" t="inlineStr">
        <is>
          <t>COE - Cyber, Risk &amp; Operations</t>
        </is>
      </c>
      <c r="J228" s="660" t="inlineStr">
        <is>
          <t>NA</t>
        </is>
      </c>
      <c r="K228" s="660" t="inlineStr">
        <is>
          <t>NA</t>
        </is>
      </c>
      <c r="L228" s="660" t="n"/>
      <c r="M228" s="663" t="inlineStr">
        <is>
          <t>Australia</t>
        </is>
      </c>
      <c r="N228" s="664" t="inlineStr">
        <is>
          <t>CIB</t>
        </is>
      </c>
      <c r="O228" s="664" t="n">
        <v>1</v>
      </c>
      <c r="P228" s="664" t="n"/>
      <c r="Q228" s="664" t="inlineStr">
        <is>
          <t>Permanent - Full Time</t>
        </is>
      </c>
      <c r="R228" s="666" t="n"/>
      <c r="S228" s="666" t="n"/>
      <c r="T228" s="667" t="n">
        <v>171450</v>
      </c>
      <c r="U228" s="668" t="n">
        <v>171450</v>
      </c>
      <c r="V228" s="670" t="n">
        <v>0.12</v>
      </c>
      <c r="W228" s="921" t="n">
        <v>0.055</v>
      </c>
      <c r="X228" s="921" t="n">
        <v>0.12</v>
      </c>
      <c r="Y228" s="922" t="n"/>
      <c r="Z228" s="921" t="n">
        <v>0.04</v>
      </c>
      <c r="AA228" s="919" t="n">
        <v>228885.75</v>
      </c>
      <c r="AB228" s="707" t="n"/>
      <c r="AC228" s="707" t="n"/>
      <c r="AJ228" t="str">
        <f>IFERROR(INDEX(Lists!$U$1:$U$18,MATCH($I228,Lists!$T$1:$T$18,0)),"?")</f>
        <v>COE Cyber</v>
      </c>
      <c r="AK228" t="str">
        <f>IF(LOWER($Q228)="v","Vacant",IF(LOWER($Q228)="pause","Paused",IF(LOWER($Q228)="cxc","Contractor",IF($Q228="Contractor","Contractor","Filled"))))</f>
        <v>Filled</v>
      </c>
      <c r="AL228" t="str">
        <f>IF($M228="NZ","NZ","AU")</f>
        <v>AU</v>
      </c>
      <c r="AM228">
        <f>COUNTIF($AJ$2:$AJ228,$AJ228)</f>
        <v>36.0</v>
      </c>
      <c r="AN228" t="str">
        <f>$AJ228&amp;"|"&amp;$AM228</f>
        <v>COE Cyber|36</v>
      </c>
    </row>
    <row r="229" ht="18" customHeight="1" s="849">
      <c r="A229" s="659" t="n">
        <v>99999100770</v>
      </c>
      <c r="B229" s="660" t="inlineStr">
        <is>
          <t>Spoilagi Bhutwala</t>
        </is>
      </c>
      <c r="C229" s="660" t="inlineStr">
        <is>
          <t>Tech Support Technician</t>
        </is>
      </c>
      <c r="D229" s="660" t="inlineStr">
        <is>
          <t>Mark Pearson</t>
        </is>
      </c>
      <c r="E229" s="660" t="inlineStr">
        <is>
          <t xml:space="preserve">Lead Technology Support </t>
        </is>
      </c>
      <c r="F229" s="660" t="inlineStr">
        <is>
          <t>Cyber, Risk &amp; Operations</t>
        </is>
      </c>
      <c r="G229" s="662" t="inlineStr">
        <is>
          <t>Service Op &amp; Assurance</t>
        </is>
      </c>
      <c r="H229" s="660" t="inlineStr">
        <is>
          <t>NA</t>
        </is>
      </c>
      <c r="I229" s="660" t="inlineStr">
        <is>
          <t>COE - Cyber, Risk &amp; Operations</t>
        </is>
      </c>
      <c r="J229" s="660" t="inlineStr">
        <is>
          <t>NA</t>
        </is>
      </c>
      <c r="K229" s="660" t="inlineStr">
        <is>
          <t>NA</t>
        </is>
      </c>
      <c r="L229" s="660" t="n"/>
      <c r="M229" s="663" t="inlineStr">
        <is>
          <t>NZ</t>
        </is>
      </c>
      <c r="N229" s="664" t="inlineStr">
        <is>
          <t>CDB</t>
        </is>
      </c>
      <c r="O229" s="665" t="n">
        <v>1</v>
      </c>
      <c r="P229" s="664" t="n"/>
      <c r="Q229" s="665" t="inlineStr">
        <is>
          <t>Permanent - Full Time</t>
        </is>
      </c>
      <c r="R229" s="666" t="n"/>
      <c r="S229" s="666" t="n"/>
      <c r="T229" s="667" t="n">
        <v>86890</v>
      </c>
      <c r="U229" s="668" t="n">
        <v>79938.8</v>
      </c>
      <c r="V229" s="669" t="n">
        <v>0.1</v>
      </c>
      <c r="W229" s="666" t="n"/>
      <c r="X229" s="670" t="n">
        <v>0.05</v>
      </c>
      <c r="Y229" s="918" t="n">
        <v>2910</v>
      </c>
      <c r="Z229" s="670" t="n">
        <v>0.03</v>
      </c>
      <c r="AA229" s="919" t="n">
        <v>97237.78400000001</v>
      </c>
      <c r="AB229" s="707" t="n"/>
      <c r="AC229" s="707" t="n"/>
      <c r="AJ229" t="str">
        <f>IFERROR(INDEX(Lists!$U$1:$U$18,MATCH($I229,Lists!$T$1:$T$18,0)),"?")</f>
        <v>COE Cyber</v>
      </c>
      <c r="AK229" t="str">
        <f>IF(LOWER($Q229)="v","Vacant",IF(LOWER($Q229)="pause","Paused",IF(LOWER($Q229)="cxc","Contractor",IF($Q229="Contractor","Contractor","Filled"))))</f>
        <v>Filled</v>
      </c>
      <c r="AL229" t="str">
        <f>IF($M229="NZ","NZ","AU")</f>
        <v>NZ</v>
      </c>
      <c r="AM229">
        <f>COUNTIF($AJ$2:$AJ229,$AJ229)</f>
        <v>37.0</v>
      </c>
      <c r="AN229" t="str">
        <f>$AJ229&amp;"|"&amp;$AM229</f>
        <v>COE Cyber|37</v>
      </c>
    </row>
    <row r="230" ht="18" customHeight="1" s="849">
      <c r="A230" s="659" t="n">
        <v>98371</v>
      </c>
      <c r="B230" s="660" t="inlineStr">
        <is>
          <t>Stafford Dowling</t>
        </is>
      </c>
      <c r="C230" s="660" t="inlineStr">
        <is>
          <t>Cyber Security Analyst</t>
        </is>
      </c>
      <c r="D230" s="660" t="inlineStr">
        <is>
          <t>Steven Atcheson</t>
        </is>
      </c>
      <c r="E230" s="660" t="n"/>
      <c r="F230" s="660" t="inlineStr">
        <is>
          <t>Cyber, Risk &amp; Operations</t>
        </is>
      </c>
      <c r="G230" s="662" t="inlineStr">
        <is>
          <t>Cyber Sec Ops</t>
        </is>
      </c>
      <c r="H230" s="660" t="inlineStr">
        <is>
          <t>NA</t>
        </is>
      </c>
      <c r="I230" s="660" t="inlineStr">
        <is>
          <t>COE - Cyber, Risk &amp; Operations</t>
        </is>
      </c>
      <c r="J230" s="660" t="inlineStr">
        <is>
          <t>NA</t>
        </is>
      </c>
      <c r="K230" s="660" t="inlineStr">
        <is>
          <t>NA</t>
        </is>
      </c>
      <c r="L230" s="660" t="n"/>
      <c r="M230" s="663" t="inlineStr">
        <is>
          <t>Australia</t>
        </is>
      </c>
      <c r="N230" s="664" t="inlineStr">
        <is>
          <t>CIB</t>
        </is>
      </c>
      <c r="O230" s="664" t="n">
        <v>1</v>
      </c>
      <c r="P230" s="664" t="n"/>
      <c r="Q230" s="664" t="inlineStr">
        <is>
          <t>Permanent - Full Time</t>
        </is>
      </c>
      <c r="R230" s="666" t="n"/>
      <c r="S230" s="666" t="n"/>
      <c r="T230" s="667" t="n">
        <v>163830</v>
      </c>
      <c r="U230" s="668" t="n">
        <v>163830</v>
      </c>
      <c r="V230" s="670" t="n">
        <v>0.12</v>
      </c>
      <c r="W230" s="921" t="n">
        <v>0.055</v>
      </c>
      <c r="X230" s="921" t="n">
        <v>0.12</v>
      </c>
      <c r="Y230" s="922" t="n"/>
      <c r="Z230" s="921" t="n">
        <v>0.04</v>
      </c>
      <c r="AA230" s="919" t="n">
        <v>218713.05</v>
      </c>
      <c r="AB230" s="707" t="n"/>
      <c r="AC230" s="707" t="n"/>
      <c r="AJ230" t="str">
        <f>IFERROR(INDEX(Lists!$U$1:$U$18,MATCH($I230,Lists!$T$1:$T$18,0)),"?")</f>
        <v>COE Cyber</v>
      </c>
      <c r="AK230" t="str">
        <f>IF(LOWER($Q230)="v","Vacant",IF(LOWER($Q230)="pause","Paused",IF(LOWER($Q230)="cxc","Contractor",IF($Q230="Contractor","Contractor","Filled"))))</f>
        <v>Filled</v>
      </c>
      <c r="AL230" t="str">
        <f>IF($M230="NZ","NZ","AU")</f>
        <v>AU</v>
      </c>
      <c r="AM230">
        <f>COUNTIF($AJ$2:$AJ230,$AJ230)</f>
        <v>38.0</v>
      </c>
      <c r="AN230" t="str">
        <f>$AJ230&amp;"|"&amp;$AM230</f>
        <v>COE Cyber|38</v>
      </c>
    </row>
    <row r="231" ht="18" customHeight="1" s="849">
      <c r="A231" s="659" t="n">
        <v>101504</v>
      </c>
      <c r="B231" s="660" t="inlineStr">
        <is>
          <t>Steven Atcheson</t>
        </is>
      </c>
      <c r="C231" s="660" t="inlineStr">
        <is>
          <t>Manager Cyber Security Operations</t>
        </is>
      </c>
      <c r="D231" s="660" t="inlineStr">
        <is>
          <t>Frances Bouzo</t>
        </is>
      </c>
      <c r="E231" s="660" t="inlineStr">
        <is>
          <t xml:space="preserve">Manager, Risk &amp; Resilience </t>
        </is>
      </c>
      <c r="F231" s="660" t="inlineStr">
        <is>
          <t>Cyber, Risk &amp; Operations</t>
        </is>
      </c>
      <c r="G231" s="662" t="inlineStr">
        <is>
          <t>Cyber Sec Ops</t>
        </is>
      </c>
      <c r="H231" s="660" t="inlineStr">
        <is>
          <t>NA</t>
        </is>
      </c>
      <c r="I231" s="660" t="inlineStr">
        <is>
          <t>COE - Cyber, Risk &amp; Operations</t>
        </is>
      </c>
      <c r="J231" s="660" t="inlineStr">
        <is>
          <t>NA</t>
        </is>
      </c>
      <c r="K231" s="660" t="inlineStr">
        <is>
          <t>NA</t>
        </is>
      </c>
      <c r="L231" s="660" t="n"/>
      <c r="M231" s="663" t="inlineStr">
        <is>
          <t>Australia</t>
        </is>
      </c>
      <c r="N231" s="664" t="inlineStr">
        <is>
          <t>CSB</t>
        </is>
      </c>
      <c r="O231" s="664" t="n">
        <v>1</v>
      </c>
      <c r="P231" s="664" t="n"/>
      <c r="Q231" s="664" t="inlineStr">
        <is>
          <t>Permanent - Full Time</t>
        </is>
      </c>
      <c r="R231" s="666" t="n"/>
      <c r="S231" s="666" t="n"/>
      <c r="T231" s="667" t="n">
        <v>233630</v>
      </c>
      <c r="U231" s="668" t="n">
        <v>233630</v>
      </c>
      <c r="V231" s="670" t="n">
        <v>0.14</v>
      </c>
      <c r="W231" s="921" t="n">
        <v>0.055</v>
      </c>
      <c r="X231" s="921" t="n">
        <v>0.12</v>
      </c>
      <c r="Y231" s="922" t="n"/>
      <c r="Z231" s="921" t="n">
        <v>0.04</v>
      </c>
      <c r="AA231" s="919" t="n">
        <v>316568.65</v>
      </c>
      <c r="AB231" s="707" t="n"/>
      <c r="AC231" s="707" t="n"/>
      <c r="AJ231" t="str">
        <f>IFERROR(INDEX(Lists!$U$1:$U$18,MATCH($I231,Lists!$T$1:$T$18,0)),"?")</f>
        <v>COE Cyber</v>
      </c>
      <c r="AK231" t="str">
        <f>IF(LOWER($Q231)="v","Vacant",IF(LOWER($Q231)="pause","Paused",IF(LOWER($Q231)="cxc","Contractor",IF($Q231="Contractor","Contractor","Filled"))))</f>
        <v>Filled</v>
      </c>
      <c r="AL231" t="str">
        <f>IF($M231="NZ","NZ","AU")</f>
        <v>AU</v>
      </c>
      <c r="AM231">
        <f>COUNTIF($AJ$2:$AJ231,$AJ231)</f>
        <v>39.0</v>
      </c>
      <c r="AN231" t="str">
        <f>$AJ231&amp;"|"&amp;$AM231</f>
        <v>COE Cyber|39</v>
      </c>
    </row>
    <row r="232" ht="18" customHeight="1" s="849">
      <c r="A232" s="659" t="n">
        <v>114383</v>
      </c>
      <c r="B232" s="660" t="inlineStr">
        <is>
          <t>Tony Keeler</t>
        </is>
      </c>
      <c r="C232" s="660" t="inlineStr">
        <is>
          <t>Cyber Business Analyst</t>
        </is>
      </c>
      <c r="D232" s="660" t="inlineStr">
        <is>
          <t>Vivienne Vasak</t>
        </is>
      </c>
      <c r="E232" s="660" t="inlineStr">
        <is>
          <t xml:space="preserve">Portfolio Manger Cyber Security </t>
        </is>
      </c>
      <c r="F232" s="660" t="inlineStr">
        <is>
          <t>Cyber, Risk &amp; Operations</t>
        </is>
      </c>
      <c r="G232" s="662" t="inlineStr">
        <is>
          <t>Cyber Strat &amp; Tech</t>
        </is>
      </c>
      <c r="H232" s="660" t="inlineStr">
        <is>
          <t>NA</t>
        </is>
      </c>
      <c r="I232" s="660" t="inlineStr">
        <is>
          <t>COE - Cyber, Risk &amp; Operations</t>
        </is>
      </c>
      <c r="J232" s="660" t="inlineStr">
        <is>
          <t>NA</t>
        </is>
      </c>
      <c r="K232" s="660" t="inlineStr">
        <is>
          <t>NA</t>
        </is>
      </c>
      <c r="L232" s="660" t="n"/>
      <c r="M232" s="663" t="inlineStr">
        <is>
          <t>Australia</t>
        </is>
      </c>
      <c r="N232" s="664" t="inlineStr">
        <is>
          <t>CIB</t>
        </is>
      </c>
      <c r="O232" s="664" t="n">
        <v>1</v>
      </c>
      <c r="P232" s="664" t="n"/>
      <c r="Q232" s="664" t="inlineStr">
        <is>
          <t>Permanent - Full Time</t>
        </is>
      </c>
      <c r="R232" s="666" t="n"/>
      <c r="S232" s="666" t="n"/>
      <c r="T232" s="667" t="n">
        <v>160000</v>
      </c>
      <c r="U232" s="668" t="n">
        <v>160000</v>
      </c>
      <c r="V232" s="670" t="n">
        <v>0.12</v>
      </c>
      <c r="W232" s="921" t="n">
        <v>0.055</v>
      </c>
      <c r="X232" s="921" t="n">
        <v>0.12</v>
      </c>
      <c r="Y232" s="922" t="n"/>
      <c r="Z232" s="921" t="n">
        <v>0.04</v>
      </c>
      <c r="AA232" s="919" t="n">
        <v>213600</v>
      </c>
      <c r="AB232" s="707" t="n"/>
      <c r="AC232" s="707" t="n"/>
      <c r="AJ232" t="str">
        <f>IFERROR(INDEX(Lists!$U$1:$U$18,MATCH($I232,Lists!$T$1:$T$18,0)),"?")</f>
        <v>COE Cyber</v>
      </c>
      <c r="AK232" t="str">
        <f>IF(LOWER($Q232)="v","Vacant",IF(LOWER($Q232)="pause","Paused",IF(LOWER($Q232)="cxc","Contractor",IF($Q232="Contractor","Contractor","Filled"))))</f>
        <v>Filled</v>
      </c>
      <c r="AL232" t="str">
        <f>IF($M232="NZ","NZ","AU")</f>
        <v>AU</v>
      </c>
      <c r="AM232">
        <f>COUNTIF($AJ$2:$AJ232,$AJ232)</f>
        <v>40.0</v>
      </c>
      <c r="AN232" t="str">
        <f>$AJ232&amp;"|"&amp;$AM232</f>
        <v>COE Cyber|40</v>
      </c>
    </row>
    <row r="233" ht="18" customHeight="1" s="849">
      <c r="A233" s="659" t="inlineStr">
        <is>
          <t>V</t>
        </is>
      </c>
      <c r="B233" s="660" t="inlineStr">
        <is>
          <t>Vacant</t>
        </is>
      </c>
      <c r="C233" s="660" t="inlineStr">
        <is>
          <t>Lead – Problem Management</t>
        </is>
      </c>
      <c r="D233" s="660" t="inlineStr">
        <is>
          <t>Darren Koller</t>
        </is>
      </c>
      <c r="E233" s="660" t="inlineStr">
        <is>
          <t>Manager Cyber Security GRC</t>
        </is>
      </c>
      <c r="F233" s="660" t="inlineStr">
        <is>
          <t>Cyber, Risk &amp; Operations</t>
        </is>
      </c>
      <c r="G233" s="662" t="inlineStr">
        <is>
          <t>Service Op &amp; Assurance</t>
        </is>
      </c>
      <c r="H233" s="660" t="inlineStr">
        <is>
          <t>NA</t>
        </is>
      </c>
      <c r="I233" s="660" t="inlineStr">
        <is>
          <t>COE - Cyber, Risk &amp; Operations</t>
        </is>
      </c>
      <c r="J233" s="707" t="inlineStr">
        <is>
          <t>NA</t>
        </is>
      </c>
      <c r="K233" s="660" t="inlineStr">
        <is>
          <t>NA</t>
        </is>
      </c>
      <c r="L233" s="660" t="n"/>
      <c r="M233" s="663" t="inlineStr">
        <is>
          <t>Australia</t>
        </is>
      </c>
      <c r="N233" s="664" t="inlineStr">
        <is>
          <t>CIA</t>
        </is>
      </c>
      <c r="O233" s="664" t="n">
        <v>1</v>
      </c>
      <c r="P233" s="664" t="n"/>
      <c r="Q233" s="664" t="inlineStr">
        <is>
          <t>v</t>
        </is>
      </c>
      <c r="R233" s="666" t="n"/>
      <c r="S233" s="666" t="n"/>
      <c r="T233" s="667" t="n">
        <v>129650</v>
      </c>
      <c r="U233" s="668" t="n">
        <v>129650</v>
      </c>
      <c r="V233" s="670" t="n">
        <v>0.1</v>
      </c>
      <c r="W233" s="921" t="n">
        <v>0.055</v>
      </c>
      <c r="X233" s="921" t="n">
        <v>0.12</v>
      </c>
      <c r="Y233" s="922" t="n"/>
      <c r="Z233" s="921" t="n">
        <v>0.04</v>
      </c>
      <c r="AA233" s="919" t="n">
        <v>170489.75</v>
      </c>
      <c r="AB233" s="707" t="n"/>
      <c r="AC233" s="707" t="inlineStr">
        <is>
          <t xml:space="preserve">Role needed and is being repurposed to provide Retail Support </t>
        </is>
      </c>
      <c r="AJ233" t="str">
        <f>IFERROR(INDEX(Lists!$U$1:$U$18,MATCH($I233,Lists!$T$1:$T$18,0)),"?")</f>
        <v>COE Cyber</v>
      </c>
      <c r="AK233" t="str">
        <f>IF(LOWER($Q233)="v","Vacant",IF(LOWER($Q233)="pause","Paused",IF(LOWER($Q233)="cxc","Contractor",IF($Q233="Contractor","Contractor","Filled"))))</f>
        <v>Vacant</v>
      </c>
      <c r="AL233" t="str">
        <f>IF($M233="NZ","NZ","AU")</f>
        <v>AU</v>
      </c>
      <c r="AM233">
        <f>COUNTIF($AJ$2:$AJ233,$AJ233)</f>
        <v>41.0</v>
      </c>
      <c r="AN233" t="str">
        <f>$AJ233&amp;"|"&amp;$AM233</f>
        <v>COE Cyber|41</v>
      </c>
    </row>
    <row r="234" ht="18" customHeight="1" s="849">
      <c r="A234" s="659" t="inlineStr">
        <is>
          <t>V</t>
        </is>
      </c>
      <c r="B234" s="660" t="inlineStr">
        <is>
          <t>Vacant</t>
        </is>
      </c>
      <c r="C234" s="660" t="inlineStr">
        <is>
          <t>Lead – Asset &amp; Configuration</t>
        </is>
      </c>
      <c r="D234" s="660" t="inlineStr">
        <is>
          <t>Mick Collins</t>
        </is>
      </c>
      <c r="E234" s="660" t="inlineStr">
        <is>
          <t xml:space="preserve">Manager Cyber Security Operations </t>
        </is>
      </c>
      <c r="F234" s="660" t="inlineStr">
        <is>
          <t>Cyber, Risk &amp; Operations</t>
        </is>
      </c>
      <c r="G234" s="662" t="inlineStr">
        <is>
          <t>Service Op &amp; Assurance</t>
        </is>
      </c>
      <c r="H234" s="660" t="inlineStr">
        <is>
          <t>NA</t>
        </is>
      </c>
      <c r="I234" s="660" t="inlineStr">
        <is>
          <t>COE - Cyber, Risk &amp; Operations</t>
        </is>
      </c>
      <c r="J234" s="707" t="inlineStr">
        <is>
          <t>NA</t>
        </is>
      </c>
      <c r="K234" s="660" t="inlineStr">
        <is>
          <t>NA</t>
        </is>
      </c>
      <c r="L234" s="660" t="n"/>
      <c r="M234" s="663" t="inlineStr">
        <is>
          <t>Australia</t>
        </is>
      </c>
      <c r="N234" s="664" t="inlineStr">
        <is>
          <t>CIB</t>
        </is>
      </c>
      <c r="O234" s="664" t="n">
        <v>1</v>
      </c>
      <c r="P234" s="664" t="n"/>
      <c r="Q234" s="664" t="inlineStr">
        <is>
          <t>v</t>
        </is>
      </c>
      <c r="R234" s="666" t="n"/>
      <c r="S234" s="666" t="n"/>
      <c r="T234" s="667" t="n">
        <v>151950</v>
      </c>
      <c r="U234" s="668" t="n">
        <v>151950</v>
      </c>
      <c r="V234" s="670" t="n">
        <v>0.12</v>
      </c>
      <c r="W234" s="921" t="n">
        <v>0.055</v>
      </c>
      <c r="X234" s="921" t="n">
        <v>0.12</v>
      </c>
      <c r="Y234" s="922" t="n"/>
      <c r="Z234" s="921" t="n">
        <v>0.04</v>
      </c>
      <c r="AA234" s="919" t="n">
        <v>202853.25</v>
      </c>
      <c r="AB234" s="707" t="n"/>
      <c r="AC234" s="707" t="n"/>
      <c r="AJ234" t="str">
        <f>IFERROR(INDEX(Lists!$U$1:$U$18,MATCH($I234,Lists!$T$1:$T$18,0)),"?")</f>
        <v>COE Cyber</v>
      </c>
      <c r="AK234" t="str">
        <f>IF(LOWER($Q234)="v","Vacant",IF(LOWER($Q234)="pause","Paused",IF(LOWER($Q234)="cxc","Contractor",IF($Q234="Contractor","Contractor","Filled"))))</f>
        <v>Vacant</v>
      </c>
      <c r="AL234" t="str">
        <f>IF($M234="NZ","NZ","AU")</f>
        <v>AU</v>
      </c>
      <c r="AM234">
        <f>COUNTIF($AJ$2:$AJ234,$AJ234)</f>
        <v>42.0</v>
      </c>
      <c r="AN234" t="str">
        <f>$AJ234&amp;"|"&amp;$AM234</f>
        <v>COE Cyber|42</v>
      </c>
    </row>
    <row r="235" ht="18" customHeight="1" s="849">
      <c r="A235" s="659" t="inlineStr">
        <is>
          <t>V</t>
        </is>
      </c>
      <c r="B235" s="660" t="inlineStr">
        <is>
          <t>Vacant</t>
        </is>
      </c>
      <c r="C235" s="660" t="inlineStr">
        <is>
          <t>Lead – Service Performance &amp; Insights</t>
        </is>
      </c>
      <c r="D235" s="660" t="inlineStr">
        <is>
          <t>Mick Collins</t>
        </is>
      </c>
      <c r="E235" s="660" t="inlineStr">
        <is>
          <t xml:space="preserve">Manager Identity &amp; Access Management </t>
        </is>
      </c>
      <c r="F235" s="660" t="inlineStr">
        <is>
          <t>Cyber, Risk &amp; Operations</t>
        </is>
      </c>
      <c r="G235" s="662" t="inlineStr">
        <is>
          <t>Service Op &amp; Assurance</t>
        </is>
      </c>
      <c r="H235" s="660" t="inlineStr">
        <is>
          <t>NA</t>
        </is>
      </c>
      <c r="I235" s="660" t="inlineStr">
        <is>
          <t>COE - Cyber, Risk &amp; Operations</t>
        </is>
      </c>
      <c r="J235" s="707" t="inlineStr">
        <is>
          <t>NA</t>
        </is>
      </c>
      <c r="K235" s="660" t="inlineStr">
        <is>
          <t>NA</t>
        </is>
      </c>
      <c r="L235" s="660" t="n"/>
      <c r="M235" s="663" t="inlineStr">
        <is>
          <t>Australia</t>
        </is>
      </c>
      <c r="N235" s="664" t="inlineStr">
        <is>
          <t>CIB</t>
        </is>
      </c>
      <c r="O235" s="664" t="n">
        <v>1</v>
      </c>
      <c r="P235" s="664" t="n"/>
      <c r="Q235" s="664" t="inlineStr">
        <is>
          <t>v</t>
        </is>
      </c>
      <c r="R235" s="666" t="n"/>
      <c r="S235" s="666" t="n"/>
      <c r="T235" s="667" t="n">
        <v>151950</v>
      </c>
      <c r="U235" s="668" t="n">
        <v>151950</v>
      </c>
      <c r="V235" s="670" t="n">
        <v>0.12</v>
      </c>
      <c r="W235" s="921" t="n">
        <v>0.055</v>
      </c>
      <c r="X235" s="921" t="n">
        <v>0.12</v>
      </c>
      <c r="Y235" s="922" t="n"/>
      <c r="Z235" s="921" t="n">
        <v>0.04</v>
      </c>
      <c r="AA235" s="919" t="n">
        <v>202853.25</v>
      </c>
      <c r="AB235" s="707" t="n"/>
      <c r="AC235" s="707" t="n"/>
      <c r="AJ235" t="str">
        <f>IFERROR(INDEX(Lists!$U$1:$U$18,MATCH($I235,Lists!$T$1:$T$18,0)),"?")</f>
        <v>COE Cyber</v>
      </c>
      <c r="AK235" t="str">
        <f>IF(LOWER($Q235)="v","Vacant",IF(LOWER($Q235)="pause","Paused",IF(LOWER($Q235)="cxc","Contractor",IF($Q235="Contractor","Contractor","Filled"))))</f>
        <v>Vacant</v>
      </c>
      <c r="AL235" t="str">
        <f>IF($M235="NZ","NZ","AU")</f>
        <v>AU</v>
      </c>
      <c r="AM235">
        <f>COUNTIF($AJ$2:$AJ235,$AJ235)</f>
        <v>43.0</v>
      </c>
      <c r="AN235" t="str">
        <f>$AJ235&amp;"|"&amp;$AM235</f>
        <v>COE Cyber|43</v>
      </c>
    </row>
    <row r="236" ht="18" customHeight="1" s="849">
      <c r="A236" s="659" t="inlineStr">
        <is>
          <t>V</t>
        </is>
      </c>
      <c r="B236" s="660" t="inlineStr">
        <is>
          <t>Vacant (SYD)</t>
        </is>
      </c>
      <c r="C236" s="660" t="inlineStr">
        <is>
          <t>Tech Support Technician</t>
        </is>
      </c>
      <c r="D236" s="660" t="inlineStr">
        <is>
          <t>Mark Pearson</t>
        </is>
      </c>
      <c r="E236" s="660" t="n"/>
      <c r="F236" s="660" t="inlineStr">
        <is>
          <t>Cyber, Risk &amp; Operations</t>
        </is>
      </c>
      <c r="G236" s="662" t="inlineStr">
        <is>
          <t>Service Op &amp; Assurance</t>
        </is>
      </c>
      <c r="H236" s="660" t="inlineStr">
        <is>
          <t>NA</t>
        </is>
      </c>
      <c r="I236" s="660" t="inlineStr">
        <is>
          <t>COE - Cyber, Risk &amp; Operations</t>
        </is>
      </c>
      <c r="J236" s="660" t="inlineStr">
        <is>
          <t>NA</t>
        </is>
      </c>
      <c r="K236" s="660" t="inlineStr">
        <is>
          <t>NA</t>
        </is>
      </c>
      <c r="L236" s="660" t="n"/>
      <c r="M236" s="663" t="inlineStr">
        <is>
          <t>Australia</t>
        </is>
      </c>
      <c r="N236" s="664" t="inlineStr">
        <is>
          <t>CDB</t>
        </is>
      </c>
      <c r="O236" s="664" t="n">
        <v>1</v>
      </c>
      <c r="P236" s="664" t="n"/>
      <c r="Q236" s="664" t="inlineStr">
        <is>
          <t>v</t>
        </is>
      </c>
      <c r="R236" s="666" t="n"/>
      <c r="S236" s="666" t="n"/>
      <c r="T236" s="667" t="n">
        <v>94650</v>
      </c>
      <c r="U236" s="668" t="n">
        <v>94650</v>
      </c>
      <c r="V236" s="670" t="n">
        <v>0.08</v>
      </c>
      <c r="W236" s="921" t="n">
        <v>0.055</v>
      </c>
      <c r="X236" s="921" t="n">
        <v>0.12</v>
      </c>
      <c r="Y236" s="922" t="n"/>
      <c r="Z236" s="921" t="n">
        <v>0.04</v>
      </c>
      <c r="AA236" s="919" t="n">
        <v>122571.75</v>
      </c>
      <c r="AB236" s="707" t="n"/>
      <c r="AC236" s="707" t="inlineStr">
        <is>
          <t xml:space="preserve">Already being recruited </t>
        </is>
      </c>
      <c r="AJ236" t="str">
        <f>IFERROR(INDEX(Lists!$U$1:$U$18,MATCH($I236,Lists!$T$1:$T$18,0)),"?")</f>
        <v>COE Cyber</v>
      </c>
      <c r="AK236" t="str">
        <f>IF(LOWER($Q236)="v","Vacant",IF(LOWER($Q236)="pause","Paused",IF(LOWER($Q236)="cxc","Contractor",IF($Q236="Contractor","Contractor","Filled"))))</f>
        <v>Vacant</v>
      </c>
      <c r="AL236" t="str">
        <f>IF($M236="NZ","NZ","AU")</f>
        <v>AU</v>
      </c>
      <c r="AM236">
        <f>COUNTIF($AJ$2:$AJ236,$AJ236)</f>
        <v>44.0</v>
      </c>
      <c r="AN236" t="str">
        <f>$AJ236&amp;"|"&amp;$AM236</f>
        <v>COE Cyber|44</v>
      </c>
    </row>
    <row r="237" ht="18" customHeight="1" s="849">
      <c r="A237" s="659" t="n">
        <v>99999101697</v>
      </c>
      <c r="B237" s="660" t="inlineStr">
        <is>
          <t>Vanessa Castro</t>
        </is>
      </c>
      <c r="C237" s="660" t="inlineStr">
        <is>
          <t>Cyber GRC Analyst</t>
        </is>
      </c>
      <c r="D237" s="660" t="inlineStr">
        <is>
          <t>Diya Thomas</t>
        </is>
      </c>
      <c r="E237" s="660" t="n"/>
      <c r="F237" s="660" t="inlineStr">
        <is>
          <t>Cyber, Risk &amp; Operations</t>
        </is>
      </c>
      <c r="G237" s="662" t="inlineStr">
        <is>
          <t>Cyber GRC</t>
        </is>
      </c>
      <c r="H237" s="660" t="inlineStr">
        <is>
          <t>NA</t>
        </is>
      </c>
      <c r="I237" s="660" t="inlineStr">
        <is>
          <t>COE - Cyber, Risk &amp; Operations</t>
        </is>
      </c>
      <c r="J237" s="660" t="inlineStr">
        <is>
          <t>NA</t>
        </is>
      </c>
      <c r="K237" s="660" t="inlineStr">
        <is>
          <t>NA</t>
        </is>
      </c>
      <c r="L237" s="660" t="n"/>
      <c r="M237" s="663" t="inlineStr">
        <is>
          <t>NZ</t>
        </is>
      </c>
      <c r="N237" s="664" t="inlineStr">
        <is>
          <t>CIA</t>
        </is>
      </c>
      <c r="O237" s="665" t="n">
        <v>1</v>
      </c>
      <c r="P237" s="664" t="n"/>
      <c r="Q237" s="665" t="inlineStr">
        <is>
          <t>Permanent - Full Time</t>
        </is>
      </c>
      <c r="R237" s="666" t="n"/>
      <c r="S237" s="666" t="n"/>
      <c r="T237" s="667" t="n">
        <v>113930</v>
      </c>
      <c r="U237" s="668" t="n">
        <v>104815.6</v>
      </c>
      <c r="V237" s="669" t="n">
        <v>0.15</v>
      </c>
      <c r="W237" s="666" t="n"/>
      <c r="X237" s="670" t="n">
        <v>0.05</v>
      </c>
      <c r="Y237" s="918" t="n">
        <v>2910</v>
      </c>
      <c r="Z237" s="670" t="n">
        <v>0.03</v>
      </c>
      <c r="AA237" s="919" t="n">
        <v>131833.188</v>
      </c>
      <c r="AB237" s="707" t="n"/>
      <c r="AC237" s="707" t="n"/>
      <c r="AJ237" t="str">
        <f>IFERROR(INDEX(Lists!$U$1:$U$18,MATCH($I237,Lists!$T$1:$T$18,0)),"?")</f>
        <v>COE Cyber</v>
      </c>
      <c r="AK237" t="str">
        <f>IF(LOWER($Q237)="v","Vacant",IF(LOWER($Q237)="pause","Paused",IF(LOWER($Q237)="cxc","Contractor",IF($Q237="Contractor","Contractor","Filled"))))</f>
        <v>Filled</v>
      </c>
      <c r="AL237" t="str">
        <f>IF($M237="NZ","NZ","AU")</f>
        <v>NZ</v>
      </c>
      <c r="AM237">
        <f>COUNTIF($AJ$2:$AJ237,$AJ237)</f>
        <v>45.0</v>
      </c>
      <c r="AN237" t="str">
        <f>$AJ237&amp;"|"&amp;$AM237</f>
        <v>COE Cyber|45</v>
      </c>
    </row>
    <row r="238" ht="18" customHeight="1" s="849">
      <c r="A238" s="659" t="n">
        <v>101830</v>
      </c>
      <c r="B238" s="660" t="inlineStr">
        <is>
          <t>Vivienne Vasak</t>
        </is>
      </c>
      <c r="C238" s="660" t="inlineStr">
        <is>
          <t>Portfolio Manager Cyber Security</t>
        </is>
      </c>
      <c r="D238" s="707" t="inlineStr">
        <is>
          <t>James Byrne</t>
        </is>
      </c>
      <c r="E238" s="660" t="inlineStr">
        <is>
          <t xml:space="preserve">Manager Service Perforance &amp; Assurance </t>
        </is>
      </c>
      <c r="F238" s="660" t="inlineStr">
        <is>
          <t>Cyber, Risk &amp; Operations</t>
        </is>
      </c>
      <c r="G238" s="662" t="inlineStr">
        <is>
          <t>Cyber Strat &amp; Tech</t>
        </is>
      </c>
      <c r="H238" s="660" t="inlineStr">
        <is>
          <t>NA</t>
        </is>
      </c>
      <c r="I238" s="660" t="inlineStr">
        <is>
          <t>COE - Cyber, Risk &amp; Operations</t>
        </is>
      </c>
      <c r="J238" s="660" t="inlineStr">
        <is>
          <t>NA</t>
        </is>
      </c>
      <c r="K238" s="660" t="inlineStr">
        <is>
          <t>NA</t>
        </is>
      </c>
      <c r="L238" s="660" t="n"/>
      <c r="M238" s="663" t="inlineStr">
        <is>
          <t>Australia</t>
        </is>
      </c>
      <c r="N238" s="664" t="inlineStr">
        <is>
          <t>CSB</t>
        </is>
      </c>
      <c r="O238" s="664" t="n">
        <v>1</v>
      </c>
      <c r="P238" s="664" t="n"/>
      <c r="Q238" s="664" t="inlineStr">
        <is>
          <t>Permanent - Full Time</t>
        </is>
      </c>
      <c r="R238" s="666" t="n"/>
      <c r="S238" s="666" t="n"/>
      <c r="T238" s="667" t="n">
        <v>232970</v>
      </c>
      <c r="U238" s="668" t="n">
        <v>232970</v>
      </c>
      <c r="V238" s="670" t="n">
        <v>0.14</v>
      </c>
      <c r="W238" s="921" t="n">
        <v>0.055</v>
      </c>
      <c r="X238" s="921" t="n">
        <v>0.12</v>
      </c>
      <c r="Y238" s="922" t="n"/>
      <c r="Z238" s="921" t="n">
        <v>0.04</v>
      </c>
      <c r="AA238" s="919" t="n">
        <v>315674.35</v>
      </c>
      <c r="AB238" s="707" t="n"/>
      <c r="AC238" s="707" t="n"/>
      <c r="AJ238" t="str">
        <f>IFERROR(INDEX(Lists!$U$1:$U$18,MATCH($I238,Lists!$T$1:$T$18,0)),"?")</f>
        <v>COE Cyber</v>
      </c>
      <c r="AK238" t="str">
        <f>IF(LOWER($Q238)="v","Vacant",IF(LOWER($Q238)="pause","Paused",IF(LOWER($Q238)="cxc","Contractor",IF($Q238="Contractor","Contractor","Filled"))))</f>
        <v>Filled</v>
      </c>
      <c r="AL238" t="str">
        <f>IF($M238="NZ","NZ","AU")</f>
        <v>AU</v>
      </c>
      <c r="AM238">
        <f>COUNTIF($AJ$2:$AJ238,$AJ238)</f>
        <v>46.0</v>
      </c>
      <c r="AN238" t="str">
        <f>$AJ238&amp;"|"&amp;$AM238</f>
        <v>COE Cyber|46</v>
      </c>
    </row>
    <row r="239" ht="18" customHeight="1" s="849">
      <c r="A239" s="741" t="inlineStr">
        <is>
          <t>C</t>
        </is>
      </c>
      <c r="B239" s="742" t="inlineStr">
        <is>
          <t>Ahmed Yehya</t>
        </is>
      </c>
      <c r="C239" s="743" t="inlineStr">
        <is>
          <t>TDD Strategic Delivery</t>
        </is>
      </c>
      <c r="D239" s="742" t="inlineStr">
        <is>
          <t>Greg Cassis</t>
        </is>
      </c>
      <c r="E239" s="744" t="inlineStr">
        <is>
          <t>GM TDD, EGI</t>
        </is>
      </c>
      <c r="F239" s="742" t="inlineStr">
        <is>
          <t>EGI</t>
        </is>
      </c>
      <c r="G239" s="744" t="inlineStr">
        <is>
          <t>EGI</t>
        </is>
      </c>
      <c r="H239" s="744" t="inlineStr">
        <is>
          <t>EGI</t>
        </is>
      </c>
      <c r="I239" s="744" t="inlineStr">
        <is>
          <t>EGI</t>
        </is>
      </c>
      <c r="J239" s="744" t="inlineStr">
        <is>
          <t>EGI</t>
        </is>
      </c>
      <c r="K239" s="744" t="inlineStr">
        <is>
          <t>EGI</t>
        </is>
      </c>
      <c r="L239" s="744" t="n"/>
      <c r="M239" s="745" t="inlineStr">
        <is>
          <t>Australia</t>
        </is>
      </c>
      <c r="N239" s="746" t="inlineStr">
        <is>
          <t>na</t>
        </is>
      </c>
      <c r="O239" s="746" t="n">
        <v>1</v>
      </c>
      <c r="P239" s="746" t="n"/>
      <c r="Q239" s="747" t="inlineStr">
        <is>
          <t>cxc</t>
        </is>
      </c>
      <c r="R239" s="747" t="inlineStr">
        <is>
          <t>Daily</t>
        </is>
      </c>
      <c r="S239" s="747" t="n">
        <v>1250</v>
      </c>
      <c r="T239" s="748" t="n">
        <v>0</v>
      </c>
      <c r="U239" s="749" t="n"/>
      <c r="V239" s="750" t="n"/>
      <c r="W239" s="936" t="n"/>
      <c r="X239" s="936" t="n"/>
      <c r="Y239" s="937" t="n"/>
      <c r="Z239" s="936" t="n"/>
      <c r="AA239" s="753">
        <f>S239*222</f>
        <v>277500.0</v>
      </c>
      <c r="AH239" s="920" t="n"/>
      <c r="AJ239" t="str">
        <f>IFERROR(INDEX(Lists!$U$1:$U$18,MATCH($I239,Lists!$T$1:$T$18,0)),"?")</f>
        <v>EGI &amp; Central</v>
      </c>
      <c r="AK239" t="str">
        <f>IF(LOWER($Q239)="v","Vacant",IF(LOWER($Q239)="pause","Paused",IF(LOWER($Q239)="cxc","Contractor",IF($Q239="Contractor","Contractor","Filled"))))</f>
        <v>Contractor</v>
      </c>
      <c r="AL239" t="str">
        <f>IF($M239="NZ","NZ","AU")</f>
        <v>AU</v>
      </c>
      <c r="AM239">
        <f>COUNTIF($AJ$2:$AJ239,$AJ239)</f>
        <v>1.0</v>
      </c>
      <c r="AN239" t="str">
        <f>$AJ239&amp;"|"&amp;$AM239</f>
        <v>EGI &amp; Central|1</v>
      </c>
    </row>
    <row r="240" ht="18" customHeight="1" s="849">
      <c r="A240" s="741" t="inlineStr">
        <is>
          <t>C</t>
        </is>
      </c>
      <c r="B240" s="742" t="inlineStr">
        <is>
          <t>Anthony Huynh</t>
        </is>
      </c>
      <c r="C240" s="743" t="inlineStr">
        <is>
          <t>Strategic Delivery Consultant</t>
        </is>
      </c>
      <c r="D240" s="742" t="inlineStr">
        <is>
          <t>Greg Cassis</t>
        </is>
      </c>
      <c r="E240" s="744" t="inlineStr">
        <is>
          <t>GM TDD, EGI</t>
        </is>
      </c>
      <c r="F240" s="742" t="inlineStr">
        <is>
          <t>EGI</t>
        </is>
      </c>
      <c r="G240" s="744" t="inlineStr">
        <is>
          <t>EGI</t>
        </is>
      </c>
      <c r="H240" s="744" t="inlineStr">
        <is>
          <t>EGI</t>
        </is>
      </c>
      <c r="I240" s="744" t="inlineStr">
        <is>
          <t>EGI</t>
        </is>
      </c>
      <c r="J240" s="742" t="inlineStr">
        <is>
          <t>EGI</t>
        </is>
      </c>
      <c r="K240" s="742" t="inlineStr">
        <is>
          <t>EGI</t>
        </is>
      </c>
      <c r="L240" s="744" t="n"/>
      <c r="M240" s="745" t="inlineStr">
        <is>
          <t>australia</t>
        </is>
      </c>
      <c r="N240" s="746" t="inlineStr">
        <is>
          <t>NA</t>
        </is>
      </c>
      <c r="O240" s="746" t="n">
        <v>1</v>
      </c>
      <c r="P240" s="746" t="n"/>
      <c r="Q240" s="747" t="inlineStr">
        <is>
          <t>cxc</t>
        </is>
      </c>
      <c r="R240" s="747" t="inlineStr">
        <is>
          <t>daily</t>
        </is>
      </c>
      <c r="S240" s="747" t="n">
        <v>1357</v>
      </c>
      <c r="T240" s="748" t="n">
        <v>0</v>
      </c>
      <c r="U240" s="749" t="n"/>
      <c r="V240" s="750" t="n"/>
      <c r="W240" s="936" t="n"/>
      <c r="X240" s="936" t="n"/>
      <c r="Y240" s="937" t="n"/>
      <c r="Z240" s="936" t="n"/>
      <c r="AA240" s="753">
        <f>S240*222</f>
        <v>301254.0</v>
      </c>
      <c r="AH240" s="920" t="n"/>
      <c r="AJ240" t="str">
        <f>IFERROR(INDEX(Lists!$U$1:$U$18,MATCH($I240,Lists!$T$1:$T$18,0)),"?")</f>
        <v>EGI &amp; Central</v>
      </c>
      <c r="AK240" t="str">
        <f>IF(LOWER($Q240)="v","Vacant",IF(LOWER($Q240)="pause","Paused",IF(LOWER($Q240)="cxc","Contractor",IF($Q240="Contractor","Contractor","Filled"))))</f>
        <v>Contractor</v>
      </c>
      <c r="AL240" t="str">
        <f>IF($M240="NZ","NZ","AU")</f>
        <v>AU</v>
      </c>
      <c r="AM240">
        <f>COUNTIF($AJ$2:$AJ240,$AJ240)</f>
        <v>2.0</v>
      </c>
      <c r="AN240" t="str">
        <f>$AJ240&amp;"|"&amp;$AM240</f>
        <v>EGI &amp; Central|2</v>
      </c>
    </row>
    <row r="241" ht="18" customHeight="1" s="849">
      <c r="A241" s="741" t="inlineStr">
        <is>
          <t>C</t>
        </is>
      </c>
      <c r="B241" s="742" t="inlineStr">
        <is>
          <t>Areum Kim Lee</t>
        </is>
      </c>
      <c r="C241" s="743" t="inlineStr">
        <is>
          <t>Program Manager (PEP13-EGI-UKG)</t>
        </is>
      </c>
      <c r="D241" s="754" t="inlineStr">
        <is>
          <t>Greg Cassis</t>
        </is>
      </c>
      <c r="E241" s="744" t="inlineStr">
        <is>
          <t>GM TDD, EGI</t>
        </is>
      </c>
      <c r="F241" s="742" t="inlineStr">
        <is>
          <t>EGI</t>
        </is>
      </c>
      <c r="G241" s="744" t="inlineStr">
        <is>
          <t>EGI</t>
        </is>
      </c>
      <c r="H241" s="744" t="inlineStr">
        <is>
          <t>EGI</t>
        </is>
      </c>
      <c r="I241" s="744" t="inlineStr">
        <is>
          <t>EGI</t>
        </is>
      </c>
      <c r="J241" s="744" t="inlineStr">
        <is>
          <t>EGI</t>
        </is>
      </c>
      <c r="K241" s="742" t="inlineStr">
        <is>
          <t>EGI</t>
        </is>
      </c>
      <c r="L241" s="744" t="n"/>
      <c r="M241" s="745" t="inlineStr">
        <is>
          <t>Australia</t>
        </is>
      </c>
      <c r="N241" s="747" t="inlineStr">
        <is>
          <t>NA</t>
        </is>
      </c>
      <c r="O241" s="746" t="n">
        <v>1</v>
      </c>
      <c r="P241" s="747" t="n"/>
      <c r="Q241" s="747" t="inlineStr">
        <is>
          <t>cxc</t>
        </is>
      </c>
      <c r="R241" s="755" t="inlineStr">
        <is>
          <t>Daily</t>
        </is>
      </c>
      <c r="S241" s="747" t="n">
        <v>1545.76</v>
      </c>
      <c r="T241" s="748" t="n">
        <v>0</v>
      </c>
      <c r="U241" s="748" t="n"/>
      <c r="V241" s="744" t="n"/>
      <c r="W241" s="744" t="n"/>
      <c r="X241" s="744" t="n"/>
      <c r="Y241" s="744" t="n"/>
      <c r="Z241" s="744" t="n"/>
      <c r="AA241" s="753">
        <f>S241*222</f>
        <v>343158.72</v>
      </c>
      <c r="AH241" s="920" t="n"/>
      <c r="AJ241" t="str">
        <f>IFERROR(INDEX(Lists!$U$1:$U$18,MATCH($I241,Lists!$T$1:$T$18,0)),"?")</f>
        <v>EGI &amp; Central</v>
      </c>
      <c r="AK241" t="str">
        <f>IF(LOWER($Q241)="v","Vacant",IF(LOWER($Q241)="pause","Paused",IF(LOWER($Q241)="cxc","Contractor",IF($Q241="Contractor","Contractor","Filled"))))</f>
        <v>Contractor</v>
      </c>
      <c r="AL241" t="str">
        <f>IF($M241="NZ","NZ","AU")</f>
        <v>AU</v>
      </c>
      <c r="AM241">
        <f>COUNTIF($AJ$2:$AJ241,$AJ241)</f>
        <v>3.0</v>
      </c>
      <c r="AN241" t="str">
        <f>$AJ241&amp;"|"&amp;$AM241</f>
        <v>EGI &amp; Central|3</v>
      </c>
    </row>
    <row r="242" ht="18" customHeight="1" s="849">
      <c r="A242" s="741" t="inlineStr">
        <is>
          <t>C</t>
        </is>
      </c>
      <c r="B242" s="742" t="inlineStr">
        <is>
          <t>Ernesto Pereira</t>
        </is>
      </c>
      <c r="C242" s="743" t="inlineStr">
        <is>
          <t>Project Manger</t>
        </is>
      </c>
      <c r="D242" s="742" t="inlineStr">
        <is>
          <t>Trena Foote</t>
        </is>
      </c>
      <c r="E242" s="742" t="inlineStr">
        <is>
          <t>Project Manger</t>
        </is>
      </c>
      <c r="F242" s="742" t="inlineStr">
        <is>
          <t>EGI</t>
        </is>
      </c>
      <c r="G242" s="744" t="inlineStr">
        <is>
          <t>EGI</t>
        </is>
      </c>
      <c r="H242" s="744" t="inlineStr">
        <is>
          <t>EGI</t>
        </is>
      </c>
      <c r="I242" s="744" t="inlineStr">
        <is>
          <t>EGI</t>
        </is>
      </c>
      <c r="J242" s="744" t="inlineStr">
        <is>
          <t>EGI</t>
        </is>
      </c>
      <c r="K242" s="744" t="inlineStr">
        <is>
          <t>EGI</t>
        </is>
      </c>
      <c r="L242" s="744" t="n"/>
      <c r="M242" s="745" t="inlineStr">
        <is>
          <t>Australia</t>
        </is>
      </c>
      <c r="N242" s="747" t="inlineStr">
        <is>
          <t>na</t>
        </is>
      </c>
      <c r="O242" s="747" t="n">
        <v>1</v>
      </c>
      <c r="P242" s="747" t="n"/>
      <c r="Q242" s="747" t="inlineStr">
        <is>
          <t>cxc</t>
        </is>
      </c>
      <c r="R242" s="747" t="inlineStr">
        <is>
          <t>daily</t>
        </is>
      </c>
      <c r="S242" s="747" t="n">
        <v>1000</v>
      </c>
      <c r="T242" s="748" t="n">
        <v>0</v>
      </c>
      <c r="U242" s="749" t="n"/>
      <c r="V242" s="750" t="n"/>
      <c r="W242" s="936" t="n"/>
      <c r="X242" s="936" t="n"/>
      <c r="Y242" s="937" t="n"/>
      <c r="Z242" s="936" t="n"/>
      <c r="AA242" s="753">
        <f>S242*222</f>
        <v>222000.0</v>
      </c>
      <c r="AH242" s="920" t="n"/>
      <c r="AJ242" t="str">
        <f>IFERROR(INDEX(Lists!$U$1:$U$18,MATCH($I242,Lists!$T$1:$T$18,0)),"?")</f>
        <v>EGI &amp; Central</v>
      </c>
      <c r="AK242" t="str">
        <f>IF(LOWER($Q242)="v","Vacant",IF(LOWER($Q242)="pause","Paused",IF(LOWER($Q242)="cxc","Contractor",IF($Q242="Contractor","Contractor","Filled"))))</f>
        <v>Contractor</v>
      </c>
      <c r="AL242" t="str">
        <f>IF($M242="NZ","NZ","AU")</f>
        <v>AU</v>
      </c>
      <c r="AM242">
        <f>COUNTIF($AJ$2:$AJ242,$AJ242)</f>
        <v>4.0</v>
      </c>
      <c r="AN242" t="str">
        <f>$AJ242&amp;"|"&amp;$AM242</f>
        <v>EGI &amp; Central|4</v>
      </c>
    </row>
    <row r="243" ht="18" customHeight="1" s="849">
      <c r="A243" s="741" t="inlineStr">
        <is>
          <t>C</t>
        </is>
      </c>
      <c r="B243" s="742" t="inlineStr">
        <is>
          <t>Harish Dasari</t>
        </is>
      </c>
      <c r="C243" s="743" t="inlineStr">
        <is>
          <t>Business Analyst (SAP Payroll)</t>
        </is>
      </c>
      <c r="D243" s="742" t="inlineStr">
        <is>
          <t>Areum Kim-Lee</t>
        </is>
      </c>
      <c r="E243" s="744" t="inlineStr">
        <is>
          <t>GM TDD, EGI</t>
        </is>
      </c>
      <c r="F243" s="742" t="inlineStr">
        <is>
          <t>EGI</t>
        </is>
      </c>
      <c r="G243" s="744" t="inlineStr">
        <is>
          <t>EGI</t>
        </is>
      </c>
      <c r="H243" s="744" t="inlineStr">
        <is>
          <t>EGI</t>
        </is>
      </c>
      <c r="I243" s="744" t="inlineStr">
        <is>
          <t>EGI</t>
        </is>
      </c>
      <c r="J243" s="744" t="inlineStr">
        <is>
          <t>EGI</t>
        </is>
      </c>
      <c r="K243" s="744" t="inlineStr">
        <is>
          <t>EGI</t>
        </is>
      </c>
      <c r="L243" s="744" t="n"/>
      <c r="M243" s="745" t="inlineStr">
        <is>
          <t>Australia</t>
        </is>
      </c>
      <c r="N243" s="746" t="inlineStr">
        <is>
          <t>na</t>
        </is>
      </c>
      <c r="O243" s="746" t="n">
        <v>1</v>
      </c>
      <c r="P243" s="746" t="n"/>
      <c r="Q243" s="747" t="inlineStr">
        <is>
          <t>cxc</t>
        </is>
      </c>
      <c r="R243" s="747" t="inlineStr">
        <is>
          <t>daily</t>
        </is>
      </c>
      <c r="S243" s="747" t="n">
        <v>1100</v>
      </c>
      <c r="T243" s="748" t="n">
        <v>0</v>
      </c>
      <c r="U243" s="749" t="n"/>
      <c r="V243" s="750" t="n"/>
      <c r="W243" s="747" t="n"/>
      <c r="X243" s="750" t="n"/>
      <c r="Y243" s="938" t="n"/>
      <c r="Z243" s="757" t="n"/>
      <c r="AA243" s="753">
        <f>S243*222</f>
        <v>244200.0</v>
      </c>
      <c r="AH243" s="920" t="n"/>
      <c r="AJ243" t="str">
        <f>IFERROR(INDEX(Lists!$U$1:$U$18,MATCH($I243,Lists!$T$1:$T$18,0)),"?")</f>
        <v>EGI &amp; Central</v>
      </c>
      <c r="AK243" t="str">
        <f>IF(LOWER($Q243)="v","Vacant",IF(LOWER($Q243)="pause","Paused",IF(LOWER($Q243)="cxc","Contractor",IF($Q243="Contractor","Contractor","Filled"))))</f>
        <v>Contractor</v>
      </c>
      <c r="AL243" t="str">
        <f>IF($M243="NZ","NZ","AU")</f>
        <v>AU</v>
      </c>
      <c r="AM243">
        <f>COUNTIF($AJ$2:$AJ243,$AJ243)</f>
        <v>5.0</v>
      </c>
      <c r="AN243" t="str">
        <f>$AJ243&amp;"|"&amp;$AM243</f>
        <v>EGI &amp; Central|5</v>
      </c>
    </row>
    <row r="244" ht="18" customHeight="1" s="849">
      <c r="A244" s="741" t="inlineStr">
        <is>
          <t>C</t>
        </is>
      </c>
      <c r="B244" s="742" t="inlineStr">
        <is>
          <t>James Munt</t>
        </is>
      </c>
      <c r="C244" s="743" t="inlineStr">
        <is>
          <t>Program Manager Tech &amp; P&amp;C</t>
        </is>
      </c>
      <c r="D244" s="744" t="inlineStr">
        <is>
          <t>Greg Cassis</t>
        </is>
      </c>
      <c r="E244" s="744" t="inlineStr">
        <is>
          <t>GM TDD, EGI</t>
        </is>
      </c>
      <c r="F244" s="742" t="inlineStr">
        <is>
          <t>EGI</t>
        </is>
      </c>
      <c r="G244" s="744" t="inlineStr">
        <is>
          <t>EGI</t>
        </is>
      </c>
      <c r="H244" s="744" t="inlineStr">
        <is>
          <t>EGI</t>
        </is>
      </c>
      <c r="I244" s="744" t="inlineStr">
        <is>
          <t>EGI</t>
        </is>
      </c>
      <c r="J244" s="744" t="inlineStr">
        <is>
          <t>EGI</t>
        </is>
      </c>
      <c r="K244" s="744" t="inlineStr">
        <is>
          <t>EGI</t>
        </is>
      </c>
      <c r="L244" s="744" t="n"/>
      <c r="M244" s="745" t="inlineStr">
        <is>
          <t>Australia</t>
        </is>
      </c>
      <c r="N244" s="746" t="inlineStr">
        <is>
          <t>na</t>
        </is>
      </c>
      <c r="O244" s="746" t="n">
        <v>1</v>
      </c>
      <c r="P244" s="746" t="n"/>
      <c r="Q244" s="747" t="inlineStr">
        <is>
          <t>cxc</t>
        </is>
      </c>
      <c r="R244" s="747" t="inlineStr">
        <is>
          <t>daily</t>
        </is>
      </c>
      <c r="S244" s="747" t="n">
        <v>1200</v>
      </c>
      <c r="T244" s="748" t="n">
        <v>0</v>
      </c>
      <c r="U244" s="749" t="n"/>
      <c r="V244" s="750" t="n"/>
      <c r="W244" s="936" t="n"/>
      <c r="X244" s="936" t="n"/>
      <c r="Y244" s="937" t="n"/>
      <c r="Z244" s="936" t="n"/>
      <c r="AA244" s="753">
        <f>S244*222</f>
        <v>266400.0</v>
      </c>
      <c r="AH244" s="920" t="n"/>
      <c r="AJ244" t="str">
        <f>IFERROR(INDEX(Lists!$U$1:$U$18,MATCH($I244,Lists!$T$1:$T$18,0)),"?")</f>
        <v>EGI &amp; Central</v>
      </c>
      <c r="AK244" t="str">
        <f>IF(LOWER($Q244)="v","Vacant",IF(LOWER($Q244)="pause","Paused",IF(LOWER($Q244)="cxc","Contractor",IF($Q244="Contractor","Contractor","Filled"))))</f>
        <v>Contractor</v>
      </c>
      <c r="AL244" t="str">
        <f>IF($M244="NZ","NZ","AU")</f>
        <v>AU</v>
      </c>
      <c r="AM244">
        <f>COUNTIF($AJ$2:$AJ244,$AJ244)</f>
        <v>6.0</v>
      </c>
      <c r="AN244" t="str">
        <f>$AJ244&amp;"|"&amp;$AM244</f>
        <v>EGI &amp; Central|6</v>
      </c>
    </row>
    <row r="245" ht="18" customHeight="1" s="849">
      <c r="A245" s="741" t="inlineStr">
        <is>
          <t>c</t>
        </is>
      </c>
      <c r="B245" s="742" t="inlineStr">
        <is>
          <t>Jason McNamara</t>
        </is>
      </c>
      <c r="C245" s="743" t="inlineStr">
        <is>
          <t>Project Manager Retail</t>
        </is>
      </c>
      <c r="D245" s="742" t="inlineStr">
        <is>
          <t>Greg Cassis</t>
        </is>
      </c>
      <c r="E245" s="744" t="inlineStr">
        <is>
          <t>GM TDD, EGI</t>
        </is>
      </c>
      <c r="F245" s="742" t="inlineStr">
        <is>
          <t>EGI</t>
        </is>
      </c>
      <c r="G245" s="744" t="inlineStr">
        <is>
          <t>EGI</t>
        </is>
      </c>
      <c r="H245" s="744" t="inlineStr">
        <is>
          <t>EGI</t>
        </is>
      </c>
      <c r="I245" s="744" t="inlineStr">
        <is>
          <t>EGI</t>
        </is>
      </c>
      <c r="J245" s="744" t="inlineStr">
        <is>
          <t>EGI</t>
        </is>
      </c>
      <c r="K245" s="744" t="inlineStr">
        <is>
          <t>EGI</t>
        </is>
      </c>
      <c r="L245" s="744" t="n"/>
      <c r="M245" s="745" t="inlineStr">
        <is>
          <t>Australia</t>
        </is>
      </c>
      <c r="N245" s="746" t="inlineStr">
        <is>
          <t>na</t>
        </is>
      </c>
      <c r="O245" s="758" t="n">
        <v>1</v>
      </c>
      <c r="P245" s="746" t="n"/>
      <c r="Q245" s="747" t="inlineStr">
        <is>
          <t>cxc</t>
        </is>
      </c>
      <c r="R245" s="747" t="inlineStr">
        <is>
          <t>daily</t>
        </is>
      </c>
      <c r="S245" s="747" t="n">
        <v>2200</v>
      </c>
      <c r="T245" s="748" t="n">
        <v>0</v>
      </c>
      <c r="U245" s="749" t="n"/>
      <c r="V245" s="759" t="n"/>
      <c r="W245" s="758" t="n"/>
      <c r="X245" s="750" t="n"/>
      <c r="Y245" s="938" t="n"/>
      <c r="Z245" s="750" t="n"/>
      <c r="AA245" s="753">
        <f>S245*222</f>
        <v>488400.0</v>
      </c>
      <c r="AB245" s="754" t="n"/>
      <c r="AJ245" t="str">
        <f>IFERROR(INDEX(Lists!$U$1:$U$18,MATCH($I245,Lists!$T$1:$T$18,0)),"?")</f>
        <v>EGI &amp; Central</v>
      </c>
      <c r="AK245" t="str">
        <f>IF(LOWER($Q245)="v","Vacant",IF(LOWER($Q245)="pause","Paused",IF(LOWER($Q245)="cxc","Contractor",IF($Q245="Contractor","Contractor","Filled"))))</f>
        <v>Contractor</v>
      </c>
      <c r="AL245" t="str">
        <f>IF($M245="NZ","NZ","AU")</f>
        <v>AU</v>
      </c>
      <c r="AM245">
        <f>COUNTIF($AJ$2:$AJ245,$AJ245)</f>
        <v>7.0</v>
      </c>
      <c r="AN245" t="str">
        <f>$AJ245&amp;"|"&amp;$AM245</f>
        <v>EGI &amp; Central|7</v>
      </c>
    </row>
    <row r="246" ht="18" customHeight="1" s="849">
      <c r="A246" s="741" t="inlineStr">
        <is>
          <t>c</t>
        </is>
      </c>
      <c r="B246" s="742" t="inlineStr">
        <is>
          <t>Jason Sipkovic</t>
        </is>
      </c>
      <c r="C246" s="743" t="inlineStr">
        <is>
          <t>strategic program architect</t>
        </is>
      </c>
      <c r="D246" s="742" t="inlineStr">
        <is>
          <t>Trena Foote</t>
        </is>
      </c>
      <c r="E246" s="742" t="inlineStr">
        <is>
          <t>Project Manger</t>
        </is>
      </c>
      <c r="F246" s="742" t="inlineStr">
        <is>
          <t>EGI</t>
        </is>
      </c>
      <c r="G246" s="744" t="inlineStr">
        <is>
          <t>EGI</t>
        </is>
      </c>
      <c r="H246" s="744" t="inlineStr">
        <is>
          <t>EGI</t>
        </is>
      </c>
      <c r="I246" s="744" t="inlineStr">
        <is>
          <t>EGI</t>
        </is>
      </c>
      <c r="J246" s="744" t="inlineStr">
        <is>
          <t>EGI</t>
        </is>
      </c>
      <c r="K246" s="744" t="inlineStr">
        <is>
          <t>EGI</t>
        </is>
      </c>
      <c r="L246" s="744" t="n"/>
      <c r="M246" s="745" t="inlineStr">
        <is>
          <t>Australia</t>
        </is>
      </c>
      <c r="N246" s="746" t="inlineStr">
        <is>
          <t>na</t>
        </is>
      </c>
      <c r="O246" s="758" t="n">
        <v>1</v>
      </c>
      <c r="P246" s="746" t="n"/>
      <c r="Q246" s="747" t="inlineStr">
        <is>
          <t>cxc</t>
        </is>
      </c>
      <c r="R246" s="747" t="inlineStr">
        <is>
          <t>daily</t>
        </is>
      </c>
      <c r="S246" s="747" t="n">
        <v>1500</v>
      </c>
      <c r="T246" s="748" t="n">
        <v>0</v>
      </c>
      <c r="U246" s="749" t="n"/>
      <c r="V246" s="759" t="n"/>
      <c r="W246" s="758" t="n"/>
      <c r="X246" s="750" t="n"/>
      <c r="Y246" s="938" t="n"/>
      <c r="Z246" s="750" t="n"/>
      <c r="AA246" s="753">
        <f>S246*222</f>
        <v>333000.0</v>
      </c>
      <c r="AB246" s="754" t="n"/>
      <c r="AJ246" t="str">
        <f>IFERROR(INDEX(Lists!$U$1:$U$18,MATCH($I246,Lists!$T$1:$T$18,0)),"?")</f>
        <v>EGI &amp; Central</v>
      </c>
      <c r="AK246" t="str">
        <f>IF(LOWER($Q246)="v","Vacant",IF(LOWER($Q246)="pause","Paused",IF(LOWER($Q246)="cxc","Contractor",IF($Q246="Contractor","Contractor","Filled"))))</f>
        <v>Contractor</v>
      </c>
      <c r="AL246" t="str">
        <f>IF($M246="NZ","NZ","AU")</f>
        <v>AU</v>
      </c>
      <c r="AM246">
        <f>COUNTIF($AJ$2:$AJ246,$AJ246)</f>
        <v>8.0</v>
      </c>
      <c r="AN246" t="str">
        <f>$AJ246&amp;"|"&amp;$AM246</f>
        <v>EGI &amp; Central|8</v>
      </c>
    </row>
    <row r="247" ht="18" customHeight="1" s="849">
      <c r="A247" s="741" t="inlineStr">
        <is>
          <t>c</t>
        </is>
      </c>
      <c r="B247" s="742" t="inlineStr">
        <is>
          <t>Kanika Narula</t>
        </is>
      </c>
      <c r="C247" s="743" t="inlineStr">
        <is>
          <t>Business Analyst Digital</t>
        </is>
      </c>
      <c r="D247" s="742" t="inlineStr">
        <is>
          <t>Mitesh Shah</t>
        </is>
      </c>
      <c r="E247" s="742" t="inlineStr">
        <is>
          <t>Technology Manager, Digitial</t>
        </is>
      </c>
      <c r="F247" s="742" t="inlineStr">
        <is>
          <t>EGI</t>
        </is>
      </c>
      <c r="G247" s="744" t="inlineStr">
        <is>
          <t>EGI</t>
        </is>
      </c>
      <c r="H247" s="744" t="inlineStr">
        <is>
          <t>EGI</t>
        </is>
      </c>
      <c r="I247" s="744" t="inlineStr">
        <is>
          <t>EGI</t>
        </is>
      </c>
      <c r="J247" s="744" t="inlineStr">
        <is>
          <t>EGI</t>
        </is>
      </c>
      <c r="K247" s="744" t="inlineStr">
        <is>
          <t>EGI</t>
        </is>
      </c>
      <c r="L247" s="742" t="n"/>
      <c r="M247" s="745" t="inlineStr">
        <is>
          <t>Australia</t>
        </is>
      </c>
      <c r="N247" s="746" t="inlineStr">
        <is>
          <t>na</t>
        </is>
      </c>
      <c r="O247" s="746" t="n">
        <v>1</v>
      </c>
      <c r="P247" s="746" t="n"/>
      <c r="Q247" s="747" t="inlineStr">
        <is>
          <t>cxc</t>
        </is>
      </c>
      <c r="R247" s="747" t="inlineStr">
        <is>
          <t>daily</t>
        </is>
      </c>
      <c r="S247" s="747" t="n">
        <v>1078.84</v>
      </c>
      <c r="T247" s="748" t="n">
        <v>0</v>
      </c>
      <c r="U247" s="749" t="n"/>
      <c r="V247" s="750" t="n"/>
      <c r="W247" s="936" t="n"/>
      <c r="X247" s="936" t="n"/>
      <c r="Y247" s="937" t="n"/>
      <c r="Z247" s="936" t="n"/>
      <c r="AA247" s="753">
        <f>S247*222</f>
        <v>239502.47999999998</v>
      </c>
      <c r="AJ247" t="str">
        <f>IFERROR(INDEX(Lists!$U$1:$U$18,MATCH($I247,Lists!$T$1:$T$18,0)),"?")</f>
        <v>EGI &amp; Central</v>
      </c>
      <c r="AK247" t="str">
        <f>IF(LOWER($Q247)="v","Vacant",IF(LOWER($Q247)="pause","Paused",IF(LOWER($Q247)="cxc","Contractor",IF($Q247="Contractor","Contractor","Filled"))))</f>
        <v>Contractor</v>
      </c>
      <c r="AL247" t="str">
        <f>IF($M247="NZ","NZ","AU")</f>
        <v>AU</v>
      </c>
      <c r="AM247">
        <f>COUNTIF($AJ$2:$AJ247,$AJ247)</f>
        <v>9.0</v>
      </c>
      <c r="AN247" t="str">
        <f>$AJ247&amp;"|"&amp;$AM247</f>
        <v>EGI &amp; Central|9</v>
      </c>
    </row>
    <row r="248" ht="18" customHeight="1" s="849">
      <c r="A248" s="741" t="inlineStr">
        <is>
          <t>c</t>
        </is>
      </c>
      <c r="B248" s="742" t="inlineStr">
        <is>
          <t>Karl Reyneke</t>
        </is>
      </c>
      <c r="C248" s="743" t="inlineStr">
        <is>
          <t>Strategic Delivery Consultant</t>
        </is>
      </c>
      <c r="D248" s="742" t="inlineStr">
        <is>
          <t>Greg Cassis</t>
        </is>
      </c>
      <c r="E248" s="744" t="inlineStr">
        <is>
          <t>GM TDD, EGI</t>
        </is>
      </c>
      <c r="F248" s="742" t="inlineStr">
        <is>
          <t>EGI</t>
        </is>
      </c>
      <c r="G248" s="744" t="inlineStr">
        <is>
          <t>EGI</t>
        </is>
      </c>
      <c r="H248" s="673" t="inlineStr">
        <is>
          <t>EGI</t>
        </is>
      </c>
      <c r="I248" s="744" t="inlineStr">
        <is>
          <t>EGI</t>
        </is>
      </c>
      <c r="J248" s="744" t="inlineStr">
        <is>
          <t>EGI</t>
        </is>
      </c>
      <c r="K248" s="744" t="inlineStr">
        <is>
          <t>EGI</t>
        </is>
      </c>
      <c r="L248" s="744" t="n"/>
      <c r="M248" s="745" t="inlineStr">
        <is>
          <t>australia</t>
        </is>
      </c>
      <c r="N248" s="747" t="inlineStr">
        <is>
          <t>na</t>
        </is>
      </c>
      <c r="O248" s="746" t="n">
        <v>1</v>
      </c>
      <c r="P248" s="747" t="n"/>
      <c r="Q248" s="747" t="inlineStr">
        <is>
          <t>cxc</t>
        </is>
      </c>
      <c r="R248" s="755" t="inlineStr">
        <is>
          <t>daily</t>
        </is>
      </c>
      <c r="S248" s="747" t="n">
        <v>1350</v>
      </c>
      <c r="T248" s="748" t="n">
        <v>0</v>
      </c>
      <c r="U248" s="748" t="n"/>
      <c r="V248" s="744" t="n"/>
      <c r="W248" s="744" t="n"/>
      <c r="X248" s="744" t="n"/>
      <c r="Y248" s="744" t="n"/>
      <c r="Z248" s="744" t="n"/>
      <c r="AA248" s="753">
        <f>S248*222</f>
        <v>299700.0</v>
      </c>
      <c r="AJ248" t="str">
        <f>IFERROR(INDEX(Lists!$U$1:$U$18,MATCH($I248,Lists!$T$1:$T$18,0)),"?")</f>
        <v>EGI &amp; Central</v>
      </c>
      <c r="AK248" t="str">
        <f>IF(LOWER($Q248)="v","Vacant",IF(LOWER($Q248)="pause","Paused",IF(LOWER($Q248)="cxc","Contractor",IF($Q248="Contractor","Contractor","Filled"))))</f>
        <v>Contractor</v>
      </c>
      <c r="AL248" t="str">
        <f>IF($M248="NZ","NZ","AU")</f>
        <v>AU</v>
      </c>
      <c r="AM248">
        <f>COUNTIF($AJ$2:$AJ248,$AJ248)</f>
        <v>10.0</v>
      </c>
      <c r="AN248" t="str">
        <f>$AJ248&amp;"|"&amp;$AM248</f>
        <v>EGI &amp; Central|10</v>
      </c>
    </row>
    <row r="249" ht="18" customHeight="1" s="849">
      <c r="A249" s="741" t="inlineStr">
        <is>
          <t>c</t>
        </is>
      </c>
      <c r="B249" s="742" t="inlineStr">
        <is>
          <t>michelle Siegman</t>
        </is>
      </c>
      <c r="C249" s="743" t="inlineStr">
        <is>
          <t>Strategic Delivery Consultant</t>
        </is>
      </c>
      <c r="D249" s="742" t="inlineStr">
        <is>
          <t>Greg Cassis</t>
        </is>
      </c>
      <c r="E249" s="744" t="inlineStr">
        <is>
          <t>GM TDD, EGI</t>
        </is>
      </c>
      <c r="F249" s="742" t="inlineStr">
        <is>
          <t>EGI</t>
        </is>
      </c>
      <c r="G249" s="744" t="inlineStr">
        <is>
          <t>EGI</t>
        </is>
      </c>
      <c r="H249" s="744" t="inlineStr">
        <is>
          <t>EGI</t>
        </is>
      </c>
      <c r="I249" s="744" t="inlineStr">
        <is>
          <t>EGI</t>
        </is>
      </c>
      <c r="J249" s="744" t="inlineStr">
        <is>
          <t>EGI</t>
        </is>
      </c>
      <c r="K249" s="744" t="inlineStr">
        <is>
          <t>EGI</t>
        </is>
      </c>
      <c r="L249" s="744" t="n"/>
      <c r="M249" s="745" t="inlineStr">
        <is>
          <t>Australia</t>
        </is>
      </c>
      <c r="N249" s="746" t="inlineStr">
        <is>
          <t>na</t>
        </is>
      </c>
      <c r="O249" s="758" t="n">
        <v>1</v>
      </c>
      <c r="P249" s="746" t="n"/>
      <c r="Q249" s="747" t="inlineStr">
        <is>
          <t>cxc</t>
        </is>
      </c>
      <c r="R249" s="747" t="inlineStr">
        <is>
          <t>Daily</t>
        </is>
      </c>
      <c r="S249" s="747" t="n">
        <v>1038</v>
      </c>
      <c r="T249" s="748" t="n">
        <v>0</v>
      </c>
      <c r="U249" s="749" t="n"/>
      <c r="V249" s="759" t="n"/>
      <c r="W249" s="747" t="n"/>
      <c r="X249" s="750" t="n"/>
      <c r="Y249" s="938" t="n"/>
      <c r="Z249" s="750" t="n"/>
      <c r="AA249" s="753">
        <f>S249*222</f>
        <v>230436.0</v>
      </c>
      <c r="AB249" s="754" t="n"/>
      <c r="AJ249" t="str">
        <f>IFERROR(INDEX(Lists!$U$1:$U$18,MATCH($I249,Lists!$T$1:$T$18,0)),"?")</f>
        <v>EGI &amp; Central</v>
      </c>
      <c r="AK249" t="str">
        <f>IF(LOWER($Q249)="v","Vacant",IF(LOWER($Q249)="pause","Paused",IF(LOWER($Q249)="cxc","Contractor",IF($Q249="Contractor","Contractor","Filled"))))</f>
        <v>Contractor</v>
      </c>
      <c r="AL249" t="str">
        <f>IF($M249="NZ","NZ","AU")</f>
        <v>AU</v>
      </c>
      <c r="AM249">
        <f>COUNTIF($AJ$2:$AJ249,$AJ249)</f>
        <v>11.0</v>
      </c>
      <c r="AN249" t="str">
        <f>$AJ249&amp;"|"&amp;$AM249</f>
        <v>EGI &amp; Central|11</v>
      </c>
    </row>
    <row r="250" ht="18" customHeight="1" s="849">
      <c r="A250" s="760" t="n">
        <v>106830</v>
      </c>
      <c r="B250" s="742" t="inlineStr">
        <is>
          <t>Moitri Pal</t>
        </is>
      </c>
      <c r="C250" s="743" t="inlineStr">
        <is>
          <t>Portfolio Mnager</t>
        </is>
      </c>
      <c r="D250" s="742" t="inlineStr">
        <is>
          <t>Greg Cassis</t>
        </is>
      </c>
      <c r="E250" s="742" t="inlineStr">
        <is>
          <t>GM TDD, EGI</t>
        </is>
      </c>
      <c r="F250" s="742" t="inlineStr">
        <is>
          <t>EGI</t>
        </is>
      </c>
      <c r="G250" s="744" t="inlineStr">
        <is>
          <t>EGI</t>
        </is>
      </c>
      <c r="H250" s="744" t="inlineStr">
        <is>
          <t>EGI</t>
        </is>
      </c>
      <c r="I250" s="744" t="inlineStr">
        <is>
          <t>EGI</t>
        </is>
      </c>
      <c r="J250" s="744" t="inlineStr">
        <is>
          <t>EGI</t>
        </is>
      </c>
      <c r="K250" s="744" t="inlineStr">
        <is>
          <t>EGI</t>
        </is>
      </c>
      <c r="L250" s="744" t="n"/>
      <c r="M250" s="745" t="inlineStr">
        <is>
          <t>Australia</t>
        </is>
      </c>
      <c r="N250" s="746" t="inlineStr">
        <is>
          <t>CSC</t>
        </is>
      </c>
      <c r="O250" s="746" t="n">
        <v>1</v>
      </c>
      <c r="P250" s="746" t="n"/>
      <c r="Q250" s="746" t="inlineStr">
        <is>
          <t>Permanent - Full Time</t>
        </is>
      </c>
      <c r="R250" s="747" t="n"/>
      <c r="S250" s="747" t="n"/>
      <c r="T250" s="748" t="n">
        <v>230010</v>
      </c>
      <c r="U250" s="749">
        <f>T250</f>
        <v>230010.0</v>
      </c>
      <c r="V250" s="750" t="n">
        <v>0.2</v>
      </c>
      <c r="W250" s="936" t="n">
        <v>0.055</v>
      </c>
      <c r="X250" s="936" t="n">
        <v>0.12</v>
      </c>
      <c r="Y250" s="937" t="n"/>
      <c r="Z250" s="936" t="n">
        <v>0.04</v>
      </c>
      <c r="AA250" s="939">
        <f>U250*(1+V250+W250+X250+Y250+Z250)</f>
        <v>325464.15</v>
      </c>
      <c r="AJ250" t="str">
        <f>IFERROR(INDEX(Lists!$U$1:$U$18,MATCH($I250,Lists!$T$1:$T$18,0)),"?")</f>
        <v>EGI &amp; Central</v>
      </c>
      <c r="AK250" t="str">
        <f>IF(LOWER($Q250)="v","Vacant",IF(LOWER($Q250)="pause","Paused",IF(LOWER($Q250)="cxc","Contractor",IF($Q250="Contractor","Contractor","Filled"))))</f>
        <v>Filled</v>
      </c>
      <c r="AL250" t="str">
        <f>IF($M250="NZ","NZ","AU")</f>
        <v>AU</v>
      </c>
      <c r="AM250">
        <f>COUNTIF($AJ$2:$AJ250,$AJ250)</f>
        <v>12.0</v>
      </c>
      <c r="AN250" t="str">
        <f>$AJ250&amp;"|"&amp;$AM250</f>
        <v>EGI &amp; Central|12</v>
      </c>
    </row>
    <row r="251" ht="18" customHeight="1" s="849">
      <c r="A251" s="741" t="inlineStr">
        <is>
          <t>C</t>
        </is>
      </c>
      <c r="B251" s="742" t="inlineStr">
        <is>
          <t>Niall Greene</t>
        </is>
      </c>
      <c r="C251" s="743" t="inlineStr">
        <is>
          <t>Project Manager (PEP13-EGI-UKG)</t>
        </is>
      </c>
      <c r="D251" s="742" t="inlineStr">
        <is>
          <t>Areum Kim-Lee</t>
        </is>
      </c>
      <c r="E251" s="744" t="inlineStr">
        <is>
          <t>GM TDD, EGI</t>
        </is>
      </c>
      <c r="F251" s="742" t="inlineStr">
        <is>
          <t>EGI</t>
        </is>
      </c>
      <c r="G251" s="744" t="inlineStr">
        <is>
          <t>EGI</t>
        </is>
      </c>
      <c r="H251" s="744" t="inlineStr">
        <is>
          <t>EGI</t>
        </is>
      </c>
      <c r="I251" s="744" t="inlineStr">
        <is>
          <t>EGI</t>
        </is>
      </c>
      <c r="J251" s="744" t="inlineStr">
        <is>
          <t>EGI</t>
        </is>
      </c>
      <c r="K251" s="742" t="inlineStr">
        <is>
          <t>EGI</t>
        </is>
      </c>
      <c r="L251" s="744" t="n"/>
      <c r="M251" s="745" t="inlineStr">
        <is>
          <t>Australia</t>
        </is>
      </c>
      <c r="N251" s="747" t="inlineStr">
        <is>
          <t>NA</t>
        </is>
      </c>
      <c r="O251" s="746" t="n">
        <v>1</v>
      </c>
      <c r="P251" s="747" t="n"/>
      <c r="Q251" s="747" t="inlineStr">
        <is>
          <t>cxc</t>
        </is>
      </c>
      <c r="R251" s="755" t="inlineStr">
        <is>
          <t>Daily</t>
        </is>
      </c>
      <c r="S251" s="747" t="n">
        <v>1100</v>
      </c>
      <c r="T251" s="748" t="n">
        <v>0</v>
      </c>
      <c r="U251" s="748" t="n"/>
      <c r="V251" s="744" t="n"/>
      <c r="W251" s="744" t="n"/>
      <c r="X251" s="744" t="n"/>
      <c r="Y251" s="744" t="n"/>
      <c r="Z251" s="744" t="n"/>
      <c r="AA251" s="753">
        <f>S251*222</f>
        <v>244200.0</v>
      </c>
      <c r="AJ251" t="str">
        <f>IFERROR(INDEX(Lists!$U$1:$U$18,MATCH($I251,Lists!$T$1:$T$18,0)),"?")</f>
        <v>EGI &amp; Central</v>
      </c>
      <c r="AK251" t="str">
        <f>IF(LOWER($Q251)="v","Vacant",IF(LOWER($Q251)="pause","Paused",IF(LOWER($Q251)="cxc","Contractor",IF($Q251="Contractor","Contractor","Filled"))))</f>
        <v>Contractor</v>
      </c>
      <c r="AL251" t="str">
        <f>IF($M251="NZ","NZ","AU")</f>
        <v>AU</v>
      </c>
      <c r="AM251">
        <f>COUNTIF($AJ$2:$AJ251,$AJ251)</f>
        <v>13.0</v>
      </c>
      <c r="AN251" t="str">
        <f>$AJ251&amp;"|"&amp;$AM251</f>
        <v>EGI &amp; Central|13</v>
      </c>
    </row>
    <row r="252" ht="18" customHeight="1" s="849">
      <c r="A252" s="741" t="inlineStr">
        <is>
          <t>c</t>
        </is>
      </c>
      <c r="B252" s="742" t="inlineStr">
        <is>
          <t>Paul Hassey</t>
        </is>
      </c>
      <c r="C252" s="743" t="inlineStr">
        <is>
          <t>Program Architect</t>
        </is>
      </c>
      <c r="D252" s="744" t="inlineStr">
        <is>
          <t>Ed Tacey</t>
        </is>
      </c>
      <c r="E252" s="742" t="n"/>
      <c r="F252" s="742" t="inlineStr">
        <is>
          <t>EGI</t>
        </is>
      </c>
      <c r="G252" s="744" t="inlineStr">
        <is>
          <t>EGI</t>
        </is>
      </c>
      <c r="H252" s="744" t="inlineStr">
        <is>
          <t>EGI</t>
        </is>
      </c>
      <c r="I252" s="744" t="inlineStr">
        <is>
          <t>EGI</t>
        </is>
      </c>
      <c r="J252" s="744" t="inlineStr">
        <is>
          <t>EGI</t>
        </is>
      </c>
      <c r="K252" s="744" t="inlineStr">
        <is>
          <t>EGI</t>
        </is>
      </c>
      <c r="L252" s="742" t="n"/>
      <c r="M252" s="745" t="inlineStr">
        <is>
          <t>Australia</t>
        </is>
      </c>
      <c r="N252" s="746" t="inlineStr">
        <is>
          <t>na</t>
        </is>
      </c>
      <c r="O252" s="746" t="n">
        <v>1</v>
      </c>
      <c r="P252" s="746" t="n"/>
      <c r="Q252" s="747" t="inlineStr">
        <is>
          <t>cxc</t>
        </is>
      </c>
      <c r="R252" s="747" t="inlineStr">
        <is>
          <t>Daily</t>
        </is>
      </c>
      <c r="S252" s="747" t="n">
        <v>1400</v>
      </c>
      <c r="T252" s="748" t="n">
        <v>0</v>
      </c>
      <c r="U252" s="749" t="n"/>
      <c r="V252" s="750" t="n"/>
      <c r="W252" s="936" t="n"/>
      <c r="X252" s="936" t="n"/>
      <c r="Y252" s="937" t="n"/>
      <c r="Z252" s="936" t="n"/>
      <c r="AA252" s="753">
        <f>S252*222</f>
        <v>310800.0</v>
      </c>
      <c r="AJ252" t="str">
        <f>IFERROR(INDEX(Lists!$U$1:$U$18,MATCH($I252,Lists!$T$1:$T$18,0)),"?")</f>
        <v>EGI &amp; Central</v>
      </c>
      <c r="AK252" t="str">
        <f>IF(LOWER($Q252)="v","Vacant",IF(LOWER($Q252)="pause","Paused",IF(LOWER($Q252)="cxc","Contractor",IF($Q252="Contractor","Contractor","Filled"))))</f>
        <v>Contractor</v>
      </c>
      <c r="AL252" t="str">
        <f>IF($M252="NZ","NZ","AU")</f>
        <v>AU</v>
      </c>
      <c r="AM252">
        <f>COUNTIF($AJ$2:$AJ252,$AJ252)</f>
        <v>14.0</v>
      </c>
      <c r="AN252" t="str">
        <f>$AJ252&amp;"|"&amp;$AM252</f>
        <v>EGI &amp; Central|14</v>
      </c>
    </row>
    <row r="253" ht="18" customHeight="1" s="849">
      <c r="A253" s="741" t="inlineStr">
        <is>
          <t>c</t>
        </is>
      </c>
      <c r="B253" s="742" t="inlineStr">
        <is>
          <t>vijay Solanki</t>
        </is>
      </c>
      <c r="C253" s="743" t="inlineStr">
        <is>
          <t>Project Manager Deployment</t>
        </is>
      </c>
      <c r="D253" s="742" t="inlineStr">
        <is>
          <t>greg Cassis</t>
        </is>
      </c>
      <c r="E253" s="742" t="n"/>
      <c r="F253" s="742" t="inlineStr">
        <is>
          <t>EGI</t>
        </is>
      </c>
      <c r="G253" s="744" t="n"/>
      <c r="H253" s="742" t="n"/>
      <c r="I253" s="742" t="inlineStr">
        <is>
          <t>EGI</t>
        </is>
      </c>
      <c r="J253" s="762" t="inlineStr">
        <is>
          <t>EGI</t>
        </is>
      </c>
      <c r="K253" s="742" t="inlineStr">
        <is>
          <t>EGI</t>
        </is>
      </c>
      <c r="L253" s="744" t="n"/>
      <c r="M253" s="745" t="inlineStr">
        <is>
          <t>Australia</t>
        </is>
      </c>
      <c r="N253" s="746" t="inlineStr">
        <is>
          <t>na</t>
        </is>
      </c>
      <c r="O253" s="746" t="n">
        <v>1</v>
      </c>
      <c r="P253" s="746" t="n"/>
      <c r="Q253" s="747" t="inlineStr">
        <is>
          <t>cxc</t>
        </is>
      </c>
      <c r="R253" s="747" t="inlineStr">
        <is>
          <t>Daily</t>
        </is>
      </c>
      <c r="S253" s="747" t="n">
        <v>1200</v>
      </c>
      <c r="T253" s="748" t="n">
        <v>0</v>
      </c>
      <c r="U253" s="749" t="n"/>
      <c r="V253" s="750" t="n"/>
      <c r="W253" s="936" t="n"/>
      <c r="X253" s="936" t="n"/>
      <c r="Y253" s="937" t="n"/>
      <c r="Z253" s="936" t="n"/>
      <c r="AA253" s="753">
        <f>S253*222</f>
        <v>266400.0</v>
      </c>
      <c r="AJ253" t="str">
        <f>IFERROR(INDEX(Lists!$U$1:$U$18,MATCH($I253,Lists!$T$1:$T$18,0)),"?")</f>
        <v>EGI &amp; Central</v>
      </c>
      <c r="AK253" t="str">
        <f>IF(LOWER($Q253)="v","Vacant",IF(LOWER($Q253)="pause","Paused",IF(LOWER($Q253)="cxc","Contractor",IF($Q253="Contractor","Contractor","Filled"))))</f>
        <v>Contractor</v>
      </c>
      <c r="AL253" t="str">
        <f>IF($M253="NZ","NZ","AU")</f>
        <v>AU</v>
      </c>
      <c r="AM253">
        <f>COUNTIF($AJ$2:$AJ253,$AJ253)</f>
        <v>15.0</v>
      </c>
      <c r="AN253" t="str">
        <f>$AJ253&amp;"|"&amp;$AM253</f>
        <v>EGI &amp; Central|15</v>
      </c>
    </row>
    <row r="254" ht="18" customHeight="1" s="849">
      <c r="A254" s="741" t="inlineStr">
        <is>
          <t>C</t>
        </is>
      </c>
      <c r="B254" s="742" t="inlineStr">
        <is>
          <t>Winnie Fernandes</t>
        </is>
      </c>
      <c r="C254" s="743" t="inlineStr">
        <is>
          <t>Delivery Lead - Integration</t>
        </is>
      </c>
      <c r="D254" s="742" t="inlineStr">
        <is>
          <t>Moitri Pal</t>
        </is>
      </c>
      <c r="E254" s="742" t="inlineStr">
        <is>
          <t>Program Manager - EGI</t>
        </is>
      </c>
      <c r="F254" s="742" t="inlineStr">
        <is>
          <t>EGI</t>
        </is>
      </c>
      <c r="G254" s="744" t="inlineStr">
        <is>
          <t>EGI</t>
        </is>
      </c>
      <c r="H254" s="673" t="inlineStr">
        <is>
          <t>EGI</t>
        </is>
      </c>
      <c r="I254" s="744" t="inlineStr">
        <is>
          <t>EGI</t>
        </is>
      </c>
      <c r="J254" s="744" t="inlineStr">
        <is>
          <t>EGI</t>
        </is>
      </c>
      <c r="K254" s="742" t="inlineStr">
        <is>
          <t>EGI</t>
        </is>
      </c>
      <c r="L254" s="744" t="n"/>
      <c r="M254" s="745" t="inlineStr">
        <is>
          <t>Australia</t>
        </is>
      </c>
      <c r="N254" s="747" t="inlineStr">
        <is>
          <t>NA</t>
        </is>
      </c>
      <c r="O254" s="746" t="n">
        <v>1</v>
      </c>
      <c r="P254" s="747" t="n"/>
      <c r="Q254" s="747" t="inlineStr">
        <is>
          <t>cxc</t>
        </is>
      </c>
      <c r="R254" s="755" t="inlineStr">
        <is>
          <t>Daily</t>
        </is>
      </c>
      <c r="S254" s="747" t="n">
        <v>1232</v>
      </c>
      <c r="T254" s="748" t="n">
        <v>0</v>
      </c>
      <c r="U254" s="748" t="n"/>
      <c r="V254" s="744" t="n"/>
      <c r="W254" s="744" t="n"/>
      <c r="X254" s="744" t="n"/>
      <c r="Y254" s="744" t="n"/>
      <c r="Z254" s="744" t="n"/>
      <c r="AA254" s="753">
        <f>S254*222</f>
        <v>273504.0</v>
      </c>
      <c r="AJ254" t="str">
        <f>IFERROR(INDEX(Lists!$U$1:$U$18,MATCH($I254,Lists!$T$1:$T$18,0)),"?")</f>
        <v>EGI &amp; Central</v>
      </c>
      <c r="AK254" t="str">
        <f>IF(LOWER($Q254)="v","Vacant",IF(LOWER($Q254)="pause","Paused",IF(LOWER($Q254)="cxc","Contractor",IF($Q254="Contractor","Contractor","Filled"))))</f>
        <v>Contractor</v>
      </c>
      <c r="AL254" t="str">
        <f>IF($M254="NZ","NZ","AU")</f>
        <v>AU</v>
      </c>
      <c r="AM254">
        <f>COUNTIF($AJ$2:$AJ254,$AJ254)</f>
        <v>16.0</v>
      </c>
      <c r="AN254" t="str">
        <f>$AJ254&amp;"|"&amp;$AM254</f>
        <v>EGI &amp; Central|16</v>
      </c>
    </row>
    <row r="255" ht="18" customHeight="1" s="849">
      <c r="A255" s="659" t="n">
        <v>95835</v>
      </c>
      <c r="B255" s="660" t="inlineStr">
        <is>
          <t>Briony Scott</t>
        </is>
      </c>
      <c r="C255" s="660" t="inlineStr">
        <is>
          <t>Service &amp; Contract Specialist AU</t>
        </is>
      </c>
      <c r="D255" s="662" t="inlineStr">
        <is>
          <t>Vacant</t>
        </is>
      </c>
      <c r="E255" s="660" t="inlineStr">
        <is>
          <t>Commercial Director</t>
        </is>
      </c>
      <c r="F255" s="661" t="inlineStr">
        <is>
          <t>Partnering &amp; Transformation</t>
        </is>
      </c>
      <c r="G255" s="660" t="inlineStr">
        <is>
          <t>Commercial</t>
        </is>
      </c>
      <c r="H255" s="660" t="inlineStr">
        <is>
          <t>NA</t>
        </is>
      </c>
      <c r="I255" s="660" t="inlineStr">
        <is>
          <t>COE - Partnering &amp; Transformation</t>
        </is>
      </c>
      <c r="J255" s="660" t="inlineStr">
        <is>
          <t>NA</t>
        </is>
      </c>
      <c r="K255" s="660" t="inlineStr">
        <is>
          <t>NA</t>
        </is>
      </c>
      <c r="L255" s="662" t="n"/>
      <c r="M255" s="663" t="inlineStr">
        <is>
          <t>Australia</t>
        </is>
      </c>
      <c r="N255" s="664" t="inlineStr">
        <is>
          <t>CIB</t>
        </is>
      </c>
      <c r="O255" s="664" t="n">
        <v>1</v>
      </c>
      <c r="P255" s="664" t="n"/>
      <c r="Q255" s="664" t="inlineStr">
        <is>
          <t>Permanent - Full Time</t>
        </is>
      </c>
      <c r="R255" s="666" t="n"/>
      <c r="S255" s="666" t="n"/>
      <c r="T255" s="667" t="n">
        <v>153600</v>
      </c>
      <c r="U255" s="668" t="n">
        <v>153600</v>
      </c>
      <c r="V255" s="670" t="n">
        <v>0.12</v>
      </c>
      <c r="W255" s="921" t="n">
        <v>0.055</v>
      </c>
      <c r="X255" s="921" t="n">
        <v>0.12</v>
      </c>
      <c r="Y255" s="922" t="n"/>
      <c r="Z255" s="921" t="n">
        <v>0.04</v>
      </c>
      <c r="AA255" s="919" t="n">
        <v>205056</v>
      </c>
      <c r="AJ255" t="str">
        <f>IFERROR(INDEX(Lists!$U$1:$U$18,MATCH($I255,Lists!$T$1:$T$18,0)),"?")</f>
        <v>COE BP&amp;T</v>
      </c>
      <c r="AK255" t="str">
        <f>IF(LOWER($Q255)="v","Vacant",IF(LOWER($Q255)="pause","Paused",IF(LOWER($Q255)="cxc","Contractor",IF($Q255="Contractor","Contractor","Filled"))))</f>
        <v>Filled</v>
      </c>
      <c r="AL255" t="str">
        <f>IF($M255="NZ","NZ","AU")</f>
        <v>AU</v>
      </c>
      <c r="AM255">
        <f>COUNTIF($AJ$2:$AJ255,$AJ255)</f>
        <v>1.0</v>
      </c>
      <c r="AN255" t="str">
        <f>$AJ255&amp;"|"&amp;$AM255</f>
        <v>COE BP&amp;T|1</v>
      </c>
    </row>
    <row r="256" ht="18" customHeight="1" s="849">
      <c r="A256" s="659" t="n">
        <v>102411</v>
      </c>
      <c r="B256" s="660" t="inlineStr">
        <is>
          <t>Conli Mills</t>
        </is>
      </c>
      <c r="C256" s="660" t="inlineStr">
        <is>
          <t>TDD BP - Infrastructure</t>
        </is>
      </c>
      <c r="D256" s="660" t="inlineStr">
        <is>
          <t>Michael Schofield</t>
        </is>
      </c>
      <c r="E256" s="660" t="inlineStr">
        <is>
          <t>GM TDD, Partnering &amp; Transformation</t>
        </is>
      </c>
      <c r="F256" s="661" t="inlineStr">
        <is>
          <t>Partnering &amp; Transformation</t>
        </is>
      </c>
      <c r="G256" s="660" t="inlineStr">
        <is>
          <t>TDD Business Partner</t>
        </is>
      </c>
      <c r="H256" s="660" t="inlineStr">
        <is>
          <t>NA</t>
        </is>
      </c>
      <c r="I256" s="660" t="inlineStr">
        <is>
          <t>COE - Partnering &amp; Transformation</t>
        </is>
      </c>
      <c r="J256" s="660" t="inlineStr">
        <is>
          <t>NA</t>
        </is>
      </c>
      <c r="K256" s="660" t="inlineStr">
        <is>
          <t>NA</t>
        </is>
      </c>
      <c r="L256" s="662" t="n"/>
      <c r="M256" s="663" t="inlineStr">
        <is>
          <t>Australia</t>
        </is>
      </c>
      <c r="N256" s="664" t="inlineStr">
        <is>
          <t>CSC</t>
        </is>
      </c>
      <c r="O256" s="664" t="n">
        <v>1</v>
      </c>
      <c r="P256" s="664" t="n"/>
      <c r="Q256" s="664" t="inlineStr">
        <is>
          <t>Permanent - Full Time</t>
        </is>
      </c>
      <c r="R256" s="666" t="n"/>
      <c r="S256" s="666" t="n"/>
      <c r="T256" s="667" t="n">
        <v>210000</v>
      </c>
      <c r="U256" s="668" t="n">
        <v>210000</v>
      </c>
      <c r="V256" s="670" t="n">
        <v>0.2</v>
      </c>
      <c r="W256" s="921" t="n">
        <v>0.055</v>
      </c>
      <c r="X256" s="921" t="n">
        <v>0.12</v>
      </c>
      <c r="Y256" s="922" t="n"/>
      <c r="Z256" s="921" t="n">
        <v>0.04</v>
      </c>
      <c r="AA256" s="919" t="n">
        <v>297150</v>
      </c>
      <c r="AJ256" t="str">
        <f>IFERROR(INDEX(Lists!$U$1:$U$18,MATCH($I256,Lists!$T$1:$T$18,0)),"?")</f>
        <v>COE BP&amp;T</v>
      </c>
      <c r="AK256" t="str">
        <f>IF(LOWER($Q256)="v","Vacant",IF(LOWER($Q256)="pause","Paused",IF(LOWER($Q256)="cxc","Contractor",IF($Q256="Contractor","Contractor","Filled"))))</f>
        <v>Filled</v>
      </c>
      <c r="AL256" t="str">
        <f>IF($M256="NZ","NZ","AU")</f>
        <v>AU</v>
      </c>
      <c r="AM256">
        <f>COUNTIF($AJ$2:$AJ256,$AJ256)</f>
        <v>2.0</v>
      </c>
      <c r="AN256" t="str">
        <f>$AJ256&amp;"|"&amp;$AM256</f>
        <v>COE BP&amp;T|2</v>
      </c>
    </row>
    <row r="257" ht="18" customHeight="1" s="849">
      <c r="A257" s="659" t="n">
        <v>99999170371</v>
      </c>
      <c r="B257" s="660" t="inlineStr">
        <is>
          <t>Helen Ngu</t>
        </is>
      </c>
      <c r="C257" s="660" t="inlineStr">
        <is>
          <t>Service &amp; Contract Specialist NZ</t>
        </is>
      </c>
      <c r="D257" s="662" t="inlineStr">
        <is>
          <t>Vacant</t>
        </is>
      </c>
      <c r="E257" s="660" t="inlineStr">
        <is>
          <t>Commercial Director</t>
        </is>
      </c>
      <c r="F257" s="661" t="inlineStr">
        <is>
          <t>Partnering &amp; Transformation</t>
        </is>
      </c>
      <c r="G257" s="660" t="inlineStr">
        <is>
          <t>Commercial</t>
        </is>
      </c>
      <c r="H257" s="660" t="inlineStr">
        <is>
          <t>NA</t>
        </is>
      </c>
      <c r="I257" s="660" t="inlineStr">
        <is>
          <t>COE - Partnering &amp; Transformation</t>
        </is>
      </c>
      <c r="J257" s="660" t="inlineStr">
        <is>
          <t>NA</t>
        </is>
      </c>
      <c r="K257" s="660" t="inlineStr">
        <is>
          <t>NA</t>
        </is>
      </c>
      <c r="L257" s="662" t="n"/>
      <c r="M257" s="663" t="inlineStr">
        <is>
          <t>NZ</t>
        </is>
      </c>
      <c r="N257" s="664" t="inlineStr">
        <is>
          <t>CIA</t>
        </is>
      </c>
      <c r="O257" s="665" t="n">
        <v>1</v>
      </c>
      <c r="P257" s="664" t="n"/>
      <c r="Q257" s="665" t="inlineStr">
        <is>
          <t>Permanent - Full Time</t>
        </is>
      </c>
      <c r="R257" s="666" t="n"/>
      <c r="S257" s="666" t="n"/>
      <c r="T257" s="667" t="n">
        <v>130870</v>
      </c>
      <c r="U257" s="668" t="n">
        <v>120400.4</v>
      </c>
      <c r="V257" s="669" t="n">
        <v>0.15</v>
      </c>
      <c r="W257" s="665" t="n"/>
      <c r="X257" s="670" t="n">
        <v>0.05</v>
      </c>
      <c r="Y257" s="918" t="n">
        <v>2910</v>
      </c>
      <c r="Z257" s="670" t="n">
        <v>0.03</v>
      </c>
      <c r="AA257" s="919" t="n">
        <v>151002.492</v>
      </c>
      <c r="AJ257" t="str">
        <f>IFERROR(INDEX(Lists!$U$1:$U$18,MATCH($I257,Lists!$T$1:$T$18,0)),"?")</f>
        <v>COE BP&amp;T</v>
      </c>
      <c r="AK257" t="str">
        <f>IF(LOWER($Q257)="v","Vacant",IF(LOWER($Q257)="pause","Paused",IF(LOWER($Q257)="cxc","Contractor",IF($Q257="Contractor","Contractor","Filled"))))</f>
        <v>Filled</v>
      </c>
      <c r="AL257" t="str">
        <f>IF($M257="NZ","NZ","AU")</f>
        <v>NZ</v>
      </c>
      <c r="AM257">
        <f>COUNTIF($AJ$2:$AJ257,$AJ257)</f>
        <v>3.0</v>
      </c>
      <c r="AN257" t="str">
        <f>$AJ257&amp;"|"&amp;$AM257</f>
        <v>COE BP&amp;T|3</v>
      </c>
    </row>
    <row r="258" ht="18" customHeight="1" s="849">
      <c r="A258" s="659" t="n">
        <v>113362</v>
      </c>
      <c r="B258" s="660" t="inlineStr">
        <is>
          <t>Jane Esclandra</t>
        </is>
      </c>
      <c r="C258" s="660" t="inlineStr">
        <is>
          <t>Software Asset Specialist</t>
        </is>
      </c>
      <c r="D258" s="662" t="inlineStr">
        <is>
          <t>Vacant</t>
        </is>
      </c>
      <c r="E258" s="660" t="inlineStr">
        <is>
          <t>Commercial Director</t>
        </is>
      </c>
      <c r="F258" s="661" t="inlineStr">
        <is>
          <t>Partnering &amp; Transformation</t>
        </is>
      </c>
      <c r="G258" s="660" t="inlineStr">
        <is>
          <t>Commercial</t>
        </is>
      </c>
      <c r="H258" s="660" t="inlineStr">
        <is>
          <t>NA</t>
        </is>
      </c>
      <c r="I258" s="660" t="inlineStr">
        <is>
          <t>COE - Partnering &amp; Transformation</t>
        </is>
      </c>
      <c r="J258" s="660" t="inlineStr">
        <is>
          <t>NA</t>
        </is>
      </c>
      <c r="K258" s="660" t="inlineStr">
        <is>
          <t>NA</t>
        </is>
      </c>
      <c r="L258" s="662" t="n"/>
      <c r="M258" s="663" t="inlineStr">
        <is>
          <t>Australia</t>
        </is>
      </c>
      <c r="N258" s="664" t="inlineStr">
        <is>
          <t>CIB</t>
        </is>
      </c>
      <c r="O258" s="664" t="n">
        <v>1</v>
      </c>
      <c r="P258" s="664" t="n"/>
      <c r="Q258" s="664" t="inlineStr">
        <is>
          <t>Permanent - Full Time</t>
        </is>
      </c>
      <c r="R258" s="666" t="n"/>
      <c r="S258" s="666" t="n"/>
      <c r="T258" s="667" t="n">
        <v>137420</v>
      </c>
      <c r="U258" s="668" t="n">
        <v>137420</v>
      </c>
      <c r="V258" s="670" t="n">
        <v>0.12</v>
      </c>
      <c r="W258" s="921" t="n">
        <v>0.055</v>
      </c>
      <c r="X258" s="921" t="n">
        <v>0.12</v>
      </c>
      <c r="Y258" s="922" t="n"/>
      <c r="Z258" s="921" t="n">
        <v>0.04</v>
      </c>
      <c r="AA258" s="919" t="n">
        <v>183455.7</v>
      </c>
      <c r="AJ258" t="str">
        <f>IFERROR(INDEX(Lists!$U$1:$U$18,MATCH($I258,Lists!$T$1:$T$18,0)),"?")</f>
        <v>COE BP&amp;T</v>
      </c>
      <c r="AK258" t="str">
        <f>IF(LOWER($Q258)="v","Vacant",IF(LOWER($Q258)="pause","Paused",IF(LOWER($Q258)="cxc","Contractor",IF($Q258="Contractor","Contractor","Filled"))))</f>
        <v>Filled</v>
      </c>
      <c r="AL258" t="str">
        <f>IF($M258="NZ","NZ","AU")</f>
        <v>AU</v>
      </c>
      <c r="AM258">
        <f>COUNTIF($AJ$2:$AJ258,$AJ258)</f>
        <v>4.0</v>
      </c>
      <c r="AN258" t="str">
        <f>$AJ258&amp;"|"&amp;$AM258</f>
        <v>COE BP&amp;T|4</v>
      </c>
    </row>
    <row r="259" ht="18" customHeight="1" s="849">
      <c r="A259" s="659" t="n">
        <v>12992</v>
      </c>
      <c r="B259" s="660" t="inlineStr">
        <is>
          <t>Jeannie Chu</t>
        </is>
      </c>
      <c r="C259" s="660" t="inlineStr">
        <is>
          <t>Snr Finance Support Administrator</t>
        </is>
      </c>
      <c r="D259" s="660" t="inlineStr">
        <is>
          <t>Sam Chan</t>
        </is>
      </c>
      <c r="E259" s="660" t="inlineStr">
        <is>
          <t>Fin Ops Manager</t>
        </is>
      </c>
      <c r="F259" s="661" t="inlineStr">
        <is>
          <t>Partnering &amp; Transformation</t>
        </is>
      </c>
      <c r="G259" s="660" t="inlineStr">
        <is>
          <t>Transformation</t>
        </is>
      </c>
      <c r="H259" s="660" t="inlineStr">
        <is>
          <t>NA</t>
        </is>
      </c>
      <c r="I259" s="660" t="inlineStr">
        <is>
          <t>COE - Partnering &amp; Transformation</t>
        </is>
      </c>
      <c r="J259" s="660" t="inlineStr">
        <is>
          <t>NA</t>
        </is>
      </c>
      <c r="K259" s="660" t="inlineStr">
        <is>
          <t>NA</t>
        </is>
      </c>
      <c r="L259" s="662" t="n"/>
      <c r="M259" s="663" t="inlineStr">
        <is>
          <t>Australia</t>
        </is>
      </c>
      <c r="N259" s="666" t="inlineStr">
        <is>
          <t>CDC</t>
        </is>
      </c>
      <c r="O259" s="666" t="n">
        <v>1</v>
      </c>
      <c r="P259" s="666" t="n"/>
      <c r="Q259" s="666" t="inlineStr">
        <is>
          <t>Permanent - Full Time</t>
        </is>
      </c>
      <c r="R259" s="666" t="n"/>
      <c r="S259" s="666" t="n"/>
      <c r="T259" s="667" t="n">
        <v>112310</v>
      </c>
      <c r="U259" s="668" t="n">
        <v>112310</v>
      </c>
      <c r="V259" s="670" t="n">
        <v>0.1</v>
      </c>
      <c r="W259" s="921" t="n">
        <v>0.055</v>
      </c>
      <c r="X259" s="921" t="n">
        <v>0.12</v>
      </c>
      <c r="Y259" s="922" t="n"/>
      <c r="Z259" s="921" t="n">
        <v>0.04</v>
      </c>
      <c r="AA259" s="919" t="n">
        <v>147687.65</v>
      </c>
      <c r="AJ259" t="str">
        <f>IFERROR(INDEX(Lists!$U$1:$U$18,MATCH($I259,Lists!$T$1:$T$18,0)),"?")</f>
        <v>COE BP&amp;T</v>
      </c>
      <c r="AK259" t="str">
        <f>IF(LOWER($Q259)="v","Vacant",IF(LOWER($Q259)="pause","Paused",IF(LOWER($Q259)="cxc","Contractor",IF($Q259="Contractor","Contractor","Filled"))))</f>
        <v>Filled</v>
      </c>
      <c r="AL259" t="str">
        <f>IF($M259="NZ","NZ","AU")</f>
        <v>AU</v>
      </c>
      <c r="AM259">
        <f>COUNTIF($AJ$2:$AJ259,$AJ259)</f>
        <v>5.0</v>
      </c>
      <c r="AN259" t="str">
        <f>$AJ259&amp;"|"&amp;$AM259</f>
        <v>COE BP&amp;T|5</v>
      </c>
    </row>
    <row r="260" ht="18" customHeight="1" s="849">
      <c r="A260" s="659" t="n">
        <v>82561</v>
      </c>
      <c r="B260" s="660" t="inlineStr">
        <is>
          <t>Jenny Chan</t>
        </is>
      </c>
      <c r="C260" s="660" t="inlineStr">
        <is>
          <t>Project Finance Lead</t>
        </is>
      </c>
      <c r="D260" s="707" t="inlineStr">
        <is>
          <t>Sam Chan</t>
        </is>
      </c>
      <c r="E260" s="707" t="inlineStr">
        <is>
          <t xml:space="preserve">Manager Risk &amp; Resilience </t>
        </is>
      </c>
      <c r="F260" s="661" t="inlineStr">
        <is>
          <t>Partnering &amp; Transformation</t>
        </is>
      </c>
      <c r="G260" s="660" t="inlineStr">
        <is>
          <t>Transformation</t>
        </is>
      </c>
      <c r="H260" s="660" t="inlineStr">
        <is>
          <t>NA</t>
        </is>
      </c>
      <c r="I260" s="660" t="inlineStr">
        <is>
          <t>COE - Partnering &amp; Transformation</t>
        </is>
      </c>
      <c r="J260" s="660" t="inlineStr">
        <is>
          <t>NA</t>
        </is>
      </c>
      <c r="K260" s="660" t="inlineStr">
        <is>
          <t>NA</t>
        </is>
      </c>
      <c r="L260" s="662" t="n"/>
      <c r="M260" s="663" t="inlineStr">
        <is>
          <t>Australia</t>
        </is>
      </c>
      <c r="N260" s="666" t="inlineStr">
        <is>
          <t>CIB</t>
        </is>
      </c>
      <c r="O260" s="666" t="n">
        <v>1</v>
      </c>
      <c r="P260" s="666" t="n"/>
      <c r="Q260" s="666" t="inlineStr">
        <is>
          <t>Permanent - Full Time</t>
        </is>
      </c>
      <c r="R260" s="666" t="n"/>
      <c r="S260" s="666" t="n"/>
      <c r="T260" s="667" t="n">
        <v>154400</v>
      </c>
      <c r="U260" s="668" t="n">
        <v>154400</v>
      </c>
      <c r="V260" s="670" t="n">
        <v>0.12</v>
      </c>
      <c r="W260" s="921" t="n">
        <v>0.055</v>
      </c>
      <c r="X260" s="921" t="n">
        <v>0.12</v>
      </c>
      <c r="Y260" s="922" t="n"/>
      <c r="Z260" s="921" t="n">
        <v>0.04</v>
      </c>
      <c r="AA260" s="919" t="n">
        <v>206124</v>
      </c>
      <c r="AJ260" t="str">
        <f>IFERROR(INDEX(Lists!$U$1:$U$18,MATCH($I260,Lists!$T$1:$T$18,0)),"?")</f>
        <v>COE BP&amp;T</v>
      </c>
      <c r="AK260" t="str">
        <f>IF(LOWER($Q260)="v","Vacant",IF(LOWER($Q260)="pause","Paused",IF(LOWER($Q260)="cxc","Contractor",IF($Q260="Contractor","Contractor","Filled"))))</f>
        <v>Filled</v>
      </c>
      <c r="AL260" t="str">
        <f>IF($M260="NZ","NZ","AU")</f>
        <v>AU</v>
      </c>
      <c r="AM260">
        <f>COUNTIF($AJ$2:$AJ260,$AJ260)</f>
        <v>6.0</v>
      </c>
      <c r="AN260" t="str">
        <f>$AJ260&amp;"|"&amp;$AM260</f>
        <v>COE BP&amp;T|6</v>
      </c>
    </row>
    <row r="261" ht="18" customHeight="1" s="849">
      <c r="A261" s="659" t="inlineStr">
        <is>
          <t>tbc</t>
        </is>
      </c>
      <c r="B261" s="660" t="inlineStr">
        <is>
          <t>Malcolm Deare</t>
        </is>
      </c>
      <c r="C261" s="660" t="inlineStr">
        <is>
          <t>TDD BP, Group Functions</t>
        </is>
      </c>
      <c r="D261" s="707" t="inlineStr">
        <is>
          <t>Michael Schofield</t>
        </is>
      </c>
      <c r="E261" s="707" t="inlineStr">
        <is>
          <t>GM TDD, Partnering &amp; Transformation</t>
        </is>
      </c>
      <c r="F261" s="661" t="inlineStr">
        <is>
          <t>Partnering &amp; Transformation</t>
        </is>
      </c>
      <c r="G261" s="660" t="inlineStr">
        <is>
          <t>TDD Business Partner</t>
        </is>
      </c>
      <c r="H261" s="660" t="inlineStr">
        <is>
          <t>NA</t>
        </is>
      </c>
      <c r="I261" s="660" t="inlineStr">
        <is>
          <t>COE - Partnering &amp; Transformation</t>
        </is>
      </c>
      <c r="J261" s="660" t="inlineStr">
        <is>
          <t>NA</t>
        </is>
      </c>
      <c r="K261" s="660" t="inlineStr">
        <is>
          <t>NA</t>
        </is>
      </c>
      <c r="L261" s="662" t="n"/>
      <c r="M261" s="663" t="inlineStr">
        <is>
          <t>Australia</t>
        </is>
      </c>
      <c r="N261" s="664" t="inlineStr">
        <is>
          <t>CSB</t>
        </is>
      </c>
      <c r="O261" s="664" t="n">
        <v>1</v>
      </c>
      <c r="P261" s="664" t="n"/>
      <c r="Q261" s="664" t="inlineStr">
        <is>
          <t>Permanent - Full Time</t>
        </is>
      </c>
      <c r="R261" s="666" t="n"/>
      <c r="S261" s="666" t="n"/>
      <c r="T261" s="667" t="n">
        <v>220000</v>
      </c>
      <c r="U261" s="668" t="n">
        <v>220000</v>
      </c>
      <c r="V261" s="670" t="n">
        <v>0.14</v>
      </c>
      <c r="W261" s="921" t="n">
        <v>0.055</v>
      </c>
      <c r="X261" s="921" t="n">
        <v>0.12</v>
      </c>
      <c r="Y261" s="922" t="n"/>
      <c r="Z261" s="921" t="n">
        <v>0.04</v>
      </c>
      <c r="AA261" s="919" t="n">
        <v>298100</v>
      </c>
      <c r="AJ261" t="str">
        <f>IFERROR(INDEX(Lists!$U$1:$U$18,MATCH($I261,Lists!$T$1:$T$18,0)),"?")</f>
        <v>COE BP&amp;T</v>
      </c>
      <c r="AK261" t="str">
        <f>IF(LOWER($Q261)="v","Vacant",IF(LOWER($Q261)="pause","Paused",IF(LOWER($Q261)="cxc","Contractor",IF($Q261="Contractor","Contractor","Filled"))))</f>
        <v>Filled</v>
      </c>
      <c r="AL261" t="str">
        <f>IF($M261="NZ","NZ","AU")</f>
        <v>AU</v>
      </c>
      <c r="AM261">
        <f>COUNTIF($AJ$2:$AJ261,$AJ261)</f>
        <v>7.0</v>
      </c>
      <c r="AN261" t="str">
        <f>$AJ261&amp;"|"&amp;$AM261</f>
        <v>COE BP&amp;T|7</v>
      </c>
    </row>
    <row r="262" ht="18" customHeight="1" s="849">
      <c r="A262" s="659" t="n">
        <v>5607</v>
      </c>
      <c r="B262" s="660" t="inlineStr">
        <is>
          <t>Maria Somera</t>
        </is>
      </c>
      <c r="C262" s="684" t="inlineStr">
        <is>
          <t>Technology Finance Analyst</t>
        </is>
      </c>
      <c r="D262" s="707" t="inlineStr">
        <is>
          <t>Sam Chan</t>
        </is>
      </c>
      <c r="E262" s="707" t="inlineStr">
        <is>
          <t>Fin Ops Manager</t>
        </is>
      </c>
      <c r="F262" s="661" t="inlineStr">
        <is>
          <t>Partnering &amp; Transformation</t>
        </is>
      </c>
      <c r="G262" s="660" t="inlineStr">
        <is>
          <t>Transformation</t>
        </is>
      </c>
      <c r="H262" s="660" t="inlineStr">
        <is>
          <t>NA</t>
        </is>
      </c>
      <c r="I262" s="660" t="inlineStr">
        <is>
          <t>COE - Partnering &amp; Transformation</t>
        </is>
      </c>
      <c r="J262" s="660" t="inlineStr">
        <is>
          <t>NA</t>
        </is>
      </c>
      <c r="K262" s="660" t="inlineStr">
        <is>
          <t>NA</t>
        </is>
      </c>
      <c r="L262" s="662" t="n"/>
      <c r="M262" s="663" t="inlineStr">
        <is>
          <t>Australia</t>
        </is>
      </c>
      <c r="N262" s="666" t="inlineStr">
        <is>
          <t>CIA</t>
        </is>
      </c>
      <c r="O262" s="666" t="n">
        <v>1</v>
      </c>
      <c r="P262" s="666" t="n"/>
      <c r="Q262" s="666" t="inlineStr">
        <is>
          <t>Permanent - Full Time</t>
        </is>
      </c>
      <c r="R262" s="666" t="n"/>
      <c r="S262" s="666" t="n"/>
      <c r="T262" s="667" t="n">
        <v>136360</v>
      </c>
      <c r="U262" s="668" t="n">
        <v>136360</v>
      </c>
      <c r="V262" s="670" t="n">
        <v>0.1</v>
      </c>
      <c r="W262" s="921" t="n">
        <v>0.055</v>
      </c>
      <c r="X262" s="921" t="n">
        <v>0.12</v>
      </c>
      <c r="Y262" s="922" t="n"/>
      <c r="Z262" s="921" t="n">
        <v>0.04</v>
      </c>
      <c r="AA262" s="919" t="n">
        <v>179313.4</v>
      </c>
      <c r="AJ262" t="str">
        <f>IFERROR(INDEX(Lists!$U$1:$U$18,MATCH($I262,Lists!$T$1:$T$18,0)),"?")</f>
        <v>COE BP&amp;T</v>
      </c>
      <c r="AK262" t="str">
        <f>IF(LOWER($Q262)="v","Vacant",IF(LOWER($Q262)="pause","Paused",IF(LOWER($Q262)="cxc","Contractor",IF($Q262="Contractor","Contractor","Filled"))))</f>
        <v>Filled</v>
      </c>
      <c r="AL262" t="str">
        <f>IF($M262="NZ","NZ","AU")</f>
        <v>AU</v>
      </c>
      <c r="AM262">
        <f>COUNTIF($AJ$2:$AJ262,$AJ262)</f>
        <v>8.0</v>
      </c>
      <c r="AN262" t="str">
        <f>$AJ262&amp;"|"&amp;$AM262</f>
        <v>COE BP&amp;T|8</v>
      </c>
    </row>
    <row r="263" ht="18" customHeight="1" s="849">
      <c r="A263" s="659" t="n">
        <v>99999102029</v>
      </c>
      <c r="B263" s="660" t="inlineStr">
        <is>
          <t>Matt Saunders</t>
        </is>
      </c>
      <c r="C263" s="660" t="inlineStr">
        <is>
          <t>Scrum Master</t>
        </is>
      </c>
      <c r="D263" s="662" t="inlineStr">
        <is>
          <t>Vacant</t>
        </is>
      </c>
      <c r="E263" s="660" t="inlineStr">
        <is>
          <t xml:space="preserve">Lead Technology Support </t>
        </is>
      </c>
      <c r="F263" s="661" t="inlineStr">
        <is>
          <t>Partnering &amp; Transformation</t>
        </is>
      </c>
      <c r="G263" s="660" t="inlineStr">
        <is>
          <t>Transformation</t>
        </is>
      </c>
      <c r="H263" s="660" t="inlineStr">
        <is>
          <t>NA</t>
        </is>
      </c>
      <c r="I263" s="660" t="inlineStr">
        <is>
          <t>COE - Partnering &amp; Transformation</t>
        </is>
      </c>
      <c r="J263" s="660" t="inlineStr">
        <is>
          <t>NA</t>
        </is>
      </c>
      <c r="K263" s="660" t="inlineStr">
        <is>
          <t>NA</t>
        </is>
      </c>
      <c r="L263" s="662" t="n"/>
      <c r="M263" s="663" t="inlineStr">
        <is>
          <t>NZ</t>
        </is>
      </c>
      <c r="N263" s="664" t="inlineStr">
        <is>
          <t>CIA</t>
        </is>
      </c>
      <c r="O263" s="665" t="n">
        <v>1</v>
      </c>
      <c r="P263" s="664" t="n"/>
      <c r="Q263" s="665" t="inlineStr">
        <is>
          <t>Permanent - Full Time</t>
        </is>
      </c>
      <c r="R263" s="666" t="n"/>
      <c r="S263" s="666" t="n"/>
      <c r="T263" s="667" t="n">
        <v>128000</v>
      </c>
      <c r="U263" s="668" t="n">
        <v>117760</v>
      </c>
      <c r="V263" s="669" t="n">
        <v>0.15</v>
      </c>
      <c r="W263" s="666" t="n"/>
      <c r="X263" s="670" t="n">
        <v>0.05</v>
      </c>
      <c r="Y263" s="918" t="n">
        <v>2910</v>
      </c>
      <c r="Z263" s="670" t="n">
        <v>0.03</v>
      </c>
      <c r="AA263" s="919" t="n">
        <v>147754.8</v>
      </c>
      <c r="AJ263" t="str">
        <f>IFERROR(INDEX(Lists!$U$1:$U$18,MATCH($I263,Lists!$T$1:$T$18,0)),"?")</f>
        <v>COE BP&amp;T</v>
      </c>
      <c r="AK263" t="str">
        <f>IF(LOWER($Q263)="v","Vacant",IF(LOWER($Q263)="pause","Paused",IF(LOWER($Q263)="cxc","Contractor",IF($Q263="Contractor","Contractor","Filled"))))</f>
        <v>Filled</v>
      </c>
      <c r="AL263" t="str">
        <f>IF($M263="NZ","NZ","AU")</f>
        <v>NZ</v>
      </c>
      <c r="AM263">
        <f>COUNTIF($AJ$2:$AJ263,$AJ263)</f>
        <v>9.0</v>
      </c>
      <c r="AN263" t="str">
        <f>$AJ263&amp;"|"&amp;$AM263</f>
        <v>COE BP&amp;T|9</v>
      </c>
    </row>
    <row r="264" ht="18" customHeight="1" s="849">
      <c r="A264" s="659" t="n">
        <v>116540</v>
      </c>
      <c r="B264" s="660" t="inlineStr">
        <is>
          <t>Neil Reilly</t>
        </is>
      </c>
      <c r="C264" s="660" t="inlineStr">
        <is>
          <t>TDD BP - T&amp;S</t>
        </is>
      </c>
      <c r="D264" s="660" t="inlineStr">
        <is>
          <t>Michael Schofield</t>
        </is>
      </c>
      <c r="E264" s="660" t="inlineStr">
        <is>
          <t>GM TDD, Partnering &amp; Transformation</t>
        </is>
      </c>
      <c r="F264" s="661" t="inlineStr">
        <is>
          <t>Partnering &amp; Transformation</t>
        </is>
      </c>
      <c r="G264" s="660" t="inlineStr">
        <is>
          <t>TDD Business Partner</t>
        </is>
      </c>
      <c r="H264" s="660" t="inlineStr">
        <is>
          <t>NA</t>
        </is>
      </c>
      <c r="I264" s="660" t="inlineStr">
        <is>
          <t>COE - Partnering &amp; Transformation</t>
        </is>
      </c>
      <c r="J264" s="660" t="inlineStr">
        <is>
          <t>NA</t>
        </is>
      </c>
      <c r="K264" s="660" t="inlineStr">
        <is>
          <t>NA</t>
        </is>
      </c>
      <c r="L264" s="662" t="n"/>
      <c r="M264" s="663" t="inlineStr">
        <is>
          <t>Singapore</t>
        </is>
      </c>
      <c r="N264" s="664" t="inlineStr">
        <is>
          <t>CSC</t>
        </is>
      </c>
      <c r="O264" s="664" t="n">
        <v>1</v>
      </c>
      <c r="P264" s="664" t="n"/>
      <c r="Q264" s="664" t="inlineStr">
        <is>
          <t>Permanent - Full Time</t>
        </is>
      </c>
      <c r="R264" s="666" t="n"/>
      <c r="S264" s="666" t="n"/>
      <c r="T264" s="667" t="n">
        <v>350000</v>
      </c>
      <c r="U264" s="668" t="n">
        <v>423500</v>
      </c>
      <c r="V264" s="670" t="n">
        <v>0.35</v>
      </c>
      <c r="W264" s="666" t="n"/>
      <c r="X264" s="670" t="n">
        <v>0.17</v>
      </c>
      <c r="Y264" s="918" t="n">
        <v>3310</v>
      </c>
      <c r="Z264" s="713" t="n">
        <v>0.045</v>
      </c>
      <c r="AA264" s="919" t="n">
        <v>666087.5</v>
      </c>
      <c r="AJ264" t="str">
        <f>IFERROR(INDEX(Lists!$U$1:$U$18,MATCH($I264,Lists!$T$1:$T$18,0)),"?")</f>
        <v>COE BP&amp;T</v>
      </c>
      <c r="AK264" t="str">
        <f>IF(LOWER($Q264)="v","Vacant",IF(LOWER($Q264)="pause","Paused",IF(LOWER($Q264)="cxc","Contractor",IF($Q264="Contractor","Contractor","Filled"))))</f>
        <v>Filled</v>
      </c>
      <c r="AL264" t="str">
        <f>IF($M264="NZ","NZ","AU")</f>
        <v>AU</v>
      </c>
      <c r="AM264">
        <f>COUNTIF($AJ$2:$AJ264,$AJ264)</f>
        <v>10.0</v>
      </c>
      <c r="AN264" t="str">
        <f>$AJ264&amp;"|"&amp;$AM264</f>
        <v>COE BP&amp;T|10</v>
      </c>
    </row>
    <row r="265" ht="18" customHeight="1" s="849">
      <c r="A265" s="659" t="n">
        <v>113835</v>
      </c>
      <c r="B265" s="660" t="inlineStr">
        <is>
          <t>Ruth Chou</t>
        </is>
      </c>
      <c r="C265" s="660" t="inlineStr">
        <is>
          <t>Portfolio Reporting Manager</t>
        </is>
      </c>
      <c r="D265" s="662" t="inlineStr">
        <is>
          <t>Vacant</t>
        </is>
      </c>
      <c r="E265" s="660" t="inlineStr">
        <is>
          <t xml:space="preserve">Manager Service Perforance &amp; Assurance </t>
        </is>
      </c>
      <c r="F265" s="661" t="inlineStr">
        <is>
          <t>Partnering &amp; Transformation</t>
        </is>
      </c>
      <c r="G265" s="660" t="inlineStr">
        <is>
          <t>Transformation</t>
        </is>
      </c>
      <c r="H265" s="660" t="inlineStr">
        <is>
          <t>NA</t>
        </is>
      </c>
      <c r="I265" s="660" t="inlineStr">
        <is>
          <t>COE - Partnering &amp; Transformation</t>
        </is>
      </c>
      <c r="J265" s="660" t="inlineStr">
        <is>
          <t>NA</t>
        </is>
      </c>
      <c r="K265" s="660" t="inlineStr">
        <is>
          <t>NA</t>
        </is>
      </c>
      <c r="L265" s="662" t="n"/>
      <c r="M265" s="663" t="inlineStr">
        <is>
          <t>Australia</t>
        </is>
      </c>
      <c r="N265" s="664" t="inlineStr">
        <is>
          <t>CSB</t>
        </is>
      </c>
      <c r="O265" s="664" t="n">
        <v>1</v>
      </c>
      <c r="P265" s="664" t="n"/>
      <c r="Q265" s="664" t="inlineStr">
        <is>
          <t>Permanent - Full Time</t>
        </is>
      </c>
      <c r="R265" s="666" t="n"/>
      <c r="S265" s="666" t="n"/>
      <c r="T265" s="667" t="n">
        <v>216470</v>
      </c>
      <c r="U265" s="668" t="n">
        <v>216470</v>
      </c>
      <c r="V265" s="670" t="n">
        <v>0.14</v>
      </c>
      <c r="W265" s="921" t="n">
        <v>0.055</v>
      </c>
      <c r="X265" s="921" t="n">
        <v>0.12</v>
      </c>
      <c r="Y265" s="922" t="n"/>
      <c r="Z265" s="921" t="n">
        <v>0.04</v>
      </c>
      <c r="AA265" s="919" t="n">
        <v>293316.85</v>
      </c>
      <c r="AJ265" t="str">
        <f>IFERROR(INDEX(Lists!$U$1:$U$18,MATCH($I265,Lists!$T$1:$T$18,0)),"?")</f>
        <v>COE BP&amp;T</v>
      </c>
      <c r="AK265" t="str">
        <f>IF(LOWER($Q265)="v","Vacant",IF(LOWER($Q265)="pause","Paused",IF(LOWER($Q265)="cxc","Contractor",IF($Q265="Contractor","Contractor","Filled"))))</f>
        <v>Filled</v>
      </c>
      <c r="AL265" t="str">
        <f>IF($M265="NZ","NZ","AU")</f>
        <v>AU</v>
      </c>
      <c r="AM265">
        <f>COUNTIF($AJ$2:$AJ265,$AJ265)</f>
        <v>11.0</v>
      </c>
      <c r="AN265" t="str">
        <f>$AJ265&amp;"|"&amp;$AM265</f>
        <v>COE BP&amp;T|11</v>
      </c>
    </row>
    <row r="266" ht="18" customHeight="1" s="849">
      <c r="A266" s="659" t="n">
        <v>83658</v>
      </c>
      <c r="B266" s="660" t="inlineStr">
        <is>
          <t>Sam Chan</t>
        </is>
      </c>
      <c r="C266" s="660" t="inlineStr">
        <is>
          <t>FinOps Manager</t>
        </is>
      </c>
      <c r="D266" s="662" t="inlineStr">
        <is>
          <t>Vacant</t>
        </is>
      </c>
      <c r="E266" s="660" t="inlineStr">
        <is>
          <t xml:space="preserve">Manager Cyber Security Operations </t>
        </is>
      </c>
      <c r="F266" s="661" t="inlineStr">
        <is>
          <t>Partnering &amp; Transformation</t>
        </is>
      </c>
      <c r="G266" s="660" t="inlineStr">
        <is>
          <t>Transformation</t>
        </is>
      </c>
      <c r="H266" s="660" t="inlineStr">
        <is>
          <t>NA</t>
        </is>
      </c>
      <c r="I266" s="660" t="inlineStr">
        <is>
          <t>COE - Partnering &amp; Transformation</t>
        </is>
      </c>
      <c r="J266" s="660" t="inlineStr">
        <is>
          <t>NA</t>
        </is>
      </c>
      <c r="K266" s="660" t="inlineStr">
        <is>
          <t>NA</t>
        </is>
      </c>
      <c r="L266" s="662" t="n"/>
      <c r="M266" s="663" t="inlineStr">
        <is>
          <t>Australia</t>
        </is>
      </c>
      <c r="N266" s="666" t="inlineStr">
        <is>
          <t>CIC</t>
        </is>
      </c>
      <c r="O266" s="666" t="n">
        <v>1</v>
      </c>
      <c r="P266" s="666" t="n"/>
      <c r="Q266" s="666" t="inlineStr">
        <is>
          <t>Permanent - Full Time</t>
        </is>
      </c>
      <c r="R266" s="666" t="n"/>
      <c r="S266" s="666" t="n"/>
      <c r="T266" s="667" t="n">
        <v>169130</v>
      </c>
      <c r="U266" s="668" t="n">
        <v>169130</v>
      </c>
      <c r="V266" s="670" t="n">
        <v>0.12</v>
      </c>
      <c r="W266" s="921" t="n">
        <v>0.055</v>
      </c>
      <c r="X266" s="921" t="n">
        <v>0.12</v>
      </c>
      <c r="Y266" s="922" t="n"/>
      <c r="Z266" s="921" t="n">
        <v>0.04</v>
      </c>
      <c r="AA266" s="919" t="n">
        <v>225788.55</v>
      </c>
      <c r="AJ266" t="str">
        <f>IFERROR(INDEX(Lists!$U$1:$U$18,MATCH($I266,Lists!$T$1:$T$18,0)),"?")</f>
        <v>COE BP&amp;T</v>
      </c>
      <c r="AK266" t="str">
        <f>IF(LOWER($Q266)="v","Vacant",IF(LOWER($Q266)="pause","Paused",IF(LOWER($Q266)="cxc","Contractor",IF($Q266="Contractor","Contractor","Filled"))))</f>
        <v>Filled</v>
      </c>
      <c r="AL266" t="str">
        <f>IF($M266="NZ","NZ","AU")</f>
        <v>AU</v>
      </c>
      <c r="AM266">
        <f>COUNTIF($AJ$2:$AJ266,$AJ266)</f>
        <v>12.0</v>
      </c>
      <c r="AN266" t="str">
        <f>$AJ266&amp;"|"&amp;$AM266</f>
        <v>COE BP&amp;T|12</v>
      </c>
    </row>
    <row r="267" ht="18" customHeight="1" s="849">
      <c r="A267" s="659" t="n">
        <v>99999102144</v>
      </c>
      <c r="B267" s="660" t="inlineStr">
        <is>
          <t>Shelley Crawford</t>
        </is>
      </c>
      <c r="C267" s="660" t="inlineStr">
        <is>
          <t>TDD BP - Z</t>
        </is>
      </c>
      <c r="D267" s="660" t="inlineStr">
        <is>
          <t>Michael Schofield</t>
        </is>
      </c>
      <c r="E267" s="660" t="inlineStr">
        <is>
          <t>GM TDD, Partnering &amp; Transformation</t>
        </is>
      </c>
      <c r="F267" s="661" t="inlineStr">
        <is>
          <t>Partnering &amp; Transformation</t>
        </is>
      </c>
      <c r="G267" s="660" t="inlineStr">
        <is>
          <t>TDD Business Partner</t>
        </is>
      </c>
      <c r="H267" s="660" t="inlineStr">
        <is>
          <t>NA</t>
        </is>
      </c>
      <c r="I267" s="660" t="inlineStr">
        <is>
          <t>COE - Partnering &amp; Transformation</t>
        </is>
      </c>
      <c r="J267" s="660" t="inlineStr">
        <is>
          <t>NA</t>
        </is>
      </c>
      <c r="K267" s="660" t="inlineStr">
        <is>
          <t>NA</t>
        </is>
      </c>
      <c r="L267" s="662" t="n"/>
      <c r="M267" s="663" t="inlineStr">
        <is>
          <t>NZ</t>
        </is>
      </c>
      <c r="N267" s="664" t="inlineStr">
        <is>
          <t>CSC</t>
        </is>
      </c>
      <c r="O267" s="665" t="n">
        <v>1</v>
      </c>
      <c r="P267" s="664" t="n"/>
      <c r="Q267" s="665" t="inlineStr">
        <is>
          <t>Permanent - Full Time</t>
        </is>
      </c>
      <c r="R267" s="666" t="n"/>
      <c r="S267" s="666" t="n"/>
      <c r="T267" s="667" t="n">
        <v>245000</v>
      </c>
      <c r="U267" s="668" t="n">
        <v>225400</v>
      </c>
      <c r="V267" s="669" t="n">
        <v>0.2</v>
      </c>
      <c r="W267" s="666" t="n"/>
      <c r="X267" s="670" t="n">
        <v>0.05</v>
      </c>
      <c r="Y267" s="918" t="n">
        <v>2910</v>
      </c>
      <c r="Z267" s="670" t="n">
        <v>0.03</v>
      </c>
      <c r="AA267" s="919" t="n">
        <v>291422</v>
      </c>
      <c r="AJ267" t="str">
        <f>IFERROR(INDEX(Lists!$U$1:$U$18,MATCH($I267,Lists!$T$1:$T$18,0)),"?")</f>
        <v>COE BP&amp;T</v>
      </c>
      <c r="AK267" t="str">
        <f>IF(LOWER($Q267)="v","Vacant",IF(LOWER($Q267)="pause","Paused",IF(LOWER($Q267)="cxc","Contractor",IF($Q267="Contractor","Contractor","Filled"))))</f>
        <v>Filled</v>
      </c>
      <c r="AL267" t="str">
        <f>IF($M267="NZ","NZ","AU")</f>
        <v>NZ</v>
      </c>
      <c r="AM267">
        <f>COUNTIF($AJ$2:$AJ267,$AJ267)</f>
        <v>13.0</v>
      </c>
      <c r="AN267" t="str">
        <f>$AJ267&amp;"|"&amp;$AM267</f>
        <v>COE BP&amp;T|13</v>
      </c>
    </row>
    <row r="268" ht="18" customHeight="1" s="849">
      <c r="A268" s="659" t="n">
        <v>113935</v>
      </c>
      <c r="B268" s="660" t="inlineStr">
        <is>
          <t>Thomas Reid</t>
        </is>
      </c>
      <c r="C268" s="660" t="inlineStr">
        <is>
          <t>TDD BP - Retail &amp; Customer - Store Digital</t>
        </is>
      </c>
      <c r="D268" s="660" t="inlineStr">
        <is>
          <t>Michael Schofield</t>
        </is>
      </c>
      <c r="E268" s="660" t="inlineStr">
        <is>
          <t>GM TDD, Partnering &amp; Transformation</t>
        </is>
      </c>
      <c r="F268" s="661" t="inlineStr">
        <is>
          <t>Partnering &amp; Transformation</t>
        </is>
      </c>
      <c r="G268" s="660" t="inlineStr">
        <is>
          <t>TDD Business Partner</t>
        </is>
      </c>
      <c r="H268" s="660" t="inlineStr">
        <is>
          <t>NA</t>
        </is>
      </c>
      <c r="I268" s="660" t="inlineStr">
        <is>
          <t>COE - Partnering &amp; Transformation</t>
        </is>
      </c>
      <c r="J268" s="660" t="inlineStr">
        <is>
          <t>NA</t>
        </is>
      </c>
      <c r="K268" s="660" t="inlineStr">
        <is>
          <t>NA</t>
        </is>
      </c>
      <c r="L268" s="662" t="n"/>
      <c r="M268" s="663" t="inlineStr">
        <is>
          <t>Australia</t>
        </is>
      </c>
      <c r="N268" s="664" t="inlineStr">
        <is>
          <t>CSC</t>
        </is>
      </c>
      <c r="O268" s="664" t="n">
        <v>1</v>
      </c>
      <c r="P268" s="664" t="n"/>
      <c r="Q268" s="664" t="inlineStr">
        <is>
          <t>Permanent - Full Time</t>
        </is>
      </c>
      <c r="R268" s="666" t="n"/>
      <c r="S268" s="666" t="n"/>
      <c r="T268" s="667" t="n">
        <v>295000</v>
      </c>
      <c r="U268" s="668" t="n">
        <v>295000</v>
      </c>
      <c r="V268" s="670" t="n">
        <v>0.2</v>
      </c>
      <c r="W268" s="921" t="n">
        <v>0.055</v>
      </c>
      <c r="X268" s="921" t="n">
        <v>0.12</v>
      </c>
      <c r="Y268" s="922" t="n"/>
      <c r="Z268" s="921" t="n">
        <v>0.04</v>
      </c>
      <c r="AA268" s="919" t="n">
        <v>417425</v>
      </c>
      <c r="AJ268" t="str">
        <f>IFERROR(INDEX(Lists!$U$1:$U$18,MATCH($I268,Lists!$T$1:$T$18,0)),"?")</f>
        <v>COE BP&amp;T</v>
      </c>
      <c r="AK268" t="str">
        <f>IF(LOWER($Q268)="v","Vacant",IF(LOWER($Q268)="pause","Paused",IF(LOWER($Q268)="cxc","Contractor",IF($Q268="Contractor","Contractor","Filled"))))</f>
        <v>Filled</v>
      </c>
      <c r="AL268" t="str">
        <f>IF($M268="NZ","NZ","AU")</f>
        <v>AU</v>
      </c>
      <c r="AM268">
        <f>COUNTIF($AJ$2:$AJ268,$AJ268)</f>
        <v>14.0</v>
      </c>
      <c r="AN268" t="str">
        <f>$AJ268&amp;"|"&amp;$AM268</f>
        <v>COE BP&amp;T|14</v>
      </c>
    </row>
    <row r="269" ht="18" customHeight="1" s="849">
      <c r="A269" s="659" t="inlineStr">
        <is>
          <t>V</t>
        </is>
      </c>
      <c r="B269" s="660" t="inlineStr">
        <is>
          <t>Vacant</t>
        </is>
      </c>
      <c r="C269" s="660" t="inlineStr">
        <is>
          <t>Commercial Director</t>
        </is>
      </c>
      <c r="D269" s="660" t="inlineStr">
        <is>
          <t>Michael Schofield</t>
        </is>
      </c>
      <c r="E269" s="660" t="inlineStr">
        <is>
          <t>GM TDD, Partnering &amp; Transformation</t>
        </is>
      </c>
      <c r="F269" s="661" t="inlineStr">
        <is>
          <t>Partnering &amp; Transformation</t>
        </is>
      </c>
      <c r="G269" s="660" t="inlineStr">
        <is>
          <t>Commercial</t>
        </is>
      </c>
      <c r="H269" s="660" t="inlineStr">
        <is>
          <t>NA</t>
        </is>
      </c>
      <c r="I269" s="660" t="inlineStr">
        <is>
          <t>COE - Partnering &amp; Transformation</t>
        </is>
      </c>
      <c r="J269" s="660" t="inlineStr">
        <is>
          <t>NA</t>
        </is>
      </c>
      <c r="K269" s="660" t="inlineStr">
        <is>
          <t>NA</t>
        </is>
      </c>
      <c r="L269" s="662" t="n"/>
      <c r="M269" s="663" t="inlineStr">
        <is>
          <t>Australia</t>
        </is>
      </c>
      <c r="N269" s="664" t="inlineStr">
        <is>
          <t>LSB</t>
        </is>
      </c>
      <c r="O269" s="664" t="n">
        <v>1</v>
      </c>
      <c r="P269" s="664" t="n"/>
      <c r="Q269" s="664" t="inlineStr">
        <is>
          <t>v</t>
        </is>
      </c>
      <c r="R269" s="666" t="n"/>
      <c r="S269" s="666" t="n"/>
      <c r="T269" s="667" t="n">
        <v>300000</v>
      </c>
      <c r="U269" s="668" t="n">
        <v>300000</v>
      </c>
      <c r="V269" s="670" t="n">
        <v>0.25</v>
      </c>
      <c r="W269" s="921" t="n">
        <v>0.055</v>
      </c>
      <c r="X269" s="921" t="n">
        <v>0.12</v>
      </c>
      <c r="Y269" s="922" t="n"/>
      <c r="Z269" s="921" t="n">
        <v>0.04</v>
      </c>
      <c r="AA269" s="919" t="n">
        <v>439499.9999999999</v>
      </c>
      <c r="AJ269" t="str">
        <f>IFERROR(INDEX(Lists!$U$1:$U$18,MATCH($I269,Lists!$T$1:$T$18,0)),"?")</f>
        <v>COE BP&amp;T</v>
      </c>
      <c r="AK269" t="str">
        <f>IF(LOWER($Q269)="v","Vacant",IF(LOWER($Q269)="pause","Paused",IF(LOWER($Q269)="cxc","Contractor",IF($Q269="Contractor","Contractor","Filled"))))</f>
        <v>Vacant</v>
      </c>
      <c r="AL269" t="str">
        <f>IF($M269="NZ","NZ","AU")</f>
        <v>AU</v>
      </c>
      <c r="AM269">
        <f>COUNTIF($AJ$2:$AJ269,$AJ269)</f>
        <v>15.0</v>
      </c>
      <c r="AN269" t="str">
        <f>$AJ269&amp;"|"&amp;$AM269</f>
        <v>COE BP&amp;T|15</v>
      </c>
    </row>
    <row r="270" ht="18" customHeight="1" s="849">
      <c r="A270" s="659" t="inlineStr">
        <is>
          <t>V</t>
        </is>
      </c>
      <c r="B270" s="660" t="inlineStr">
        <is>
          <t>Vacant</t>
        </is>
      </c>
      <c r="C270" s="660" t="inlineStr">
        <is>
          <t>Head of Transformation</t>
        </is>
      </c>
      <c r="D270" s="660" t="inlineStr">
        <is>
          <t>Michael Schofield</t>
        </is>
      </c>
      <c r="E270" s="660" t="inlineStr">
        <is>
          <t>Head of Service Operatoins &amp; Assurance</t>
        </is>
      </c>
      <c r="F270" s="661" t="inlineStr">
        <is>
          <t>Partnering &amp; Transformation</t>
        </is>
      </c>
      <c r="G270" s="660" t="inlineStr">
        <is>
          <t>Transformation</t>
        </is>
      </c>
      <c r="H270" s="660" t="inlineStr">
        <is>
          <t>NA</t>
        </is>
      </c>
      <c r="I270" s="660" t="inlineStr">
        <is>
          <t>COE - Partnering &amp; Transformation</t>
        </is>
      </c>
      <c r="J270" s="660" t="inlineStr">
        <is>
          <t>NA</t>
        </is>
      </c>
      <c r="K270" s="660" t="inlineStr">
        <is>
          <t>NA</t>
        </is>
      </c>
      <c r="L270" s="662" t="n"/>
      <c r="M270" s="663" t="inlineStr">
        <is>
          <t>Australia</t>
        </is>
      </c>
      <c r="N270" s="664" t="inlineStr">
        <is>
          <t>CSC</t>
        </is>
      </c>
      <c r="O270" s="664" t="n">
        <v>1</v>
      </c>
      <c r="P270" s="664" t="n"/>
      <c r="Q270" s="664" t="inlineStr">
        <is>
          <t>v</t>
        </is>
      </c>
      <c r="R270" s="666" t="n"/>
      <c r="S270" s="666" t="n"/>
      <c r="T270" s="667" t="n">
        <v>260000</v>
      </c>
      <c r="U270" s="668" t="n">
        <v>260000</v>
      </c>
      <c r="V270" s="670" t="n">
        <v>0.2</v>
      </c>
      <c r="W270" s="921" t="n">
        <v>0.055</v>
      </c>
      <c r="X270" s="921" t="n">
        <v>0.12</v>
      </c>
      <c r="Y270" s="922" t="n"/>
      <c r="Z270" s="921" t="n">
        <v>0.04</v>
      </c>
      <c r="AA270" s="919" t="n">
        <v>367900</v>
      </c>
      <c r="AJ270" t="str">
        <f>IFERROR(INDEX(Lists!$U$1:$U$18,MATCH($I270,Lists!$T$1:$T$18,0)),"?")</f>
        <v>COE BP&amp;T</v>
      </c>
      <c r="AK270" t="str">
        <f>IF(LOWER($Q270)="v","Vacant",IF(LOWER($Q270)="pause","Paused",IF(LOWER($Q270)="cxc","Contractor",IF($Q270="Contractor","Contractor","Filled"))))</f>
        <v>Vacant</v>
      </c>
      <c r="AL270" t="str">
        <f>IF($M270="NZ","NZ","AU")</f>
        <v>AU</v>
      </c>
      <c r="AM270">
        <f>COUNTIF($AJ$2:$AJ270,$AJ270)</f>
        <v>16.0</v>
      </c>
      <c r="AN270" t="str">
        <f>$AJ270&amp;"|"&amp;$AM270</f>
        <v>COE BP&amp;T|16</v>
      </c>
    </row>
    <row r="271" ht="18" customHeight="1" s="849">
      <c r="A271" s="659" t="inlineStr">
        <is>
          <t>V</t>
        </is>
      </c>
      <c r="B271" s="660" t="inlineStr">
        <is>
          <t>Vacant</t>
        </is>
      </c>
      <c r="C271" s="660" t="inlineStr">
        <is>
          <t>Delivery Systems Analyst</t>
        </is>
      </c>
      <c r="D271" s="660" t="inlineStr">
        <is>
          <t>Ruth Chou</t>
        </is>
      </c>
      <c r="E271" s="660" t="inlineStr">
        <is>
          <t>Portfolio Reporting Manger</t>
        </is>
      </c>
      <c r="F271" s="661" t="inlineStr">
        <is>
          <t>Partnering &amp; Transformation</t>
        </is>
      </c>
      <c r="G271" s="660" t="inlineStr">
        <is>
          <t>Transformation</t>
        </is>
      </c>
      <c r="H271" s="660" t="inlineStr">
        <is>
          <t>NA</t>
        </is>
      </c>
      <c r="I271" s="660" t="inlineStr">
        <is>
          <t>COE - Partnering &amp; Transformation</t>
        </is>
      </c>
      <c r="J271" s="660" t="inlineStr">
        <is>
          <t>NA</t>
        </is>
      </c>
      <c r="K271" s="660" t="inlineStr">
        <is>
          <t>NA</t>
        </is>
      </c>
      <c r="L271" s="662" t="n"/>
      <c r="M271" s="663" t="inlineStr">
        <is>
          <t>Australia</t>
        </is>
      </c>
      <c r="N271" s="664" t="inlineStr">
        <is>
          <t>cib</t>
        </is>
      </c>
      <c r="O271" s="664" t="n">
        <v>1</v>
      </c>
      <c r="P271" s="664" t="n"/>
      <c r="Q271" s="664" t="inlineStr">
        <is>
          <t>V</t>
        </is>
      </c>
      <c r="R271" s="666" t="n"/>
      <c r="S271" s="666" t="n"/>
      <c r="T271" s="667" t="n">
        <v>151950</v>
      </c>
      <c r="U271" s="668" t="n">
        <v>151950</v>
      </c>
      <c r="V271" s="670" t="n">
        <v>0.12</v>
      </c>
      <c r="W271" s="921" t="n">
        <v>0.055</v>
      </c>
      <c r="X271" s="921" t="n">
        <v>0.12</v>
      </c>
      <c r="Y271" s="922" t="n"/>
      <c r="Z271" s="921" t="n">
        <v>0.04</v>
      </c>
      <c r="AA271" s="919" t="n">
        <v>202853.25</v>
      </c>
      <c r="AJ271" t="str">
        <f>IFERROR(INDEX(Lists!$U$1:$U$18,MATCH($I271,Lists!$T$1:$T$18,0)),"?")</f>
        <v>COE BP&amp;T</v>
      </c>
      <c r="AK271" t="str">
        <f>IF(LOWER($Q271)="v","Vacant",IF(LOWER($Q271)="pause","Paused",IF(LOWER($Q271)="cxc","Contractor",IF($Q271="Contractor","Contractor","Filled"))))</f>
        <v>Vacant</v>
      </c>
      <c r="AL271" t="str">
        <f>IF($M271="NZ","NZ","AU")</f>
        <v>AU</v>
      </c>
      <c r="AM271">
        <f>COUNTIF($AJ$2:$AJ271,$AJ271)</f>
        <v>17.0</v>
      </c>
      <c r="AN271" t="str">
        <f>$AJ271&amp;"|"&amp;$AM271</f>
        <v>COE BP&amp;T|17</v>
      </c>
    </row>
    <row r="272" ht="18" customHeight="1" s="849">
      <c r="A272" s="659" t="inlineStr">
        <is>
          <t>V</t>
        </is>
      </c>
      <c r="B272" s="660" t="inlineStr">
        <is>
          <t>Vacant</t>
        </is>
      </c>
      <c r="C272" s="660" t="inlineStr">
        <is>
          <t>Business Analysis Practice Lead</t>
        </is>
      </c>
      <c r="D272" s="662" t="inlineStr">
        <is>
          <t>Vacant</t>
        </is>
      </c>
      <c r="E272" s="660" t="inlineStr">
        <is>
          <t>Delivery Excellence Manager</t>
        </is>
      </c>
      <c r="F272" s="661" t="inlineStr">
        <is>
          <t>Partnering &amp; Transformation</t>
        </is>
      </c>
      <c r="G272" s="660" t="inlineStr">
        <is>
          <t>Transformation</t>
        </is>
      </c>
      <c r="H272" s="660" t="inlineStr">
        <is>
          <t>NA</t>
        </is>
      </c>
      <c r="I272" s="660" t="inlineStr">
        <is>
          <t>COE - Partnering &amp; Transformation</t>
        </is>
      </c>
      <c r="J272" s="660" t="inlineStr">
        <is>
          <t>NA</t>
        </is>
      </c>
      <c r="K272" s="660" t="inlineStr">
        <is>
          <t>NA</t>
        </is>
      </c>
      <c r="L272" s="662" t="n"/>
      <c r="M272" s="663" t="inlineStr">
        <is>
          <t>Australia</t>
        </is>
      </c>
      <c r="N272" s="664" t="inlineStr">
        <is>
          <t>CIC</t>
        </is>
      </c>
      <c r="O272" s="664" t="n">
        <v>1</v>
      </c>
      <c r="P272" s="664" t="n"/>
      <c r="Q272" s="664" t="inlineStr">
        <is>
          <t>V</t>
        </is>
      </c>
      <c r="R272" s="666" t="n"/>
      <c r="S272" s="666" t="n"/>
      <c r="T272" s="667" t="n">
        <v>173550</v>
      </c>
      <c r="U272" s="668" t="n">
        <v>173550</v>
      </c>
      <c r="V272" s="670" t="n">
        <v>0.12</v>
      </c>
      <c r="W272" s="921" t="n">
        <v>0.055</v>
      </c>
      <c r="X272" s="921" t="n">
        <v>0.12</v>
      </c>
      <c r="Y272" s="922" t="n"/>
      <c r="Z272" s="921" t="n">
        <v>0.04</v>
      </c>
      <c r="AA272" s="919" t="n">
        <v>231689.25</v>
      </c>
      <c r="AJ272" t="str">
        <f>IFERROR(INDEX(Lists!$U$1:$U$18,MATCH($I272,Lists!$T$1:$T$18,0)),"?")</f>
        <v>COE BP&amp;T</v>
      </c>
      <c r="AK272" t="str">
        <f>IF(LOWER($Q272)="v","Vacant",IF(LOWER($Q272)="pause","Paused",IF(LOWER($Q272)="cxc","Contractor",IF($Q272="Contractor","Contractor","Filled"))))</f>
        <v>Vacant</v>
      </c>
      <c r="AL272" t="str">
        <f>IF($M272="NZ","NZ","AU")</f>
        <v>AU</v>
      </c>
      <c r="AM272">
        <f>COUNTIF($AJ$2:$AJ272,$AJ272)</f>
        <v>18.0</v>
      </c>
      <c r="AN272" t="str">
        <f>$AJ272&amp;"|"&amp;$AM272</f>
        <v>COE BP&amp;T|18</v>
      </c>
    </row>
    <row r="273" ht="18" customHeight="1" s="849">
      <c r="A273" s="659" t="inlineStr">
        <is>
          <t>V</t>
        </is>
      </c>
      <c r="B273" s="662" t="inlineStr">
        <is>
          <t>Vacant</t>
        </is>
      </c>
      <c r="C273" s="662" t="inlineStr">
        <is>
          <t>Delivery Assurance Manager</t>
        </is>
      </c>
      <c r="D273" s="662" t="inlineStr">
        <is>
          <t>Vacant</t>
        </is>
      </c>
      <c r="E273" s="662" t="inlineStr">
        <is>
          <t xml:space="preserve">Manager Identity &amp; Access Management </t>
        </is>
      </c>
      <c r="F273" s="661" t="inlineStr">
        <is>
          <t>Partnering &amp; Transformation</t>
        </is>
      </c>
      <c r="G273" s="662" t="inlineStr">
        <is>
          <t>Transformation</t>
        </is>
      </c>
      <c r="H273" s="660" t="inlineStr">
        <is>
          <t>NA</t>
        </is>
      </c>
      <c r="I273" s="660" t="inlineStr">
        <is>
          <t>COE - Partnering &amp; Transformation</t>
        </is>
      </c>
      <c r="J273" s="660" t="inlineStr">
        <is>
          <t>NA</t>
        </is>
      </c>
      <c r="K273" s="660" t="inlineStr">
        <is>
          <t>NA</t>
        </is>
      </c>
      <c r="L273" s="662" t="n"/>
      <c r="M273" s="663" t="inlineStr">
        <is>
          <t>Australia</t>
        </is>
      </c>
      <c r="N273" s="664" t="inlineStr">
        <is>
          <t>CSB</t>
        </is>
      </c>
      <c r="O273" s="664" t="n">
        <v>1</v>
      </c>
      <c r="P273" s="664" t="n"/>
      <c r="Q273" s="664" t="inlineStr">
        <is>
          <t>V</t>
        </is>
      </c>
      <c r="R273" s="666" t="n"/>
      <c r="S273" s="666" t="n"/>
      <c r="T273" s="667" t="n">
        <v>203550</v>
      </c>
      <c r="U273" s="668" t="n">
        <v>203550</v>
      </c>
      <c r="V273" s="670" t="n">
        <v>0.14</v>
      </c>
      <c r="W273" s="921" t="n">
        <v>0.055</v>
      </c>
      <c r="X273" s="921" t="n">
        <v>0.12</v>
      </c>
      <c r="Y273" s="922" t="n"/>
      <c r="Z273" s="921" t="n">
        <v>0.04</v>
      </c>
      <c r="AA273" s="919" t="n">
        <v>275810.25</v>
      </c>
      <c r="AJ273" t="str">
        <f>IFERROR(INDEX(Lists!$U$1:$U$18,MATCH($I273,Lists!$T$1:$T$18,0)),"?")</f>
        <v>COE BP&amp;T</v>
      </c>
      <c r="AK273" t="str">
        <f>IF(LOWER($Q273)="v","Vacant",IF(LOWER($Q273)="pause","Paused",IF(LOWER($Q273)="cxc","Contractor",IF($Q273="Contractor","Contractor","Filled"))))</f>
        <v>Vacant</v>
      </c>
      <c r="AL273" t="str">
        <f>IF($M273="NZ","NZ","AU")</f>
        <v>AU</v>
      </c>
      <c r="AM273">
        <f>COUNTIF($AJ$2:$AJ273,$AJ273)</f>
        <v>19.0</v>
      </c>
      <c r="AN273" t="str">
        <f>$AJ273&amp;"|"&amp;$AM273</f>
        <v>COE BP&amp;T|19</v>
      </c>
    </row>
    <row r="274" ht="18" customHeight="1" s="849">
      <c r="A274" s="659" t="inlineStr">
        <is>
          <t>V</t>
        </is>
      </c>
      <c r="B274" s="660" t="inlineStr">
        <is>
          <t>Vacant</t>
        </is>
      </c>
      <c r="C274" s="660" t="inlineStr">
        <is>
          <t>Delivery Capacity &amp; Assurance Lead</t>
        </is>
      </c>
      <c r="D274" s="740" t="inlineStr">
        <is>
          <t>Vacant</t>
        </is>
      </c>
      <c r="E274" s="662" t="inlineStr">
        <is>
          <t>vacant</t>
        </is>
      </c>
      <c r="F274" s="661" t="inlineStr">
        <is>
          <t>Partnering &amp; Transformation</t>
        </is>
      </c>
      <c r="G274" s="660" t="inlineStr">
        <is>
          <t>Transformation</t>
        </is>
      </c>
      <c r="H274" s="660" t="inlineStr">
        <is>
          <t>NA</t>
        </is>
      </c>
      <c r="I274" s="660" t="inlineStr">
        <is>
          <t>COE - Partnering &amp; Transformation</t>
        </is>
      </c>
      <c r="J274" s="660" t="inlineStr">
        <is>
          <t>NA</t>
        </is>
      </c>
      <c r="K274" s="660" t="inlineStr">
        <is>
          <t>NA</t>
        </is>
      </c>
      <c r="L274" s="662" t="n"/>
      <c r="M274" s="663" t="inlineStr">
        <is>
          <t>Australia</t>
        </is>
      </c>
      <c r="N274" s="664" t="inlineStr">
        <is>
          <t>CIC</t>
        </is>
      </c>
      <c r="O274" s="664" t="n">
        <v>1</v>
      </c>
      <c r="P274" s="664" t="n"/>
      <c r="Q274" s="664" t="inlineStr">
        <is>
          <t>V</t>
        </is>
      </c>
      <c r="R274" s="666" t="n"/>
      <c r="S274" s="666" t="n"/>
      <c r="T274" s="667" t="n">
        <v>173550</v>
      </c>
      <c r="U274" s="668" t="n">
        <v>173550</v>
      </c>
      <c r="V274" s="670" t="n">
        <v>0.12</v>
      </c>
      <c r="W274" s="921" t="n">
        <v>0.055</v>
      </c>
      <c r="X274" s="921" t="n">
        <v>0.12</v>
      </c>
      <c r="Y274" s="922" t="n"/>
      <c r="Z274" s="921" t="n">
        <v>0.04</v>
      </c>
      <c r="AA274" s="919" t="n">
        <v>231689.25</v>
      </c>
      <c r="AJ274" t="str">
        <f>IFERROR(INDEX(Lists!$U$1:$U$18,MATCH($I274,Lists!$T$1:$T$18,0)),"?")</f>
        <v>COE BP&amp;T</v>
      </c>
      <c r="AK274" t="str">
        <f>IF(LOWER($Q274)="v","Vacant",IF(LOWER($Q274)="pause","Paused",IF(LOWER($Q274)="cxc","Contractor",IF($Q274="Contractor","Contractor","Filled"))))</f>
        <v>Vacant</v>
      </c>
      <c r="AL274" t="str">
        <f>IF($M274="NZ","NZ","AU")</f>
        <v>AU</v>
      </c>
      <c r="AM274">
        <f>COUNTIF($AJ$2:$AJ274,$AJ274)</f>
        <v>20.0</v>
      </c>
      <c r="AN274" t="str">
        <f>$AJ274&amp;"|"&amp;$AM274</f>
        <v>COE BP&amp;T|20</v>
      </c>
    </row>
    <row r="275" ht="18" customHeight="1" s="849">
      <c r="A275" s="659" t="inlineStr">
        <is>
          <t>V</t>
        </is>
      </c>
      <c r="B275" s="660" t="inlineStr">
        <is>
          <t>Vacant</t>
        </is>
      </c>
      <c r="C275" s="660" t="inlineStr">
        <is>
          <t>Delivery Excellence Manager</t>
        </is>
      </c>
      <c r="D275" s="662" t="inlineStr">
        <is>
          <t>Vacant</t>
        </is>
      </c>
      <c r="E275" s="660" t="inlineStr">
        <is>
          <t xml:space="preserve">CISO </t>
        </is>
      </c>
      <c r="F275" s="661" t="inlineStr">
        <is>
          <t>Partnering &amp; Transformation</t>
        </is>
      </c>
      <c r="G275" s="660" t="inlineStr">
        <is>
          <t>Transformation</t>
        </is>
      </c>
      <c r="H275" s="660" t="inlineStr">
        <is>
          <t>NA</t>
        </is>
      </c>
      <c r="I275" s="660" t="inlineStr">
        <is>
          <t>COE - Partnering &amp; Transformation</t>
        </is>
      </c>
      <c r="J275" s="660" t="inlineStr">
        <is>
          <t>NA</t>
        </is>
      </c>
      <c r="K275" s="660" t="inlineStr">
        <is>
          <t>NA</t>
        </is>
      </c>
      <c r="L275" s="662" t="n"/>
      <c r="M275" s="663" t="inlineStr">
        <is>
          <t>Australia</t>
        </is>
      </c>
      <c r="N275" s="664" t="inlineStr">
        <is>
          <t>CSB</t>
        </is>
      </c>
      <c r="O275" s="664" t="n">
        <v>1</v>
      </c>
      <c r="P275" s="664" t="n"/>
      <c r="Q275" s="664" t="inlineStr">
        <is>
          <t>V</t>
        </is>
      </c>
      <c r="R275" s="666" t="n"/>
      <c r="S275" s="666" t="n"/>
      <c r="T275" s="667" t="n">
        <v>203550</v>
      </c>
      <c r="U275" s="668" t="n">
        <v>203550</v>
      </c>
      <c r="V275" s="670" t="n">
        <v>0.14</v>
      </c>
      <c r="W275" s="921" t="n">
        <v>0.055</v>
      </c>
      <c r="X275" s="921" t="n">
        <v>0.12</v>
      </c>
      <c r="Y275" s="922" t="n"/>
      <c r="Z275" s="921" t="n">
        <v>0.04</v>
      </c>
      <c r="AA275" s="919" t="n">
        <v>275810.25</v>
      </c>
      <c r="AJ275" t="str">
        <f>IFERROR(INDEX(Lists!$U$1:$U$18,MATCH($I275,Lists!$T$1:$T$18,0)),"?")</f>
        <v>COE BP&amp;T</v>
      </c>
      <c r="AK275" t="str">
        <f>IF(LOWER($Q275)="v","Vacant",IF(LOWER($Q275)="pause","Paused",IF(LOWER($Q275)="cxc","Contractor",IF($Q275="Contractor","Contractor","Filled"))))</f>
        <v>Vacant</v>
      </c>
      <c r="AL275" t="str">
        <f>IF($M275="NZ","NZ","AU")</f>
        <v>AU</v>
      </c>
      <c r="AM275">
        <f>COUNTIF($AJ$2:$AJ275,$AJ275)</f>
        <v>21.0</v>
      </c>
      <c r="AN275" t="str">
        <f>$AJ275&amp;"|"&amp;$AM275</f>
        <v>COE BP&amp;T|21</v>
      </c>
    </row>
    <row r="276" ht="18" customHeight="1" s="849">
      <c r="A276" s="659" t="inlineStr">
        <is>
          <t>V</t>
        </is>
      </c>
      <c r="B276" s="660" t="inlineStr">
        <is>
          <t>Vacant</t>
        </is>
      </c>
      <c r="C276" s="660" t="inlineStr">
        <is>
          <t>Scrum Master</t>
        </is>
      </c>
      <c r="D276" s="662" t="inlineStr">
        <is>
          <t>Vacant</t>
        </is>
      </c>
      <c r="E276" s="660" t="inlineStr">
        <is>
          <t xml:space="preserve">Lead Technology Support </t>
        </is>
      </c>
      <c r="F276" s="661" t="inlineStr">
        <is>
          <t>Partnering &amp; Transformation</t>
        </is>
      </c>
      <c r="G276" s="660" t="inlineStr">
        <is>
          <t>Transformation</t>
        </is>
      </c>
      <c r="H276" s="660" t="inlineStr">
        <is>
          <t>NA</t>
        </is>
      </c>
      <c r="I276" s="660" t="inlineStr">
        <is>
          <t>COE - Partnering &amp; Transformation</t>
        </is>
      </c>
      <c r="J276" s="660" t="inlineStr">
        <is>
          <t>NA</t>
        </is>
      </c>
      <c r="K276" s="660" t="inlineStr">
        <is>
          <t>NA</t>
        </is>
      </c>
      <c r="L276" s="662" t="n"/>
      <c r="M276" s="663" t="inlineStr">
        <is>
          <t>NZ</t>
        </is>
      </c>
      <c r="N276" s="664" t="inlineStr">
        <is>
          <t>CIA</t>
        </is>
      </c>
      <c r="O276" s="664" t="n">
        <v>1</v>
      </c>
      <c r="P276" s="664" t="n"/>
      <c r="Q276" s="664" t="inlineStr">
        <is>
          <t>v</t>
        </is>
      </c>
      <c r="R276" s="666" t="n"/>
      <c r="S276" s="666" t="n"/>
      <c r="T276" s="667" t="n">
        <v>131550</v>
      </c>
      <c r="U276" s="668" t="n">
        <v>121026</v>
      </c>
      <c r="V276" s="669" t="n">
        <v>0.15</v>
      </c>
      <c r="W276" s="666" t="n"/>
      <c r="X276" s="670" t="n">
        <v>0.05</v>
      </c>
      <c r="Y276" s="918" t="n">
        <v>2910</v>
      </c>
      <c r="Z276" s="670" t="n">
        <v>0.03</v>
      </c>
      <c r="AA276" s="919" t="n">
        <v>151771.98</v>
      </c>
      <c r="AJ276" t="str">
        <f>IFERROR(INDEX(Lists!$U$1:$U$18,MATCH($I276,Lists!$T$1:$T$18,0)),"?")</f>
        <v>COE BP&amp;T</v>
      </c>
      <c r="AK276" t="str">
        <f>IF(LOWER($Q276)="v","Vacant",IF(LOWER($Q276)="pause","Paused",IF(LOWER($Q276)="cxc","Contractor",IF($Q276="Contractor","Contractor","Filled"))))</f>
        <v>Vacant</v>
      </c>
      <c r="AL276" t="str">
        <f>IF($M276="NZ","NZ","AU")</f>
        <v>NZ</v>
      </c>
      <c r="AM276">
        <f>COUNTIF($AJ$2:$AJ276,$AJ276)</f>
        <v>22.0</v>
      </c>
      <c r="AN276" t="str">
        <f>$AJ276&amp;"|"&amp;$AM276</f>
        <v>COE BP&amp;T|22</v>
      </c>
    </row>
    <row r="277" ht="18" customHeight="1" s="849">
      <c r="A277" s="659" t="inlineStr">
        <is>
          <t>V</t>
        </is>
      </c>
      <c r="B277" s="660" t="inlineStr">
        <is>
          <t xml:space="preserve">Vacant </t>
        </is>
      </c>
      <c r="C277" s="660" t="inlineStr">
        <is>
          <t>Portfolio Analyst</t>
        </is>
      </c>
      <c r="D277" s="660" t="inlineStr">
        <is>
          <t>Ruth Chou</t>
        </is>
      </c>
      <c r="E277" s="660" t="inlineStr">
        <is>
          <t xml:space="preserve">Manager Service Perforance &amp; Assurance </t>
        </is>
      </c>
      <c r="F277" s="661" t="inlineStr">
        <is>
          <t>Partnering &amp; Transformation</t>
        </is>
      </c>
      <c r="G277" s="660" t="inlineStr">
        <is>
          <t>Transformation</t>
        </is>
      </c>
      <c r="H277" s="660" t="inlineStr">
        <is>
          <t>NA</t>
        </is>
      </c>
      <c r="I277" s="660" t="inlineStr">
        <is>
          <t>COE - Partnering &amp; Transformation</t>
        </is>
      </c>
      <c r="J277" s="660" t="inlineStr">
        <is>
          <t>NA</t>
        </is>
      </c>
      <c r="K277" s="660" t="inlineStr">
        <is>
          <t>NA</t>
        </is>
      </c>
      <c r="L277" s="662" t="n"/>
      <c r="M277" s="663" t="inlineStr">
        <is>
          <t>Australia</t>
        </is>
      </c>
      <c r="N277" s="664" t="inlineStr">
        <is>
          <t>CIA</t>
        </is>
      </c>
      <c r="O277" s="664" t="n">
        <v>1</v>
      </c>
      <c r="P277" s="664" t="n"/>
      <c r="Q277" s="664" t="inlineStr">
        <is>
          <t>v</t>
        </is>
      </c>
      <c r="R277" s="666" t="n"/>
      <c r="S277" s="666" t="n"/>
      <c r="T277" s="667" t="n">
        <v>129650</v>
      </c>
      <c r="U277" s="668" t="n">
        <v>129650</v>
      </c>
      <c r="V277" s="670" t="n">
        <v>0.1</v>
      </c>
      <c r="W277" s="921" t="n">
        <v>0.055</v>
      </c>
      <c r="X277" s="921" t="n">
        <v>0.12</v>
      </c>
      <c r="Y277" s="922" t="n"/>
      <c r="Z277" s="921" t="n">
        <v>0.04</v>
      </c>
      <c r="AA277" s="919" t="n">
        <v>170489.75</v>
      </c>
      <c r="AC277" s="708" t="n"/>
      <c r="AJ277" t="str">
        <f>IFERROR(INDEX(Lists!$U$1:$U$18,MATCH($I277,Lists!$T$1:$T$18,0)),"?")</f>
        <v>COE BP&amp;T</v>
      </c>
      <c r="AK277" t="str">
        <f>IF(LOWER($Q277)="v","Vacant",IF(LOWER($Q277)="pause","Paused",IF(LOWER($Q277)="cxc","Contractor",IF($Q277="Contractor","Contractor","Filled"))))</f>
        <v>Vacant</v>
      </c>
      <c r="AL277" t="str">
        <f>IF($M277="NZ","NZ","AU")</f>
        <v>AU</v>
      </c>
      <c r="AM277">
        <f>COUNTIF($AJ$2:$AJ277,$AJ277)</f>
        <v>23.0</v>
      </c>
      <c r="AN277" t="str">
        <f>$AJ277&amp;"|"&amp;$AM277</f>
        <v>COE BP&amp;T|23</v>
      </c>
    </row>
    <row r="278" ht="18" customHeight="1" s="849">
      <c r="A278" s="659" t="n">
        <v>101862</v>
      </c>
      <c r="B278" s="660" t="inlineStr">
        <is>
          <t>Vaughn Scott</t>
        </is>
      </c>
      <c r="C278" s="660" t="inlineStr">
        <is>
          <t>TDD BP - ES</t>
        </is>
      </c>
      <c r="D278" s="660" t="inlineStr">
        <is>
          <t>Michael Schofield</t>
        </is>
      </c>
      <c r="E278" s="660" t="inlineStr">
        <is>
          <t>GM TDD, Partnering &amp; Transformation</t>
        </is>
      </c>
      <c r="F278" s="661" t="inlineStr">
        <is>
          <t>Partnering &amp; Transformation</t>
        </is>
      </c>
      <c r="G278" s="660" t="inlineStr">
        <is>
          <t>TDD Business Partner</t>
        </is>
      </c>
      <c r="H278" s="660" t="inlineStr">
        <is>
          <t>NA</t>
        </is>
      </c>
      <c r="I278" s="660" t="inlineStr">
        <is>
          <t>COE - Partnering &amp; Transformation</t>
        </is>
      </c>
      <c r="J278" s="660" t="inlineStr">
        <is>
          <t>NA</t>
        </is>
      </c>
      <c r="K278" s="660" t="inlineStr">
        <is>
          <t>NA</t>
        </is>
      </c>
      <c r="L278" s="662" t="n"/>
      <c r="M278" s="663" t="inlineStr">
        <is>
          <t>Australia</t>
        </is>
      </c>
      <c r="N278" s="664" t="inlineStr">
        <is>
          <t>CSC</t>
        </is>
      </c>
      <c r="O278" s="664" t="n">
        <v>1</v>
      </c>
      <c r="P278" s="664" t="n"/>
      <c r="Q278" s="664" t="inlineStr">
        <is>
          <t>Permanent - Full Time</t>
        </is>
      </c>
      <c r="R278" s="666" t="n"/>
      <c r="S278" s="666" t="n"/>
      <c r="T278" s="667" t="n">
        <v>242660</v>
      </c>
      <c r="U278" s="668" t="n">
        <v>242660</v>
      </c>
      <c r="V278" s="670" t="n">
        <v>0.2</v>
      </c>
      <c r="W278" s="921" t="n">
        <v>0.055</v>
      </c>
      <c r="X278" s="921" t="n">
        <v>0.12</v>
      </c>
      <c r="Y278" s="922" t="n"/>
      <c r="Z278" s="921" t="n">
        <v>0.04</v>
      </c>
      <c r="AA278" s="919" t="n">
        <v>343363.9</v>
      </c>
      <c r="AJ278" t="str">
        <f>IFERROR(INDEX(Lists!$U$1:$U$18,MATCH($I278,Lists!$T$1:$T$18,0)),"?")</f>
        <v>COE BP&amp;T</v>
      </c>
      <c r="AK278" t="str">
        <f>IF(LOWER($Q278)="v","Vacant",IF(LOWER($Q278)="pause","Paused",IF(LOWER($Q278)="cxc","Contractor",IF($Q278="Contractor","Contractor","Filled"))))</f>
        <v>Filled</v>
      </c>
      <c r="AL278" t="str">
        <f>IF($M278="NZ","NZ","AU")</f>
        <v>AU</v>
      </c>
      <c r="AM278">
        <f>COUNTIF($AJ$2:$AJ278,$AJ278)</f>
        <v>24.0</v>
      </c>
      <c r="AN278" t="str">
        <f>$AJ278&amp;"|"&amp;$AM278</f>
        <v>COE BP&amp;T|24</v>
      </c>
    </row>
    <row r="279" ht="18" customHeight="1" s="849">
      <c r="A279" s="659" t="n">
        <v>116032</v>
      </c>
      <c r="B279" s="662" t="inlineStr">
        <is>
          <t>Abdul Ghaffar</t>
        </is>
      </c>
      <c r="C279" s="662" t="inlineStr">
        <is>
          <t>Applications Specialist - Demand Planning</t>
        </is>
      </c>
      <c r="D279" s="660" t="inlineStr">
        <is>
          <t>Sai Konka</t>
        </is>
      </c>
      <c r="E279" s="660" t="inlineStr">
        <is>
          <t>Applications &amp; Analytics Manager</t>
        </is>
      </c>
      <c r="F279" s="763" t="inlineStr">
        <is>
          <t>Strategy, Architecture &amp; Data</t>
        </is>
      </c>
      <c r="G279" s="662" t="inlineStr">
        <is>
          <t>Group Data</t>
        </is>
      </c>
      <c r="H279" s="705" t="inlineStr">
        <is>
          <t>Data Engineering &amp; Platforms</t>
        </is>
      </c>
      <c r="I279" s="705" t="inlineStr">
        <is>
          <t>Enterprise Data</t>
        </is>
      </c>
      <c r="J279" s="705" t="inlineStr">
        <is>
          <t>EGI</t>
        </is>
      </c>
      <c r="K279" s="705" t="inlineStr">
        <is>
          <t>Reporting &amp; Analytics</t>
        </is>
      </c>
      <c r="L279" s="662" t="n"/>
      <c r="M279" s="663" t="inlineStr">
        <is>
          <t>Australia</t>
        </is>
      </c>
      <c r="N279" s="664" t="inlineStr">
        <is>
          <t>CIB</t>
        </is>
      </c>
      <c r="O279" s="664" t="n">
        <v>1</v>
      </c>
      <c r="P279" s="664" t="n"/>
      <c r="Q279" s="664" t="inlineStr">
        <is>
          <t>Permanent - Full Time</t>
        </is>
      </c>
      <c r="R279" s="666" t="n"/>
      <c r="S279" s="666" t="n"/>
      <c r="T279" s="667" t="n">
        <v>180000</v>
      </c>
      <c r="U279" s="668" t="n">
        <v>180000</v>
      </c>
      <c r="V279" s="670" t="n">
        <v>0.12</v>
      </c>
      <c r="W279" s="921" t="n">
        <v>0.055</v>
      </c>
      <c r="X279" s="921" t="n">
        <v>0.12</v>
      </c>
      <c r="Y279" s="922" t="n"/>
      <c r="Z279" s="921" t="n">
        <v>0.04</v>
      </c>
      <c r="AA279" s="919">
        <f>U279*(1+V279+W279+X279+Y279+Z279)</f>
        <v>240300.0</v>
      </c>
      <c r="AJ279" t="str">
        <f>IFERROR(INDEX(Lists!$U$1:$U$18,MATCH($I279,Lists!$T$1:$T$18,0)),"?")</f>
        <v>Enterprise Data</v>
      </c>
      <c r="AK279" t="str">
        <f>IF(LOWER($Q279)="v","Vacant",IF(LOWER($Q279)="pause","Paused",IF(LOWER($Q279)="cxc","Contractor",IF($Q279="Contractor","Contractor","Filled"))))</f>
        <v>Filled</v>
      </c>
      <c r="AL279" t="str">
        <f>IF($M279="NZ","NZ","AU")</f>
        <v>AU</v>
      </c>
      <c r="AM279">
        <f>COUNTIF($AJ$2:$AJ279,$AJ279)</f>
        <v>1.0</v>
      </c>
      <c r="AN279" t="str">
        <f>$AJ279&amp;"|"&amp;$AM279</f>
        <v>Enterprise Data|1</v>
      </c>
    </row>
    <row r="280" ht="18" customHeight="1" s="849">
      <c r="A280" s="659" t="n">
        <v>102098</v>
      </c>
      <c r="B280" s="660" t="inlineStr">
        <is>
          <t>Bobby Mason</t>
        </is>
      </c>
      <c r="C280" s="660" t="inlineStr">
        <is>
          <t>Reporting Analyst</t>
        </is>
      </c>
      <c r="D280" s="660" t="inlineStr">
        <is>
          <t>Prashanth Krishnankutty</t>
        </is>
      </c>
      <c r="E280" s="660" t="inlineStr">
        <is>
          <t>Lead, Reporting &amp; Insights</t>
        </is>
      </c>
      <c r="F280" s="763" t="inlineStr">
        <is>
          <t>Strategy, Architecture &amp; Data</t>
        </is>
      </c>
      <c r="G280" s="662" t="inlineStr">
        <is>
          <t>Group Data</t>
        </is>
      </c>
      <c r="H280" s="705" t="inlineStr">
        <is>
          <t>Data Engineering &amp; Platforms</t>
        </is>
      </c>
      <c r="I280" s="705" t="inlineStr">
        <is>
          <t>Enterprise Data</t>
        </is>
      </c>
      <c r="J280" s="705" t="inlineStr">
        <is>
          <t>Group Data</t>
        </is>
      </c>
      <c r="K280" s="705" t="inlineStr">
        <is>
          <t>Reporting &amp; Analytics</t>
        </is>
      </c>
      <c r="L280" s="662" t="n"/>
      <c r="M280" s="663" t="inlineStr">
        <is>
          <t>Australia</t>
        </is>
      </c>
      <c r="N280" s="664" t="inlineStr">
        <is>
          <t>CIB</t>
        </is>
      </c>
      <c r="O280" s="664" t="n">
        <v>1</v>
      </c>
      <c r="P280" s="664" t="n"/>
      <c r="Q280" s="664" t="inlineStr">
        <is>
          <t>Permanent - Full Time</t>
        </is>
      </c>
      <c r="R280" s="666" t="n"/>
      <c r="S280" s="666" t="n"/>
      <c r="T280" s="667" t="n">
        <v>166560</v>
      </c>
      <c r="U280" s="668" t="n">
        <v>166560</v>
      </c>
      <c r="V280" s="670" t="n">
        <v>0.12</v>
      </c>
      <c r="W280" s="921" t="n">
        <v>0.055</v>
      </c>
      <c r="X280" s="921" t="n">
        <v>0.12</v>
      </c>
      <c r="Y280" s="922" t="n"/>
      <c r="Z280" s="921" t="n">
        <v>0.04</v>
      </c>
      <c r="AA280" s="919">
        <f>U280*(1+V280+W280+X280+Y280+Z280)</f>
        <v>222357.6</v>
      </c>
      <c r="AJ280" t="str">
        <f>IFERROR(INDEX(Lists!$U$1:$U$18,MATCH($I280,Lists!$T$1:$T$18,0)),"?")</f>
        <v>Enterprise Data</v>
      </c>
      <c r="AK280" t="str">
        <f>IF(LOWER($Q280)="v","Vacant",IF(LOWER($Q280)="pause","Paused",IF(LOWER($Q280)="cxc","Contractor",IF($Q280="Contractor","Contractor","Filled"))))</f>
        <v>Filled</v>
      </c>
      <c r="AL280" t="str">
        <f>IF($M280="NZ","NZ","AU")</f>
        <v>AU</v>
      </c>
      <c r="AM280">
        <f>COUNTIF($AJ$2:$AJ280,$AJ280)</f>
        <v>2.0</v>
      </c>
      <c r="AN280" t="str">
        <f>$AJ280&amp;"|"&amp;$AM280</f>
        <v>Enterprise Data|2</v>
      </c>
    </row>
    <row r="281" ht="18" customHeight="1" s="849">
      <c r="A281" s="659" t="n">
        <v>99999101507</v>
      </c>
      <c r="B281" s="660" t="inlineStr">
        <is>
          <t>Carol Kuang</t>
        </is>
      </c>
      <c r="C281" s="660" t="inlineStr">
        <is>
          <t>Senior Data Scientist</t>
        </is>
      </c>
      <c r="D281" s="660" t="inlineStr">
        <is>
          <t>Jonathan Robinson</t>
        </is>
      </c>
      <c r="E281" s="660" t="inlineStr">
        <is>
          <t>Technology Manager, Data Science</t>
        </is>
      </c>
      <c r="F281" s="763" t="inlineStr">
        <is>
          <t>Strategy, Architecture &amp; Data</t>
        </is>
      </c>
      <c r="G281" s="662" t="inlineStr">
        <is>
          <t>Group Data</t>
        </is>
      </c>
      <c r="H281" s="705" t="inlineStr">
        <is>
          <t>Data Science</t>
        </is>
      </c>
      <c r="I281" s="705" t="inlineStr">
        <is>
          <t>Enterprise Data</t>
        </is>
      </c>
      <c r="J281" s="705" t="inlineStr">
        <is>
          <t>Group Data</t>
        </is>
      </c>
      <c r="K281" s="662" t="inlineStr">
        <is>
          <t>Data Science</t>
        </is>
      </c>
      <c r="L281" s="662" t="n"/>
      <c r="M281" s="663" t="inlineStr">
        <is>
          <t>NZ</t>
        </is>
      </c>
      <c r="N281" s="664" t="inlineStr">
        <is>
          <t>CIC</t>
        </is>
      </c>
      <c r="O281" s="665" t="n">
        <v>1</v>
      </c>
      <c r="P281" s="664" t="n"/>
      <c r="Q281" s="665" t="inlineStr">
        <is>
          <t>Permanent - Full Time</t>
        </is>
      </c>
      <c r="R281" s="666" t="n"/>
      <c r="S281" s="666" t="n"/>
      <c r="T281" s="667" t="n">
        <v>160800</v>
      </c>
      <c r="U281" s="668" t="n">
        <v>147936</v>
      </c>
      <c r="V281" s="669" t="n">
        <v>0.15</v>
      </c>
      <c r="W281" s="665" t="n"/>
      <c r="X281" s="670" t="n">
        <v>0.05</v>
      </c>
      <c r="Y281" s="918" t="n">
        <v>2910</v>
      </c>
      <c r="Z281" s="670" t="n">
        <v>0.03</v>
      </c>
      <c r="AA281" s="919">
        <f>U281*(1+V281+X281+Z281)+Y281</f>
        <v>184871.28</v>
      </c>
      <c r="AB281" s="754" t="n">
        <v>113527</v>
      </c>
      <c r="AH281" s="920" t="n">
        <v>418</v>
      </c>
      <c r="AJ281" t="str">
        <f>IFERROR(INDEX(Lists!$U$1:$U$18,MATCH($I281,Lists!$T$1:$T$18,0)),"?")</f>
        <v>Enterprise Data</v>
      </c>
      <c r="AK281" t="str">
        <f>IF(LOWER($Q281)="v","Vacant",IF(LOWER($Q281)="pause","Paused",IF(LOWER($Q281)="cxc","Contractor",IF($Q281="Contractor","Contractor","Filled"))))</f>
        <v>Filled</v>
      </c>
      <c r="AL281" t="str">
        <f>IF($M281="NZ","NZ","AU")</f>
        <v>NZ</v>
      </c>
      <c r="AM281">
        <f>COUNTIF($AJ$2:$AJ281,$AJ281)</f>
        <v>3.0</v>
      </c>
      <c r="AN281" t="str">
        <f>$AJ281&amp;"|"&amp;$AM281</f>
        <v>Enterprise Data|3</v>
      </c>
    </row>
    <row r="282" ht="18" customHeight="1" s="849">
      <c r="A282" s="666" t="n">
        <v>115483</v>
      </c>
      <c r="B282" s="659" t="inlineStr">
        <is>
          <t>Craig Ambrose</t>
        </is>
      </c>
      <c r="C282" s="660" t="inlineStr">
        <is>
          <t>Domain Architect - Group Functions</t>
        </is>
      </c>
      <c r="D282" s="660" t="inlineStr">
        <is>
          <t>Vacant</t>
        </is>
      </c>
      <c r="E282" s="660" t="inlineStr">
        <is>
          <t>Head of Architecture</t>
        </is>
      </c>
      <c r="F282" s="763" t="inlineStr">
        <is>
          <t>Strategy, Architecture &amp; Data</t>
        </is>
      </c>
      <c r="G282" s="662" t="inlineStr">
        <is>
          <t>Architecture</t>
        </is>
      </c>
      <c r="H282" s="705" t="inlineStr">
        <is>
          <t>Architecture</t>
        </is>
      </c>
      <c r="I282" s="883" t="inlineStr">
        <is>
          <t>COE - Strategy, Architecture, Data</t>
        </is>
      </c>
      <c r="J282" s="705" t="n"/>
      <c r="K282" s="662" t="n"/>
      <c r="L282" s="662" t="n"/>
      <c r="M282" s="663" t="inlineStr">
        <is>
          <t>NZ</t>
        </is>
      </c>
      <c r="N282" s="664" t="inlineStr">
        <is>
          <t>CSB</t>
        </is>
      </c>
      <c r="O282" s="664" t="n">
        <v>1</v>
      </c>
      <c r="P282" s="664" t="n"/>
      <c r="Q282" s="664" t="inlineStr">
        <is>
          <t>Permanent - Full Time</t>
        </is>
      </c>
      <c r="R282" s="666" t="n"/>
      <c r="S282" s="666" t="n"/>
      <c r="T282" s="667" t="n">
        <v>211940</v>
      </c>
      <c r="U282" s="668" t="n">
        <v>194984.8</v>
      </c>
      <c r="V282" s="669" t="n">
        <v>0.15</v>
      </c>
      <c r="W282" s="666" t="n"/>
      <c r="X282" s="670" t="n">
        <v>0.05</v>
      </c>
      <c r="Y282" s="918" t="n">
        <v>2910</v>
      </c>
      <c r="Z282" s="670" t="n">
        <v>0.03</v>
      </c>
      <c r="AA282" s="919">
        <f>U282*(1+V282+X282+Z282)+Y282</f>
        <v>242741.30399999997</v>
      </c>
      <c r="AJ282" t="str">
        <f>IFERROR(INDEX(Lists!$U$1:$U$18,MATCH($I282,Lists!$T$1:$T$18,0)),"?")</f>
        <v>COE SA&amp;D</v>
      </c>
      <c r="AK282" t="str">
        <f>IF(LOWER($Q282)="v","Vacant",IF(LOWER($Q282)="pause","Paused",IF(LOWER($Q282)="cxc","Contractor",IF($Q282="Contractor","Contractor","Filled"))))</f>
        <v>Filled</v>
      </c>
      <c r="AL282" t="str">
        <f>IF($M282="NZ","NZ","AU")</f>
        <v>NZ</v>
      </c>
      <c r="AM282">
        <f>COUNTIF($AJ$2:$AJ282,$AJ282)</f>
        <v>1.0</v>
      </c>
      <c r="AN282" t="str">
        <f>$AJ282&amp;"|"&amp;$AM282</f>
        <v>COE SA&amp;D|1</v>
      </c>
    </row>
    <row r="283" ht="18" customHeight="1" s="849">
      <c r="A283" s="659" t="n">
        <v>113956</v>
      </c>
      <c r="B283" s="660" t="inlineStr">
        <is>
          <t>Deepali Mahajan</t>
        </is>
      </c>
      <c r="C283" s="660" t="inlineStr">
        <is>
          <t>Data Operations Manager</t>
        </is>
      </c>
      <c r="D283" s="660" t="inlineStr">
        <is>
          <t>James Holgate</t>
        </is>
      </c>
      <c r="E283" s="660" t="inlineStr">
        <is>
          <t>Head of Technology,  Group Data</t>
        </is>
      </c>
      <c r="F283" s="763" t="inlineStr">
        <is>
          <t>Strategy, Architecture &amp; Data</t>
        </is>
      </c>
      <c r="G283" s="662" t="inlineStr">
        <is>
          <t>Group Data</t>
        </is>
      </c>
      <c r="H283" s="662" t="inlineStr">
        <is>
          <t>Data Operations</t>
        </is>
      </c>
      <c r="I283" s="705" t="inlineStr">
        <is>
          <t>Enterprise Data</t>
        </is>
      </c>
      <c r="J283" s="705" t="inlineStr">
        <is>
          <t>Leadership</t>
        </is>
      </c>
      <c r="K283" s="662" t="n"/>
      <c r="L283" s="662" t="n"/>
      <c r="M283" s="663" t="inlineStr">
        <is>
          <t>Australia</t>
        </is>
      </c>
      <c r="N283" s="664" t="inlineStr">
        <is>
          <t>CSB</t>
        </is>
      </c>
      <c r="O283" s="664" t="n">
        <v>1</v>
      </c>
      <c r="P283" s="664" t="n"/>
      <c r="Q283" s="664" t="inlineStr">
        <is>
          <t>Permanent - Full Time</t>
        </is>
      </c>
      <c r="R283" s="666" t="n"/>
      <c r="S283" s="666" t="n"/>
      <c r="T283" s="667" t="n">
        <v>218390</v>
      </c>
      <c r="U283" s="668" t="n">
        <v>218390</v>
      </c>
      <c r="V283" s="670" t="n">
        <v>0.14</v>
      </c>
      <c r="W283" s="921" t="n">
        <v>0.055</v>
      </c>
      <c r="X283" s="921" t="n">
        <v>0.12</v>
      </c>
      <c r="Y283" s="922" t="n"/>
      <c r="Z283" s="921" t="n">
        <v>0.04</v>
      </c>
      <c r="AA283" s="919">
        <f>U283*(1+V283+W283+X283+Y283+Z283)</f>
        <v>295918.45</v>
      </c>
      <c r="AJ283" t="str">
        <f>IFERROR(INDEX(Lists!$U$1:$U$18,MATCH($I283,Lists!$T$1:$T$18,0)),"?")</f>
        <v>Enterprise Data</v>
      </c>
      <c r="AK283" t="str">
        <f>IF(LOWER($Q283)="v","Vacant",IF(LOWER($Q283)="pause","Paused",IF(LOWER($Q283)="cxc","Contractor",IF($Q283="Contractor","Contractor","Filled"))))</f>
        <v>Filled</v>
      </c>
      <c r="AL283" t="str">
        <f>IF($M283="NZ","NZ","AU")</f>
        <v>AU</v>
      </c>
      <c r="AM283">
        <f>COUNTIF($AJ$2:$AJ283,$AJ283)</f>
        <v>4.0</v>
      </c>
      <c r="AN283" t="str">
        <f>$AJ283&amp;"|"&amp;$AM283</f>
        <v>Enterprise Data|4</v>
      </c>
    </row>
    <row r="284" ht="18" customHeight="1" s="849">
      <c r="A284" s="764" t="n">
        <v>105010</v>
      </c>
      <c r="B284" s="660" t="inlineStr">
        <is>
          <t>Dinesh Chandrasekaran</t>
        </is>
      </c>
      <c r="C284" s="660" t="inlineStr">
        <is>
          <t>Lead Engineer (Snowflake)</t>
        </is>
      </c>
      <c r="D284" s="660" t="inlineStr">
        <is>
          <t>Jason Gleason</t>
        </is>
      </c>
      <c r="E284" s="660" t="inlineStr">
        <is>
          <t>Technology Manager, Data Engineering &amp; Platforms</t>
        </is>
      </c>
      <c r="F284" s="661" t="inlineStr">
        <is>
          <t>Strategy, Architecture &amp; Data</t>
        </is>
      </c>
      <c r="G284" s="660" t="inlineStr">
        <is>
          <t>Group Data</t>
        </is>
      </c>
      <c r="H284" s="705" t="inlineStr">
        <is>
          <t>Data Engineering &amp; Platforms</t>
        </is>
      </c>
      <c r="I284" s="662" t="inlineStr">
        <is>
          <t>Enterprise Data</t>
        </is>
      </c>
      <c r="J284" s="705" t="inlineStr">
        <is>
          <t>Group Data</t>
        </is>
      </c>
      <c r="K284" s="662" t="inlineStr">
        <is>
          <t>Data Platform</t>
        </is>
      </c>
      <c r="L284" s="662" t="n"/>
      <c r="M284" s="663" t="inlineStr">
        <is>
          <t>Australia</t>
        </is>
      </c>
      <c r="N284" s="765" t="inlineStr">
        <is>
          <t xml:space="preserve">CIB </t>
        </is>
      </c>
      <c r="O284" s="765" t="n">
        <v>1</v>
      </c>
      <c r="P284" s="765" t="n"/>
      <c r="Q284" s="765" t="inlineStr">
        <is>
          <t>Permanent - Full Time</t>
        </is>
      </c>
      <c r="R284" s="660" t="n"/>
      <c r="S284" s="660" t="n"/>
      <c r="T284" s="766" t="n">
        <v>182760</v>
      </c>
      <c r="U284" s="668" t="n">
        <v>182760</v>
      </c>
      <c r="V284" s="670" t="n">
        <v>0.12</v>
      </c>
      <c r="W284" s="921" t="n">
        <v>0.055</v>
      </c>
      <c r="X284" s="921" t="n">
        <v>0.12</v>
      </c>
      <c r="Y284" s="922" t="n"/>
      <c r="Z284" s="921" t="n">
        <v>0.04</v>
      </c>
      <c r="AA284" s="919">
        <f>U284*(1+V284+W284+X284+Y284+Z284)</f>
        <v>243984.6</v>
      </c>
      <c r="AJ284" t="str">
        <f>IFERROR(INDEX(Lists!$U$1:$U$18,MATCH($I284,Lists!$T$1:$T$18,0)),"?")</f>
        <v>Enterprise Data</v>
      </c>
      <c r="AK284" t="str">
        <f>IF(LOWER($Q284)="v","Vacant",IF(LOWER($Q284)="pause","Paused",IF(LOWER($Q284)="cxc","Contractor",IF($Q284="Contractor","Contractor","Filled"))))</f>
        <v>Filled</v>
      </c>
      <c r="AL284" t="str">
        <f>IF($M284="NZ","NZ","AU")</f>
        <v>AU</v>
      </c>
      <c r="AM284">
        <f>COUNTIF($AJ$2:$AJ284,$AJ284)</f>
        <v>5.0</v>
      </c>
      <c r="AN284" t="str">
        <f>$AJ284&amp;"|"&amp;$AM284</f>
        <v>Enterprise Data|5</v>
      </c>
    </row>
    <row r="285" ht="18" customHeight="1" s="849">
      <c r="A285" s="659" t="n">
        <v>80469</v>
      </c>
      <c r="B285" s="660" t="inlineStr">
        <is>
          <t>James Holgate</t>
        </is>
      </c>
      <c r="C285" s="660" t="inlineStr">
        <is>
          <t>Head of Technology,  Group Data</t>
        </is>
      </c>
      <c r="D285" s="660" t="inlineStr">
        <is>
          <t>Matt Ashley</t>
        </is>
      </c>
      <c r="E285" s="660" t="inlineStr">
        <is>
          <t>GM TDD, Strategy, Architecture, Data</t>
        </is>
      </c>
      <c r="F285" s="763" t="inlineStr">
        <is>
          <t>Strategy, Architecture &amp; Data</t>
        </is>
      </c>
      <c r="G285" s="662" t="inlineStr">
        <is>
          <t>Group Data</t>
        </is>
      </c>
      <c r="H285" s="705" t="inlineStr">
        <is>
          <t>Leadership</t>
        </is>
      </c>
      <c r="I285" s="662" t="inlineStr">
        <is>
          <t>Enterprise Data</t>
        </is>
      </c>
      <c r="J285" s="705" t="inlineStr">
        <is>
          <t>Leadership</t>
        </is>
      </c>
      <c r="K285" s="705" t="n"/>
      <c r="L285" s="662" t="n"/>
      <c r="M285" s="663" t="inlineStr">
        <is>
          <t>Australia</t>
        </is>
      </c>
      <c r="N285" s="666" t="inlineStr">
        <is>
          <t>CSC</t>
        </is>
      </c>
      <c r="O285" s="666" t="n">
        <v>1</v>
      </c>
      <c r="P285" s="666" t="n"/>
      <c r="Q285" s="666" t="inlineStr">
        <is>
          <t>Permanent - Full Time</t>
        </is>
      </c>
      <c r="R285" s="666" t="n"/>
      <c r="S285" s="666" t="n"/>
      <c r="T285" s="667" t="n">
        <v>289580</v>
      </c>
      <c r="U285" s="668" t="n">
        <v>289580</v>
      </c>
      <c r="V285" s="670" t="n">
        <v>0.2</v>
      </c>
      <c r="W285" s="921" t="n">
        <v>0.055</v>
      </c>
      <c r="X285" s="921" t="n">
        <v>0.12</v>
      </c>
      <c r="Y285" s="922" t="n"/>
      <c r="Z285" s="921" t="n">
        <v>0.04</v>
      </c>
      <c r="AA285" s="919">
        <f>U285*(1+V285+W285+X285+Y285+Z285)</f>
        <v>409755.7</v>
      </c>
      <c r="AJ285" t="str">
        <f>IFERROR(INDEX(Lists!$U$1:$U$18,MATCH($I285,Lists!$T$1:$T$18,0)),"?")</f>
        <v>Enterprise Data</v>
      </c>
      <c r="AK285" t="str">
        <f>IF(LOWER($Q285)="v","Vacant",IF(LOWER($Q285)="pause","Paused",IF(LOWER($Q285)="cxc","Contractor",IF($Q285="Contractor","Contractor","Filled"))))</f>
        <v>Filled</v>
      </c>
      <c r="AL285" t="str">
        <f>IF($M285="NZ","NZ","AU")</f>
        <v>AU</v>
      </c>
      <c r="AM285">
        <f>COUNTIF($AJ$2:$AJ285,$AJ285)</f>
        <v>6.0</v>
      </c>
      <c r="AN285" t="str">
        <f>$AJ285&amp;"|"&amp;$AM285</f>
        <v>Enterprise Data|6</v>
      </c>
    </row>
    <row r="286" ht="18" customHeight="1" s="849">
      <c r="A286" s="659" t="n">
        <v>99999102152</v>
      </c>
      <c r="B286" s="660" t="inlineStr">
        <is>
          <t>Jason Gleason</t>
        </is>
      </c>
      <c r="C286" s="660" t="inlineStr">
        <is>
          <t>Technology Manager, Data Engineering &amp; Platforms</t>
        </is>
      </c>
      <c r="D286" s="660" t="inlineStr">
        <is>
          <t>James Holgate</t>
        </is>
      </c>
      <c r="E286" s="660" t="inlineStr">
        <is>
          <t>Head of Technology,  Group Data</t>
        </is>
      </c>
      <c r="F286" s="763" t="inlineStr">
        <is>
          <t>Strategy, Architecture &amp; Data</t>
        </is>
      </c>
      <c r="G286" s="662" t="inlineStr">
        <is>
          <t>Group Data</t>
        </is>
      </c>
      <c r="H286" s="705" t="inlineStr">
        <is>
          <t>Data Engineering &amp; Platforms</t>
        </is>
      </c>
      <c r="I286" s="705" t="inlineStr">
        <is>
          <t>Enterprise Data</t>
        </is>
      </c>
      <c r="J286" s="737" t="inlineStr">
        <is>
          <t>Leadership</t>
        </is>
      </c>
      <c r="K286" s="662" t="n"/>
      <c r="L286" s="662" t="n"/>
      <c r="M286" s="663" t="inlineStr">
        <is>
          <t>NZ</t>
        </is>
      </c>
      <c r="N286" s="664" t="inlineStr">
        <is>
          <t>CSC</t>
        </is>
      </c>
      <c r="O286" s="665" t="n">
        <v>1</v>
      </c>
      <c r="P286" s="664" t="n"/>
      <c r="Q286" s="665" t="inlineStr">
        <is>
          <t>Permanent - Full Time</t>
        </is>
      </c>
      <c r="R286" s="666" t="n"/>
      <c r="S286" s="666" t="n"/>
      <c r="T286" s="667" t="n">
        <v>270000</v>
      </c>
      <c r="U286" s="668" t="n">
        <v>248400</v>
      </c>
      <c r="V286" s="669" t="n">
        <v>0.2</v>
      </c>
      <c r="W286" s="665" t="n"/>
      <c r="X286" s="670" t="n">
        <v>0.05</v>
      </c>
      <c r="Y286" s="918" t="n">
        <v>2910</v>
      </c>
      <c r="Z286" s="670" t="n">
        <v>0.03</v>
      </c>
      <c r="AA286" s="919">
        <f>U286*(1+V286+X286+Z286)+Y286</f>
        <v>320862.0</v>
      </c>
      <c r="AB286" s="754" t="n">
        <v>116999</v>
      </c>
      <c r="AJ286" t="str">
        <f>IFERROR(INDEX(Lists!$U$1:$U$18,MATCH($I286,Lists!$T$1:$T$18,0)),"?")</f>
        <v>Enterprise Data</v>
      </c>
      <c r="AK286" t="str">
        <f>IF(LOWER($Q286)="v","Vacant",IF(LOWER($Q286)="pause","Paused",IF(LOWER($Q286)="cxc","Contractor",IF($Q286="Contractor","Contractor","Filled"))))</f>
        <v>Filled</v>
      </c>
      <c r="AL286" t="str">
        <f>IF($M286="NZ","NZ","AU")</f>
        <v>NZ</v>
      </c>
      <c r="AM286">
        <f>COUNTIF($AJ$2:$AJ286,$AJ286)</f>
        <v>7.0</v>
      </c>
      <c r="AN286" t="str">
        <f>$AJ286&amp;"|"&amp;$AM286</f>
        <v>Enterprise Data|7</v>
      </c>
    </row>
    <row r="287" ht="18" customHeight="1" s="849">
      <c r="A287" s="659" t="n">
        <v>113381</v>
      </c>
      <c r="B287" s="660" t="inlineStr">
        <is>
          <t>Joel Vijayakumar</t>
        </is>
      </c>
      <c r="C287" s="660" t="inlineStr">
        <is>
          <t>Delivery Manager, Strategy, Architecture &amp; Data</t>
        </is>
      </c>
      <c r="D287" s="660" t="inlineStr">
        <is>
          <t>Matt Ashley</t>
        </is>
      </c>
      <c r="E287" s="660" t="inlineStr">
        <is>
          <t>GM TDD, Strategy, Architecture, Data</t>
        </is>
      </c>
      <c r="F287" s="763" t="inlineStr">
        <is>
          <t>Strategy, Architecture &amp; Data</t>
        </is>
      </c>
      <c r="G287" s="662" t="inlineStr">
        <is>
          <t>Delivery, SADA</t>
        </is>
      </c>
      <c r="H287" s="662" t="n"/>
      <c r="I287" s="883" t="inlineStr">
        <is>
          <t>COE - Strategy, Architecture, Data</t>
        </is>
      </c>
      <c r="J287" s="705" t="inlineStr">
        <is>
          <t>Leadership</t>
        </is>
      </c>
      <c r="K287" s="705" t="n"/>
      <c r="L287" s="662" t="n"/>
      <c r="M287" s="663" t="inlineStr">
        <is>
          <t>Australia</t>
        </is>
      </c>
      <c r="N287" s="664" t="inlineStr">
        <is>
          <t>CSC</t>
        </is>
      </c>
      <c r="O287" s="664" t="n">
        <v>1</v>
      </c>
      <c r="P287" s="664" t="n"/>
      <c r="Q287" s="664" t="inlineStr">
        <is>
          <t>Permanent - Full Time</t>
        </is>
      </c>
      <c r="R287" s="666" t="n"/>
      <c r="S287" s="666" t="n"/>
      <c r="T287" s="667" t="n">
        <v>260840</v>
      </c>
      <c r="U287" s="668" t="n">
        <v>260840</v>
      </c>
      <c r="V287" s="670" t="n">
        <v>0.2</v>
      </c>
      <c r="W287" s="921" t="n">
        <v>0.055</v>
      </c>
      <c r="X287" s="921" t="n">
        <v>0.12</v>
      </c>
      <c r="Y287" s="922" t="n"/>
      <c r="Z287" s="921" t="n">
        <v>0.04</v>
      </c>
      <c r="AA287" s="919">
        <f>U287*(1+V287+W287+X287+Y287+Z287)</f>
        <v>369088.60000000003</v>
      </c>
      <c r="AJ287" t="str">
        <f>IFERROR(INDEX(Lists!$U$1:$U$18,MATCH($I287,Lists!$T$1:$T$18,0)),"?")</f>
        <v>COE SA&amp;D</v>
      </c>
      <c r="AK287" t="str">
        <f>IF(LOWER($Q287)="v","Vacant",IF(LOWER($Q287)="pause","Paused",IF(LOWER($Q287)="cxc","Contractor",IF($Q287="Contractor","Contractor","Filled"))))</f>
        <v>Filled</v>
      </c>
      <c r="AL287" t="str">
        <f>IF($M287="NZ","NZ","AU")</f>
        <v>AU</v>
      </c>
      <c r="AM287">
        <f>COUNTIF($AJ$2:$AJ287,$AJ287)</f>
        <v>2.0</v>
      </c>
      <c r="AN287" t="str">
        <f>$AJ287&amp;"|"&amp;$AM287</f>
        <v>COE SA&amp;D|2</v>
      </c>
    </row>
    <row r="288" ht="18" customHeight="1" s="849">
      <c r="A288" s="659" t="n"/>
      <c r="B288" s="660" t="inlineStr">
        <is>
          <t>John Forde</t>
        </is>
      </c>
      <c r="C288" s="660" t="inlineStr">
        <is>
          <t>Enterprise Architect</t>
        </is>
      </c>
      <c r="D288" s="660" t="inlineStr">
        <is>
          <t>Vacant</t>
        </is>
      </c>
      <c r="E288" s="660" t="inlineStr">
        <is>
          <t>Head of Architecture</t>
        </is>
      </c>
      <c r="F288" s="763" t="inlineStr">
        <is>
          <t>Strategy, Architecture &amp; Data</t>
        </is>
      </c>
      <c r="G288" s="662" t="inlineStr">
        <is>
          <t>Architecture</t>
        </is>
      </c>
      <c r="H288" s="705" t="inlineStr">
        <is>
          <t>Architecture</t>
        </is>
      </c>
      <c r="I288" s="883" t="inlineStr">
        <is>
          <t>COE - Strategy, Architecture, Data</t>
        </is>
      </c>
      <c r="J288" s="705" t="n"/>
      <c r="K288" s="662" t="n"/>
      <c r="L288" s="662" t="n"/>
      <c r="M288" s="663" t="inlineStr">
        <is>
          <t>NZ</t>
        </is>
      </c>
      <c r="N288" s="664" t="inlineStr">
        <is>
          <t>CSB</t>
        </is>
      </c>
      <c r="O288" s="664" t="n">
        <v>1</v>
      </c>
      <c r="P288" s="664" t="n"/>
      <c r="Q288" s="664" t="inlineStr">
        <is>
          <t>Permanent - Full Time</t>
        </is>
      </c>
      <c r="R288" s="677" t="n"/>
      <c r="S288" s="666" t="n"/>
      <c r="T288" s="667" t="n">
        <v>186780</v>
      </c>
      <c r="U288" s="668" t="n">
        <v>171837.6</v>
      </c>
      <c r="V288" s="669" t="n">
        <v>0.15</v>
      </c>
      <c r="W288" s="666" t="n"/>
      <c r="X288" s="670" t="n">
        <v>0.05</v>
      </c>
      <c r="Y288" s="918" t="n">
        <v>2910</v>
      </c>
      <c r="Z288" s="670" t="n">
        <v>0.03</v>
      </c>
      <c r="AA288" s="919">
        <f>U288*(1+V288+X288+Z288)+Y288</f>
        <v>214270.248</v>
      </c>
      <c r="AJ288" t="str">
        <f>IFERROR(INDEX(Lists!$U$1:$U$18,MATCH($I288,Lists!$T$1:$T$18,0)),"?")</f>
        <v>COE SA&amp;D</v>
      </c>
      <c r="AK288" t="str">
        <f>IF(LOWER($Q288)="v","Vacant",IF(LOWER($Q288)="pause","Paused",IF(LOWER($Q288)="cxc","Contractor",IF($Q288="Contractor","Contractor","Filled"))))</f>
        <v>Filled</v>
      </c>
      <c r="AL288" t="str">
        <f>IF($M288="NZ","NZ","AU")</f>
        <v>NZ</v>
      </c>
      <c r="AM288">
        <f>COUNTIF($AJ$2:$AJ288,$AJ288)</f>
        <v>3.0</v>
      </c>
      <c r="AN288" t="str">
        <f>$AJ288&amp;"|"&amp;$AM288</f>
        <v>COE SA&amp;D|3</v>
      </c>
    </row>
    <row r="289" ht="18" customHeight="1" s="849">
      <c r="A289" s="659" t="n">
        <v>114067</v>
      </c>
      <c r="B289" s="660" t="inlineStr">
        <is>
          <t>Jonathan Robinson</t>
        </is>
      </c>
      <c r="C289" s="660" t="inlineStr">
        <is>
          <t>Technology Manager  Data Science</t>
        </is>
      </c>
      <c r="D289" s="660" t="inlineStr">
        <is>
          <t>James Holgate</t>
        </is>
      </c>
      <c r="E289" s="660" t="inlineStr">
        <is>
          <t>Head of Technology,  Group Data</t>
        </is>
      </c>
      <c r="F289" s="763" t="inlineStr">
        <is>
          <t>Strategy, Architecture &amp; Data</t>
        </is>
      </c>
      <c r="G289" s="662" t="inlineStr">
        <is>
          <t>Group Data</t>
        </is>
      </c>
      <c r="H289" s="662" t="inlineStr">
        <is>
          <t>Data Science</t>
        </is>
      </c>
      <c r="I289" s="705" t="inlineStr">
        <is>
          <t>Enterprise Data</t>
        </is>
      </c>
      <c r="J289" s="705" t="inlineStr">
        <is>
          <t>Leadership</t>
        </is>
      </c>
      <c r="K289" s="662" t="n"/>
      <c r="L289" s="662" t="n"/>
      <c r="M289" s="663" t="inlineStr">
        <is>
          <t>Australia</t>
        </is>
      </c>
      <c r="N289" s="664" t="inlineStr">
        <is>
          <t>CSB</t>
        </is>
      </c>
      <c r="O289" s="664" t="n">
        <v>1</v>
      </c>
      <c r="P289" s="664" t="n"/>
      <c r="Q289" s="664" t="inlineStr">
        <is>
          <t>Permanent - Full Time</t>
        </is>
      </c>
      <c r="R289" s="666" t="n"/>
      <c r="S289" s="666" t="n"/>
      <c r="T289" s="667" t="n">
        <v>243850</v>
      </c>
      <c r="U289" s="668" t="n">
        <v>243850</v>
      </c>
      <c r="V289" s="670" t="n">
        <v>0.14</v>
      </c>
      <c r="W289" s="921" t="n">
        <v>0.055</v>
      </c>
      <c r="X289" s="921" t="n">
        <v>0.12</v>
      </c>
      <c r="Y289" s="922" t="n"/>
      <c r="Z289" s="921" t="n">
        <v>0.04</v>
      </c>
      <c r="AA289" s="919">
        <f>U289*(1+V289+W289+X289+Y289+Z289)</f>
        <v>330416.75</v>
      </c>
      <c r="AJ289" t="str">
        <f>IFERROR(INDEX(Lists!$U$1:$U$18,MATCH($I289,Lists!$T$1:$T$18,0)),"?")</f>
        <v>Enterprise Data</v>
      </c>
      <c r="AK289" t="str">
        <f>IF(LOWER($Q289)="v","Vacant",IF(LOWER($Q289)="pause","Paused",IF(LOWER($Q289)="cxc","Contractor",IF($Q289="Contractor","Contractor","Filled"))))</f>
        <v>Filled</v>
      </c>
      <c r="AL289" t="str">
        <f>IF($M289="NZ","NZ","AU")</f>
        <v>AU</v>
      </c>
      <c r="AM289">
        <f>COUNTIF($AJ$2:$AJ289,$AJ289)</f>
        <v>8.0</v>
      </c>
      <c r="AN289" t="str">
        <f>$AJ289&amp;"|"&amp;$AM289</f>
        <v>Enterprise Data|8</v>
      </c>
    </row>
    <row r="290" ht="18" customHeight="1" s="849">
      <c r="A290" s="659" t="n">
        <v>80477</v>
      </c>
      <c r="B290" s="660" t="inlineStr">
        <is>
          <t>Kina Birkby</t>
        </is>
      </c>
      <c r="C290" s="660" t="inlineStr">
        <is>
          <t>Delivery Lead</t>
        </is>
      </c>
      <c r="D290" s="660" t="inlineStr">
        <is>
          <t>Joel Vijayakumar</t>
        </is>
      </c>
      <c r="E290" s="660" t="inlineStr">
        <is>
          <t>Delivery Manager, Strategy, Architecture &amp; Data</t>
        </is>
      </c>
      <c r="F290" s="763" t="inlineStr">
        <is>
          <t>Strategy, Architecture &amp; Data</t>
        </is>
      </c>
      <c r="G290" s="662" t="inlineStr">
        <is>
          <t>Delivery, SADA</t>
        </is>
      </c>
      <c r="H290" s="662" t="n"/>
      <c r="I290" s="705" t="inlineStr">
        <is>
          <t>Enterprise Data</t>
        </is>
      </c>
      <c r="J290" s="705" t="inlineStr">
        <is>
          <t>Group Data</t>
        </is>
      </c>
      <c r="K290" s="705" t="inlineStr">
        <is>
          <t>Reporting &amp; Analytics</t>
        </is>
      </c>
      <c r="L290" s="662" t="n"/>
      <c r="M290" s="663" t="inlineStr">
        <is>
          <t>Australia</t>
        </is>
      </c>
      <c r="N290" s="666" t="inlineStr">
        <is>
          <t>CIC</t>
        </is>
      </c>
      <c r="O290" s="666" t="n">
        <v>0.6</v>
      </c>
      <c r="P290" s="666" t="n"/>
      <c r="Q290" s="666" t="inlineStr">
        <is>
          <t>Permanent - Part Time</t>
        </is>
      </c>
      <c r="R290" s="666" t="n"/>
      <c r="S290" s="666" t="n"/>
      <c r="T290" s="667" t="n">
        <v>197180</v>
      </c>
      <c r="U290" s="668" t="n">
        <v>197180</v>
      </c>
      <c r="V290" s="670" t="n">
        <v>0.12</v>
      </c>
      <c r="W290" s="921" t="n">
        <v>0.055</v>
      </c>
      <c r="X290" s="921" t="n">
        <v>0.12</v>
      </c>
      <c r="Y290" s="922" t="n"/>
      <c r="Z290" s="921" t="n">
        <v>0.04</v>
      </c>
      <c r="AA290" s="919">
        <f>U290*(1+V290+W290+X290+Y290+Z290)</f>
        <v>263235.3</v>
      </c>
      <c r="AJ290" t="str">
        <f>IFERROR(INDEX(Lists!$U$1:$U$18,MATCH($I290,Lists!$T$1:$T$18,0)),"?")</f>
        <v>Enterprise Data</v>
      </c>
      <c r="AK290" t="str">
        <f>IF(LOWER($Q290)="v","Vacant",IF(LOWER($Q290)="pause","Paused",IF(LOWER($Q290)="cxc","Contractor",IF($Q290="Contractor","Contractor","Filled"))))</f>
        <v>Filled</v>
      </c>
      <c r="AL290" t="str">
        <f>IF($M290="NZ","NZ","AU")</f>
        <v>AU</v>
      </c>
      <c r="AM290">
        <f>COUNTIF($AJ$2:$AJ290,$AJ290)</f>
        <v>9.0</v>
      </c>
      <c r="AN290" t="str">
        <f>$AJ290&amp;"|"&amp;$AM290</f>
        <v>Enterprise Data|9</v>
      </c>
    </row>
    <row r="291" ht="18" customHeight="1" s="849">
      <c r="A291" s="659" t="n">
        <v>99999101535</v>
      </c>
      <c r="B291" s="660" t="inlineStr">
        <is>
          <t>Lynn Yiew</t>
        </is>
      </c>
      <c r="C291" s="660" t="inlineStr">
        <is>
          <t>Data Governance Specialist</t>
        </is>
      </c>
      <c r="D291" s="662" t="inlineStr">
        <is>
          <t>Sanjay Tikoo</t>
        </is>
      </c>
      <c r="E291" s="660" t="inlineStr">
        <is>
          <t>Data Capability Manager</t>
        </is>
      </c>
      <c r="F291" s="763" t="inlineStr">
        <is>
          <t>Strategy, Architecture &amp; Data</t>
        </is>
      </c>
      <c r="G291" s="662" t="inlineStr">
        <is>
          <t>Group Data</t>
        </is>
      </c>
      <c r="H291" s="662" t="inlineStr">
        <is>
          <t>Data Capability</t>
        </is>
      </c>
      <c r="I291" s="883" t="inlineStr">
        <is>
          <t>COE - Strategy, Architecture, Data</t>
        </is>
      </c>
      <c r="J291" s="705" t="n"/>
      <c r="K291" s="662" t="n"/>
      <c r="L291" s="662" t="n"/>
      <c r="M291" s="663" t="inlineStr">
        <is>
          <t>NZ</t>
        </is>
      </c>
      <c r="N291" s="664" t="inlineStr">
        <is>
          <t>CIB</t>
        </is>
      </c>
      <c r="O291" s="665" t="n">
        <v>1</v>
      </c>
      <c r="P291" s="664" t="n"/>
      <c r="Q291" s="665" t="inlineStr">
        <is>
          <t>Permanent - Full Time</t>
        </is>
      </c>
      <c r="R291" s="666" t="n"/>
      <c r="S291" s="666" t="n"/>
      <c r="T291" s="667" t="n">
        <v>129760</v>
      </c>
      <c r="U291" s="668" t="n">
        <v>119379.2</v>
      </c>
      <c r="V291" s="669" t="n">
        <v>0.15</v>
      </c>
      <c r="W291" s="666" t="n"/>
      <c r="X291" s="670" t="n">
        <v>0.05</v>
      </c>
      <c r="Y291" s="918" t="n">
        <v>2910</v>
      </c>
      <c r="Z291" s="670" t="n">
        <v>0.03</v>
      </c>
      <c r="AA291" s="919">
        <f>U291*(1+V291+X291+Z291)+Y291</f>
        <v>149746.416</v>
      </c>
      <c r="AB291" s="754" t="n">
        <v>113582</v>
      </c>
      <c r="AH291" s="920" t="n"/>
      <c r="AJ291" t="str">
        <f>IFERROR(INDEX(Lists!$U$1:$U$18,MATCH($I291,Lists!$T$1:$T$18,0)),"?")</f>
        <v>COE SA&amp;D</v>
      </c>
      <c r="AK291" t="str">
        <f>IF(LOWER($Q291)="v","Vacant",IF(LOWER($Q291)="pause","Paused",IF(LOWER($Q291)="cxc","Contractor",IF($Q291="Contractor","Contractor","Filled"))))</f>
        <v>Filled</v>
      </c>
      <c r="AL291" t="str">
        <f>IF($M291="NZ","NZ","AU")</f>
        <v>NZ</v>
      </c>
      <c r="AM291">
        <f>COUNTIF($AJ$2:$AJ291,$AJ291)</f>
        <v>4.0</v>
      </c>
      <c r="AN291" t="str">
        <f>$AJ291&amp;"|"&amp;$AM291</f>
        <v>COE SA&amp;D|4</v>
      </c>
    </row>
    <row r="292" ht="18" customHeight="1" s="849">
      <c r="A292" s="666" t="n">
        <v>113595</v>
      </c>
      <c r="B292" s="659" t="inlineStr">
        <is>
          <t>Mike Gilbert</t>
        </is>
      </c>
      <c r="C292" s="660" t="inlineStr">
        <is>
          <t xml:space="preserve">Domain Architect - CFE &amp; Infrastructure </t>
        </is>
      </c>
      <c r="D292" s="660" t="inlineStr">
        <is>
          <t>Vacant</t>
        </is>
      </c>
      <c r="E292" s="660" t="inlineStr">
        <is>
          <t>Head of Architecture</t>
        </is>
      </c>
      <c r="F292" s="763" t="inlineStr">
        <is>
          <t>Strategy, Architecture &amp; Data</t>
        </is>
      </c>
      <c r="G292" s="662" t="inlineStr">
        <is>
          <t>Architecture</t>
        </is>
      </c>
      <c r="H292" s="767" t="inlineStr">
        <is>
          <t>Architecture</t>
        </is>
      </c>
      <c r="I292" s="883" t="inlineStr">
        <is>
          <t>COE - Strategy, Architecture, Data</t>
        </is>
      </c>
      <c r="J292" s="705" t="n"/>
      <c r="K292" s="662" t="n"/>
      <c r="L292" s="662" t="n"/>
      <c r="M292" s="663" t="inlineStr">
        <is>
          <t>NZ</t>
        </is>
      </c>
      <c r="N292" s="664" t="inlineStr">
        <is>
          <t>CSB</t>
        </is>
      </c>
      <c r="O292" s="664" t="n">
        <v>1</v>
      </c>
      <c r="P292" s="664" t="n"/>
      <c r="Q292" s="664" t="inlineStr">
        <is>
          <t>Permanent - Full Time</t>
        </is>
      </c>
      <c r="R292" s="666" t="n"/>
      <c r="S292" s="666" t="n"/>
      <c r="T292" s="667" t="n">
        <v>206740</v>
      </c>
      <c r="U292" s="668" t="n">
        <v>190200.8</v>
      </c>
      <c r="V292" s="669" t="n">
        <v>0.15</v>
      </c>
      <c r="W292" s="666" t="n"/>
      <c r="X292" s="670" t="n">
        <v>0.05</v>
      </c>
      <c r="Y292" s="918" t="n">
        <v>2910</v>
      </c>
      <c r="Z292" s="670" t="n">
        <v>0.03</v>
      </c>
      <c r="AA292" s="919">
        <f>U292*(1+V292+X292+Z292)+Y292</f>
        <v>236856.984</v>
      </c>
      <c r="AJ292" t="str">
        <f>IFERROR(INDEX(Lists!$U$1:$U$18,MATCH($I292,Lists!$T$1:$T$18,0)),"?")</f>
        <v>COE SA&amp;D</v>
      </c>
      <c r="AK292" t="str">
        <f>IF(LOWER($Q292)="v","Vacant",IF(LOWER($Q292)="pause","Paused",IF(LOWER($Q292)="cxc","Contractor",IF($Q292="Contractor","Contractor","Filled"))))</f>
        <v>Filled</v>
      </c>
      <c r="AL292" t="str">
        <f>IF($M292="NZ","NZ","AU")</f>
        <v>NZ</v>
      </c>
      <c r="AM292">
        <f>COUNTIF($AJ$2:$AJ292,$AJ292)</f>
        <v>5.0</v>
      </c>
      <c r="AN292" t="str">
        <f>$AJ292&amp;"|"&amp;$AM292</f>
        <v>COE SA&amp;D|5</v>
      </c>
    </row>
    <row r="293" ht="18" customHeight="1" s="849">
      <c r="A293" s="659" t="n">
        <v>100330</v>
      </c>
      <c r="B293" s="660" t="inlineStr">
        <is>
          <t>Milan Patel</t>
        </is>
      </c>
      <c r="C293" s="660" t="inlineStr">
        <is>
          <t>Platform Architect</t>
        </is>
      </c>
      <c r="D293" s="662" t="inlineStr">
        <is>
          <t>Sanjay Tikoo</t>
        </is>
      </c>
      <c r="E293" s="660" t="inlineStr">
        <is>
          <t>Data Capability Manager</t>
        </is>
      </c>
      <c r="F293" s="763" t="inlineStr">
        <is>
          <t>Strategy, Architecture &amp; Data</t>
        </is>
      </c>
      <c r="G293" s="662" t="inlineStr">
        <is>
          <t>Group Data</t>
        </is>
      </c>
      <c r="H293" s="662" t="inlineStr">
        <is>
          <t>Data Capability</t>
        </is>
      </c>
      <c r="I293" s="883" t="inlineStr">
        <is>
          <t>COE - Strategy, Architecture, Data</t>
        </is>
      </c>
      <c r="J293" s="705" t="n"/>
      <c r="K293" s="662" t="inlineStr">
        <is>
          <t>Data Platform</t>
        </is>
      </c>
      <c r="L293" s="662" t="n"/>
      <c r="M293" s="663" t="inlineStr">
        <is>
          <t>Australia</t>
        </is>
      </c>
      <c r="N293" s="664" t="inlineStr">
        <is>
          <t>CIC</t>
        </is>
      </c>
      <c r="O293" s="664" t="n">
        <v>1</v>
      </c>
      <c r="P293" s="664" t="n"/>
      <c r="Q293" s="664" t="inlineStr">
        <is>
          <t>Permanent - Full Time</t>
        </is>
      </c>
      <c r="R293" s="666" t="n"/>
      <c r="S293" s="666" t="n"/>
      <c r="T293" s="667" t="n">
        <v>198940</v>
      </c>
      <c r="U293" s="668" t="n">
        <v>198940</v>
      </c>
      <c r="V293" s="670" t="n">
        <v>0.12</v>
      </c>
      <c r="W293" s="921" t="n">
        <v>0.055</v>
      </c>
      <c r="X293" s="921" t="n">
        <v>0.12</v>
      </c>
      <c r="Y293" s="922" t="n"/>
      <c r="Z293" s="921" t="n">
        <v>0.04</v>
      </c>
      <c r="AA293" s="919">
        <f>U293*(1+V293+W293+X293+Y293+Z293)</f>
        <v>265584.89999999997</v>
      </c>
      <c r="AJ293" t="str">
        <f>IFERROR(INDEX(Lists!$U$1:$U$18,MATCH($I293,Lists!$T$1:$T$18,0)),"?")</f>
        <v>COE SA&amp;D</v>
      </c>
      <c r="AK293" t="str">
        <f>IF(LOWER($Q293)="v","Vacant",IF(LOWER($Q293)="pause","Paused",IF(LOWER($Q293)="cxc","Contractor",IF($Q293="Contractor","Contractor","Filled"))))</f>
        <v>Filled</v>
      </c>
      <c r="AL293" t="str">
        <f>IF($M293="NZ","NZ","AU")</f>
        <v>AU</v>
      </c>
      <c r="AM293">
        <f>COUNTIF($AJ$2:$AJ293,$AJ293)</f>
        <v>6.0</v>
      </c>
      <c r="AN293" t="str">
        <f>$AJ293&amp;"|"&amp;$AM293</f>
        <v>COE SA&amp;D|6</v>
      </c>
    </row>
    <row r="294" ht="18" customHeight="1" s="849">
      <c r="A294" s="659" t="n">
        <v>99522</v>
      </c>
      <c r="B294" s="660" t="inlineStr">
        <is>
          <t>Mitchell Clarke</t>
        </is>
      </c>
      <c r="C294" s="660" t="inlineStr">
        <is>
          <t>Snr Data Governance Specialist</t>
        </is>
      </c>
      <c r="D294" s="662" t="inlineStr">
        <is>
          <t>Sanjay Tikoo</t>
        </is>
      </c>
      <c r="E294" s="660" t="inlineStr">
        <is>
          <t>Data Capability Manager</t>
        </is>
      </c>
      <c r="F294" s="763" t="inlineStr">
        <is>
          <t>Strategy, Architecture &amp; Data</t>
        </is>
      </c>
      <c r="G294" s="662" t="inlineStr">
        <is>
          <t>Group Data</t>
        </is>
      </c>
      <c r="H294" s="662" t="inlineStr">
        <is>
          <t>Data Capability</t>
        </is>
      </c>
      <c r="I294" s="883" t="inlineStr">
        <is>
          <t>COE - Strategy, Architecture, Data</t>
        </is>
      </c>
      <c r="J294" s="705" t="n"/>
      <c r="K294" s="662" t="n"/>
      <c r="L294" s="662" t="n"/>
      <c r="M294" s="663" t="inlineStr">
        <is>
          <t>Australia</t>
        </is>
      </c>
      <c r="N294" s="664" t="inlineStr">
        <is>
          <t>CIC</t>
        </is>
      </c>
      <c r="O294" s="664" t="n">
        <v>1</v>
      </c>
      <c r="P294" s="664" t="n"/>
      <c r="Q294" s="664" t="inlineStr">
        <is>
          <t>Permanent - Full Time</t>
        </is>
      </c>
      <c r="R294" s="666" t="n"/>
      <c r="S294" s="666" t="n"/>
      <c r="T294" s="667" t="n">
        <v>169280</v>
      </c>
      <c r="U294" s="668" t="n">
        <v>169280</v>
      </c>
      <c r="V294" s="670" t="n">
        <v>0.12</v>
      </c>
      <c r="W294" s="921" t="n">
        <v>0.055</v>
      </c>
      <c r="X294" s="921" t="n">
        <v>0.12</v>
      </c>
      <c r="Y294" s="922" t="n"/>
      <c r="Z294" s="921" t="n">
        <v>0.04</v>
      </c>
      <c r="AA294" s="919">
        <f>U294*(1+V294+W294+X294+Y294+Z294)</f>
        <v>225988.8</v>
      </c>
      <c r="AJ294" t="str">
        <f>IFERROR(INDEX(Lists!$U$1:$U$18,MATCH($I294,Lists!$T$1:$T$18,0)),"?")</f>
        <v>COE SA&amp;D</v>
      </c>
      <c r="AK294" t="str">
        <f>IF(LOWER($Q294)="v","Vacant",IF(LOWER($Q294)="pause","Paused",IF(LOWER($Q294)="cxc","Contractor",IF($Q294="Contractor","Contractor","Filled"))))</f>
        <v>Filled</v>
      </c>
      <c r="AL294" t="str">
        <f>IF($M294="NZ","NZ","AU")</f>
        <v>AU</v>
      </c>
      <c r="AM294">
        <f>COUNTIF($AJ$2:$AJ294,$AJ294)</f>
        <v>7.0</v>
      </c>
      <c r="AN294" t="str">
        <f>$AJ294&amp;"|"&amp;$AM294</f>
        <v>COE SA&amp;D|7</v>
      </c>
    </row>
    <row r="295" ht="18" customHeight="1" s="849">
      <c r="A295" s="659" t="n">
        <v>107048</v>
      </c>
      <c r="B295" s="660" t="inlineStr">
        <is>
          <t>Om Singh</t>
        </is>
      </c>
      <c r="C295" s="660" t="inlineStr">
        <is>
          <t>Data Scientist</t>
        </is>
      </c>
      <c r="D295" s="660" t="inlineStr">
        <is>
          <t>Jonathan Robinson</t>
        </is>
      </c>
      <c r="E295" s="660" t="inlineStr">
        <is>
          <t>Technology Manager, Data Science</t>
        </is>
      </c>
      <c r="F295" s="763" t="inlineStr">
        <is>
          <t>Strategy, Architecture &amp; Data</t>
        </is>
      </c>
      <c r="G295" s="662" t="inlineStr">
        <is>
          <t>Group Data</t>
        </is>
      </c>
      <c r="H295" s="705" t="inlineStr">
        <is>
          <t>Data Science</t>
        </is>
      </c>
      <c r="I295" s="705" t="inlineStr">
        <is>
          <t>Enterprise Data</t>
        </is>
      </c>
      <c r="J295" s="705" t="inlineStr">
        <is>
          <t>Group Data</t>
        </is>
      </c>
      <c r="K295" s="662" t="inlineStr">
        <is>
          <t>Data Science</t>
        </is>
      </c>
      <c r="L295" s="662" t="n"/>
      <c r="M295" s="663" t="inlineStr">
        <is>
          <t>Australia</t>
        </is>
      </c>
      <c r="N295" s="664" t="inlineStr">
        <is>
          <t>CIA</t>
        </is>
      </c>
      <c r="O295" s="664" t="n">
        <v>1</v>
      </c>
      <c r="P295" s="664" t="n"/>
      <c r="Q295" s="664" t="inlineStr">
        <is>
          <t>Temporary - Full Time</t>
        </is>
      </c>
      <c r="R295" s="666" t="n"/>
      <c r="S295" s="666" t="n"/>
      <c r="T295" s="667" t="n">
        <v>138000</v>
      </c>
      <c r="U295" s="668" t="n">
        <v>138000</v>
      </c>
      <c r="V295" s="670" t="n">
        <v>0.1</v>
      </c>
      <c r="W295" s="921" t="n">
        <v>0.055</v>
      </c>
      <c r="X295" s="921" t="n">
        <v>0.12</v>
      </c>
      <c r="Y295" s="922" t="n"/>
      <c r="Z295" s="921" t="n">
        <v>0.04</v>
      </c>
      <c r="AA295" s="919">
        <f>U295*(1+V295+W295+X295+Y295+Z295)</f>
        <v>181470.0</v>
      </c>
      <c r="AJ295" t="str">
        <f>IFERROR(INDEX(Lists!$U$1:$U$18,MATCH($I295,Lists!$T$1:$T$18,0)),"?")</f>
        <v>Enterprise Data</v>
      </c>
      <c r="AK295" t="str">
        <f>IF(LOWER($Q295)="v","Vacant",IF(LOWER($Q295)="pause","Paused",IF(LOWER($Q295)="cxc","Contractor",IF($Q295="Contractor","Contractor","Filled"))))</f>
        <v>Filled</v>
      </c>
      <c r="AL295" t="str">
        <f>IF($M295="NZ","NZ","AU")</f>
        <v>AU</v>
      </c>
      <c r="AM295">
        <f>COUNTIF($AJ$2:$AJ295,$AJ295)</f>
        <v>10.0</v>
      </c>
      <c r="AN295" t="str">
        <f>$AJ295&amp;"|"&amp;$AM295</f>
        <v>Enterprise Data|10</v>
      </c>
    </row>
    <row r="296" ht="18" customHeight="1" s="849">
      <c r="A296" s="659" t="n">
        <v>107154</v>
      </c>
      <c r="B296" s="660" t="inlineStr">
        <is>
          <t>Prashant Tataskar</t>
        </is>
      </c>
      <c r="C296" s="660" t="inlineStr">
        <is>
          <t>Data Scientist</t>
        </is>
      </c>
      <c r="D296" s="660" t="inlineStr">
        <is>
          <t>Jonathan Robinson</t>
        </is>
      </c>
      <c r="E296" s="660" t="inlineStr">
        <is>
          <t>Technology Manager, Data Science</t>
        </is>
      </c>
      <c r="F296" s="763" t="inlineStr">
        <is>
          <t>Strategy, Architecture &amp; Data</t>
        </is>
      </c>
      <c r="G296" s="662" t="inlineStr">
        <is>
          <t>Group Data</t>
        </is>
      </c>
      <c r="H296" s="705" t="inlineStr">
        <is>
          <t>Data Science</t>
        </is>
      </c>
      <c r="I296" s="705" t="inlineStr">
        <is>
          <t>Enterprise Data</t>
        </is>
      </c>
      <c r="J296" s="705" t="inlineStr">
        <is>
          <t>Group Data</t>
        </is>
      </c>
      <c r="K296" s="662" t="inlineStr">
        <is>
          <t>Data Science</t>
        </is>
      </c>
      <c r="L296" s="662" t="n"/>
      <c r="M296" s="663" t="inlineStr">
        <is>
          <t>Australia</t>
        </is>
      </c>
      <c r="N296" s="664" t="inlineStr">
        <is>
          <t>CIB</t>
        </is>
      </c>
      <c r="O296" s="664" t="n">
        <v>1</v>
      </c>
      <c r="P296" s="664" t="n"/>
      <c r="Q296" s="664" t="inlineStr">
        <is>
          <t>Permanent - Full Time</t>
        </is>
      </c>
      <c r="R296" s="666" t="n"/>
      <c r="S296" s="666" t="n"/>
      <c r="T296" s="667" t="n">
        <v>156160</v>
      </c>
      <c r="U296" s="668" t="n">
        <v>156160</v>
      </c>
      <c r="V296" s="670" t="n">
        <v>0.12</v>
      </c>
      <c r="W296" s="921" t="n">
        <v>0.055</v>
      </c>
      <c r="X296" s="921" t="n">
        <v>0.12</v>
      </c>
      <c r="Y296" s="922" t="n"/>
      <c r="Z296" s="921" t="n">
        <v>0.04</v>
      </c>
      <c r="AA296" s="919">
        <f>U296*(1+V296+W296+X296+Y296+Z296)</f>
        <v>208473.6</v>
      </c>
      <c r="AJ296" t="str">
        <f>IFERROR(INDEX(Lists!$U$1:$U$18,MATCH($I296,Lists!$T$1:$T$18,0)),"?")</f>
        <v>Enterprise Data</v>
      </c>
      <c r="AK296" t="str">
        <f>IF(LOWER($Q296)="v","Vacant",IF(LOWER($Q296)="pause","Paused",IF(LOWER($Q296)="cxc","Contractor",IF($Q296="Contractor","Contractor","Filled"))))</f>
        <v>Filled</v>
      </c>
      <c r="AL296" t="str">
        <f>IF($M296="NZ","NZ","AU")</f>
        <v>AU</v>
      </c>
      <c r="AM296">
        <f>COUNTIF($AJ$2:$AJ296,$AJ296)</f>
        <v>11.0</v>
      </c>
      <c r="AN296" t="str">
        <f>$AJ296&amp;"|"&amp;$AM296</f>
        <v>Enterprise Data|11</v>
      </c>
    </row>
    <row r="297" ht="18" customHeight="1" s="849">
      <c r="A297" s="659" t="n">
        <v>113451</v>
      </c>
      <c r="B297" s="660" t="inlineStr">
        <is>
          <t>Prashanth Krishnankutty</t>
        </is>
      </c>
      <c r="C297" s="660" t="inlineStr">
        <is>
          <t>Lead Reporting &amp; Insights</t>
        </is>
      </c>
      <c r="D297" s="660" t="inlineStr">
        <is>
          <t>Jason Gleason</t>
        </is>
      </c>
      <c r="E297" s="660" t="inlineStr">
        <is>
          <t>Technology Manager, Data Engineering &amp; Platforms</t>
        </is>
      </c>
      <c r="F297" s="763" t="inlineStr">
        <is>
          <t>Strategy, Architecture &amp; Data</t>
        </is>
      </c>
      <c r="G297" s="662" t="inlineStr">
        <is>
          <t>Group Data</t>
        </is>
      </c>
      <c r="H297" s="705" t="inlineStr">
        <is>
          <t>Data Engineering &amp; Platforms</t>
        </is>
      </c>
      <c r="I297" s="705" t="inlineStr">
        <is>
          <t>Enterprise Data</t>
        </is>
      </c>
      <c r="J297" s="705" t="inlineStr">
        <is>
          <t>Group Data</t>
        </is>
      </c>
      <c r="K297" s="705" t="inlineStr">
        <is>
          <t>Reporting &amp; Analytics</t>
        </is>
      </c>
      <c r="L297" s="662" t="n"/>
      <c r="M297" s="663" t="inlineStr">
        <is>
          <t>Australia</t>
        </is>
      </c>
      <c r="N297" s="664" t="inlineStr">
        <is>
          <t>CIC</t>
        </is>
      </c>
      <c r="O297" s="664" t="n">
        <v>1</v>
      </c>
      <c r="P297" s="664" t="n"/>
      <c r="Q297" s="664" t="inlineStr">
        <is>
          <t>Permanent - Full Time</t>
        </is>
      </c>
      <c r="R297" s="666" t="n"/>
      <c r="S297" s="666" t="n"/>
      <c r="T297" s="667" t="n">
        <v>191290</v>
      </c>
      <c r="U297" s="668" t="n">
        <v>191290</v>
      </c>
      <c r="V297" s="670" t="n">
        <v>0.12</v>
      </c>
      <c r="W297" s="921" t="n">
        <v>0.055</v>
      </c>
      <c r="X297" s="921" t="n">
        <v>0.12</v>
      </c>
      <c r="Y297" s="922" t="n"/>
      <c r="Z297" s="921" t="n">
        <v>0.04</v>
      </c>
      <c r="AA297" s="919">
        <f>U297*(1+V297+W297+X297+Y297+Z297)</f>
        <v>255372.15</v>
      </c>
      <c r="AJ297" t="str">
        <f>IFERROR(INDEX(Lists!$U$1:$U$18,MATCH($I297,Lists!$T$1:$T$18,0)),"?")</f>
        <v>Enterprise Data</v>
      </c>
      <c r="AK297" t="str">
        <f>IF(LOWER($Q297)="v","Vacant",IF(LOWER($Q297)="pause","Paused",IF(LOWER($Q297)="cxc","Contractor",IF($Q297="Contractor","Contractor","Filled"))))</f>
        <v>Filled</v>
      </c>
      <c r="AL297" t="str">
        <f>IF($M297="NZ","NZ","AU")</f>
        <v>AU</v>
      </c>
      <c r="AM297">
        <f>COUNTIF($AJ$2:$AJ297,$AJ297)</f>
        <v>12.0</v>
      </c>
      <c r="AN297" t="str">
        <f>$AJ297&amp;"|"&amp;$AM297</f>
        <v>Enterprise Data|12</v>
      </c>
    </row>
    <row r="298" ht="18" customHeight="1" s="849">
      <c r="A298" s="659" t="n">
        <v>83092</v>
      </c>
      <c r="B298" s="660" t="inlineStr">
        <is>
          <t>Rakshit Kaul</t>
        </is>
      </c>
      <c r="C298" s="660" t="inlineStr">
        <is>
          <t>Applications Specialist</t>
        </is>
      </c>
      <c r="D298" s="660" t="inlineStr">
        <is>
          <t>Sai Konka</t>
        </is>
      </c>
      <c r="E298" s="660" t="inlineStr">
        <is>
          <t>Applications &amp; Analytics Manager</t>
        </is>
      </c>
      <c r="F298" s="763" t="inlineStr">
        <is>
          <t>Strategy, Architecture &amp; Data</t>
        </is>
      </c>
      <c r="G298" s="662" t="inlineStr">
        <is>
          <t>Group Data</t>
        </is>
      </c>
      <c r="H298" s="705" t="inlineStr">
        <is>
          <t>Data Engineering &amp; Platforms</t>
        </is>
      </c>
      <c r="I298" s="705" t="inlineStr">
        <is>
          <t>Enterprise Data</t>
        </is>
      </c>
      <c r="J298" s="705" t="inlineStr">
        <is>
          <t>EGI</t>
        </is>
      </c>
      <c r="K298" s="705" t="inlineStr">
        <is>
          <t>Reporting &amp; Analytics</t>
        </is>
      </c>
      <c r="L298" s="662" t="n"/>
      <c r="M298" s="663" t="inlineStr">
        <is>
          <t>Australia</t>
        </is>
      </c>
      <c r="N298" s="666" t="inlineStr">
        <is>
          <t>CIB</t>
        </is>
      </c>
      <c r="O298" s="666" t="n">
        <v>1</v>
      </c>
      <c r="P298" s="666" t="n"/>
      <c r="Q298" s="666" t="inlineStr">
        <is>
          <t>Permanent - Full Time</t>
        </is>
      </c>
      <c r="R298" s="666" t="n"/>
      <c r="S298" s="666" t="n"/>
      <c r="T298" s="667" t="n">
        <v>178100</v>
      </c>
      <c r="U298" s="668" t="n">
        <v>178100</v>
      </c>
      <c r="V298" s="670" t="n">
        <v>0.12</v>
      </c>
      <c r="W298" s="921" t="n">
        <v>0.055</v>
      </c>
      <c r="X298" s="921" t="n">
        <v>0.12</v>
      </c>
      <c r="Y298" s="922" t="n"/>
      <c r="Z298" s="921" t="n">
        <v>0.04</v>
      </c>
      <c r="AA298" s="919">
        <f>U298*(1+V298+W298+X298+Y298+Z298)</f>
        <v>237763.5</v>
      </c>
      <c r="AJ298" t="str">
        <f>IFERROR(INDEX(Lists!$U$1:$U$18,MATCH($I298,Lists!$T$1:$T$18,0)),"?")</f>
        <v>Enterprise Data</v>
      </c>
      <c r="AK298" t="str">
        <f>IF(LOWER($Q298)="v","Vacant",IF(LOWER($Q298)="pause","Paused",IF(LOWER($Q298)="cxc","Contractor",IF($Q298="Contractor","Contractor","Filled"))))</f>
        <v>Filled</v>
      </c>
      <c r="AL298" t="str">
        <f>IF($M298="NZ","NZ","AU")</f>
        <v>AU</v>
      </c>
      <c r="AM298">
        <f>COUNTIF($AJ$2:$AJ298,$AJ298)</f>
        <v>13.0</v>
      </c>
      <c r="AN298" t="str">
        <f>$AJ298&amp;"|"&amp;$AM298</f>
        <v>Enterprise Data|13</v>
      </c>
    </row>
    <row r="299" ht="18" customHeight="1" s="849">
      <c r="A299" s="659" t="n">
        <v>98599</v>
      </c>
      <c r="B299" s="660" t="inlineStr">
        <is>
          <t>Raymond Bai</t>
        </is>
      </c>
      <c r="C299" s="660" t="inlineStr">
        <is>
          <t>Data Adoption Specialist</t>
        </is>
      </c>
      <c r="D299" s="662" t="inlineStr">
        <is>
          <t>Sanjay Tikoo</t>
        </is>
      </c>
      <c r="E299" s="660" t="inlineStr">
        <is>
          <t>Lead Engineer (Databricks)</t>
        </is>
      </c>
      <c r="F299" s="763" t="inlineStr">
        <is>
          <t>Strategy, Architecture &amp; Data</t>
        </is>
      </c>
      <c r="G299" s="662" t="inlineStr">
        <is>
          <t>Group Data</t>
        </is>
      </c>
      <c r="H299" s="705" t="inlineStr">
        <is>
          <t>Data Capability</t>
        </is>
      </c>
      <c r="I299" s="883" t="inlineStr">
        <is>
          <t>COE - Strategy, Architecture, Data</t>
        </is>
      </c>
      <c r="J299" s="705" t="n"/>
      <c r="K299" s="662" t="n"/>
      <c r="L299" s="662" t="n"/>
      <c r="M299" s="663" t="inlineStr">
        <is>
          <t>Australia</t>
        </is>
      </c>
      <c r="N299" s="664" t="inlineStr">
        <is>
          <t>CIB</t>
        </is>
      </c>
      <c r="O299" s="664" t="n">
        <v>1</v>
      </c>
      <c r="P299" s="664" t="n"/>
      <c r="Q299" s="664" t="inlineStr">
        <is>
          <t>Permanent - Full Time</t>
        </is>
      </c>
      <c r="R299" s="666" t="n"/>
      <c r="S299" s="666" t="n"/>
      <c r="T299" s="667" t="n">
        <v>131740</v>
      </c>
      <c r="U299" s="668" t="n">
        <v>131740</v>
      </c>
      <c r="V299" s="670" t="n">
        <v>0.12</v>
      </c>
      <c r="W299" s="921" t="n">
        <v>0.055</v>
      </c>
      <c r="X299" s="921" t="n">
        <v>0.12</v>
      </c>
      <c r="Y299" s="922" t="n"/>
      <c r="Z299" s="921" t="n">
        <v>0.04</v>
      </c>
      <c r="AA299" s="919">
        <f>U299*(1+V299+W299+X299+Y299+Z299)</f>
        <v>175872.9</v>
      </c>
      <c r="AJ299" t="str">
        <f>IFERROR(INDEX(Lists!$U$1:$U$18,MATCH($I299,Lists!$T$1:$T$18,0)),"?")</f>
        <v>COE SA&amp;D</v>
      </c>
      <c r="AK299" t="str">
        <f>IF(LOWER($Q299)="v","Vacant",IF(LOWER($Q299)="pause","Paused",IF(LOWER($Q299)="cxc","Contractor",IF($Q299="Contractor","Contractor","Filled"))))</f>
        <v>Filled</v>
      </c>
      <c r="AL299" t="str">
        <f>IF($M299="NZ","NZ","AU")</f>
        <v>AU</v>
      </c>
      <c r="AM299">
        <f>COUNTIF($AJ$2:$AJ299,$AJ299)</f>
        <v>8.0</v>
      </c>
      <c r="AN299" t="str">
        <f>$AJ299&amp;"|"&amp;$AM299</f>
        <v>COE SA&amp;D|8</v>
      </c>
    </row>
    <row r="300" ht="18" customHeight="1" s="849">
      <c r="A300" s="659" t="n">
        <v>110146</v>
      </c>
      <c r="B300" s="660" t="inlineStr">
        <is>
          <t>Renosh Matthew Thomas</t>
        </is>
      </c>
      <c r="C300" s="660" t="inlineStr">
        <is>
          <t>Data Enablement Lead</t>
        </is>
      </c>
      <c r="D300" s="662" t="inlineStr">
        <is>
          <t>Sanjay Tikoo</t>
        </is>
      </c>
      <c r="E300" s="660" t="inlineStr">
        <is>
          <t>Data Capability Manager</t>
        </is>
      </c>
      <c r="F300" s="763" t="inlineStr">
        <is>
          <t>Strategy, Architecture &amp; Data</t>
        </is>
      </c>
      <c r="G300" s="662" t="inlineStr">
        <is>
          <t>Group Data</t>
        </is>
      </c>
      <c r="H300" s="662" t="inlineStr">
        <is>
          <t>Data Capability</t>
        </is>
      </c>
      <c r="I300" s="883" t="inlineStr">
        <is>
          <t>COE - Strategy, Architecture, Data</t>
        </is>
      </c>
      <c r="J300" s="705" t="n"/>
      <c r="K300" s="662" t="n"/>
      <c r="L300" s="662" t="n"/>
      <c r="M300" s="663" t="inlineStr">
        <is>
          <t>Australia</t>
        </is>
      </c>
      <c r="N300" s="664" t="inlineStr">
        <is>
          <t>CIB</t>
        </is>
      </c>
      <c r="O300" s="664" t="n">
        <v>1</v>
      </c>
      <c r="P300" s="664" t="n"/>
      <c r="Q300" s="664" t="inlineStr">
        <is>
          <t>Permanent - Full Time</t>
        </is>
      </c>
      <c r="R300" s="666" t="n"/>
      <c r="S300" s="666" t="n"/>
      <c r="T300" s="667" t="n">
        <v>170080</v>
      </c>
      <c r="U300" s="668" t="n">
        <v>170080</v>
      </c>
      <c r="V300" s="670" t="n">
        <v>0.12</v>
      </c>
      <c r="W300" s="921" t="n">
        <v>0.055</v>
      </c>
      <c r="X300" s="921" t="n">
        <v>0.12</v>
      </c>
      <c r="Y300" s="922" t="n"/>
      <c r="Z300" s="921" t="n">
        <v>0.04</v>
      </c>
      <c r="AA300" s="919">
        <f>U300*(1+V300+W300+X300+Y300+Z300)</f>
        <v>227056.8</v>
      </c>
      <c r="AJ300" t="str">
        <f>IFERROR(INDEX(Lists!$U$1:$U$18,MATCH($I300,Lists!$T$1:$T$18,0)),"?")</f>
        <v>COE SA&amp;D</v>
      </c>
      <c r="AK300" t="str">
        <f>IF(LOWER($Q300)="v","Vacant",IF(LOWER($Q300)="pause","Paused",IF(LOWER($Q300)="cxc","Contractor",IF($Q300="Contractor","Contractor","Filled"))))</f>
        <v>Filled</v>
      </c>
      <c r="AL300" t="str">
        <f>IF($M300="NZ","NZ","AU")</f>
        <v>AU</v>
      </c>
      <c r="AM300">
        <f>COUNTIF($AJ$2:$AJ300,$AJ300)</f>
        <v>9.0</v>
      </c>
      <c r="AN300" t="str">
        <f>$AJ300&amp;"|"&amp;$AM300</f>
        <v>COE SA&amp;D|9</v>
      </c>
    </row>
    <row r="301" ht="18" customHeight="1" s="849">
      <c r="A301" s="659" t="n">
        <v>94631</v>
      </c>
      <c r="B301" s="660" t="inlineStr">
        <is>
          <t>Rihan Schalkwyk</t>
        </is>
      </c>
      <c r="C301" s="660" t="inlineStr">
        <is>
          <t>Senior Business Analyst</t>
        </is>
      </c>
      <c r="D301" s="660" t="inlineStr">
        <is>
          <t>Joel Vijayakumar</t>
        </is>
      </c>
      <c r="E301" s="660" t="inlineStr">
        <is>
          <t>Delivery Manager, Strategy, Architecture &amp; Data</t>
        </is>
      </c>
      <c r="F301" s="763" t="inlineStr">
        <is>
          <t>Strategy, Architecture &amp; Data</t>
        </is>
      </c>
      <c r="G301" s="662" t="inlineStr">
        <is>
          <t>Delivery, SADA</t>
        </is>
      </c>
      <c r="H301" s="662" t="inlineStr">
        <is>
          <t> </t>
        </is>
      </c>
      <c r="I301" s="662" t="inlineStr">
        <is>
          <t>Enterprise Data</t>
        </is>
      </c>
      <c r="J301" s="705" t="inlineStr">
        <is>
          <t>Group Data</t>
        </is>
      </c>
      <c r="K301" s="662" t="n"/>
      <c r="L301" s="662" t="n"/>
      <c r="M301" s="663" t="inlineStr">
        <is>
          <t>Australia</t>
        </is>
      </c>
      <c r="N301" s="664" t="inlineStr">
        <is>
          <t>CIC</t>
        </is>
      </c>
      <c r="O301" s="664" t="n">
        <v>1</v>
      </c>
      <c r="P301" s="664" t="n"/>
      <c r="Q301" s="664" t="inlineStr">
        <is>
          <t>Permanent - Full Time</t>
        </is>
      </c>
      <c r="R301" s="666" t="n"/>
      <c r="S301" s="666" t="n"/>
      <c r="T301" s="667" t="n">
        <v>186610</v>
      </c>
      <c r="U301" s="668" t="n">
        <v>186610</v>
      </c>
      <c r="V301" s="670" t="n">
        <v>0.12</v>
      </c>
      <c r="W301" s="921" t="n">
        <v>0.055</v>
      </c>
      <c r="X301" s="921" t="n">
        <v>0.12</v>
      </c>
      <c r="Y301" s="922" t="n"/>
      <c r="Z301" s="921" t="n">
        <v>0.04</v>
      </c>
      <c r="AA301" s="919">
        <f>U301*(1+V301+W301+X301+Y301+Z301)</f>
        <v>249124.35</v>
      </c>
      <c r="AJ301" t="str">
        <f>IFERROR(INDEX(Lists!$U$1:$U$18,MATCH($I301,Lists!$T$1:$T$18,0)),"?")</f>
        <v>Enterprise Data</v>
      </c>
      <c r="AK301" t="str">
        <f>IF(LOWER($Q301)="v","Vacant",IF(LOWER($Q301)="pause","Paused",IF(LOWER($Q301)="cxc","Contractor",IF($Q301="Contractor","Contractor","Filled"))))</f>
        <v>Filled</v>
      </c>
      <c r="AL301" t="str">
        <f>IF($M301="NZ","NZ","AU")</f>
        <v>AU</v>
      </c>
      <c r="AM301">
        <f>COUNTIF($AJ$2:$AJ301,$AJ301)</f>
        <v>14.0</v>
      </c>
      <c r="AN301" t="str">
        <f>$AJ301&amp;"|"&amp;$AM301</f>
        <v>Enterprise Data|14</v>
      </c>
    </row>
    <row r="302" ht="18" customHeight="1" s="849">
      <c r="A302" s="659" t="inlineStr">
        <is>
          <t>V</t>
        </is>
      </c>
      <c r="B302" s="660" t="inlineStr">
        <is>
          <t>ring fenced</t>
        </is>
      </c>
      <c r="C302" s="660" t="inlineStr">
        <is>
          <t>Enterprise Architect</t>
        </is>
      </c>
      <c r="D302" s="660" t="inlineStr">
        <is>
          <t>Vacant</t>
        </is>
      </c>
      <c r="E302" s="660" t="inlineStr">
        <is>
          <t>Head of Architecture</t>
        </is>
      </c>
      <c r="F302" s="763" t="inlineStr">
        <is>
          <t>Strategy, Architecture &amp; Data</t>
        </is>
      </c>
      <c r="G302" s="662" t="inlineStr">
        <is>
          <t>Architecture</t>
        </is>
      </c>
      <c r="H302" s="705" t="inlineStr">
        <is>
          <t>Architecture</t>
        </is>
      </c>
      <c r="I302" s="883" t="inlineStr">
        <is>
          <t>COE - Strategy, Architecture, Data</t>
        </is>
      </c>
      <c r="J302" s="705" t="n"/>
      <c r="K302" s="662" t="n"/>
      <c r="L302" s="662" t="n"/>
      <c r="M302" s="663" t="inlineStr">
        <is>
          <t>Australia</t>
        </is>
      </c>
      <c r="N302" s="664" t="inlineStr">
        <is>
          <t>CSB</t>
        </is>
      </c>
      <c r="O302" s="664" t="n">
        <v>1</v>
      </c>
      <c r="P302" s="664" t="n"/>
      <c r="Q302" s="664" t="inlineStr">
        <is>
          <t>Pause</t>
        </is>
      </c>
      <c r="R302" s="677" t="n"/>
      <c r="S302" s="666" t="n"/>
      <c r="T302" s="667" t="n">
        <v>203550</v>
      </c>
      <c r="U302" s="668" t="n">
        <v>203550</v>
      </c>
      <c r="V302" s="670" t="n">
        <v>0.14</v>
      </c>
      <c r="W302" s="921" t="n">
        <v>0.055</v>
      </c>
      <c r="X302" s="921" t="n">
        <v>0.12</v>
      </c>
      <c r="Y302" s="922" t="n"/>
      <c r="Z302" s="921" t="n">
        <v>0.04</v>
      </c>
      <c r="AA302" s="919">
        <f>U302*(1+V302+W302+X302+Y302+Z302)</f>
        <v>275810.25</v>
      </c>
      <c r="AJ302" t="str">
        <f>IFERROR(INDEX(Lists!$U$1:$U$18,MATCH($I302,Lists!$T$1:$T$18,0)),"?")</f>
        <v>COE SA&amp;D</v>
      </c>
      <c r="AK302" t="str">
        <f>IF(LOWER($Q302)="v","Vacant",IF(LOWER($Q302)="pause","Paused",IF(LOWER($Q302)="cxc","Contractor",IF($Q302="Contractor","Contractor","Filled"))))</f>
        <v>Paused</v>
      </c>
      <c r="AL302" t="str">
        <f>IF($M302="NZ","NZ","AU")</f>
        <v>AU</v>
      </c>
      <c r="AM302">
        <f>COUNTIF($AJ$2:$AJ302,$AJ302)</f>
        <v>10.0</v>
      </c>
      <c r="AN302" t="str">
        <f>$AJ302&amp;"|"&amp;$AM302</f>
        <v>COE SA&amp;D|10</v>
      </c>
    </row>
    <row r="303" ht="18" customHeight="1" s="849">
      <c r="A303" s="659" t="n"/>
      <c r="B303" s="660" t="inlineStr">
        <is>
          <t>ring fenced</t>
        </is>
      </c>
      <c r="C303" s="660" t="inlineStr">
        <is>
          <t>Domain Architect - Customer &amp; Digital Tech</t>
        </is>
      </c>
      <c r="D303" s="660" t="inlineStr">
        <is>
          <t>Vacant</t>
        </is>
      </c>
      <c r="E303" s="660" t="inlineStr">
        <is>
          <t>Head of Architecture</t>
        </is>
      </c>
      <c r="F303" s="763" t="inlineStr">
        <is>
          <t>Strategy, Architecture &amp; Data</t>
        </is>
      </c>
      <c r="G303" s="662" t="inlineStr">
        <is>
          <t>Architecture</t>
        </is>
      </c>
      <c r="H303" s="705" t="inlineStr">
        <is>
          <t>Architecture</t>
        </is>
      </c>
      <c r="I303" s="883" t="inlineStr">
        <is>
          <t>COE - Strategy, Architecture, Data</t>
        </is>
      </c>
      <c r="J303" s="705" t="n"/>
      <c r="K303" s="662" t="n"/>
      <c r="L303" s="662" t="n"/>
      <c r="M303" s="663" t="inlineStr">
        <is>
          <t>Australia</t>
        </is>
      </c>
      <c r="N303" s="664" t="inlineStr">
        <is>
          <t>CIC</t>
        </is>
      </c>
      <c r="O303" s="664" t="n">
        <v>1</v>
      </c>
      <c r="P303" s="664" t="n"/>
      <c r="Q303" s="664" t="inlineStr">
        <is>
          <t>v</t>
        </is>
      </c>
      <c r="R303" s="677" t="n"/>
      <c r="S303" s="666" t="n"/>
      <c r="T303" s="667" t="n">
        <v>173550</v>
      </c>
      <c r="U303" s="668" t="n">
        <v>173550</v>
      </c>
      <c r="V303" s="670" t="n">
        <v>0.12</v>
      </c>
      <c r="W303" s="921" t="n">
        <v>0.055</v>
      </c>
      <c r="X303" s="921" t="n">
        <v>0.12</v>
      </c>
      <c r="Y303" s="922" t="n"/>
      <c r="Z303" s="921" t="n">
        <v>0.04</v>
      </c>
      <c r="AA303" s="919">
        <f>U303*(1+V303+W303+X303+Y303+Z303)</f>
        <v>231689.25</v>
      </c>
      <c r="AJ303" t="str">
        <f>IFERROR(INDEX(Lists!$U$1:$U$18,MATCH($I303,Lists!$T$1:$T$18,0)),"?")</f>
        <v>COE SA&amp;D</v>
      </c>
      <c r="AK303" t="str">
        <f>IF(LOWER($Q303)="v","Vacant",IF(LOWER($Q303)="pause","Paused",IF(LOWER($Q303)="cxc","Contractor",IF($Q303="Contractor","Contractor","Filled"))))</f>
        <v>Vacant</v>
      </c>
      <c r="AL303" t="str">
        <f>IF($M303="NZ","NZ","AU")</f>
        <v>AU</v>
      </c>
      <c r="AM303">
        <f>COUNTIF($AJ$2:$AJ303,$AJ303)</f>
        <v>11.0</v>
      </c>
      <c r="AN303" t="str">
        <f>$AJ303&amp;"|"&amp;$AM303</f>
        <v>COE SA&amp;D|11</v>
      </c>
    </row>
    <row r="304" ht="18" customHeight="1" s="849">
      <c r="A304" s="659" t="n"/>
      <c r="B304" s="660" t="inlineStr">
        <is>
          <t>ring fenced</t>
        </is>
      </c>
      <c r="C304" s="660" t="inlineStr">
        <is>
          <t>Domain Architect - Retail &amp; Z</t>
        </is>
      </c>
      <c r="D304" s="660" t="inlineStr">
        <is>
          <t>Vacant</t>
        </is>
      </c>
      <c r="E304" s="660" t="inlineStr">
        <is>
          <t>Head of Architecture</t>
        </is>
      </c>
      <c r="F304" s="763" t="inlineStr">
        <is>
          <t>Strategy, Architecture &amp; Data</t>
        </is>
      </c>
      <c r="G304" s="662" t="inlineStr">
        <is>
          <t>Architecture</t>
        </is>
      </c>
      <c r="H304" s="705" t="inlineStr">
        <is>
          <t>Architecture</t>
        </is>
      </c>
      <c r="I304" s="883" t="inlineStr">
        <is>
          <t>COE - Strategy, Architecture, Data</t>
        </is>
      </c>
      <c r="J304" s="705" t="n"/>
      <c r="K304" s="662" t="n"/>
      <c r="L304" s="662" t="n"/>
      <c r="M304" s="663" t="inlineStr">
        <is>
          <t>Australia</t>
        </is>
      </c>
      <c r="N304" s="664" t="inlineStr">
        <is>
          <t>CIC</t>
        </is>
      </c>
      <c r="O304" s="664" t="n">
        <v>1</v>
      </c>
      <c r="P304" s="664" t="n"/>
      <c r="Q304" s="664" t="inlineStr">
        <is>
          <t>v</t>
        </is>
      </c>
      <c r="R304" s="677" t="n"/>
      <c r="S304" s="666" t="n"/>
      <c r="T304" s="667" t="n">
        <v>173550</v>
      </c>
      <c r="U304" s="668" t="n">
        <v>173550</v>
      </c>
      <c r="V304" s="670" t="n">
        <v>0.12</v>
      </c>
      <c r="W304" s="921" t="n">
        <v>0.055</v>
      </c>
      <c r="X304" s="921" t="n">
        <v>0.12</v>
      </c>
      <c r="Y304" s="922" t="n"/>
      <c r="Z304" s="921" t="n">
        <v>0.04</v>
      </c>
      <c r="AA304" s="919">
        <f>U304*(1+V304+W304+X304+Y304+Z304)</f>
        <v>231689.25</v>
      </c>
      <c r="AJ304" t="str">
        <f>IFERROR(INDEX(Lists!$U$1:$U$18,MATCH($I304,Lists!$T$1:$T$18,0)),"?")</f>
        <v>COE SA&amp;D</v>
      </c>
      <c r="AK304" t="str">
        <f>IF(LOWER($Q304)="v","Vacant",IF(LOWER($Q304)="pause","Paused",IF(LOWER($Q304)="cxc","Contractor",IF($Q304="Contractor","Contractor","Filled"))))</f>
        <v>Vacant</v>
      </c>
      <c r="AL304" t="str">
        <f>IF($M304="NZ","NZ","AU")</f>
        <v>AU</v>
      </c>
      <c r="AM304">
        <f>COUNTIF($AJ$2:$AJ304,$AJ304)</f>
        <v>12.0</v>
      </c>
      <c r="AN304" t="str">
        <f>$AJ304&amp;"|"&amp;$AM304</f>
        <v>COE SA&amp;D|12</v>
      </c>
    </row>
    <row r="305" ht="18" customHeight="1" s="849">
      <c r="A305" s="659" t="n"/>
      <c r="B305" s="660" t="inlineStr">
        <is>
          <t>ring fenced</t>
        </is>
      </c>
      <c r="C305" s="660" t="inlineStr">
        <is>
          <t>Domain Architect - TDD</t>
        </is>
      </c>
      <c r="D305" s="660" t="inlineStr">
        <is>
          <t>Vacant</t>
        </is>
      </c>
      <c r="E305" s="660" t="inlineStr">
        <is>
          <t>Head of Architecture</t>
        </is>
      </c>
      <c r="F305" s="763" t="inlineStr">
        <is>
          <t>Strategy, Architecture &amp; Data</t>
        </is>
      </c>
      <c r="G305" s="662" t="inlineStr">
        <is>
          <t>Architecture</t>
        </is>
      </c>
      <c r="H305" s="705" t="inlineStr">
        <is>
          <t>Architecture</t>
        </is>
      </c>
      <c r="I305" s="883" t="inlineStr">
        <is>
          <t>COE - Strategy, Architecture, Data</t>
        </is>
      </c>
      <c r="J305" s="705" t="n"/>
      <c r="K305" s="662" t="n"/>
      <c r="L305" s="662" t="n"/>
      <c r="M305" s="663" t="inlineStr">
        <is>
          <t>Australia</t>
        </is>
      </c>
      <c r="N305" s="664" t="inlineStr">
        <is>
          <t>CIC</t>
        </is>
      </c>
      <c r="O305" s="664" t="n">
        <v>1</v>
      </c>
      <c r="P305" s="664" t="n"/>
      <c r="Q305" s="664" t="inlineStr">
        <is>
          <t>v</t>
        </is>
      </c>
      <c r="R305" s="677" t="n"/>
      <c r="S305" s="666" t="n"/>
      <c r="T305" s="667" t="n">
        <v>173550</v>
      </c>
      <c r="U305" s="668" t="n">
        <v>173550</v>
      </c>
      <c r="V305" s="670" t="n">
        <v>0.12</v>
      </c>
      <c r="W305" s="921" t="n">
        <v>0.055</v>
      </c>
      <c r="X305" s="921" t="n">
        <v>0.12</v>
      </c>
      <c r="Y305" s="922" t="n"/>
      <c r="Z305" s="921" t="n">
        <v>0.04</v>
      </c>
      <c r="AA305" s="919">
        <f>U305*(1+V305+W305+X305+Y305+Z305)</f>
        <v>231689.25</v>
      </c>
      <c r="AJ305" t="str">
        <f>IFERROR(INDEX(Lists!$U$1:$U$18,MATCH($I305,Lists!$T$1:$T$18,0)),"?")</f>
        <v>COE SA&amp;D</v>
      </c>
      <c r="AK305" t="str">
        <f>IF(LOWER($Q305)="v","Vacant",IF(LOWER($Q305)="pause","Paused",IF(LOWER($Q305)="cxc","Contractor",IF($Q305="Contractor","Contractor","Filled"))))</f>
        <v>Vacant</v>
      </c>
      <c r="AL305" t="str">
        <f>IF($M305="NZ","NZ","AU")</f>
        <v>AU</v>
      </c>
      <c r="AM305">
        <f>COUNTIF($AJ$2:$AJ305,$AJ305)</f>
        <v>13.0</v>
      </c>
      <c r="AN305" t="str">
        <f>$AJ305&amp;"|"&amp;$AM305</f>
        <v>COE SA&amp;D|13</v>
      </c>
    </row>
    <row r="306" ht="18" customHeight="1" s="849">
      <c r="A306" s="659" t="n">
        <v>109802</v>
      </c>
      <c r="B306" s="660" t="inlineStr">
        <is>
          <t>Roger Blazey</t>
        </is>
      </c>
      <c r="C306" s="660" t="inlineStr">
        <is>
          <t>Architect (AI Innovation)</t>
        </is>
      </c>
      <c r="D306" s="660" t="inlineStr">
        <is>
          <t>Vacant</t>
        </is>
      </c>
      <c r="E306" s="660" t="inlineStr">
        <is>
          <t>Head of Technology  Strategy &amp; AI Capability</t>
        </is>
      </c>
      <c r="F306" s="763" t="inlineStr">
        <is>
          <t>Strategy, Architecture &amp; Data</t>
        </is>
      </c>
      <c r="G306" s="662" t="inlineStr">
        <is>
          <t>Technology Strategy &amp; AI Capability</t>
        </is>
      </c>
      <c r="H306" s="662" t="inlineStr">
        <is>
          <t>Technology Strategy &amp; AI Capability</t>
        </is>
      </c>
      <c r="I306" s="883" t="inlineStr">
        <is>
          <t>COE - Strategy, Architecture, Data</t>
        </is>
      </c>
      <c r="J306" s="705" t="n"/>
      <c r="K306" s="662" t="n"/>
      <c r="L306" s="662" t="n"/>
      <c r="M306" s="663" t="inlineStr">
        <is>
          <t>Australia</t>
        </is>
      </c>
      <c r="N306" s="664" t="inlineStr">
        <is>
          <t>CIC</t>
        </is>
      </c>
      <c r="O306" s="664" t="n">
        <v>1</v>
      </c>
      <c r="P306" s="664" t="n"/>
      <c r="Q306" s="664" t="inlineStr">
        <is>
          <t>Permanent - Full Time</t>
        </is>
      </c>
      <c r="R306" s="666" t="n"/>
      <c r="S306" s="666" t="n"/>
      <c r="T306" s="667" t="n">
        <v>187450</v>
      </c>
      <c r="U306" s="668" t="n">
        <v>187450</v>
      </c>
      <c r="V306" s="670" t="n">
        <v>0.12</v>
      </c>
      <c r="W306" s="921" t="n">
        <v>0.055</v>
      </c>
      <c r="X306" s="921" t="n">
        <v>0.12</v>
      </c>
      <c r="Y306" s="922" t="n"/>
      <c r="Z306" s="921" t="n">
        <v>0.04</v>
      </c>
      <c r="AA306" s="919">
        <f>U306*(1+V306+W306+X306+Y306+Z306)</f>
        <v>250245.75</v>
      </c>
      <c r="AJ306" t="str">
        <f>IFERROR(INDEX(Lists!$U$1:$U$18,MATCH($I306,Lists!$T$1:$T$18,0)),"?")</f>
        <v>COE SA&amp;D</v>
      </c>
      <c r="AK306" t="str">
        <f>IF(LOWER($Q306)="v","Vacant",IF(LOWER($Q306)="pause","Paused",IF(LOWER($Q306)="cxc","Contractor",IF($Q306="Contractor","Contractor","Filled"))))</f>
        <v>Filled</v>
      </c>
      <c r="AL306" t="str">
        <f>IF($M306="NZ","NZ","AU")</f>
        <v>AU</v>
      </c>
      <c r="AM306">
        <f>COUNTIF($AJ$2:$AJ306,$AJ306)</f>
        <v>14.0</v>
      </c>
      <c r="AN306" t="str">
        <f>$AJ306&amp;"|"&amp;$AM306</f>
        <v>COE SA&amp;D|14</v>
      </c>
    </row>
    <row r="307" ht="18" customHeight="1" s="849">
      <c r="A307" s="659" t="n">
        <v>99999101674</v>
      </c>
      <c r="B307" s="660" t="inlineStr">
        <is>
          <t>Roozbeh Shahbazirad</t>
        </is>
      </c>
      <c r="C307" s="660" t="inlineStr">
        <is>
          <t>Lead Engineer</t>
        </is>
      </c>
      <c r="D307" s="660" t="inlineStr">
        <is>
          <t>Jason Gleason</t>
        </is>
      </c>
      <c r="E307" s="660" t="inlineStr">
        <is>
          <t>Technology Manager, Data Engineering &amp; Platforms</t>
        </is>
      </c>
      <c r="F307" s="763" t="inlineStr">
        <is>
          <t>Strategy, Architecture &amp; Data</t>
        </is>
      </c>
      <c r="G307" s="662" t="inlineStr">
        <is>
          <t>Group Data</t>
        </is>
      </c>
      <c r="H307" s="705" t="inlineStr">
        <is>
          <t>Data Engineering &amp; Platforms</t>
        </is>
      </c>
      <c r="I307" s="662" t="inlineStr">
        <is>
          <t>Enterprise Data</t>
        </is>
      </c>
      <c r="J307" s="705" t="inlineStr">
        <is>
          <t>Group Data</t>
        </is>
      </c>
      <c r="K307" s="662" t="inlineStr">
        <is>
          <t>Data Platform</t>
        </is>
      </c>
      <c r="L307" s="662" t="n"/>
      <c r="M307" s="663" t="inlineStr">
        <is>
          <t>NZ</t>
        </is>
      </c>
      <c r="N307" s="664" t="inlineStr">
        <is>
          <t>CIC</t>
        </is>
      </c>
      <c r="O307" s="665" t="n">
        <v>1</v>
      </c>
      <c r="P307" s="664" t="n"/>
      <c r="Q307" s="665" t="inlineStr">
        <is>
          <t>Permanent - Full Time</t>
        </is>
      </c>
      <c r="R307" s="666" t="n"/>
      <c r="S307" s="666" t="n"/>
      <c r="T307" s="667" t="n">
        <v>177710</v>
      </c>
      <c r="U307" s="668" t="n">
        <v>163493.2</v>
      </c>
      <c r="V307" s="669" t="n">
        <v>0.15</v>
      </c>
      <c r="W307" s="666" t="n"/>
      <c r="X307" s="670" t="n">
        <v>0.05</v>
      </c>
      <c r="Y307" s="918" t="n">
        <v>2910</v>
      </c>
      <c r="Z307" s="670" t="n">
        <v>0.03</v>
      </c>
      <c r="AA307" s="919">
        <f>U307*(1+V307+X307+Z307)+Y307</f>
        <v>204006.636</v>
      </c>
      <c r="AB307" s="754" t="n">
        <v>113607</v>
      </c>
      <c r="AH307" s="920" t="n"/>
      <c r="AJ307" t="str">
        <f>IFERROR(INDEX(Lists!$U$1:$U$18,MATCH($I307,Lists!$T$1:$T$18,0)),"?")</f>
        <v>Enterprise Data</v>
      </c>
      <c r="AK307" t="str">
        <f>IF(LOWER($Q307)="v","Vacant",IF(LOWER($Q307)="pause","Paused",IF(LOWER($Q307)="cxc","Contractor",IF($Q307="Contractor","Contractor","Filled"))))</f>
        <v>Filled</v>
      </c>
      <c r="AL307" t="str">
        <f>IF($M307="NZ","NZ","AU")</f>
        <v>NZ</v>
      </c>
      <c r="AM307">
        <f>COUNTIF($AJ$2:$AJ307,$AJ307)</f>
        <v>15.0</v>
      </c>
      <c r="AN307" t="str">
        <f>$AJ307&amp;"|"&amp;$AM307</f>
        <v>Enterprise Data|15</v>
      </c>
    </row>
    <row r="308" ht="18" customHeight="1" s="849">
      <c r="A308" s="659" t="n">
        <v>12010</v>
      </c>
      <c r="B308" s="660" t="inlineStr">
        <is>
          <t>Sai Konka</t>
        </is>
      </c>
      <c r="C308" s="660" t="inlineStr">
        <is>
          <t>Application &amp; Analytics Manager</t>
        </is>
      </c>
      <c r="D308" s="660" t="inlineStr">
        <is>
          <t>Jason Gleason</t>
        </is>
      </c>
      <c r="E308" s="660" t="inlineStr">
        <is>
          <t>Technology Manager, Data Engineering &amp; Platforms</t>
        </is>
      </c>
      <c r="F308" s="763" t="inlineStr">
        <is>
          <t>Strategy, Architecture &amp; Data</t>
        </is>
      </c>
      <c r="G308" s="662" t="inlineStr">
        <is>
          <t>Group Data</t>
        </is>
      </c>
      <c r="H308" s="705" t="inlineStr">
        <is>
          <t>Data Engineering &amp; Platforms</t>
        </is>
      </c>
      <c r="I308" s="705" t="inlineStr">
        <is>
          <t>Enterprise Data</t>
        </is>
      </c>
      <c r="J308" s="705" t="inlineStr">
        <is>
          <t>EGI</t>
        </is>
      </c>
      <c r="K308" s="705" t="inlineStr">
        <is>
          <t>Reporting &amp; Analytics</t>
        </is>
      </c>
      <c r="L308" s="662" t="n"/>
      <c r="M308" s="663" t="inlineStr">
        <is>
          <t>Australia</t>
        </is>
      </c>
      <c r="N308" s="666" t="inlineStr">
        <is>
          <t>CIC</t>
        </is>
      </c>
      <c r="O308" s="666" t="n">
        <v>1</v>
      </c>
      <c r="P308" s="666" t="n"/>
      <c r="Q308" s="666" t="inlineStr">
        <is>
          <t>Permanent - Full Time</t>
        </is>
      </c>
      <c r="R308" s="666" t="n"/>
      <c r="S308" s="666" t="n"/>
      <c r="T308" s="667" t="n">
        <v>197480</v>
      </c>
      <c r="U308" s="668" t="n">
        <v>197480</v>
      </c>
      <c r="V308" s="670" t="n">
        <v>0.12</v>
      </c>
      <c r="W308" s="921" t="n">
        <v>0.055</v>
      </c>
      <c r="X308" s="921" t="n">
        <v>0.12</v>
      </c>
      <c r="Y308" s="922" t="n"/>
      <c r="Z308" s="921" t="n">
        <v>0.04</v>
      </c>
      <c r="AA308" s="919">
        <f>U308*(1+V308+W308+X308+Y308+Z308)</f>
        <v>263635.8</v>
      </c>
      <c r="AJ308" t="str">
        <f>IFERROR(INDEX(Lists!$U$1:$U$18,MATCH($I308,Lists!$T$1:$T$18,0)),"?")</f>
        <v>Enterprise Data</v>
      </c>
      <c r="AK308" t="str">
        <f>IF(LOWER($Q308)="v","Vacant",IF(LOWER($Q308)="pause","Paused",IF(LOWER($Q308)="cxc","Contractor",IF($Q308="Contractor","Contractor","Filled"))))</f>
        <v>Filled</v>
      </c>
      <c r="AL308" t="str">
        <f>IF($M308="NZ","NZ","AU")</f>
        <v>AU</v>
      </c>
      <c r="AM308">
        <f>COUNTIF($AJ$2:$AJ308,$AJ308)</f>
        <v>16.0</v>
      </c>
      <c r="AN308" t="str">
        <f>$AJ308&amp;"|"&amp;$AM308</f>
        <v>Enterprise Data|16</v>
      </c>
    </row>
    <row r="309" ht="18" customHeight="1" s="849">
      <c r="A309" s="659" t="n"/>
      <c r="B309" s="660" t="inlineStr">
        <is>
          <t>Sanjay Tikoo</t>
        </is>
      </c>
      <c r="C309" s="660" t="inlineStr">
        <is>
          <t>Principal, Data Architecture &amp; Governance</t>
        </is>
      </c>
      <c r="D309" s="660" t="inlineStr">
        <is>
          <t>James Holgate</t>
        </is>
      </c>
      <c r="E309" s="660" t="inlineStr">
        <is>
          <t>Head of Technology,  Group Data</t>
        </is>
      </c>
      <c r="F309" s="763" t="inlineStr">
        <is>
          <t>Strategy, Architecture &amp; Data</t>
        </is>
      </c>
      <c r="G309" s="662" t="inlineStr">
        <is>
          <t>Group Data</t>
        </is>
      </c>
      <c r="H309" s="662" t="inlineStr">
        <is>
          <t>Data Capability</t>
        </is>
      </c>
      <c r="I309" s="883" t="inlineStr">
        <is>
          <t>COE - Strategy, Architecture, Data</t>
        </is>
      </c>
      <c r="J309" s="705" t="n"/>
      <c r="K309" s="662" t="n"/>
      <c r="L309" s="662" t="n"/>
      <c r="M309" s="663" t="inlineStr">
        <is>
          <t>Australia</t>
        </is>
      </c>
      <c r="N309" s="664" t="inlineStr">
        <is>
          <t>CSC</t>
        </is>
      </c>
      <c r="O309" s="664" t="n">
        <v>1</v>
      </c>
      <c r="P309" s="664" t="n"/>
      <c r="Q309" s="664" t="inlineStr">
        <is>
          <t>Permanent - Full Time</t>
        </is>
      </c>
      <c r="R309" s="666" t="n"/>
      <c r="S309" s="666" t="n"/>
      <c r="T309" s="667" t="n">
        <v>275000</v>
      </c>
      <c r="U309" s="668" t="n">
        <v>275000</v>
      </c>
      <c r="V309" s="670" t="n">
        <v>0.2</v>
      </c>
      <c r="W309" s="921" t="n">
        <v>0.055</v>
      </c>
      <c r="X309" s="921" t="n">
        <v>0.12</v>
      </c>
      <c r="Y309" s="922" t="n"/>
      <c r="Z309" s="921" t="n">
        <v>0.04</v>
      </c>
      <c r="AA309" s="919">
        <f>U309*(1+V309+W309+X309+Y309+Z309)</f>
        <v>389125.0</v>
      </c>
      <c r="AJ309" t="str">
        <f>IFERROR(INDEX(Lists!$U$1:$U$18,MATCH($I309,Lists!$T$1:$T$18,0)),"?")</f>
        <v>COE SA&amp;D</v>
      </c>
      <c r="AK309" t="str">
        <f>IF(LOWER($Q309)="v","Vacant",IF(LOWER($Q309)="pause","Paused",IF(LOWER($Q309)="cxc","Contractor",IF($Q309="Contractor","Contractor","Filled"))))</f>
        <v>Filled</v>
      </c>
      <c r="AL309" t="str">
        <f>IF($M309="NZ","NZ","AU")</f>
        <v>AU</v>
      </c>
      <c r="AM309">
        <f>COUNTIF($AJ$2:$AJ309,$AJ309)</f>
        <v>15.0</v>
      </c>
      <c r="AN309" t="str">
        <f>$AJ309&amp;"|"&amp;$AM309</f>
        <v>COE SA&amp;D|15</v>
      </c>
    </row>
    <row r="310" ht="18" customHeight="1" s="849">
      <c r="A310" s="659" t="n">
        <v>80549</v>
      </c>
      <c r="B310" s="660" t="inlineStr">
        <is>
          <t>Steve Murray</t>
        </is>
      </c>
      <c r="C310" s="660" t="inlineStr">
        <is>
          <t>Applications Specialist</t>
        </is>
      </c>
      <c r="D310" s="660" t="inlineStr">
        <is>
          <t>Sai Konka</t>
        </is>
      </c>
      <c r="E310" s="660" t="inlineStr">
        <is>
          <t>Applications &amp; Analytics Manager</t>
        </is>
      </c>
      <c r="F310" s="763" t="inlineStr">
        <is>
          <t>Strategy, Architecture &amp; Data</t>
        </is>
      </c>
      <c r="G310" s="662" t="inlineStr">
        <is>
          <t>Group Data</t>
        </is>
      </c>
      <c r="H310" s="705" t="inlineStr">
        <is>
          <t>Data Engineering &amp; Platforms</t>
        </is>
      </c>
      <c r="I310" s="705" t="inlineStr">
        <is>
          <t>Enterprise Data</t>
        </is>
      </c>
      <c r="J310" s="705" t="inlineStr">
        <is>
          <t>EGI</t>
        </is>
      </c>
      <c r="K310" s="705" t="inlineStr">
        <is>
          <t>Reporting &amp; Analytics</t>
        </is>
      </c>
      <c r="L310" s="662" t="n"/>
      <c r="M310" s="663" t="inlineStr">
        <is>
          <t>Australia</t>
        </is>
      </c>
      <c r="N310" s="666" t="inlineStr">
        <is>
          <t>CIB</t>
        </is>
      </c>
      <c r="O310" s="666" t="n">
        <v>1</v>
      </c>
      <c r="P310" s="666" t="n"/>
      <c r="Q310" s="666" t="inlineStr">
        <is>
          <t>Permanent - Full Time</t>
        </is>
      </c>
      <c r="R310" s="666" t="n"/>
      <c r="S310" s="666" t="n"/>
      <c r="T310" s="667" t="n">
        <v>182000</v>
      </c>
      <c r="U310" s="668" t="n">
        <v>182000</v>
      </c>
      <c r="V310" s="670" t="n">
        <v>0.12</v>
      </c>
      <c r="W310" s="921" t="n">
        <v>0.055</v>
      </c>
      <c r="X310" s="921" t="n">
        <v>0.12</v>
      </c>
      <c r="Y310" s="922" t="n"/>
      <c r="Z310" s="921" t="n">
        <v>0.04</v>
      </c>
      <c r="AA310" s="919">
        <f>U310*(1+V310+W310+X310+Y310+Z310)</f>
        <v>242970.0</v>
      </c>
      <c r="AJ310" t="str">
        <f>IFERROR(INDEX(Lists!$U$1:$U$18,MATCH($I310,Lists!$T$1:$T$18,0)),"?")</f>
        <v>Enterprise Data</v>
      </c>
      <c r="AK310" t="str">
        <f>IF(LOWER($Q310)="v","Vacant",IF(LOWER($Q310)="pause","Paused",IF(LOWER($Q310)="cxc","Contractor",IF($Q310="Contractor","Contractor","Filled"))))</f>
        <v>Filled</v>
      </c>
      <c r="AL310" t="str">
        <f>IF($M310="NZ","NZ","AU")</f>
        <v>AU</v>
      </c>
      <c r="AM310">
        <f>COUNTIF($AJ$2:$AJ310,$AJ310)</f>
        <v>17.0</v>
      </c>
      <c r="AN310" t="str">
        <f>$AJ310&amp;"|"&amp;$AM310</f>
        <v>Enterprise Data|17</v>
      </c>
    </row>
    <row r="311" ht="18" customHeight="1" s="849">
      <c r="A311" s="659" t="n">
        <v>114147</v>
      </c>
      <c r="B311" s="660" t="inlineStr">
        <is>
          <t>Sumathi Manikkampichai</t>
        </is>
      </c>
      <c r="C311" s="660" t="inlineStr">
        <is>
          <t>Data Architect</t>
        </is>
      </c>
      <c r="D311" s="660" t="inlineStr">
        <is>
          <t>Jason Gleason</t>
        </is>
      </c>
      <c r="E311" s="660" t="inlineStr">
        <is>
          <t>Technology Manager, Data Engineering &amp; Platforms</t>
        </is>
      </c>
      <c r="F311" s="763" t="inlineStr">
        <is>
          <t>Strategy, Architecture &amp; Data</t>
        </is>
      </c>
      <c r="G311" s="662" t="inlineStr">
        <is>
          <t>Group Data</t>
        </is>
      </c>
      <c r="H311" s="705" t="inlineStr">
        <is>
          <t>Data Engineering &amp; Platforms</t>
        </is>
      </c>
      <c r="I311" s="705" t="inlineStr">
        <is>
          <t>Enterprise Data</t>
        </is>
      </c>
      <c r="J311" s="705" t="inlineStr">
        <is>
          <t>EGI</t>
        </is>
      </c>
      <c r="K311" s="705" t="inlineStr">
        <is>
          <t>Reporting &amp; Analytics</t>
        </is>
      </c>
      <c r="L311" s="662" t="n"/>
      <c r="M311" s="663" t="inlineStr">
        <is>
          <t>Australia</t>
        </is>
      </c>
      <c r="N311" s="664" t="inlineStr">
        <is>
          <t>CIC</t>
        </is>
      </c>
      <c r="O311" s="664" t="n">
        <v>1</v>
      </c>
      <c r="P311" s="664" t="n"/>
      <c r="Q311" s="664" t="inlineStr">
        <is>
          <t>Permanent - Full Time</t>
        </is>
      </c>
      <c r="R311" s="666" t="n"/>
      <c r="S311" s="666" t="n"/>
      <c r="T311" s="667" t="n">
        <v>188010</v>
      </c>
      <c r="U311" s="668" t="n">
        <v>188010</v>
      </c>
      <c r="V311" s="670" t="n">
        <v>0.12</v>
      </c>
      <c r="W311" s="921" t="n">
        <v>0.055</v>
      </c>
      <c r="X311" s="921" t="n">
        <v>0.12</v>
      </c>
      <c r="Y311" s="922" t="n"/>
      <c r="Z311" s="921" t="n">
        <v>0.04</v>
      </c>
      <c r="AA311" s="919">
        <f>U311*(1+V311+W311+X311+Y311+Z311)</f>
        <v>250993.35</v>
      </c>
      <c r="AJ311" t="str">
        <f>IFERROR(INDEX(Lists!$U$1:$U$18,MATCH($I311,Lists!$T$1:$T$18,0)),"?")</f>
        <v>Enterprise Data</v>
      </c>
      <c r="AK311" t="str">
        <f>IF(LOWER($Q311)="v","Vacant",IF(LOWER($Q311)="pause","Paused",IF(LOWER($Q311)="cxc","Contractor",IF($Q311="Contractor","Contractor","Filled"))))</f>
        <v>Filled</v>
      </c>
      <c r="AL311" t="str">
        <f>IF($M311="NZ","NZ","AU")</f>
        <v>AU</v>
      </c>
      <c r="AM311">
        <f>COUNTIF($AJ$2:$AJ311,$AJ311)</f>
        <v>18.0</v>
      </c>
      <c r="AN311" t="str">
        <f>$AJ311&amp;"|"&amp;$AM311</f>
        <v>Enterprise Data|18</v>
      </c>
    </row>
    <row r="312" ht="18" customHeight="1" s="849">
      <c r="A312" s="659" t="n">
        <v>99999101251</v>
      </c>
      <c r="B312" s="660" t="inlineStr">
        <is>
          <t>Tim Snedden</t>
        </is>
      </c>
      <c r="C312" s="660" t="inlineStr">
        <is>
          <t>Delivery Lead</t>
        </is>
      </c>
      <c r="D312" s="660" t="inlineStr">
        <is>
          <t>Joel Vijayakumar</t>
        </is>
      </c>
      <c r="E312" s="660" t="inlineStr">
        <is>
          <t>Delivery Manager, Strategy, Architecture &amp; Data</t>
        </is>
      </c>
      <c r="F312" s="763" t="inlineStr">
        <is>
          <t>Strategy, Architecture &amp; Data</t>
        </is>
      </c>
      <c r="G312" s="662" t="inlineStr">
        <is>
          <t>Delivery, SADA</t>
        </is>
      </c>
      <c r="H312" s="662" t="n"/>
      <c r="I312" s="662" t="inlineStr">
        <is>
          <t>Enterprise Data</t>
        </is>
      </c>
      <c r="J312" s="705" t="inlineStr">
        <is>
          <t>Group Data</t>
        </is>
      </c>
      <c r="K312" s="662" t="inlineStr">
        <is>
          <t>Data Platform</t>
        </is>
      </c>
      <c r="L312" s="662" t="n"/>
      <c r="M312" s="663" t="inlineStr">
        <is>
          <t>NZ</t>
        </is>
      </c>
      <c r="N312" s="664" t="inlineStr">
        <is>
          <t>CSB</t>
        </is>
      </c>
      <c r="O312" s="665" t="n">
        <v>1</v>
      </c>
      <c r="P312" s="664" t="n"/>
      <c r="Q312" s="665" t="inlineStr">
        <is>
          <t>Permanent - Full Time</t>
        </is>
      </c>
      <c r="R312" s="666" t="n"/>
      <c r="S312" s="666" t="n"/>
      <c r="T312" s="667" t="n">
        <v>161600</v>
      </c>
      <c r="U312" s="668" t="n">
        <v>148672</v>
      </c>
      <c r="V312" s="669" t="n">
        <v>0.15</v>
      </c>
      <c r="W312" s="666" t="n"/>
      <c r="X312" s="670" t="n">
        <v>0.05</v>
      </c>
      <c r="Y312" s="918" t="n">
        <v>2910</v>
      </c>
      <c r="Z312" s="670" t="n">
        <v>0.03</v>
      </c>
      <c r="AA312" s="919">
        <f>U312*(1+V312+X312+Z312)+Y312</f>
        <v>185776.56</v>
      </c>
      <c r="AB312" s="754" t="n">
        <v>15175</v>
      </c>
      <c r="AH312" s="920" t="n">
        <v>330</v>
      </c>
      <c r="AJ312" t="str">
        <f>IFERROR(INDEX(Lists!$U$1:$U$18,MATCH($I312,Lists!$T$1:$T$18,0)),"?")</f>
        <v>Enterprise Data</v>
      </c>
      <c r="AK312" t="str">
        <f>IF(LOWER($Q312)="v","Vacant",IF(LOWER($Q312)="pause","Paused",IF(LOWER($Q312)="cxc","Contractor",IF($Q312="Contractor","Contractor","Filled"))))</f>
        <v>Filled</v>
      </c>
      <c r="AL312" t="str">
        <f>IF($M312="NZ","NZ","AU")</f>
        <v>NZ</v>
      </c>
      <c r="AM312">
        <f>COUNTIF($AJ$2:$AJ312,$AJ312)</f>
        <v>19.0</v>
      </c>
      <c r="AN312" t="str">
        <f>$AJ312&amp;"|"&amp;$AM312</f>
        <v>Enterprise Data|19</v>
      </c>
    </row>
    <row r="313" ht="18" customHeight="1" s="849">
      <c r="A313" s="659" t="inlineStr">
        <is>
          <t>V</t>
        </is>
      </c>
      <c r="B313" s="660" t="inlineStr">
        <is>
          <t>Vacant</t>
        </is>
      </c>
      <c r="C313" s="660" t="inlineStr">
        <is>
          <t>Service Transition Lead</t>
        </is>
      </c>
      <c r="D313" s="660" t="inlineStr">
        <is>
          <t>Deepali Mahajan</t>
        </is>
      </c>
      <c r="E313" s="660" t="inlineStr">
        <is>
          <t>Data Operations Manager</t>
        </is>
      </c>
      <c r="F313" s="763" t="inlineStr">
        <is>
          <t>Strategy, Architecture &amp; Data</t>
        </is>
      </c>
      <c r="G313" s="662" t="inlineStr">
        <is>
          <t>Group Data</t>
        </is>
      </c>
      <c r="H313" s="705" t="inlineStr">
        <is>
          <t>Data Operations</t>
        </is>
      </c>
      <c r="I313" s="705" t="inlineStr">
        <is>
          <t>Enterprise Data</t>
        </is>
      </c>
      <c r="J313" s="662" t="inlineStr">
        <is>
          <t>Leadership</t>
        </is>
      </c>
      <c r="K313" s="662" t="n"/>
      <c r="L313" s="662" t="n"/>
      <c r="M313" s="663" t="inlineStr">
        <is>
          <t>Australia</t>
        </is>
      </c>
      <c r="N313" s="664" t="inlineStr">
        <is>
          <t>CIB</t>
        </is>
      </c>
      <c r="O313" s="664" t="n">
        <v>1</v>
      </c>
      <c r="P313" s="664" t="n"/>
      <c r="Q313" s="664" t="inlineStr">
        <is>
          <t>v</t>
        </is>
      </c>
      <c r="R313" s="666" t="n"/>
      <c r="S313" s="666" t="n"/>
      <c r="T313" s="667" t="n">
        <v>151950</v>
      </c>
      <c r="U313" s="668" t="n">
        <v>151950</v>
      </c>
      <c r="V313" s="670" t="n">
        <v>0.12</v>
      </c>
      <c r="W313" s="921" t="n">
        <v>0.055</v>
      </c>
      <c r="X313" s="921" t="n">
        <v>0.12</v>
      </c>
      <c r="Y313" s="922" t="n"/>
      <c r="Z313" s="921" t="n">
        <v>0.04</v>
      </c>
      <c r="AA313" s="919">
        <f>U313*(1+V313+W313+X313+Y313+Z313)</f>
        <v>202853.25</v>
      </c>
      <c r="AJ313" t="str">
        <f>IFERROR(INDEX(Lists!$U$1:$U$18,MATCH($I313,Lists!$T$1:$T$18,0)),"?")</f>
        <v>Enterprise Data</v>
      </c>
      <c r="AK313" t="str">
        <f>IF(LOWER($Q313)="v","Vacant",IF(LOWER($Q313)="pause","Paused",IF(LOWER($Q313)="cxc","Contractor",IF($Q313="Contractor","Contractor","Filled"))))</f>
        <v>Vacant</v>
      </c>
      <c r="AL313" t="str">
        <f>IF($M313="NZ","NZ","AU")</f>
        <v>AU</v>
      </c>
      <c r="AM313">
        <f>COUNTIF($AJ$2:$AJ313,$AJ313)</f>
        <v>20.0</v>
      </c>
      <c r="AN313" t="str">
        <f>$AJ313&amp;"|"&amp;$AM313</f>
        <v>Enterprise Data|20</v>
      </c>
    </row>
    <row r="314" ht="18" customHeight="1" s="849">
      <c r="A314" s="659" t="inlineStr">
        <is>
          <t>V</t>
        </is>
      </c>
      <c r="B314" s="660" t="inlineStr">
        <is>
          <t>Vacant</t>
        </is>
      </c>
      <c r="C314" s="660" t="inlineStr">
        <is>
          <t xml:space="preserve">Engineer Data  </t>
        </is>
      </c>
      <c r="D314" s="660" t="inlineStr">
        <is>
          <t>Dinesh Chandrasekaran</t>
        </is>
      </c>
      <c r="E314" s="660" t="inlineStr">
        <is>
          <t>Lead Engineer (Snowflake)</t>
        </is>
      </c>
      <c r="F314" s="763" t="inlineStr">
        <is>
          <t>Strategy, Architecture &amp; Data</t>
        </is>
      </c>
      <c r="G314" s="662" t="inlineStr">
        <is>
          <t>Group Data</t>
        </is>
      </c>
      <c r="H314" s="705" t="inlineStr">
        <is>
          <t>Data Engineering &amp; Platforms</t>
        </is>
      </c>
      <c r="I314" s="662" t="inlineStr">
        <is>
          <t>Enterprise Data</t>
        </is>
      </c>
      <c r="J314" s="705" t="inlineStr">
        <is>
          <t>Group Data</t>
        </is>
      </c>
      <c r="K314" s="662" t="inlineStr">
        <is>
          <t>Data Platform</t>
        </is>
      </c>
      <c r="L314" s="662" t="n"/>
      <c r="M314" s="663" t="inlineStr">
        <is>
          <t>Australia</t>
        </is>
      </c>
      <c r="N314" s="664" t="inlineStr">
        <is>
          <t>CIB</t>
        </is>
      </c>
      <c r="O314" s="664" t="n">
        <v>1</v>
      </c>
      <c r="P314" s="664" t="n"/>
      <c r="Q314" s="664" t="inlineStr">
        <is>
          <t>V</t>
        </is>
      </c>
      <c r="R314" s="666" t="n"/>
      <c r="S314" s="666" t="n"/>
      <c r="T314" s="667" t="n">
        <v>151950</v>
      </c>
      <c r="U314" s="668" t="n">
        <v>151950</v>
      </c>
      <c r="V314" s="670" t="n">
        <v>0.12</v>
      </c>
      <c r="W314" s="921" t="n">
        <v>0.055</v>
      </c>
      <c r="X314" s="921" t="n">
        <v>0.12</v>
      </c>
      <c r="Y314" s="922" t="n"/>
      <c r="Z314" s="921" t="n">
        <v>0.04</v>
      </c>
      <c r="AA314" s="919">
        <f>U314*(1+V314+W314+X314+Y314+Z314)</f>
        <v>202853.25</v>
      </c>
      <c r="AJ314" t="str">
        <f>IFERROR(INDEX(Lists!$U$1:$U$18,MATCH($I314,Lists!$T$1:$T$18,0)),"?")</f>
        <v>Enterprise Data</v>
      </c>
      <c r="AK314" t="str">
        <f>IF(LOWER($Q314)="v","Vacant",IF(LOWER($Q314)="pause","Paused",IF(LOWER($Q314)="cxc","Contractor",IF($Q314="Contractor","Contractor","Filled"))))</f>
        <v>Vacant</v>
      </c>
      <c r="AL314" t="str">
        <f>IF($M314="NZ","NZ","AU")</f>
        <v>AU</v>
      </c>
      <c r="AM314">
        <f>COUNTIF($AJ$2:$AJ314,$AJ314)</f>
        <v>21.0</v>
      </c>
      <c r="AN314" t="str">
        <f>$AJ314&amp;"|"&amp;$AM314</f>
        <v>Enterprise Data|21</v>
      </c>
    </row>
    <row r="315" ht="18" customHeight="1" s="849">
      <c r="A315" s="659" t="inlineStr">
        <is>
          <t>V</t>
        </is>
      </c>
      <c r="B315" s="660" t="inlineStr">
        <is>
          <t>Vacant</t>
        </is>
      </c>
      <c r="C315" s="660" t="inlineStr">
        <is>
          <t>Quality Assurance</t>
        </is>
      </c>
      <c r="D315" s="660" t="inlineStr">
        <is>
          <t>Dinesh Chandrasekaran</t>
        </is>
      </c>
      <c r="E315" s="660" t="inlineStr">
        <is>
          <t>Lead Engineer (Snowflake)</t>
        </is>
      </c>
      <c r="F315" s="763" t="inlineStr">
        <is>
          <t>Strategy, Architecture &amp; Data</t>
        </is>
      </c>
      <c r="G315" s="662" t="inlineStr">
        <is>
          <t>Group Data</t>
        </is>
      </c>
      <c r="H315" s="705" t="inlineStr">
        <is>
          <t>Data Engineering &amp; Platforms</t>
        </is>
      </c>
      <c r="I315" s="662" t="inlineStr">
        <is>
          <t>Enterprise Data</t>
        </is>
      </c>
      <c r="J315" s="705" t="inlineStr">
        <is>
          <t>Group Data</t>
        </is>
      </c>
      <c r="K315" s="662" t="inlineStr">
        <is>
          <t>Data Platform</t>
        </is>
      </c>
      <c r="L315" s="662" t="n"/>
      <c r="M315" s="663" t="inlineStr">
        <is>
          <t>Australia</t>
        </is>
      </c>
      <c r="N315" s="664" t="inlineStr">
        <is>
          <t>CIA</t>
        </is>
      </c>
      <c r="O315" s="664" t="n">
        <v>1</v>
      </c>
      <c r="P315" s="664" t="n"/>
      <c r="Q315" s="664" t="inlineStr">
        <is>
          <t>v</t>
        </is>
      </c>
      <c r="R315" s="666" t="n"/>
      <c r="S315" s="666" t="n"/>
      <c r="T315" s="666" t="n">
        <v>129650</v>
      </c>
      <c r="U315" s="668" t="n">
        <v>129650</v>
      </c>
      <c r="V315" s="670" t="n">
        <v>0.1</v>
      </c>
      <c r="W315" s="921" t="n">
        <v>0.055</v>
      </c>
      <c r="X315" s="921" t="n">
        <v>0.12</v>
      </c>
      <c r="Y315" s="922" t="n"/>
      <c r="Z315" s="921" t="n">
        <v>0.04</v>
      </c>
      <c r="AA315" s="919">
        <f>U315*(1+V315+W315+X315+Y315+Z315)</f>
        <v>170489.75</v>
      </c>
      <c r="AJ315" t="str">
        <f>IFERROR(INDEX(Lists!$U$1:$U$18,MATCH($I315,Lists!$T$1:$T$18,0)),"?")</f>
        <v>Enterprise Data</v>
      </c>
      <c r="AK315" t="str">
        <f>IF(LOWER($Q315)="v","Vacant",IF(LOWER($Q315)="pause","Paused",IF(LOWER($Q315)="cxc","Contractor",IF($Q315="Contractor","Contractor","Filled"))))</f>
        <v>Vacant</v>
      </c>
      <c r="AL315" t="str">
        <f>IF($M315="NZ","NZ","AU")</f>
        <v>AU</v>
      </c>
      <c r="AM315">
        <f>COUNTIF($AJ$2:$AJ315,$AJ315)</f>
        <v>22.0</v>
      </c>
      <c r="AN315" t="str">
        <f>$AJ315&amp;"|"&amp;$AM315</f>
        <v>Enterprise Data|22</v>
      </c>
    </row>
    <row r="316" ht="18" customHeight="1" s="849">
      <c r="A316" s="659" t="inlineStr">
        <is>
          <t>V</t>
        </is>
      </c>
      <c r="B316" s="660" t="inlineStr">
        <is>
          <t>Vacant</t>
        </is>
      </c>
      <c r="C316" s="660" t="inlineStr">
        <is>
          <t>Engineer - DevOps</t>
        </is>
      </c>
      <c r="D316" s="660" t="inlineStr">
        <is>
          <t>Jason Gleason</t>
        </is>
      </c>
      <c r="E316" s="660" t="inlineStr">
        <is>
          <t>Technology Manager, Data Engineering &amp; Platforms</t>
        </is>
      </c>
      <c r="F316" s="763" t="inlineStr">
        <is>
          <t>Strategy, Architecture &amp; Data</t>
        </is>
      </c>
      <c r="G316" s="662" t="inlineStr">
        <is>
          <t>Group Data</t>
        </is>
      </c>
      <c r="H316" s="705" t="inlineStr">
        <is>
          <t>Data Engineering &amp; Platforms</t>
        </is>
      </c>
      <c r="I316" s="662" t="inlineStr">
        <is>
          <t>Enterprise Data</t>
        </is>
      </c>
      <c r="J316" s="705" t="inlineStr">
        <is>
          <t>Group Data</t>
        </is>
      </c>
      <c r="K316" s="662" t="inlineStr">
        <is>
          <t>Data Platform</t>
        </is>
      </c>
      <c r="L316" s="662" t="n"/>
      <c r="M316" s="663" t="inlineStr">
        <is>
          <t>Australia</t>
        </is>
      </c>
      <c r="N316" s="664" t="inlineStr">
        <is>
          <t>cib</t>
        </is>
      </c>
      <c r="O316" s="664" t="n">
        <v>1</v>
      </c>
      <c r="P316" s="664" t="n"/>
      <c r="Q316" s="664" t="inlineStr">
        <is>
          <t>V</t>
        </is>
      </c>
      <c r="R316" s="666" t="n"/>
      <c r="S316" s="666" t="n"/>
      <c r="T316" s="666" t="n">
        <v>151950</v>
      </c>
      <c r="U316" s="668" t="n">
        <v>151950</v>
      </c>
      <c r="V316" s="670" t="n">
        <v>0.12</v>
      </c>
      <c r="W316" s="921" t="n">
        <v>0.055</v>
      </c>
      <c r="X316" s="921" t="n">
        <v>0.12</v>
      </c>
      <c r="Y316" s="922" t="n"/>
      <c r="Z316" s="921" t="n">
        <v>0.04</v>
      </c>
      <c r="AA316" s="919">
        <f>U316*(1+V316+W316+X316+Y316+Z316)</f>
        <v>202853.25</v>
      </c>
      <c r="AJ316" t="str">
        <f>IFERROR(INDEX(Lists!$U$1:$U$18,MATCH($I316,Lists!$T$1:$T$18,0)),"?")</f>
        <v>Enterprise Data</v>
      </c>
      <c r="AK316" t="str">
        <f>IF(LOWER($Q316)="v","Vacant",IF(LOWER($Q316)="pause","Paused",IF(LOWER($Q316)="cxc","Contractor",IF($Q316="Contractor","Contractor","Filled"))))</f>
        <v>Vacant</v>
      </c>
      <c r="AL316" t="str">
        <f>IF($M316="NZ","NZ","AU")</f>
        <v>AU</v>
      </c>
      <c r="AM316">
        <f>COUNTIF($AJ$2:$AJ316,$AJ316)</f>
        <v>23.0</v>
      </c>
      <c r="AN316" t="str">
        <f>$AJ316&amp;"|"&amp;$AM316</f>
        <v>Enterprise Data|23</v>
      </c>
    </row>
    <row r="317" ht="18" customHeight="1" s="849">
      <c r="A317" s="659" t="inlineStr">
        <is>
          <t>V</t>
        </is>
      </c>
      <c r="B317" s="660" t="inlineStr">
        <is>
          <t>Vacant</t>
        </is>
      </c>
      <c r="C317" s="660" t="inlineStr">
        <is>
          <t>Business Analyst</t>
        </is>
      </c>
      <c r="D317" s="660" t="inlineStr">
        <is>
          <t>Joel Vijayakumar</t>
        </is>
      </c>
      <c r="E317" s="660" t="inlineStr">
        <is>
          <t>Delivery Manager, Strategy, Architecture &amp; Data</t>
        </is>
      </c>
      <c r="F317" s="763" t="inlineStr">
        <is>
          <t>Strategy, Architecture &amp; Data</t>
        </is>
      </c>
      <c r="G317" s="662" t="inlineStr">
        <is>
          <t>Delivery, SADA</t>
        </is>
      </c>
      <c r="H317" s="662" t="n"/>
      <c r="I317" s="662" t="inlineStr">
        <is>
          <t>Enterprise Data</t>
        </is>
      </c>
      <c r="J317" s="705" t="inlineStr">
        <is>
          <t>Group Data</t>
        </is>
      </c>
      <c r="K317" s="662" t="inlineStr">
        <is>
          <t>Data Platform</t>
        </is>
      </c>
      <c r="L317" s="662" t="n"/>
      <c r="M317" s="663" t="inlineStr">
        <is>
          <t>Australia</t>
        </is>
      </c>
      <c r="N317" s="664" t="inlineStr">
        <is>
          <t>CIB</t>
        </is>
      </c>
      <c r="O317" s="664" t="n">
        <v>1</v>
      </c>
      <c r="P317" s="664" t="n"/>
      <c r="Q317" s="664" t="inlineStr">
        <is>
          <t>V</t>
        </is>
      </c>
      <c r="R317" s="666" t="n"/>
      <c r="S317" s="666" t="n"/>
      <c r="T317" s="666" t="n">
        <v>151950</v>
      </c>
      <c r="U317" s="668" t="n">
        <v>151950</v>
      </c>
      <c r="V317" s="670" t="n">
        <v>0.12</v>
      </c>
      <c r="W317" s="921" t="n">
        <v>0.055</v>
      </c>
      <c r="X317" s="921" t="n">
        <v>0.12</v>
      </c>
      <c r="Y317" s="922" t="n"/>
      <c r="Z317" s="921" t="n">
        <v>0.04</v>
      </c>
      <c r="AA317" s="919">
        <f>U317*(1+V317+W317+X317+Y317+Z317)</f>
        <v>202853.25</v>
      </c>
      <c r="AJ317" t="str">
        <f>IFERROR(INDEX(Lists!$U$1:$U$18,MATCH($I317,Lists!$T$1:$T$18,0)),"?")</f>
        <v>Enterprise Data</v>
      </c>
      <c r="AK317" t="str">
        <f>IF(LOWER($Q317)="v","Vacant",IF(LOWER($Q317)="pause","Paused",IF(LOWER($Q317)="cxc","Contractor",IF($Q317="Contractor","Contractor","Filled"))))</f>
        <v>Vacant</v>
      </c>
      <c r="AL317" t="str">
        <f>IF($M317="NZ","NZ","AU")</f>
        <v>AU</v>
      </c>
      <c r="AM317">
        <f>COUNTIF($AJ$2:$AJ317,$AJ317)</f>
        <v>24.0</v>
      </c>
      <c r="AN317" t="str">
        <f>$AJ317&amp;"|"&amp;$AM317</f>
        <v>Enterprise Data|24</v>
      </c>
    </row>
    <row r="318" ht="18" customHeight="1" s="849">
      <c r="A318" s="659" t="inlineStr">
        <is>
          <t>V</t>
        </is>
      </c>
      <c r="B318" s="660" t="inlineStr">
        <is>
          <t>Vacant</t>
        </is>
      </c>
      <c r="C318" s="660" t="inlineStr">
        <is>
          <t>Business Analyst</t>
        </is>
      </c>
      <c r="D318" s="660" t="inlineStr">
        <is>
          <t>Joel Vijayakumar</t>
        </is>
      </c>
      <c r="E318" s="660" t="inlineStr">
        <is>
          <t>Delivery Manager, Strategy, Architecture &amp; Data</t>
        </is>
      </c>
      <c r="F318" s="763" t="inlineStr">
        <is>
          <t>Strategy, Architecture &amp; Data</t>
        </is>
      </c>
      <c r="G318" s="662" t="inlineStr">
        <is>
          <t>Delivery, SADA</t>
        </is>
      </c>
      <c r="H318" s="662" t="n"/>
      <c r="I318" s="705" t="inlineStr">
        <is>
          <t>Enterprise Data</t>
        </is>
      </c>
      <c r="J318" s="705" t="inlineStr">
        <is>
          <t>EGI</t>
        </is>
      </c>
      <c r="K318" s="705" t="inlineStr">
        <is>
          <t>Reporting &amp; Analytics</t>
        </is>
      </c>
      <c r="L318" s="662" t="n"/>
      <c r="M318" s="663" t="inlineStr">
        <is>
          <t>Australia</t>
        </is>
      </c>
      <c r="N318" s="664" t="inlineStr">
        <is>
          <t>CIB</t>
        </is>
      </c>
      <c r="O318" s="664" t="n">
        <v>1</v>
      </c>
      <c r="P318" s="664" t="n"/>
      <c r="Q318" s="664" t="inlineStr">
        <is>
          <t>Pause</t>
        </is>
      </c>
      <c r="R318" s="666" t="n"/>
      <c r="S318" s="666" t="n"/>
      <c r="T318" s="666" t="n">
        <v>151950</v>
      </c>
      <c r="U318" s="668" t="n">
        <v>151950</v>
      </c>
      <c r="V318" s="670" t="n">
        <v>0.12</v>
      </c>
      <c r="W318" s="921" t="n">
        <v>0.055</v>
      </c>
      <c r="X318" s="921" t="n">
        <v>0.12</v>
      </c>
      <c r="Y318" s="922" t="n"/>
      <c r="Z318" s="921" t="n">
        <v>0.04</v>
      </c>
      <c r="AA318" s="919">
        <f>U318*(1+V318+W318+X318+Y318+Z318)</f>
        <v>202853.25</v>
      </c>
      <c r="AJ318" t="str">
        <f>IFERROR(INDEX(Lists!$U$1:$U$18,MATCH($I318,Lists!$T$1:$T$18,0)),"?")</f>
        <v>Enterprise Data</v>
      </c>
      <c r="AK318" t="str">
        <f>IF(LOWER($Q318)="v","Vacant",IF(LOWER($Q318)="pause","Paused",IF(LOWER($Q318)="cxc","Contractor",IF($Q318="Contractor","Contractor","Filled"))))</f>
        <v>Paused</v>
      </c>
      <c r="AL318" t="str">
        <f>IF($M318="NZ","NZ","AU")</f>
        <v>AU</v>
      </c>
      <c r="AM318">
        <f>COUNTIF($AJ$2:$AJ318,$AJ318)</f>
        <v>25.0</v>
      </c>
      <c r="AN318" t="str">
        <f>$AJ318&amp;"|"&amp;$AM318</f>
        <v>Enterprise Data|25</v>
      </c>
    </row>
    <row r="319" ht="18" customHeight="1" s="849">
      <c r="A319" s="659" t="inlineStr">
        <is>
          <t>V</t>
        </is>
      </c>
      <c r="B319" s="660" t="inlineStr">
        <is>
          <t>vacant</t>
        </is>
      </c>
      <c r="C319" s="660" t="inlineStr">
        <is>
          <t>Engineer - Data</t>
        </is>
      </c>
      <c r="D319" s="660" t="inlineStr">
        <is>
          <t>Roozbeh Shahbazirad</t>
        </is>
      </c>
      <c r="E319" s="660" t="inlineStr">
        <is>
          <t>Lead Engineer (Databricks)</t>
        </is>
      </c>
      <c r="F319" s="763" t="inlineStr">
        <is>
          <t>Strategy, Architecture &amp; Data</t>
        </is>
      </c>
      <c r="G319" s="662" t="inlineStr">
        <is>
          <t>Group Data</t>
        </is>
      </c>
      <c r="H319" s="705" t="inlineStr">
        <is>
          <t>Data Engineering &amp; Platforms</t>
        </is>
      </c>
      <c r="I319" s="662" t="inlineStr">
        <is>
          <t>Enterprise Data</t>
        </is>
      </c>
      <c r="J319" s="705" t="inlineStr">
        <is>
          <t>Group Data</t>
        </is>
      </c>
      <c r="K319" s="662" t="inlineStr">
        <is>
          <t>Data Platform</t>
        </is>
      </c>
      <c r="L319" s="662" t="n"/>
      <c r="M319" s="663" t="inlineStr">
        <is>
          <t>Australia</t>
        </is>
      </c>
      <c r="N319" s="664" t="inlineStr">
        <is>
          <t>CIB</t>
        </is>
      </c>
      <c r="O319" s="664" t="n">
        <v>1</v>
      </c>
      <c r="P319" s="664" t="n"/>
      <c r="Q319" s="664" t="inlineStr">
        <is>
          <t>V</t>
        </is>
      </c>
      <c r="R319" s="666" t="n"/>
      <c r="S319" s="666" t="n"/>
      <c r="T319" s="666" t="n">
        <v>151950</v>
      </c>
      <c r="U319" s="668" t="n">
        <v>151950</v>
      </c>
      <c r="V319" s="670" t="n">
        <v>0.12</v>
      </c>
      <c r="W319" s="921" t="n">
        <v>0.055</v>
      </c>
      <c r="X319" s="921" t="n">
        <v>0.12</v>
      </c>
      <c r="Y319" s="922" t="n"/>
      <c r="Z319" s="921" t="n">
        <v>0.04</v>
      </c>
      <c r="AA319" s="919">
        <f>U319*(1+V319+W319+X319+Y319+Z319)</f>
        <v>202853.25</v>
      </c>
      <c r="AJ319" t="str">
        <f>IFERROR(INDEX(Lists!$U$1:$U$18,MATCH($I319,Lists!$T$1:$T$18,0)),"?")</f>
        <v>Enterprise Data</v>
      </c>
      <c r="AK319" t="str">
        <f>IF(LOWER($Q319)="v","Vacant",IF(LOWER($Q319)="pause","Paused",IF(LOWER($Q319)="cxc","Contractor",IF($Q319="Contractor","Contractor","Filled"))))</f>
        <v>Vacant</v>
      </c>
      <c r="AL319" t="str">
        <f>IF($M319="NZ","NZ","AU")</f>
        <v>AU</v>
      </c>
      <c r="AM319">
        <f>COUNTIF($AJ$2:$AJ319,$AJ319)</f>
        <v>26.0</v>
      </c>
      <c r="AN319" t="str">
        <f>$AJ319&amp;"|"&amp;$AM319</f>
        <v>Enterprise Data|26</v>
      </c>
    </row>
    <row r="320" ht="18" customHeight="1" s="849">
      <c r="A320" s="659" t="inlineStr">
        <is>
          <t>V</t>
        </is>
      </c>
      <c r="B320" s="660" t="inlineStr">
        <is>
          <t>vacant</t>
        </is>
      </c>
      <c r="C320" s="660" t="inlineStr">
        <is>
          <t>Quality Assurance</t>
        </is>
      </c>
      <c r="D320" s="660" t="inlineStr">
        <is>
          <t>Roozbeh Shahbazirad</t>
        </is>
      </c>
      <c r="E320" s="660" t="inlineStr">
        <is>
          <t>Lead Engineer (Databricks)</t>
        </is>
      </c>
      <c r="F320" s="763" t="inlineStr">
        <is>
          <t>Strategy, Architecture &amp; Data</t>
        </is>
      </c>
      <c r="G320" s="662" t="inlineStr">
        <is>
          <t>Group Data</t>
        </is>
      </c>
      <c r="H320" s="705" t="inlineStr">
        <is>
          <t>Data Engineering &amp; Platforms</t>
        </is>
      </c>
      <c r="I320" s="662" t="inlineStr">
        <is>
          <t>Enterprise Data</t>
        </is>
      </c>
      <c r="J320" s="705" t="inlineStr">
        <is>
          <t>EGI</t>
        </is>
      </c>
      <c r="K320" s="662" t="inlineStr">
        <is>
          <t>Data Platform</t>
        </is>
      </c>
      <c r="L320" s="662" t="n"/>
      <c r="M320" s="663" t="inlineStr">
        <is>
          <t>Australia</t>
        </is>
      </c>
      <c r="N320" s="664" t="inlineStr">
        <is>
          <t>CIA</t>
        </is>
      </c>
      <c r="O320" s="664" t="n">
        <v>1</v>
      </c>
      <c r="P320" s="664" t="n"/>
      <c r="Q320" s="664" t="inlineStr">
        <is>
          <t>v</t>
        </is>
      </c>
      <c r="R320" s="666" t="n"/>
      <c r="S320" s="666" t="n"/>
      <c r="T320" s="666" t="n">
        <v>129650</v>
      </c>
      <c r="U320" s="668" t="n">
        <v>129650</v>
      </c>
      <c r="V320" s="670" t="n">
        <v>0.1</v>
      </c>
      <c r="W320" s="921" t="n">
        <v>0.055</v>
      </c>
      <c r="X320" s="921" t="n">
        <v>0.12</v>
      </c>
      <c r="Y320" s="922" t="n"/>
      <c r="Z320" s="921" t="n">
        <v>0.04</v>
      </c>
      <c r="AA320" s="919">
        <f>U320*(1+V320+W320+X320+Y320+Z320)</f>
        <v>170489.75</v>
      </c>
      <c r="AJ320" t="str">
        <f>IFERROR(INDEX(Lists!$U$1:$U$18,MATCH($I320,Lists!$T$1:$T$18,0)),"?")</f>
        <v>Enterprise Data</v>
      </c>
      <c r="AK320" t="str">
        <f>IF(LOWER($Q320)="v","Vacant",IF(LOWER($Q320)="pause","Paused",IF(LOWER($Q320)="cxc","Contractor",IF($Q320="Contractor","Contractor","Filled"))))</f>
        <v>Vacant</v>
      </c>
      <c r="AL320" t="str">
        <f>IF($M320="NZ","NZ","AU")</f>
        <v>AU</v>
      </c>
      <c r="AM320">
        <f>COUNTIF($AJ$2:$AJ320,$AJ320)</f>
        <v>27.0</v>
      </c>
      <c r="AN320" t="str">
        <f>$AJ320&amp;"|"&amp;$AM320</f>
        <v>Enterprise Data|27</v>
      </c>
    </row>
    <row r="321" ht="18" customHeight="1" s="849">
      <c r="A321" s="659" t="inlineStr">
        <is>
          <t>V</t>
        </is>
      </c>
      <c r="B321" s="660" t="inlineStr">
        <is>
          <t>Vacant</t>
        </is>
      </c>
      <c r="C321" s="660" t="inlineStr">
        <is>
          <t>Data Governance Lead</t>
        </is>
      </c>
      <c r="D321" s="662" t="inlineStr">
        <is>
          <t>Sanjay Tikoo</t>
        </is>
      </c>
      <c r="E321" s="660" t="inlineStr">
        <is>
          <t>Data Capability Manager</t>
        </is>
      </c>
      <c r="F321" s="763" t="inlineStr">
        <is>
          <t>Strategy, Architecture &amp; Data</t>
        </is>
      </c>
      <c r="G321" s="740" t="inlineStr">
        <is>
          <t>Group Data</t>
        </is>
      </c>
      <c r="H321" s="767" t="inlineStr">
        <is>
          <t>Data Capability</t>
        </is>
      </c>
      <c r="I321" s="883" t="inlineStr">
        <is>
          <t>COE - Strategy, Architecture, Data</t>
        </is>
      </c>
      <c r="J321" s="705" t="n"/>
      <c r="K321" s="662" t="n"/>
      <c r="L321" s="662" t="n"/>
      <c r="M321" s="663" t="inlineStr">
        <is>
          <t>australia</t>
        </is>
      </c>
      <c r="N321" s="768" t="inlineStr">
        <is>
          <t>CSC</t>
        </is>
      </c>
      <c r="O321" s="664" t="n">
        <v>1</v>
      </c>
      <c r="P321" s="664" t="n"/>
      <c r="Q321" s="664" t="inlineStr">
        <is>
          <t>V</t>
        </is>
      </c>
      <c r="R321" s="666" t="n"/>
      <c r="S321" s="666" t="n"/>
      <c r="T321" s="666" t="n">
        <v>275340</v>
      </c>
      <c r="U321" s="668" t="n">
        <v>275340</v>
      </c>
      <c r="V321" s="670" t="n">
        <v>0.2</v>
      </c>
      <c r="W321" s="921" t="n">
        <v>0.055</v>
      </c>
      <c r="X321" s="921" t="n">
        <v>0.12</v>
      </c>
      <c r="Y321" s="922" t="n"/>
      <c r="Z321" s="921" t="n">
        <v>0.04</v>
      </c>
      <c r="AA321" s="919">
        <f>U321*(1+V321+W321+X321+Y321+Z321)</f>
        <v>389606.10000000003</v>
      </c>
      <c r="AJ321" t="str">
        <f>IFERROR(INDEX(Lists!$U$1:$U$18,MATCH($I321,Lists!$T$1:$T$18,0)),"?")</f>
        <v>COE SA&amp;D</v>
      </c>
      <c r="AK321" t="str">
        <f>IF(LOWER($Q321)="v","Vacant",IF(LOWER($Q321)="pause","Paused",IF(LOWER($Q321)="cxc","Contractor",IF($Q321="Contractor","Contractor","Filled"))))</f>
        <v>Vacant</v>
      </c>
      <c r="AL321" t="str">
        <f>IF($M321="NZ","NZ","AU")</f>
        <v>AU</v>
      </c>
      <c r="AM321">
        <f>COUNTIF($AJ$2:$AJ321,$AJ321)</f>
        <v>16.0</v>
      </c>
      <c r="AN321" t="str">
        <f>$AJ321&amp;"|"&amp;$AM321</f>
        <v>COE SA&amp;D|16</v>
      </c>
    </row>
    <row r="322" ht="18" customHeight="1" s="849">
      <c r="A322" s="659" t="inlineStr">
        <is>
          <t>V</t>
        </is>
      </c>
      <c r="B322" s="660" t="inlineStr">
        <is>
          <t>Vacant</t>
        </is>
      </c>
      <c r="C322" s="660" t="inlineStr">
        <is>
          <t>Head of Architecture</t>
        </is>
      </c>
      <c r="D322" s="660" t="inlineStr">
        <is>
          <t>Matt Ashley</t>
        </is>
      </c>
      <c r="E322" s="660" t="inlineStr">
        <is>
          <t>GM TDD, Strategy, Architecture, Data</t>
        </is>
      </c>
      <c r="F322" s="763" t="inlineStr">
        <is>
          <t>Strategy, Architecture &amp; Data</t>
        </is>
      </c>
      <c r="G322" s="662" t="inlineStr">
        <is>
          <t>Architecture</t>
        </is>
      </c>
      <c r="H322" s="662" t="inlineStr">
        <is>
          <t>Architecture</t>
        </is>
      </c>
      <c r="I322" s="883" t="inlineStr">
        <is>
          <t>COE - Strategy, Architecture, Data</t>
        </is>
      </c>
      <c r="J322" s="705" t="inlineStr">
        <is>
          <t>Leadership</t>
        </is>
      </c>
      <c r="K322" s="705" t="n"/>
      <c r="L322" s="662" t="n"/>
      <c r="M322" s="663" t="inlineStr">
        <is>
          <t>Australia</t>
        </is>
      </c>
      <c r="N322" s="664" t="inlineStr">
        <is>
          <t>CSC</t>
        </is>
      </c>
      <c r="O322" s="664" t="n">
        <v>1</v>
      </c>
      <c r="P322" s="664" t="n"/>
      <c r="Q322" s="664" t="inlineStr">
        <is>
          <t>v</t>
        </is>
      </c>
      <c r="R322" s="666" t="n"/>
      <c r="S322" s="666" t="n"/>
      <c r="T322" s="666" t="n">
        <v>236730</v>
      </c>
      <c r="U322" s="668" t="n">
        <v>236730</v>
      </c>
      <c r="V322" s="670" t="n">
        <v>0.2</v>
      </c>
      <c r="W322" s="921" t="n">
        <v>0.055</v>
      </c>
      <c r="X322" s="921" t="n">
        <v>0.12</v>
      </c>
      <c r="Y322" s="922" t="n"/>
      <c r="Z322" s="921" t="n">
        <v>0.04</v>
      </c>
      <c r="AA322" s="919">
        <f>U322*(1+V322+W322+X322+Y322+Z322)</f>
        <v>334972.95</v>
      </c>
      <c r="AJ322" t="str">
        <f>IFERROR(INDEX(Lists!$U$1:$U$18,MATCH($I322,Lists!$T$1:$T$18,0)),"?")</f>
        <v>COE SA&amp;D</v>
      </c>
      <c r="AK322" t="str">
        <f>IF(LOWER($Q322)="v","Vacant",IF(LOWER($Q322)="pause","Paused",IF(LOWER($Q322)="cxc","Contractor",IF($Q322="Contractor","Contractor","Filled"))))</f>
        <v>Vacant</v>
      </c>
      <c r="AL322" t="str">
        <f>IF($M322="NZ","NZ","AU")</f>
        <v>AU</v>
      </c>
      <c r="AM322">
        <f>COUNTIF($AJ$2:$AJ322,$AJ322)</f>
        <v>17.0</v>
      </c>
      <c r="AN322" t="str">
        <f>$AJ322&amp;"|"&amp;$AM322</f>
        <v>COE SA&amp;D|17</v>
      </c>
    </row>
    <row r="323" ht="18" customHeight="1" s="849">
      <c r="A323" s="659" t="inlineStr">
        <is>
          <t>V</t>
        </is>
      </c>
      <c r="B323" s="660" t="inlineStr">
        <is>
          <t>Vacant</t>
        </is>
      </c>
      <c r="C323" s="660" t="inlineStr">
        <is>
          <t>Head of Technology Strategy &amp; AI Capability</t>
        </is>
      </c>
      <c r="D323" s="660" t="inlineStr">
        <is>
          <t>Matt Ashley</t>
        </is>
      </c>
      <c r="E323" s="660" t="inlineStr">
        <is>
          <t>GM TDD, Strategy, Architecture, Data</t>
        </is>
      </c>
      <c r="F323" s="763" t="inlineStr">
        <is>
          <t>Strategy, Architecture &amp; Data</t>
        </is>
      </c>
      <c r="G323" s="662" t="inlineStr">
        <is>
          <t>Technology Strategy &amp; AI Capability</t>
        </is>
      </c>
      <c r="H323" s="662" t="inlineStr">
        <is>
          <t>Technology Strategy &amp; AI Capability</t>
        </is>
      </c>
      <c r="I323" s="883" t="inlineStr">
        <is>
          <t>COE - Strategy, Architecture, Data</t>
        </is>
      </c>
      <c r="J323" s="705" t="inlineStr">
        <is>
          <t>Leadership</t>
        </is>
      </c>
      <c r="K323" s="705" t="n"/>
      <c r="L323" s="662" t="n"/>
      <c r="M323" s="663" t="inlineStr">
        <is>
          <t>Australia</t>
        </is>
      </c>
      <c r="N323" s="664" t="inlineStr">
        <is>
          <t>CSC</t>
        </is>
      </c>
      <c r="O323" s="664" t="n">
        <v>1</v>
      </c>
      <c r="P323" s="664" t="n"/>
      <c r="Q323" s="664" t="inlineStr">
        <is>
          <t>v</t>
        </is>
      </c>
      <c r="R323" s="666" t="n"/>
      <c r="S323" s="666" t="n"/>
      <c r="T323" s="666" t="n">
        <v>235350</v>
      </c>
      <c r="U323" s="668" t="n">
        <v>235350</v>
      </c>
      <c r="V323" s="670" t="n">
        <v>0.2</v>
      </c>
      <c r="W323" s="921" t="n">
        <v>0.055</v>
      </c>
      <c r="X323" s="921" t="n">
        <v>0.12</v>
      </c>
      <c r="Y323" s="922" t="n"/>
      <c r="Z323" s="921" t="n">
        <v>0.04</v>
      </c>
      <c r="AA323" s="919">
        <f>U323*(1+V323+W323+X323+Y323+Z323)</f>
        <v>333020.25</v>
      </c>
      <c r="AJ323" t="str">
        <f>IFERROR(INDEX(Lists!$U$1:$U$18,MATCH($I323,Lists!$T$1:$T$18,0)),"?")</f>
        <v>COE SA&amp;D</v>
      </c>
      <c r="AK323" t="str">
        <f>IF(LOWER($Q323)="v","Vacant",IF(LOWER($Q323)="pause","Paused",IF(LOWER($Q323)="cxc","Contractor",IF($Q323="Contractor","Contractor","Filled"))))</f>
        <v>Vacant</v>
      </c>
      <c r="AL323" t="str">
        <f>IF($M323="NZ","NZ","AU")</f>
        <v>AU</v>
      </c>
      <c r="AM323">
        <f>COUNTIF($AJ$2:$AJ323,$AJ323)</f>
        <v>18.0</v>
      </c>
      <c r="AN323" t="str">
        <f>$AJ323&amp;"|"&amp;$AM323</f>
        <v>COE SA&amp;D|18</v>
      </c>
    </row>
    <row r="324" ht="18" customHeight="1" s="849">
      <c r="A324" s="659" t="inlineStr">
        <is>
          <t>V</t>
        </is>
      </c>
      <c r="B324" s="660" t="inlineStr">
        <is>
          <t>Vacant</t>
        </is>
      </c>
      <c r="C324" s="660" t="inlineStr">
        <is>
          <t>Senior Communications Advisor</t>
        </is>
      </c>
      <c r="D324" s="660" t="inlineStr">
        <is>
          <t>Matt Ashley</t>
        </is>
      </c>
      <c r="E324" s="660" t="inlineStr">
        <is>
          <t>GM TDD, Strategy, Architecture, Data</t>
        </is>
      </c>
      <c r="F324" s="763" t="inlineStr">
        <is>
          <t>Strategy, Architecture &amp; Data</t>
        </is>
      </c>
      <c r="G324" s="662" t="inlineStr">
        <is>
          <t>na</t>
        </is>
      </c>
      <c r="H324" s="662" t="n"/>
      <c r="I324" s="883" t="inlineStr">
        <is>
          <t>COE - Strategy, Architecture, Data</t>
        </is>
      </c>
      <c r="J324" s="705" t="inlineStr">
        <is>
          <t>Leadership</t>
        </is>
      </c>
      <c r="K324" s="705" t="n"/>
      <c r="L324" s="662" t="n"/>
      <c r="M324" s="663" t="inlineStr">
        <is>
          <t>Australia</t>
        </is>
      </c>
      <c r="N324" s="664" t="inlineStr">
        <is>
          <t>CIB</t>
        </is>
      </c>
      <c r="O324" s="664" t="n">
        <v>1</v>
      </c>
      <c r="P324" s="664" t="n"/>
      <c r="Q324" s="664" t="inlineStr">
        <is>
          <t>v</t>
        </is>
      </c>
      <c r="R324" s="666" t="n"/>
      <c r="S324" s="666" t="n"/>
      <c r="T324" s="666" t="n">
        <v>140000</v>
      </c>
      <c r="U324" s="668" t="n">
        <v>140000</v>
      </c>
      <c r="V324" s="670" t="n">
        <v>0.12</v>
      </c>
      <c r="W324" s="921" t="n">
        <v>0.055</v>
      </c>
      <c r="X324" s="921" t="n">
        <v>0.12</v>
      </c>
      <c r="Y324" s="922" t="n"/>
      <c r="Z324" s="921" t="n">
        <v>0.04</v>
      </c>
      <c r="AA324" s="919">
        <f>U324*(1+V324+W324+X324+Y324+Z324)</f>
        <v>186900.0</v>
      </c>
      <c r="AJ324" t="str">
        <f>IFERROR(INDEX(Lists!$U$1:$U$18,MATCH($I324,Lists!$T$1:$T$18,0)),"?")</f>
        <v>COE SA&amp;D</v>
      </c>
      <c r="AK324" t="str">
        <f>IF(LOWER($Q324)="v","Vacant",IF(LOWER($Q324)="pause","Paused",IF(LOWER($Q324)="cxc","Contractor",IF($Q324="Contractor","Contractor","Filled"))))</f>
        <v>Vacant</v>
      </c>
      <c r="AL324" t="str">
        <f>IF($M324="NZ","NZ","AU")</f>
        <v>AU</v>
      </c>
      <c r="AM324">
        <f>COUNTIF($AJ$2:$AJ324,$AJ324)</f>
        <v>19.0</v>
      </c>
      <c r="AN324" t="str">
        <f>$AJ324&amp;"|"&amp;$AM324</f>
        <v>COE SA&amp;D|19</v>
      </c>
    </row>
    <row r="325" ht="18" customHeight="1" s="849">
      <c r="A325" s="659" t="inlineStr">
        <is>
          <t>V</t>
        </is>
      </c>
      <c r="B325" s="660" t="inlineStr">
        <is>
          <t>Vacant</t>
        </is>
      </c>
      <c r="C325" s="660" t="inlineStr">
        <is>
          <t>AI Capability Lead</t>
        </is>
      </c>
      <c r="D325" s="660" t="inlineStr">
        <is>
          <t>Vacant</t>
        </is>
      </c>
      <c r="E325" s="660" t="inlineStr">
        <is>
          <t>Head of Technology  Strategy &amp; AI Capability</t>
        </is>
      </c>
      <c r="F325" s="763" t="inlineStr">
        <is>
          <t>Strategy, Architecture &amp; Data</t>
        </is>
      </c>
      <c r="G325" s="662" t="inlineStr">
        <is>
          <t>Technology Strategy &amp; AI Capability</t>
        </is>
      </c>
      <c r="H325" s="662" t="inlineStr">
        <is>
          <t>Technology Strategy &amp; AI Capability</t>
        </is>
      </c>
      <c r="I325" s="883" t="inlineStr">
        <is>
          <t>COE - Strategy, Architecture, Data</t>
        </is>
      </c>
      <c r="J325" s="705" t="n"/>
      <c r="K325" s="662" t="n"/>
      <c r="L325" s="662" t="n"/>
      <c r="M325" s="663" t="inlineStr">
        <is>
          <t>Australia</t>
        </is>
      </c>
      <c r="N325" s="664" t="inlineStr">
        <is>
          <t>CSB</t>
        </is>
      </c>
      <c r="O325" s="664" t="n">
        <v>1</v>
      </c>
      <c r="P325" s="664" t="n"/>
      <c r="Q325" s="664" t="inlineStr">
        <is>
          <t>V</t>
        </is>
      </c>
      <c r="R325" s="666" t="n"/>
      <c r="S325" s="666" t="n"/>
      <c r="T325" s="667" t="n">
        <v>203550</v>
      </c>
      <c r="U325" s="668" t="n">
        <v>203550</v>
      </c>
      <c r="V325" s="670" t="n">
        <v>0.14</v>
      </c>
      <c r="W325" s="921" t="n">
        <v>0.055</v>
      </c>
      <c r="X325" s="921" t="n">
        <v>0.12</v>
      </c>
      <c r="Y325" s="922" t="n"/>
      <c r="Z325" s="921" t="n">
        <v>0.04</v>
      </c>
      <c r="AA325" s="919">
        <f>U325*(1+V325+W325+X325+Y325+Z325)</f>
        <v>275810.25</v>
      </c>
      <c r="AJ325" t="str">
        <f>IFERROR(INDEX(Lists!$U$1:$U$18,MATCH($I325,Lists!$T$1:$T$18,0)),"?")</f>
        <v>COE SA&amp;D</v>
      </c>
      <c r="AK325" t="str">
        <f>IF(LOWER($Q325)="v","Vacant",IF(LOWER($Q325)="pause","Paused",IF(LOWER($Q325)="cxc","Contractor",IF($Q325="Contractor","Contractor","Filled"))))</f>
        <v>Vacant</v>
      </c>
      <c r="AL325" t="str">
        <f>IF($M325="NZ","NZ","AU")</f>
        <v>AU</v>
      </c>
      <c r="AM325">
        <f>COUNTIF($AJ$2:$AJ325,$AJ325)</f>
        <v>20.0</v>
      </c>
      <c r="AN325" t="str">
        <f>$AJ325&amp;"|"&amp;$AM325</f>
        <v>COE SA&amp;D|20</v>
      </c>
    </row>
    <row r="326" ht="18" customHeight="1" s="849">
      <c r="A326" s="659" t="inlineStr">
        <is>
          <t>V</t>
        </is>
      </c>
      <c r="B326" s="660" t="inlineStr">
        <is>
          <t>Vacant</t>
        </is>
      </c>
      <c r="C326" s="660" t="inlineStr">
        <is>
          <t>Enterprise Process Lead</t>
        </is>
      </c>
      <c r="D326" s="660" t="inlineStr">
        <is>
          <t>Vacant</t>
        </is>
      </c>
      <c r="E326" s="660" t="inlineStr">
        <is>
          <t>Head of Technology  Strategy &amp; AI Capability</t>
        </is>
      </c>
      <c r="F326" s="763" t="inlineStr">
        <is>
          <t>Strategy, Architecture &amp; Data</t>
        </is>
      </c>
      <c r="G326" s="662" t="inlineStr">
        <is>
          <t>Technology Strategy &amp; AI Capability</t>
        </is>
      </c>
      <c r="H326" s="662" t="inlineStr">
        <is>
          <t>Technology Strategy &amp; AI Capability</t>
        </is>
      </c>
      <c r="I326" s="883" t="inlineStr">
        <is>
          <t>COE - Strategy, Architecture, Data</t>
        </is>
      </c>
      <c r="J326" s="705" t="n"/>
      <c r="K326" s="662" t="n"/>
      <c r="L326" s="662" t="n"/>
      <c r="M326" s="663" t="inlineStr">
        <is>
          <t>Australia</t>
        </is>
      </c>
      <c r="N326" s="664" t="inlineStr">
        <is>
          <t>CIB</t>
        </is>
      </c>
      <c r="O326" s="664" t="n">
        <v>1</v>
      </c>
      <c r="P326" s="664" t="n"/>
      <c r="Q326" s="664" t="inlineStr">
        <is>
          <t>V</t>
        </is>
      </c>
      <c r="R326" s="666" t="n"/>
      <c r="S326" s="666" t="n"/>
      <c r="T326" s="667" t="n">
        <v>151950</v>
      </c>
      <c r="U326" s="668" t="n">
        <v>151950</v>
      </c>
      <c r="V326" s="670" t="n">
        <v>0.12</v>
      </c>
      <c r="W326" s="921" t="n">
        <v>0.055</v>
      </c>
      <c r="X326" s="921" t="n">
        <v>0.12</v>
      </c>
      <c r="Y326" s="922" t="n"/>
      <c r="Z326" s="921" t="n">
        <v>0.04</v>
      </c>
      <c r="AA326" s="919">
        <f>U326*(1+V326+W326+X326+Y326+Z326)</f>
        <v>202853.25</v>
      </c>
      <c r="AJ326" t="str">
        <f>IFERROR(INDEX(Lists!$U$1:$U$18,MATCH($I326,Lists!$T$1:$T$18,0)),"?")</f>
        <v>COE SA&amp;D</v>
      </c>
      <c r="AK326" t="str">
        <f>IF(LOWER($Q326)="v","Vacant",IF(LOWER($Q326)="pause","Paused",IF(LOWER($Q326)="cxc","Contractor",IF($Q326="Contractor","Contractor","Filled"))))</f>
        <v>Vacant</v>
      </c>
      <c r="AL326" t="str">
        <f>IF($M326="NZ","NZ","AU")</f>
        <v>AU</v>
      </c>
      <c r="AM326">
        <f>COUNTIF($AJ$2:$AJ326,$AJ326)</f>
        <v>21.0</v>
      </c>
      <c r="AN326" t="str">
        <f>$AJ326&amp;"|"&amp;$AM326</f>
        <v>COE SA&amp;D|21</v>
      </c>
    </row>
    <row r="327" ht="18" customHeight="1" s="849">
      <c r="A327" s="659" t="inlineStr">
        <is>
          <t>V</t>
        </is>
      </c>
      <c r="B327" s="660" t="inlineStr">
        <is>
          <t>Vacant</t>
        </is>
      </c>
      <c r="C327" s="660" t="inlineStr">
        <is>
          <t>EnterpriseProcess Analyst</t>
        </is>
      </c>
      <c r="D327" s="662" t="inlineStr">
        <is>
          <t>Vacant</t>
        </is>
      </c>
      <c r="E327" s="660" t="inlineStr">
        <is>
          <t>Enterprise Process Lead</t>
        </is>
      </c>
      <c r="F327" s="763" t="inlineStr">
        <is>
          <t>Strategy, Architecture &amp; Data</t>
        </is>
      </c>
      <c r="G327" s="662" t="inlineStr">
        <is>
          <t>Technology Strategy &amp; AI Capability</t>
        </is>
      </c>
      <c r="H327" s="662" t="inlineStr">
        <is>
          <t>Technology Strategy &amp; AI Capability</t>
        </is>
      </c>
      <c r="I327" s="883" t="inlineStr">
        <is>
          <t>COE - Strategy, Architecture, Data</t>
        </is>
      </c>
      <c r="J327" s="705" t="n"/>
      <c r="K327" s="662" t="n"/>
      <c r="L327" s="662" t="n"/>
      <c r="M327" s="663" t="inlineStr">
        <is>
          <t>Australia</t>
        </is>
      </c>
      <c r="N327" s="664" t="inlineStr">
        <is>
          <t>CIA</t>
        </is>
      </c>
      <c r="O327" s="664" t="n">
        <v>1</v>
      </c>
      <c r="P327" s="664" t="n"/>
      <c r="Q327" s="664" t="inlineStr">
        <is>
          <t>V</t>
        </is>
      </c>
      <c r="R327" s="666" t="n"/>
      <c r="S327" s="666" t="n"/>
      <c r="T327" s="667" t="n">
        <v>129650</v>
      </c>
      <c r="U327" s="668" t="n">
        <v>129650</v>
      </c>
      <c r="V327" s="670" t="n">
        <v>0.1</v>
      </c>
      <c r="W327" s="921" t="n">
        <v>0.055</v>
      </c>
      <c r="X327" s="921" t="n">
        <v>0.12</v>
      </c>
      <c r="Y327" s="922" t="n"/>
      <c r="Z327" s="921" t="n">
        <v>0.04</v>
      </c>
      <c r="AA327" s="919">
        <f>U327*(1+V327+W327+X327+Y327+Z327)</f>
        <v>170489.75</v>
      </c>
      <c r="AJ327" t="str">
        <f>IFERROR(INDEX(Lists!$U$1:$U$18,MATCH($I327,Lists!$T$1:$T$18,0)),"?")</f>
        <v>COE SA&amp;D</v>
      </c>
      <c r="AK327" t="str">
        <f>IF(LOWER($Q327)="v","Vacant",IF(LOWER($Q327)="pause","Paused",IF(LOWER($Q327)="cxc","Contractor",IF($Q327="Contractor","Contractor","Filled"))))</f>
        <v>Vacant</v>
      </c>
      <c r="AL327" t="str">
        <f>IF($M327="NZ","NZ","AU")</f>
        <v>AU</v>
      </c>
      <c r="AM327">
        <f>COUNTIF($AJ$2:$AJ327,$AJ327)</f>
        <v>22.0</v>
      </c>
      <c r="AN327" t="str">
        <f>$AJ327&amp;"|"&amp;$AM327</f>
        <v>COE SA&amp;D|22</v>
      </c>
    </row>
    <row r="328" ht="18" customHeight="1" s="849">
      <c r="A328" s="659" t="inlineStr">
        <is>
          <t>V</t>
        </is>
      </c>
      <c r="B328" s="660" t="inlineStr">
        <is>
          <t>Vacant</t>
        </is>
      </c>
      <c r="C328" s="660" t="inlineStr">
        <is>
          <t>Strategy Analyst</t>
        </is>
      </c>
      <c r="D328" s="660" t="inlineStr">
        <is>
          <t>Vacant</t>
        </is>
      </c>
      <c r="E328" s="660" t="inlineStr">
        <is>
          <t>Head of Technology  Strategy &amp; AI Capability</t>
        </is>
      </c>
      <c r="F328" s="763" t="inlineStr">
        <is>
          <t>Strategy, Architecture &amp; Data</t>
        </is>
      </c>
      <c r="G328" s="662" t="inlineStr">
        <is>
          <t>Technology Strategy &amp; AI Capability</t>
        </is>
      </c>
      <c r="H328" s="662" t="inlineStr">
        <is>
          <t>Technology Strategy &amp; AI Capability</t>
        </is>
      </c>
      <c r="I328" s="883" t="inlineStr">
        <is>
          <t>COE - Strategy, Architecture, Data</t>
        </is>
      </c>
      <c r="J328" s="705" t="n"/>
      <c r="K328" s="662" t="n"/>
      <c r="L328" s="662" t="n"/>
      <c r="M328" s="663" t="inlineStr">
        <is>
          <t>Australia</t>
        </is>
      </c>
      <c r="N328" s="664" t="inlineStr">
        <is>
          <t>CIA</t>
        </is>
      </c>
      <c r="O328" s="664" t="n">
        <v>1</v>
      </c>
      <c r="P328" s="664" t="n"/>
      <c r="Q328" s="664" t="inlineStr">
        <is>
          <t>v</t>
        </is>
      </c>
      <c r="R328" s="666" t="n"/>
      <c r="S328" s="666" t="n"/>
      <c r="T328" s="667" t="n">
        <v>129650</v>
      </c>
      <c r="U328" s="668" t="n">
        <v>129650</v>
      </c>
      <c r="V328" s="670" t="n">
        <v>0.1</v>
      </c>
      <c r="W328" s="921" t="n">
        <v>0.055</v>
      </c>
      <c r="X328" s="921" t="n">
        <v>0.12</v>
      </c>
      <c r="Y328" s="922" t="n"/>
      <c r="Z328" s="921" t="n">
        <v>0.04</v>
      </c>
      <c r="AA328" s="919">
        <f>U328*(1+V328+W328+X328+Y328+Z328)</f>
        <v>170489.75</v>
      </c>
      <c r="AJ328" t="str">
        <f>IFERROR(INDEX(Lists!$U$1:$U$18,MATCH($I328,Lists!$T$1:$T$18,0)),"?")</f>
        <v>COE SA&amp;D</v>
      </c>
      <c r="AK328" t="str">
        <f>IF(LOWER($Q328)="v","Vacant",IF(LOWER($Q328)="pause","Paused",IF(LOWER($Q328)="cxc","Contractor",IF($Q328="Contractor","Contractor","Filled"))))</f>
        <v>Vacant</v>
      </c>
      <c r="AL328" t="str">
        <f>IF($M328="NZ","NZ","AU")</f>
        <v>AU</v>
      </c>
      <c r="AM328">
        <f>COUNTIF($AJ$2:$AJ328,$AJ328)</f>
        <v>23.0</v>
      </c>
      <c r="AN328" t="str">
        <f>$AJ328&amp;"|"&amp;$AM328</f>
        <v>COE SA&amp;D|23</v>
      </c>
    </row>
    <row r="329" ht="18" customHeight="1" s="849">
      <c r="A329" s="659" t="inlineStr">
        <is>
          <t>V</t>
        </is>
      </c>
      <c r="B329" s="660" t="inlineStr">
        <is>
          <t>Vacant  (Contract)</t>
        </is>
      </c>
      <c r="C329" s="660" t="inlineStr">
        <is>
          <t>Applications Specialist - Strategic Programs</t>
        </is>
      </c>
      <c r="D329" s="660" t="inlineStr">
        <is>
          <t>Sai Konka</t>
        </is>
      </c>
      <c r="E329" s="660" t="inlineStr">
        <is>
          <t>Applications &amp; Analytics Manager</t>
        </is>
      </c>
      <c r="F329" s="763" t="inlineStr">
        <is>
          <t>Strategy, Architecture &amp; Data</t>
        </is>
      </c>
      <c r="G329" s="662" t="inlineStr">
        <is>
          <t>Group Data</t>
        </is>
      </c>
      <c r="H329" s="705" t="inlineStr">
        <is>
          <t>Data Engineering &amp; Platforms</t>
        </is>
      </c>
      <c r="I329" s="662" t="inlineStr">
        <is>
          <t>Enterprise Data</t>
        </is>
      </c>
      <c r="J329" s="705" t="inlineStr">
        <is>
          <t>EGI</t>
        </is>
      </c>
      <c r="K329" s="705" t="inlineStr">
        <is>
          <t>Reporting &amp; Analytics</t>
        </is>
      </c>
      <c r="L329" s="662" t="n"/>
      <c r="M329" s="663" t="inlineStr">
        <is>
          <t>Australia</t>
        </is>
      </c>
      <c r="N329" s="664" t="inlineStr">
        <is>
          <t>CIB</t>
        </is>
      </c>
      <c r="O329" s="664" t="n">
        <v>1</v>
      </c>
      <c r="P329" s="664" t="n"/>
      <c r="Q329" s="664" t="inlineStr">
        <is>
          <t>V</t>
        </is>
      </c>
      <c r="R329" s="666" t="n"/>
      <c r="S329" s="666" t="n"/>
      <c r="T329" s="667" t="n">
        <v>151950</v>
      </c>
      <c r="U329" s="668" t="n">
        <v>151950</v>
      </c>
      <c r="V329" s="670" t="n">
        <v>0.12</v>
      </c>
      <c r="W329" s="921" t="n">
        <v>0.055</v>
      </c>
      <c r="X329" s="921" t="n">
        <v>0.12</v>
      </c>
      <c r="Y329" s="922" t="n"/>
      <c r="Z329" s="921" t="n">
        <v>0.04</v>
      </c>
      <c r="AA329" s="919">
        <f>U329*(1+V329+W329+X329+Y329+Z329)</f>
        <v>202853.25</v>
      </c>
      <c r="AJ329" t="str">
        <f>IFERROR(INDEX(Lists!$U$1:$U$18,MATCH($I329,Lists!$T$1:$T$18,0)),"?")</f>
        <v>Enterprise Data</v>
      </c>
      <c r="AK329" t="str">
        <f>IF(LOWER($Q329)="v","Vacant",IF(LOWER($Q329)="pause","Paused",IF(LOWER($Q329)="cxc","Contractor",IF($Q329="Contractor","Contractor","Filled"))))</f>
        <v>Vacant</v>
      </c>
      <c r="AL329" t="str">
        <f>IF($M329="NZ","NZ","AU")</f>
        <v>AU</v>
      </c>
      <c r="AM329">
        <f>COUNTIF($AJ$2:$AJ329,$AJ329)</f>
        <v>28.0</v>
      </c>
      <c r="AN329" t="str">
        <f>$AJ329&amp;"|"&amp;$AM329</f>
        <v>Enterprise Data|28</v>
      </c>
    </row>
    <row r="330" ht="18" customHeight="1" s="849">
      <c r="A330" s="769" t="inlineStr">
        <is>
          <t>V</t>
        </is>
      </c>
      <c r="B330" s="770" t="inlineStr">
        <is>
          <t>Vacant (contract)</t>
        </is>
      </c>
      <c r="C330" s="770" t="inlineStr">
        <is>
          <t>Reporting analysts - Strategic Programs</t>
        </is>
      </c>
      <c r="D330" s="770" t="inlineStr">
        <is>
          <t>Prashanth Krishnankutty</t>
        </is>
      </c>
      <c r="E330" s="770" t="inlineStr">
        <is>
          <t>Lead, Reporting &amp; Insights</t>
        </is>
      </c>
      <c r="F330" s="771" t="inlineStr">
        <is>
          <t>Strategy, Architecture &amp; Data</t>
        </is>
      </c>
      <c r="G330" s="772" t="inlineStr">
        <is>
          <t>Group Data</t>
        </is>
      </c>
      <c r="H330" s="773" t="inlineStr">
        <is>
          <t>Data Engineering &amp; Platforms</t>
        </is>
      </c>
      <c r="I330" s="772" t="inlineStr">
        <is>
          <t>Enterprise Data</t>
        </is>
      </c>
      <c r="J330" s="773" t="inlineStr">
        <is>
          <t>Group Data</t>
        </is>
      </c>
      <c r="K330" s="773" t="inlineStr">
        <is>
          <t>Reporting &amp; Analytics</t>
        </is>
      </c>
      <c r="L330" s="772" t="n"/>
      <c r="M330" s="774" t="inlineStr">
        <is>
          <t>Australia</t>
        </is>
      </c>
      <c r="N330" s="775" t="inlineStr">
        <is>
          <t>CIB</t>
        </is>
      </c>
      <c r="O330" s="775" t="n">
        <v>1</v>
      </c>
      <c r="P330" s="775" t="n"/>
      <c r="Q330" s="775" t="inlineStr">
        <is>
          <t>v</t>
        </is>
      </c>
      <c r="R330" s="706" t="n"/>
      <c r="S330" s="706" t="n"/>
      <c r="T330" s="776" t="n">
        <v>151950</v>
      </c>
      <c r="U330" s="777" t="n">
        <v>151950</v>
      </c>
      <c r="V330" s="778" t="n">
        <v>0.12</v>
      </c>
      <c r="W330" s="940" t="n">
        <v>0.055</v>
      </c>
      <c r="X330" s="940" t="n">
        <v>0.12</v>
      </c>
      <c r="Y330" s="941" t="n"/>
      <c r="Z330" s="940" t="n">
        <v>0.04</v>
      </c>
      <c r="AA330" s="942">
        <f>U330*(1+V330+W330+X330+Y330+Z330)</f>
        <v>202853.25</v>
      </c>
      <c r="AB330" s="708" t="n"/>
      <c r="AJ330" t="str">
        <f>IFERROR(INDEX(Lists!$U$1:$U$18,MATCH($I330,Lists!$T$1:$T$18,0)),"?")</f>
        <v>Enterprise Data</v>
      </c>
      <c r="AK330" t="str">
        <f>IF(LOWER($Q330)="v","Vacant",IF(LOWER($Q330)="pause","Paused",IF(LOWER($Q330)="cxc","Contractor",IF($Q330="Contractor","Contractor","Filled"))))</f>
        <v>Vacant</v>
      </c>
      <c r="AL330" t="str">
        <f>IF($M330="NZ","NZ","AU")</f>
        <v>AU</v>
      </c>
      <c r="AM330">
        <f>COUNTIF($AJ$2:$AJ330,$AJ330)</f>
        <v>29.0</v>
      </c>
      <c r="AN330" t="str">
        <f>$AJ330&amp;"|"&amp;$AM330</f>
        <v>Enterprise Data|29</v>
      </c>
    </row>
    <row r="331" ht="18" customHeight="1" s="849">
      <c r="A331" s="659" t="n">
        <v>106026</v>
      </c>
      <c r="B331" s="660" t="inlineStr">
        <is>
          <t>Vincent Lu</t>
        </is>
      </c>
      <c r="C331" s="660" t="inlineStr">
        <is>
          <t>Reporting Analyst</t>
        </is>
      </c>
      <c r="D331" s="660" t="inlineStr">
        <is>
          <t>Prashanth Krishnankutty</t>
        </is>
      </c>
      <c r="E331" s="660" t="inlineStr">
        <is>
          <t>Lead, Reporting &amp; Insights</t>
        </is>
      </c>
      <c r="F331" s="763" t="inlineStr">
        <is>
          <t>Strategy, Architecture &amp; Data</t>
        </is>
      </c>
      <c r="G331" s="662" t="inlineStr">
        <is>
          <t>Group Data</t>
        </is>
      </c>
      <c r="H331" s="705" t="inlineStr">
        <is>
          <t>Data Engineering &amp; Platforms</t>
        </is>
      </c>
      <c r="I331" s="705" t="inlineStr">
        <is>
          <t>Enterprise Data</t>
        </is>
      </c>
      <c r="J331" s="705" t="inlineStr">
        <is>
          <t>Group Data</t>
        </is>
      </c>
      <c r="K331" s="705" t="inlineStr">
        <is>
          <t>Reporting &amp; Analytics</t>
        </is>
      </c>
      <c r="L331" s="662" t="n"/>
      <c r="M331" s="663" t="inlineStr">
        <is>
          <t>Australia</t>
        </is>
      </c>
      <c r="N331" s="664" t="inlineStr">
        <is>
          <t>CIB</t>
        </is>
      </c>
      <c r="O331" s="664" t="n">
        <v>1</v>
      </c>
      <c r="P331" s="664" t="n"/>
      <c r="Q331" s="664" t="inlineStr">
        <is>
          <t>Permanent - Full Time</t>
        </is>
      </c>
      <c r="R331" s="666" t="n"/>
      <c r="S331" s="666" t="n"/>
      <c r="T331" s="667" t="n">
        <v>134550</v>
      </c>
      <c r="U331" s="668" t="n">
        <v>134550</v>
      </c>
      <c r="V331" s="670" t="n">
        <v>0.12</v>
      </c>
      <c r="W331" s="921" t="n">
        <v>0.055</v>
      </c>
      <c r="X331" s="921" t="n">
        <v>0.12</v>
      </c>
      <c r="Y331" s="922" t="n"/>
      <c r="Z331" s="921" t="n">
        <v>0.04</v>
      </c>
      <c r="AA331" s="919">
        <f>U331*(1+V331+W331+X331+Y331+Z331)</f>
        <v>179624.25</v>
      </c>
      <c r="AJ331" t="str">
        <f>IFERROR(INDEX(Lists!$U$1:$U$18,MATCH($I331,Lists!$T$1:$T$18,0)),"?")</f>
        <v>Enterprise Data</v>
      </c>
      <c r="AK331" t="str">
        <f>IF(LOWER($Q331)="v","Vacant",IF(LOWER($Q331)="pause","Paused",IF(LOWER($Q331)="cxc","Contractor",IF($Q331="Contractor","Contractor","Filled"))))</f>
        <v>Filled</v>
      </c>
      <c r="AL331" t="str">
        <f>IF($M331="NZ","NZ","AU")</f>
        <v>AU</v>
      </c>
      <c r="AM331">
        <f>COUNTIF($AJ$2:$AJ331,$AJ331)</f>
        <v>30.0</v>
      </c>
      <c r="AN331" t="str">
        <f>$AJ331&amp;"|"&amp;$AM331</f>
        <v>Enterprise Data|30</v>
      </c>
    </row>
    <row r="332" ht="18" customHeight="1" s="849">
      <c r="A332" s="659" t="n">
        <v>101166</v>
      </c>
      <c r="B332" s="662" t="inlineStr">
        <is>
          <t>Yu Chen</t>
        </is>
      </c>
      <c r="C332" s="662" t="inlineStr">
        <is>
          <t>Senior Data Scientist</t>
        </is>
      </c>
      <c r="D332" s="660" t="inlineStr">
        <is>
          <t>Jonathan Robinson</t>
        </is>
      </c>
      <c r="E332" s="660" t="inlineStr">
        <is>
          <t>Technology Manager, Data Science</t>
        </is>
      </c>
      <c r="F332" s="763" t="inlineStr">
        <is>
          <t>Strategy, Architecture &amp; Data</t>
        </is>
      </c>
      <c r="G332" s="662" t="inlineStr">
        <is>
          <t>Group Data</t>
        </is>
      </c>
      <c r="H332" s="705" t="inlineStr">
        <is>
          <t>Data Science</t>
        </is>
      </c>
      <c r="I332" s="705" t="inlineStr">
        <is>
          <t>Enterprise Data</t>
        </is>
      </c>
      <c r="J332" s="705" t="inlineStr">
        <is>
          <t>Group Data</t>
        </is>
      </c>
      <c r="K332" s="662" t="inlineStr">
        <is>
          <t>Data Science</t>
        </is>
      </c>
      <c r="L332" s="662" t="n"/>
      <c r="M332" s="663" t="inlineStr">
        <is>
          <t>Australia</t>
        </is>
      </c>
      <c r="N332" s="664" t="inlineStr">
        <is>
          <t>CIC</t>
        </is>
      </c>
      <c r="O332" s="664" t="n">
        <v>1</v>
      </c>
      <c r="P332" s="664" t="n"/>
      <c r="Q332" s="664" t="inlineStr">
        <is>
          <t>Permanent - Full Time</t>
        </is>
      </c>
      <c r="R332" s="666" t="n"/>
      <c r="S332" s="666" t="n"/>
      <c r="T332" s="667" t="n">
        <v>173470</v>
      </c>
      <c r="U332" s="668" t="n">
        <v>173470</v>
      </c>
      <c r="V332" s="670" t="n">
        <v>0.12</v>
      </c>
      <c r="W332" s="921" t="n">
        <v>0.055</v>
      </c>
      <c r="X332" s="921" t="n">
        <v>0.12</v>
      </c>
      <c r="Y332" s="922" t="n"/>
      <c r="Z332" s="921" t="n">
        <v>0.04</v>
      </c>
      <c r="AA332" s="919">
        <f>U332*(1+V332+W332+X332+Y332+Z332)</f>
        <v>231582.44999999998</v>
      </c>
      <c r="AJ332" t="str">
        <f>IFERROR(INDEX(Lists!$U$1:$U$18,MATCH($I332,Lists!$T$1:$T$18,0)),"?")</f>
        <v>Enterprise Data</v>
      </c>
      <c r="AK332" t="str">
        <f>IF(LOWER($Q332)="v","Vacant",IF(LOWER($Q332)="pause","Paused",IF(LOWER($Q332)="cxc","Contractor",IF($Q332="Contractor","Contractor","Filled"))))</f>
        <v>Filled</v>
      </c>
      <c r="AL332" t="str">
        <f>IF($M332="NZ","NZ","AU")</f>
        <v>AU</v>
      </c>
      <c r="AM332">
        <f>COUNTIF($AJ$2:$AJ332,$AJ332)</f>
        <v>31.0</v>
      </c>
      <c r="AN332" t="str">
        <f>$AJ332&amp;"|"&amp;$AM332</f>
        <v>Enterprise Data|31</v>
      </c>
    </row>
    <row r="333" ht="18" customHeight="1" s="849">
      <c r="A333" s="659" t="n">
        <v>107588</v>
      </c>
      <c r="B333" s="660" t="inlineStr">
        <is>
          <t>Akhil Sriram</t>
        </is>
      </c>
      <c r="C333" s="660" t="inlineStr">
        <is>
          <t>Snr Business Analyst</t>
        </is>
      </c>
      <c r="D333" s="662" t="inlineStr">
        <is>
          <t>Vacant</t>
        </is>
      </c>
      <c r="E333" s="660" t="inlineStr">
        <is>
          <t>Delivery Manager</t>
        </is>
      </c>
      <c r="F333" s="661" t="inlineStr">
        <is>
          <t>TDD CFE&amp;I</t>
        </is>
      </c>
      <c r="G333" s="662" t="inlineStr">
        <is>
          <t>Fuel Infrastructure</t>
        </is>
      </c>
      <c r="H333" s="662" t="inlineStr">
        <is>
          <t>Fuel Infrastructure, Delivery</t>
        </is>
      </c>
      <c r="I333" s="662" t="inlineStr">
        <is>
          <t>Infrastructure</t>
        </is>
      </c>
      <c r="J333" s="662" t="inlineStr">
        <is>
          <t>Manufacturing</t>
        </is>
      </c>
      <c r="K333" s="660" t="inlineStr">
        <is>
          <t>Manufacturing Group Projects</t>
        </is>
      </c>
      <c r="L333" s="662" t="n"/>
      <c r="M333" s="663" t="inlineStr">
        <is>
          <t>Australia</t>
        </is>
      </c>
      <c r="N333" s="664" t="inlineStr">
        <is>
          <t>CIB</t>
        </is>
      </c>
      <c r="O333" s="664" t="n">
        <v>1</v>
      </c>
      <c r="P333" s="664" t="n"/>
      <c r="Q333" s="664" t="inlineStr">
        <is>
          <t>Permanent - Full Time</t>
        </is>
      </c>
      <c r="R333" s="666" t="n"/>
      <c r="S333" s="666" t="n"/>
      <c r="T333" s="667" t="n">
        <v>166140</v>
      </c>
      <c r="U333" s="668" t="n">
        <v>166140</v>
      </c>
      <c r="V333" s="670" t="n">
        <v>0.12</v>
      </c>
      <c r="W333" s="921" t="n">
        <v>0.055</v>
      </c>
      <c r="X333" s="921" t="n">
        <v>0.12</v>
      </c>
      <c r="Y333" s="922" t="n"/>
      <c r="Z333" s="921" t="n">
        <v>0.04</v>
      </c>
      <c r="AA333" s="919" t="n">
        <v>221796.9</v>
      </c>
      <c r="AJ333" t="str">
        <f>IFERROR(INDEX(Lists!$U$1:$U$18,MATCH($I333,Lists!$T$1:$T$18,0)),"?")</f>
        <v>Infrastructure</v>
      </c>
      <c r="AK333" t="str">
        <f>IF(LOWER($Q333)="v","Vacant",IF(LOWER($Q333)="pause","Paused",IF(LOWER($Q333)="cxc","Contractor",IF($Q333="Contractor","Contractor","Filled"))))</f>
        <v>Filled</v>
      </c>
      <c r="AL333" t="str">
        <f>IF($M333="NZ","NZ","AU")</f>
        <v>AU</v>
      </c>
      <c r="AM333">
        <f>COUNTIF($AJ$2:$AJ333,$AJ333)</f>
        <v>1.0</v>
      </c>
      <c r="AN333" t="str">
        <f>$AJ333&amp;"|"&amp;$AM333</f>
        <v>Infrastructure|1</v>
      </c>
    </row>
    <row r="334" ht="18" customHeight="1" s="849">
      <c r="A334" s="659" t="n">
        <v>99999101912</v>
      </c>
      <c r="B334" s="660" t="inlineStr">
        <is>
          <t>Alex Abelita</t>
        </is>
      </c>
      <c r="C334" s="660" t="inlineStr">
        <is>
          <t>Associate Engineer - Automation Testing</t>
        </is>
      </c>
      <c r="D334" s="660" t="inlineStr">
        <is>
          <t>Elle Spencer</t>
        </is>
      </c>
      <c r="E334" s="660" t="inlineStr">
        <is>
          <t>Technology Manager, Energy Solutions</t>
        </is>
      </c>
      <c r="F334" s="661" t="inlineStr">
        <is>
          <t>TDD CFE&amp;I</t>
        </is>
      </c>
      <c r="G334" s="662" t="inlineStr">
        <is>
          <t>B2B &amp; Energy Solutions</t>
        </is>
      </c>
      <c r="H334" s="662" t="inlineStr">
        <is>
          <t>Technology B2B</t>
        </is>
      </c>
      <c r="I334" s="662" t="inlineStr">
        <is>
          <t>B2B &amp; Energy Solutions</t>
        </is>
      </c>
      <c r="J334" s="660" t="inlineStr">
        <is>
          <t>B2B</t>
        </is>
      </c>
      <c r="K334" s="660" t="inlineStr">
        <is>
          <t>B2B</t>
        </is>
      </c>
      <c r="L334" s="662" t="n"/>
      <c r="M334" s="663" t="inlineStr">
        <is>
          <t>NZ</t>
        </is>
      </c>
      <c r="N334" s="664" t="inlineStr">
        <is>
          <t>CDB</t>
        </is>
      </c>
      <c r="O334" s="665" t="n">
        <v>1</v>
      </c>
      <c r="P334" s="664" t="n"/>
      <c r="Q334" s="665" t="inlineStr">
        <is>
          <t>Permanent - Full Time</t>
        </is>
      </c>
      <c r="R334" s="666" t="n"/>
      <c r="S334" s="666" t="n"/>
      <c r="T334" s="782" t="n">
        <v>77500</v>
      </c>
      <c r="U334" s="668" t="n">
        <v>71300</v>
      </c>
      <c r="V334" s="669" t="n">
        <v>0.1</v>
      </c>
      <c r="W334" s="665" t="n"/>
      <c r="X334" s="670" t="n">
        <v>0.05</v>
      </c>
      <c r="Y334" s="918" t="n">
        <v>2910</v>
      </c>
      <c r="Z334" s="670" t="n">
        <v>0.03</v>
      </c>
      <c r="AA334" s="919" t="n">
        <v>87044.00000000001</v>
      </c>
      <c r="AJ334" t="str">
        <f>IFERROR(INDEX(Lists!$U$1:$U$18,MATCH($I334,Lists!$T$1:$T$18,0)),"?")</f>
        <v>Energy Solutions &amp; B2B</v>
      </c>
      <c r="AK334" t="str">
        <f>IF(LOWER($Q334)="v","Vacant",IF(LOWER($Q334)="pause","Paused",IF(LOWER($Q334)="cxc","Contractor",IF($Q334="Contractor","Contractor","Filled"))))</f>
        <v>Filled</v>
      </c>
      <c r="AL334" t="str">
        <f>IF($M334="NZ","NZ","AU")</f>
        <v>NZ</v>
      </c>
      <c r="AM334">
        <f>COUNTIF($AJ$2:$AJ334,$AJ334)</f>
        <v>1.0</v>
      </c>
      <c r="AN334" t="str">
        <f>$AJ334&amp;"|"&amp;$AM334</f>
        <v>Energy Solutions &amp; B2B|1</v>
      </c>
    </row>
    <row r="335" ht="18" customHeight="1" s="849">
      <c r="A335" s="659" t="n">
        <v>92699</v>
      </c>
      <c r="B335" s="660" t="inlineStr">
        <is>
          <t>Alison Rosier</t>
        </is>
      </c>
      <c r="C335" s="660" t="inlineStr">
        <is>
          <t>Technology Support Engineer - Infrastructure</t>
        </is>
      </c>
      <c r="D335" s="660" t="inlineStr">
        <is>
          <t>Glenn Earl</t>
        </is>
      </c>
      <c r="E335" s="660" t="inlineStr">
        <is>
          <t>Lead Support, Infrastructure</t>
        </is>
      </c>
      <c r="F335" s="661" t="inlineStr">
        <is>
          <t>TDD CFE&amp;I</t>
        </is>
      </c>
      <c r="G335" s="662" t="inlineStr">
        <is>
          <t>Fuel Infrastructure</t>
        </is>
      </c>
      <c r="H335" s="662" t="inlineStr">
        <is>
          <t>Refinery Applications</t>
        </is>
      </c>
      <c r="I335" s="662" t="inlineStr">
        <is>
          <t>Infrastructure</t>
        </is>
      </c>
      <c r="J335" s="662" t="inlineStr">
        <is>
          <t>Fuel Infrastructure</t>
        </is>
      </c>
      <c r="K335" s="660" t="inlineStr">
        <is>
          <t>Technology Suport</t>
        </is>
      </c>
      <c r="L335" s="662" t="n"/>
      <c r="M335" s="663" t="inlineStr">
        <is>
          <t>Australia</t>
        </is>
      </c>
      <c r="N335" s="664" t="inlineStr">
        <is>
          <t>CIA</t>
        </is>
      </c>
      <c r="O335" s="664" t="n">
        <v>1</v>
      </c>
      <c r="P335" s="664" t="n"/>
      <c r="Q335" s="664" t="inlineStr">
        <is>
          <t>Permanent - Full Time</t>
        </is>
      </c>
      <c r="R335" s="666" t="n"/>
      <c r="S335" s="666" t="n"/>
      <c r="T335" s="667" t="n">
        <v>123906</v>
      </c>
      <c r="U335" s="668" t="n">
        <v>123906</v>
      </c>
      <c r="V335" s="670" t="n">
        <v>0.1</v>
      </c>
      <c r="W335" s="921" t="n">
        <v>0.055</v>
      </c>
      <c r="X335" s="921" t="n">
        <v>0.12</v>
      </c>
      <c r="Y335" s="922" t="n"/>
      <c r="Z335" s="921" t="n">
        <v>0.04</v>
      </c>
      <c r="AA335" s="919" t="n">
        <v>162936.39</v>
      </c>
      <c r="AJ335" t="str">
        <f>IFERROR(INDEX(Lists!$U$1:$U$18,MATCH($I335,Lists!$T$1:$T$18,0)),"?")</f>
        <v>Infrastructure</v>
      </c>
      <c r="AK335" t="str">
        <f>IF(LOWER($Q335)="v","Vacant",IF(LOWER($Q335)="pause","Paused",IF(LOWER($Q335)="cxc","Contractor",IF($Q335="Contractor","Contractor","Filled"))))</f>
        <v>Filled</v>
      </c>
      <c r="AL335" t="str">
        <f>IF($M335="NZ","NZ","AU")</f>
        <v>AU</v>
      </c>
      <c r="AM335">
        <f>COUNTIF($AJ$2:$AJ335,$AJ335)</f>
        <v>2.0</v>
      </c>
      <c r="AN335" t="str">
        <f>$AJ335&amp;"|"&amp;$AM335</f>
        <v>Infrastructure|2</v>
      </c>
    </row>
    <row r="336" ht="18" customHeight="1" s="849">
      <c r="A336" s="659" t="n">
        <v>13925</v>
      </c>
      <c r="B336" s="660" t="inlineStr">
        <is>
          <t>Allan Francia</t>
        </is>
      </c>
      <c r="C336" s="660" t="inlineStr">
        <is>
          <t>Technology Manager - T&amp;S</t>
        </is>
      </c>
      <c r="D336" s="662" t="inlineStr">
        <is>
          <t>Vacant</t>
        </is>
      </c>
      <c r="E336" s="660" t="inlineStr">
        <is>
          <t>Head of Technology, Commercial Fuels</t>
        </is>
      </c>
      <c r="F336" s="661" t="inlineStr">
        <is>
          <t>TDD CFE&amp;I</t>
        </is>
      </c>
      <c r="G336" s="662" t="inlineStr">
        <is>
          <t>Commercial Fuels</t>
        </is>
      </c>
      <c r="H336" s="662" t="inlineStr">
        <is>
          <t>Technology, Trading &amp; Shipping</t>
        </is>
      </c>
      <c r="I336" s="662" t="inlineStr">
        <is>
          <t>Commercial Fuels</t>
        </is>
      </c>
      <c r="J336" s="662" t="inlineStr">
        <is>
          <t>Leadership</t>
        </is>
      </c>
      <c r="K336" s="662" t="inlineStr">
        <is>
          <t>Leadership</t>
        </is>
      </c>
      <c r="L336" s="662" t="n"/>
      <c r="M336" s="663" t="inlineStr">
        <is>
          <t>Australia</t>
        </is>
      </c>
      <c r="N336" s="666" t="inlineStr">
        <is>
          <t>CSB</t>
        </is>
      </c>
      <c r="O336" s="666" t="n">
        <v>1</v>
      </c>
      <c r="P336" s="666" t="n"/>
      <c r="Q336" s="666" t="inlineStr">
        <is>
          <t>Permanent - Full Time</t>
        </is>
      </c>
      <c r="R336" s="666" t="n"/>
      <c r="S336" s="666" t="n"/>
      <c r="T336" s="667" t="n">
        <v>212020</v>
      </c>
      <c r="U336" s="668" t="n">
        <v>212020</v>
      </c>
      <c r="V336" s="670" t="n">
        <v>0.14</v>
      </c>
      <c r="W336" s="921" t="n">
        <v>0.055</v>
      </c>
      <c r="X336" s="921" t="n">
        <v>0.12</v>
      </c>
      <c r="Y336" s="922" t="n"/>
      <c r="Z336" s="921" t="n">
        <v>0.04</v>
      </c>
      <c r="AA336" s="919" t="n">
        <v>287287.1</v>
      </c>
      <c r="AJ336" t="str">
        <f>IFERROR(INDEX(Lists!$U$1:$U$18,MATCH($I336,Lists!$T$1:$T$18,0)),"?")</f>
        <v>Commercial Fuels</v>
      </c>
      <c r="AK336" t="str">
        <f>IF(LOWER($Q336)="v","Vacant",IF(LOWER($Q336)="pause","Paused",IF(LOWER($Q336)="cxc","Contractor",IF($Q336="Contractor","Contractor","Filled"))))</f>
        <v>Filled</v>
      </c>
      <c r="AL336" t="str">
        <f>IF($M336="NZ","NZ","AU")</f>
        <v>AU</v>
      </c>
      <c r="AM336">
        <f>COUNTIF($AJ$2:$AJ336,$AJ336)</f>
        <v>1.0</v>
      </c>
      <c r="AN336" t="str">
        <f>$AJ336&amp;"|"&amp;$AM336</f>
        <v>Commercial Fuels|1</v>
      </c>
    </row>
    <row r="337" ht="18" customHeight="1" s="849">
      <c r="A337" s="659" t="n">
        <v>114366</v>
      </c>
      <c r="B337" s="660" t="inlineStr">
        <is>
          <t>Allyn Puente</t>
        </is>
      </c>
      <c r="C337" s="660" t="inlineStr">
        <is>
          <t>Graduate</t>
        </is>
      </c>
      <c r="D337" s="660" t="inlineStr">
        <is>
          <t>Elle Spencer</t>
        </is>
      </c>
      <c r="E337" s="660" t="inlineStr">
        <is>
          <t>Technology Manager, Energy Solutions</t>
        </is>
      </c>
      <c r="F337" s="661" t="inlineStr">
        <is>
          <t>TDD CFE&amp;I</t>
        </is>
      </c>
      <c r="G337" s="662" t="inlineStr">
        <is>
          <t>B2B &amp; Energy Solutions</t>
        </is>
      </c>
      <c r="H337" s="662" t="inlineStr">
        <is>
          <t>Technology B2B</t>
        </is>
      </c>
      <c r="I337" s="662" t="inlineStr">
        <is>
          <t>B2B &amp; Energy Solutions</t>
        </is>
      </c>
      <c r="J337" s="660" t="inlineStr">
        <is>
          <t>B2B</t>
        </is>
      </c>
      <c r="K337" s="660" t="inlineStr">
        <is>
          <t>B2B</t>
        </is>
      </c>
      <c r="L337" s="662" t="n"/>
      <c r="M337" s="663" t="inlineStr">
        <is>
          <t>Australia</t>
        </is>
      </c>
      <c r="N337" s="664" t="inlineStr">
        <is>
          <t>CDB</t>
        </is>
      </c>
      <c r="O337" s="664" t="n">
        <v>1</v>
      </c>
      <c r="P337" s="664" t="n"/>
      <c r="Q337" s="664" t="inlineStr">
        <is>
          <t>Permanent - Full Time</t>
        </is>
      </c>
      <c r="R337" s="666" t="n"/>
      <c r="S337" s="666" t="n"/>
      <c r="T337" s="667" t="n">
        <v>85000</v>
      </c>
      <c r="U337" s="668" t="n">
        <v>85000</v>
      </c>
      <c r="V337" s="670" t="n">
        <v>0.08</v>
      </c>
      <c r="W337" s="921" t="n">
        <v>0.055</v>
      </c>
      <c r="X337" s="921" t="n">
        <v>0.12</v>
      </c>
      <c r="Y337" s="922" t="n"/>
      <c r="Z337" s="921" t="n">
        <v>0.04</v>
      </c>
      <c r="AA337" s="919" t="n">
        <v>110075</v>
      </c>
      <c r="AJ337" t="str">
        <f>IFERROR(INDEX(Lists!$U$1:$U$18,MATCH($I337,Lists!$T$1:$T$18,0)),"?")</f>
        <v>Energy Solutions &amp; B2B</v>
      </c>
      <c r="AK337" t="str">
        <f>IF(LOWER($Q337)="v","Vacant",IF(LOWER($Q337)="pause","Paused",IF(LOWER($Q337)="cxc","Contractor",IF($Q337="Contractor","Contractor","Filled"))))</f>
        <v>Filled</v>
      </c>
      <c r="AL337" t="str">
        <f>IF($M337="NZ","NZ","AU")</f>
        <v>AU</v>
      </c>
      <c r="AM337">
        <f>COUNTIF($AJ$2:$AJ337,$AJ337)</f>
        <v>2.0</v>
      </c>
      <c r="AN337" t="str">
        <f>$AJ337&amp;"|"&amp;$AM337</f>
        <v>Energy Solutions &amp; B2B|2</v>
      </c>
    </row>
    <row r="338" ht="18" customHeight="1" s="849">
      <c r="A338" s="659" t="n">
        <v>99999101752</v>
      </c>
      <c r="B338" s="660" t="inlineStr">
        <is>
          <t>Amanda Turnbull</t>
        </is>
      </c>
      <c r="C338" s="660" t="inlineStr">
        <is>
          <t>Engineer Software</t>
        </is>
      </c>
      <c r="D338" s="662" t="inlineStr">
        <is>
          <t>Vacant</t>
        </is>
      </c>
      <c r="E338" s="660" t="inlineStr">
        <is>
          <t>Technology Manager, Engineering</t>
        </is>
      </c>
      <c r="F338" s="661" t="inlineStr">
        <is>
          <t>TDD CFE&amp;I</t>
        </is>
      </c>
      <c r="G338" s="662" t="inlineStr">
        <is>
          <t>Commercial Fuels</t>
        </is>
      </c>
      <c r="H338" s="662" t="inlineStr">
        <is>
          <t>Technology, CF Engineering</t>
        </is>
      </c>
      <c r="I338" s="662" t="inlineStr">
        <is>
          <t>Commercial Fuels</t>
        </is>
      </c>
      <c r="J338" s="660" t="inlineStr">
        <is>
          <t>CTRM</t>
        </is>
      </c>
      <c r="K338" s="660" t="inlineStr">
        <is>
          <t>CTRM</t>
        </is>
      </c>
      <c r="L338" s="662" t="n"/>
      <c r="M338" s="663" t="inlineStr">
        <is>
          <t>NZ</t>
        </is>
      </c>
      <c r="N338" s="664" t="inlineStr">
        <is>
          <t>CDB</t>
        </is>
      </c>
      <c r="O338" s="665" t="n">
        <v>1</v>
      </c>
      <c r="P338" s="664" t="n"/>
      <c r="Q338" s="665" t="inlineStr">
        <is>
          <t>Permanent - Full Time</t>
        </is>
      </c>
      <c r="R338" s="666" t="n"/>
      <c r="S338" s="666" t="n"/>
      <c r="T338" s="667" t="n">
        <v>90760</v>
      </c>
      <c r="U338" s="668" t="n">
        <v>83499.2</v>
      </c>
      <c r="V338" s="669" t="n">
        <v>0.1</v>
      </c>
      <c r="W338" s="665" t="n"/>
      <c r="X338" s="670" t="n">
        <v>0.05</v>
      </c>
      <c r="Y338" s="918" t="n">
        <v>2910</v>
      </c>
      <c r="Z338" s="670" t="n">
        <v>0.03</v>
      </c>
      <c r="AA338" s="919" t="n">
        <v>101439.056</v>
      </c>
      <c r="AJ338" t="str">
        <f>IFERROR(INDEX(Lists!$U$1:$U$18,MATCH($I338,Lists!$T$1:$T$18,0)),"?")</f>
        <v>Commercial Fuels</v>
      </c>
      <c r="AK338" t="str">
        <f>IF(LOWER($Q338)="v","Vacant",IF(LOWER($Q338)="pause","Paused",IF(LOWER($Q338)="cxc","Contractor",IF($Q338="Contractor","Contractor","Filled"))))</f>
        <v>Filled</v>
      </c>
      <c r="AL338" t="str">
        <f>IF($M338="NZ","NZ","AU")</f>
        <v>NZ</v>
      </c>
      <c r="AM338">
        <f>COUNTIF($AJ$2:$AJ338,$AJ338)</f>
        <v>2.0</v>
      </c>
      <c r="AN338" t="str">
        <f>$AJ338&amp;"|"&amp;$AM338</f>
        <v>Commercial Fuels|2</v>
      </c>
    </row>
    <row r="339" ht="18" customHeight="1" s="849">
      <c r="A339" s="659" t="n">
        <v>97098</v>
      </c>
      <c r="B339" s="660" t="inlineStr">
        <is>
          <t>Amish Pandit</t>
        </is>
      </c>
      <c r="C339" s="660" t="inlineStr">
        <is>
          <t>Head of Technology, Fuel Infrastructure</t>
        </is>
      </c>
      <c r="D339" s="660" t="inlineStr">
        <is>
          <t>Roanne Steele</t>
        </is>
      </c>
      <c r="E339" s="660" t="inlineStr">
        <is>
          <t>GM TDD, CFE&amp;I</t>
        </is>
      </c>
      <c r="F339" s="661" t="inlineStr">
        <is>
          <t>TDD CFE&amp;I</t>
        </is>
      </c>
      <c r="G339" s="662" t="inlineStr">
        <is>
          <t>Fuel Infrastructure</t>
        </is>
      </c>
      <c r="H339" s="662" t="inlineStr">
        <is>
          <t>Leadership</t>
        </is>
      </c>
      <c r="I339" s="662" t="inlineStr">
        <is>
          <t>Infrastructure</t>
        </is>
      </c>
      <c r="J339" s="660" t="inlineStr">
        <is>
          <t xml:space="preserve">Leadership </t>
        </is>
      </c>
      <c r="K339" s="662" t="inlineStr">
        <is>
          <t>Leadership</t>
        </is>
      </c>
      <c r="L339" s="662" t="n"/>
      <c r="M339" s="663" t="inlineStr">
        <is>
          <t>Australia</t>
        </is>
      </c>
      <c r="N339" s="664" t="inlineStr">
        <is>
          <t>CSC</t>
        </is>
      </c>
      <c r="O339" s="664" t="n">
        <v>1</v>
      </c>
      <c r="P339" s="664" t="n"/>
      <c r="Q339" s="664" t="inlineStr">
        <is>
          <t>Permanent - Full Time</t>
        </is>
      </c>
      <c r="R339" s="666" t="n"/>
      <c r="S339" s="666" t="n"/>
      <c r="T339" s="667" t="n">
        <v>256980</v>
      </c>
      <c r="U339" s="668" t="n">
        <v>256980</v>
      </c>
      <c r="V339" s="670" t="n">
        <v>0.2</v>
      </c>
      <c r="W339" s="921" t="n">
        <v>0.055</v>
      </c>
      <c r="X339" s="921" t="n">
        <v>0.12</v>
      </c>
      <c r="Y339" s="922" t="n"/>
      <c r="Z339" s="921" t="n">
        <v>0.04</v>
      </c>
      <c r="AA339" s="919" t="n">
        <v>363626.7</v>
      </c>
      <c r="AJ339" t="str">
        <f>IFERROR(INDEX(Lists!$U$1:$U$18,MATCH($I339,Lists!$T$1:$T$18,0)),"?")</f>
        <v>Infrastructure</v>
      </c>
      <c r="AK339" t="str">
        <f>IF(LOWER($Q339)="v","Vacant",IF(LOWER($Q339)="pause","Paused",IF(LOWER($Q339)="cxc","Contractor",IF($Q339="Contractor","Contractor","Filled"))))</f>
        <v>Filled</v>
      </c>
      <c r="AL339" t="str">
        <f>IF($M339="NZ","NZ","AU")</f>
        <v>AU</v>
      </c>
      <c r="AM339">
        <f>COUNTIF($AJ$2:$AJ339,$AJ339)</f>
        <v>3.0</v>
      </c>
      <c r="AN339" t="str">
        <f>$AJ339&amp;"|"&amp;$AM339</f>
        <v>Infrastructure|3</v>
      </c>
    </row>
    <row r="340" ht="18" customHeight="1" s="849">
      <c r="A340" s="659" t="n">
        <v>99999100072</v>
      </c>
      <c r="B340" s="660" t="inlineStr">
        <is>
          <t>Angela Ross</t>
        </is>
      </c>
      <c r="C340" s="660" t="inlineStr">
        <is>
          <t>Delivery Lead</t>
        </is>
      </c>
      <c r="D340" s="662" t="inlineStr">
        <is>
          <t>Vacant</t>
        </is>
      </c>
      <c r="E340" s="660" t="inlineStr">
        <is>
          <t>Delivery Manager</t>
        </is>
      </c>
      <c r="F340" s="661" t="inlineStr">
        <is>
          <t>TDD CFE&amp;I</t>
        </is>
      </c>
      <c r="G340" s="662" t="inlineStr">
        <is>
          <t>B2B &amp; Energy Solutions</t>
        </is>
      </c>
      <c r="H340" s="662" t="inlineStr">
        <is>
          <t>Delivery</t>
        </is>
      </c>
      <c r="I340" s="662" t="inlineStr">
        <is>
          <t>B2B &amp; Energy Solutions</t>
        </is>
      </c>
      <c r="J340" s="662" t="inlineStr">
        <is>
          <t>Energy Solutions</t>
        </is>
      </c>
      <c r="K340" s="660" t="inlineStr">
        <is>
          <t>EVCI</t>
        </is>
      </c>
      <c r="L340" s="662" t="n"/>
      <c r="M340" s="663" t="inlineStr">
        <is>
          <t>NZ</t>
        </is>
      </c>
      <c r="N340" s="664" t="inlineStr">
        <is>
          <t>CIC</t>
        </is>
      </c>
      <c r="O340" s="665" t="n">
        <v>1</v>
      </c>
      <c r="P340" s="664" t="n"/>
      <c r="Q340" s="665" t="inlineStr">
        <is>
          <t>Permanent - Full Time</t>
        </is>
      </c>
      <c r="R340" s="666" t="n"/>
      <c r="S340" s="666" t="n"/>
      <c r="T340" s="667" t="n">
        <v>163830</v>
      </c>
      <c r="U340" s="668" t="n">
        <v>150723.6</v>
      </c>
      <c r="V340" s="669" t="n">
        <v>0.15</v>
      </c>
      <c r="W340" s="665" t="n"/>
      <c r="X340" s="670" t="n">
        <v>0.05</v>
      </c>
      <c r="Y340" s="918" t="n">
        <v>2910</v>
      </c>
      <c r="Z340" s="670" t="n">
        <v>0.03</v>
      </c>
      <c r="AA340" s="919" t="n">
        <v>188300.028</v>
      </c>
      <c r="AJ340" t="str">
        <f>IFERROR(INDEX(Lists!$U$1:$U$18,MATCH($I340,Lists!$T$1:$T$18,0)),"?")</f>
        <v>Energy Solutions &amp; B2B</v>
      </c>
      <c r="AK340" t="str">
        <f>IF(LOWER($Q340)="v","Vacant",IF(LOWER($Q340)="pause","Paused",IF(LOWER($Q340)="cxc","Contractor",IF($Q340="Contractor","Contractor","Filled"))))</f>
        <v>Filled</v>
      </c>
      <c r="AL340" t="str">
        <f>IF($M340="NZ","NZ","AU")</f>
        <v>NZ</v>
      </c>
      <c r="AM340">
        <f>COUNTIF($AJ$2:$AJ340,$AJ340)</f>
        <v>3.0</v>
      </c>
      <c r="AN340" t="str">
        <f>$AJ340&amp;"|"&amp;$AM340</f>
        <v>Energy Solutions &amp; B2B|3</v>
      </c>
    </row>
    <row r="341" ht="18" customHeight="1" s="849">
      <c r="A341" s="659" t="n">
        <v>81395</v>
      </c>
      <c r="B341" s="660" t="inlineStr">
        <is>
          <t>Angus Gibson</t>
        </is>
      </c>
      <c r="C341" s="660" t="inlineStr">
        <is>
          <t>Senior Systems Analyst</t>
        </is>
      </c>
      <c r="D341" s="660" t="inlineStr">
        <is>
          <t>Karla Orozco Loza</t>
        </is>
      </c>
      <c r="E341" s="660" t="inlineStr">
        <is>
          <t>Technology Manager, Future Infrastructure</t>
        </is>
      </c>
      <c r="F341" s="661" t="inlineStr">
        <is>
          <t>TDD CFE&amp;I</t>
        </is>
      </c>
      <c r="G341" s="662" t="inlineStr">
        <is>
          <t>Fuel Infrastructure</t>
        </is>
      </c>
      <c r="H341" s="662" t="inlineStr">
        <is>
          <t>Technology - Distribution</t>
        </is>
      </c>
      <c r="I341" s="662" t="inlineStr">
        <is>
          <t>Infrastructure</t>
        </is>
      </c>
      <c r="J341" s="660" t="inlineStr">
        <is>
          <t>Distribution</t>
        </is>
      </c>
      <c r="K341" s="660" t="inlineStr">
        <is>
          <t>Distribution, Sales &amp; Services</t>
        </is>
      </c>
      <c r="L341" s="662" t="n"/>
      <c r="M341" s="663" t="inlineStr">
        <is>
          <t>Australia</t>
        </is>
      </c>
      <c r="N341" s="666" t="inlineStr">
        <is>
          <t>CIC</t>
        </is>
      </c>
      <c r="O341" s="666" t="n">
        <v>1</v>
      </c>
      <c r="P341" s="666" t="n"/>
      <c r="Q341" s="666" t="inlineStr">
        <is>
          <t>Permanent - Full Time</t>
        </is>
      </c>
      <c r="R341" s="666" t="n"/>
      <c r="S341" s="666" t="n"/>
      <c r="T341" s="667" t="n">
        <v>176400</v>
      </c>
      <c r="U341" s="668" t="n">
        <v>176400</v>
      </c>
      <c r="V341" s="670" t="n">
        <v>0.12</v>
      </c>
      <c r="W341" s="921" t="n">
        <v>0.055</v>
      </c>
      <c r="X341" s="921" t="n">
        <v>0.12</v>
      </c>
      <c r="Y341" s="922" t="n"/>
      <c r="Z341" s="921" t="n">
        <v>0.04</v>
      </c>
      <c r="AA341" s="919" t="n">
        <v>235494</v>
      </c>
      <c r="AJ341" t="str">
        <f>IFERROR(INDEX(Lists!$U$1:$U$18,MATCH($I341,Lists!$T$1:$T$18,0)),"?")</f>
        <v>Infrastructure</v>
      </c>
      <c r="AK341" t="str">
        <f>IF(LOWER($Q341)="v","Vacant",IF(LOWER($Q341)="pause","Paused",IF(LOWER($Q341)="cxc","Contractor",IF($Q341="Contractor","Contractor","Filled"))))</f>
        <v>Filled</v>
      </c>
      <c r="AL341" t="str">
        <f>IF($M341="NZ","NZ","AU")</f>
        <v>AU</v>
      </c>
      <c r="AM341">
        <f>COUNTIF($AJ$2:$AJ341,$AJ341)</f>
        <v>4.0</v>
      </c>
      <c r="AN341" t="str">
        <f>$AJ341&amp;"|"&amp;$AM341</f>
        <v>Infrastructure|4</v>
      </c>
    </row>
    <row r="342" ht="18" customHeight="1" s="849">
      <c r="A342" s="659" t="n">
        <v>99999101568</v>
      </c>
      <c r="B342" s="660" t="inlineStr">
        <is>
          <t>Anie Camerino</t>
        </is>
      </c>
      <c r="C342" s="660" t="inlineStr">
        <is>
          <t>Snr Quality Assurance</t>
        </is>
      </c>
      <c r="D342" s="662" t="inlineStr">
        <is>
          <t>Vacant</t>
        </is>
      </c>
      <c r="E342" s="660" t="inlineStr">
        <is>
          <t>Technology Manager, Energy Solutions</t>
        </is>
      </c>
      <c r="F342" s="661" t="inlineStr">
        <is>
          <t>TDD CFE&amp;I</t>
        </is>
      </c>
      <c r="G342" s="662" t="inlineStr">
        <is>
          <t>B2B &amp; Energy Solutions</t>
        </is>
      </c>
      <c r="H342" s="662" t="inlineStr">
        <is>
          <t>Technology Energy Solutions</t>
        </is>
      </c>
      <c r="I342" s="662" t="inlineStr">
        <is>
          <t>B2B &amp; Energy Solutions</t>
        </is>
      </c>
      <c r="J342" s="662" t="inlineStr">
        <is>
          <t>Energy Solutions</t>
        </is>
      </c>
      <c r="K342" s="660" t="inlineStr">
        <is>
          <t>EVCI</t>
        </is>
      </c>
      <c r="L342" s="662" t="n"/>
      <c r="M342" s="663" t="inlineStr">
        <is>
          <t>NZ</t>
        </is>
      </c>
      <c r="N342" s="664" t="inlineStr">
        <is>
          <t>CIA</t>
        </is>
      </c>
      <c r="O342" s="665" t="n">
        <v>1</v>
      </c>
      <c r="P342" s="664" t="n"/>
      <c r="Q342" s="665" t="inlineStr">
        <is>
          <t>Permanent - Full Time</t>
        </is>
      </c>
      <c r="R342" s="666" t="n"/>
      <c r="S342" s="666" t="n"/>
      <c r="T342" s="667" t="n">
        <v>133080</v>
      </c>
      <c r="U342" s="668" t="n">
        <v>122433.6</v>
      </c>
      <c r="V342" s="669" t="n">
        <v>0.15</v>
      </c>
      <c r="W342" s="665" t="n"/>
      <c r="X342" s="670" t="n">
        <v>0.05</v>
      </c>
      <c r="Y342" s="918" t="n">
        <v>2910</v>
      </c>
      <c r="Z342" s="670" t="n">
        <v>0.03</v>
      </c>
      <c r="AA342" s="919" t="n">
        <v>153503.328</v>
      </c>
      <c r="AJ342" t="str">
        <f>IFERROR(INDEX(Lists!$U$1:$U$18,MATCH($I342,Lists!$T$1:$T$18,0)),"?")</f>
        <v>Energy Solutions &amp; B2B</v>
      </c>
      <c r="AK342" t="str">
        <f>IF(LOWER($Q342)="v","Vacant",IF(LOWER($Q342)="pause","Paused",IF(LOWER($Q342)="cxc","Contractor",IF($Q342="Contractor","Contractor","Filled"))))</f>
        <v>Filled</v>
      </c>
      <c r="AL342" t="str">
        <f>IF($M342="NZ","NZ","AU")</f>
        <v>NZ</v>
      </c>
      <c r="AM342">
        <f>COUNTIF($AJ$2:$AJ342,$AJ342)</f>
        <v>4.0</v>
      </c>
      <c r="AN342" t="str">
        <f>$AJ342&amp;"|"&amp;$AM342</f>
        <v>Energy Solutions &amp; B2B|4</v>
      </c>
    </row>
    <row r="343" ht="18" customHeight="1" s="849">
      <c r="A343" s="659" t="n">
        <v>6851</v>
      </c>
      <c r="B343" s="660" t="inlineStr">
        <is>
          <t>Ann Aquino</t>
        </is>
      </c>
      <c r="C343" s="660" t="inlineStr">
        <is>
          <t>Senior Business Analyst</t>
        </is>
      </c>
      <c r="D343" s="662" t="inlineStr">
        <is>
          <t>Vacant</t>
        </is>
      </c>
      <c r="E343" s="660" t="inlineStr">
        <is>
          <t>Delivery Manager</t>
        </is>
      </c>
      <c r="F343" s="661" t="inlineStr">
        <is>
          <t>TDD CFE&amp;I</t>
        </is>
      </c>
      <c r="G343" s="662" t="inlineStr">
        <is>
          <t>Commercial Fuels</t>
        </is>
      </c>
      <c r="H343" s="662" t="inlineStr">
        <is>
          <t>Delivery, Commercial Fuels</t>
        </is>
      </c>
      <c r="I343" s="662" t="inlineStr">
        <is>
          <t>Commercial Fuels</t>
        </is>
      </c>
      <c r="J343" s="662" t="inlineStr">
        <is>
          <t>Supply</t>
        </is>
      </c>
      <c r="K343" s="662" t="inlineStr">
        <is>
          <t>Supply</t>
        </is>
      </c>
      <c r="L343" s="660" t="n"/>
      <c r="M343" s="663" t="inlineStr">
        <is>
          <t>Australia</t>
        </is>
      </c>
      <c r="N343" s="666" t="inlineStr">
        <is>
          <t>CIB</t>
        </is>
      </c>
      <c r="O343" s="666" t="n">
        <v>1</v>
      </c>
      <c r="P343" s="666" t="n"/>
      <c r="Q343" s="666" t="inlineStr">
        <is>
          <t>Permanent - Full Time</t>
        </is>
      </c>
      <c r="R343" s="666" t="n"/>
      <c r="S343" s="666" t="n"/>
      <c r="T343" s="667" t="n">
        <v>164050</v>
      </c>
      <c r="U343" s="668" t="n">
        <v>164050</v>
      </c>
      <c r="V343" s="670" t="n">
        <v>0.12</v>
      </c>
      <c r="W343" s="921" t="n">
        <v>0.055</v>
      </c>
      <c r="X343" s="921" t="n">
        <v>0.12</v>
      </c>
      <c r="Y343" s="922" t="n"/>
      <c r="Z343" s="921" t="n">
        <v>0.04</v>
      </c>
      <c r="AA343" s="919" t="n">
        <v>219006.75</v>
      </c>
      <c r="AJ343" t="str">
        <f>IFERROR(INDEX(Lists!$U$1:$U$18,MATCH($I343,Lists!$T$1:$T$18,0)),"?")</f>
        <v>Commercial Fuels</v>
      </c>
      <c r="AK343" t="str">
        <f>IF(LOWER($Q343)="v","Vacant",IF(LOWER($Q343)="pause","Paused",IF(LOWER($Q343)="cxc","Contractor",IF($Q343="Contractor","Contractor","Filled"))))</f>
        <v>Filled</v>
      </c>
      <c r="AL343" t="str">
        <f>IF($M343="NZ","NZ","AU")</f>
        <v>AU</v>
      </c>
      <c r="AM343">
        <f>COUNTIF($AJ$2:$AJ343,$AJ343)</f>
        <v>3.0</v>
      </c>
      <c r="AN343" t="str">
        <f>$AJ343&amp;"|"&amp;$AM343</f>
        <v>Commercial Fuels|3</v>
      </c>
    </row>
    <row r="344" ht="18" customHeight="1" s="849">
      <c r="A344" s="659" t="n">
        <v>113039</v>
      </c>
      <c r="B344" s="660" t="inlineStr">
        <is>
          <t>Anusha Viswanatha</t>
        </is>
      </c>
      <c r="C344" s="660" t="inlineStr">
        <is>
          <t>Delivery Lead</t>
        </is>
      </c>
      <c r="D344" s="662" t="inlineStr">
        <is>
          <t>Vacant</t>
        </is>
      </c>
      <c r="E344" s="660" t="inlineStr">
        <is>
          <t>Technology Manager, Data</t>
        </is>
      </c>
      <c r="F344" s="661" t="inlineStr">
        <is>
          <t>TDD CFE&amp;I</t>
        </is>
      </c>
      <c r="G344" s="662" t="inlineStr">
        <is>
          <t>Commercial Fuels</t>
        </is>
      </c>
      <c r="H344" s="662" t="inlineStr">
        <is>
          <t>Technology, T&amp;S Data</t>
        </is>
      </c>
      <c r="I344" s="662" t="inlineStr">
        <is>
          <t>Commercial Fuels</t>
        </is>
      </c>
      <c r="J344" s="662" t="inlineStr">
        <is>
          <t>Trading &amp; Shipping</t>
        </is>
      </c>
      <c r="K344" s="662" t="inlineStr">
        <is>
          <t>Trading &amp; Shipping Data</t>
        </is>
      </c>
      <c r="L344" s="662" t="n"/>
      <c r="M344" s="663" t="inlineStr">
        <is>
          <t>Singapore</t>
        </is>
      </c>
      <c r="N344" s="664" t="inlineStr">
        <is>
          <t>CIC</t>
        </is>
      </c>
      <c r="O344" s="664" t="n">
        <v>1</v>
      </c>
      <c r="P344" s="664" t="n"/>
      <c r="Q344" s="664" t="inlineStr">
        <is>
          <t>Temporary - Full Time</t>
        </is>
      </c>
      <c r="R344" s="666" t="n"/>
      <c r="S344" s="666" t="n"/>
      <c r="T344" s="667" t="n">
        <v>160000</v>
      </c>
      <c r="U344" s="668" t="n">
        <v>193600</v>
      </c>
      <c r="V344" s="670" t="n">
        <v>0.25</v>
      </c>
      <c r="W344" s="666" t="n"/>
      <c r="X344" s="670" t="n">
        <v>0.17</v>
      </c>
      <c r="Y344" s="918" t="n">
        <v>3310</v>
      </c>
      <c r="Z344" s="713" t="n">
        <v>0.045</v>
      </c>
      <c r="AA344" s="919" t="n">
        <v>286934</v>
      </c>
      <c r="AJ344" t="str">
        <f>IFERROR(INDEX(Lists!$U$1:$U$18,MATCH($I344,Lists!$T$1:$T$18,0)),"?")</f>
        <v>Commercial Fuels</v>
      </c>
      <c r="AK344" t="str">
        <f>IF(LOWER($Q344)="v","Vacant",IF(LOWER($Q344)="pause","Paused",IF(LOWER($Q344)="cxc","Contractor",IF($Q344="Contractor","Contractor","Filled"))))</f>
        <v>Filled</v>
      </c>
      <c r="AL344" t="str">
        <f>IF($M344="NZ","NZ","AU")</f>
        <v>AU</v>
      </c>
      <c r="AM344">
        <f>COUNTIF($AJ$2:$AJ344,$AJ344)</f>
        <v>4.0</v>
      </c>
      <c r="AN344" t="str">
        <f>$AJ344&amp;"|"&amp;$AM344</f>
        <v>Commercial Fuels|4</v>
      </c>
    </row>
    <row r="345" ht="18" customHeight="1" s="849">
      <c r="A345" s="659" t="n">
        <v>97776</v>
      </c>
      <c r="B345" s="660" t="inlineStr">
        <is>
          <t>Anvitha Kurra</t>
        </is>
      </c>
      <c r="C345" s="660" t="inlineStr">
        <is>
          <t>Senior Systems Analyst</t>
        </is>
      </c>
      <c r="D345" s="660" t="inlineStr">
        <is>
          <t>Karla Orozco Loza</t>
        </is>
      </c>
      <c r="E345" s="660" t="inlineStr">
        <is>
          <t>Technology Manager, Future Infrastructure</t>
        </is>
      </c>
      <c r="F345" s="661" t="inlineStr">
        <is>
          <t>TDD CFE&amp;I</t>
        </is>
      </c>
      <c r="G345" s="662" t="inlineStr">
        <is>
          <t>Fuel Infrastructure</t>
        </is>
      </c>
      <c r="H345" s="662" t="inlineStr">
        <is>
          <t>Technology - Distribution</t>
        </is>
      </c>
      <c r="I345" s="662" t="inlineStr">
        <is>
          <t>Infrastructure</t>
        </is>
      </c>
      <c r="J345" s="660" t="inlineStr">
        <is>
          <t>Distribution</t>
        </is>
      </c>
      <c r="K345" s="660" t="inlineStr">
        <is>
          <t>Distribution, Sales &amp; Services</t>
        </is>
      </c>
      <c r="L345" s="662" t="n"/>
      <c r="M345" s="663" t="inlineStr">
        <is>
          <t>Australia</t>
        </is>
      </c>
      <c r="N345" s="664" t="inlineStr">
        <is>
          <t>CIB</t>
        </is>
      </c>
      <c r="O345" s="664" t="n">
        <v>1</v>
      </c>
      <c r="P345" s="664" t="n"/>
      <c r="Q345" s="664" t="inlineStr">
        <is>
          <t>Permanent - Full Time</t>
        </is>
      </c>
      <c r="R345" s="666" t="n"/>
      <c r="S345" s="666" t="n"/>
      <c r="T345" s="667" t="n">
        <v>161340</v>
      </c>
      <c r="U345" s="668" t="n">
        <v>161340</v>
      </c>
      <c r="V345" s="670" t="n">
        <v>0.12</v>
      </c>
      <c r="W345" s="921" t="n">
        <v>0.055</v>
      </c>
      <c r="X345" s="921" t="n">
        <v>0.12</v>
      </c>
      <c r="Y345" s="922" t="n"/>
      <c r="Z345" s="921" t="n">
        <v>0.04</v>
      </c>
      <c r="AA345" s="919" t="n">
        <v>215388.9</v>
      </c>
      <c r="AJ345" t="str">
        <f>IFERROR(INDEX(Lists!$U$1:$U$18,MATCH($I345,Lists!$T$1:$T$18,0)),"?")</f>
        <v>Infrastructure</v>
      </c>
      <c r="AK345" t="str">
        <f>IF(LOWER($Q345)="v","Vacant",IF(LOWER($Q345)="pause","Paused",IF(LOWER($Q345)="cxc","Contractor",IF($Q345="Contractor","Contractor","Filled"))))</f>
        <v>Filled</v>
      </c>
      <c r="AL345" t="str">
        <f>IF($M345="NZ","NZ","AU")</f>
        <v>AU</v>
      </c>
      <c r="AM345">
        <f>COUNTIF($AJ$2:$AJ345,$AJ345)</f>
        <v>5.0</v>
      </c>
      <c r="AN345" t="str">
        <f>$AJ345&amp;"|"&amp;$AM345</f>
        <v>Infrastructure|5</v>
      </c>
    </row>
    <row r="346" ht="18" customHeight="1" s="849">
      <c r="A346" s="659" t="n">
        <v>111319</v>
      </c>
      <c r="B346" s="660" t="inlineStr">
        <is>
          <t>Arun Prakash Jayaprakasam</t>
        </is>
      </c>
      <c r="C346" s="660" t="inlineStr">
        <is>
          <t>Data Engineer Analyst</t>
        </is>
      </c>
      <c r="D346" s="662" t="inlineStr">
        <is>
          <t>Vacant</t>
        </is>
      </c>
      <c r="E346" s="660" t="inlineStr">
        <is>
          <t>Technology Manager, Data</t>
        </is>
      </c>
      <c r="F346" s="661" t="inlineStr">
        <is>
          <t>TDD CFE&amp;I</t>
        </is>
      </c>
      <c r="G346" s="662" t="inlineStr">
        <is>
          <t>Commercial Fuels</t>
        </is>
      </c>
      <c r="H346" s="662" t="inlineStr">
        <is>
          <t>Technology, T&amp;S Data</t>
        </is>
      </c>
      <c r="I346" s="662" t="inlineStr">
        <is>
          <t>Commercial Fuels</t>
        </is>
      </c>
      <c r="J346" s="662" t="inlineStr">
        <is>
          <t>Trading &amp; Shipping</t>
        </is>
      </c>
      <c r="K346" s="662" t="inlineStr">
        <is>
          <t>Trading &amp; Shipping Data</t>
        </is>
      </c>
      <c r="L346" s="662" t="n"/>
      <c r="M346" s="663" t="inlineStr">
        <is>
          <t>Singapore</t>
        </is>
      </c>
      <c r="N346" s="664" t="inlineStr">
        <is>
          <t>CIB</t>
        </is>
      </c>
      <c r="O346" s="664" t="n">
        <v>1</v>
      </c>
      <c r="P346" s="664" t="n"/>
      <c r="Q346" s="664" t="inlineStr">
        <is>
          <t>Permanent - Full Time</t>
        </is>
      </c>
      <c r="R346" s="666" t="n"/>
      <c r="S346" s="666" t="n"/>
      <c r="T346" s="667" t="n">
        <v>149480</v>
      </c>
      <c r="U346" s="668" t="n">
        <v>180870.8</v>
      </c>
      <c r="V346" s="670" t="n">
        <v>0.25</v>
      </c>
      <c r="W346" s="666" t="n"/>
      <c r="X346" s="670" t="n">
        <v>0.17</v>
      </c>
      <c r="Y346" s="918" t="n">
        <v>3310</v>
      </c>
      <c r="Z346" s="713" t="n">
        <v>0.045</v>
      </c>
      <c r="AA346" s="919" t="n">
        <v>268285.722</v>
      </c>
      <c r="AJ346" t="str">
        <f>IFERROR(INDEX(Lists!$U$1:$U$18,MATCH($I346,Lists!$T$1:$T$18,0)),"?")</f>
        <v>Commercial Fuels</v>
      </c>
      <c r="AK346" t="str">
        <f>IF(LOWER($Q346)="v","Vacant",IF(LOWER($Q346)="pause","Paused",IF(LOWER($Q346)="cxc","Contractor",IF($Q346="Contractor","Contractor","Filled"))))</f>
        <v>Filled</v>
      </c>
      <c r="AL346" t="str">
        <f>IF($M346="NZ","NZ","AU")</f>
        <v>AU</v>
      </c>
      <c r="AM346">
        <f>COUNTIF($AJ$2:$AJ346,$AJ346)</f>
        <v>5.0</v>
      </c>
      <c r="AN346" t="str">
        <f>$AJ346&amp;"|"&amp;$AM346</f>
        <v>Commercial Fuels|5</v>
      </c>
    </row>
    <row r="347" ht="18" customHeight="1" s="849">
      <c r="A347" s="659" t="n">
        <v>108033</v>
      </c>
      <c r="B347" s="660" t="inlineStr">
        <is>
          <t>Ayushi Agarwal</t>
        </is>
      </c>
      <c r="C347" s="660" t="inlineStr">
        <is>
          <t>Engineer Data</t>
        </is>
      </c>
      <c r="D347" s="662" t="inlineStr">
        <is>
          <t>Vacant</t>
        </is>
      </c>
      <c r="E347" s="660" t="inlineStr">
        <is>
          <t>Technology Manager, Data</t>
        </is>
      </c>
      <c r="F347" s="661" t="inlineStr">
        <is>
          <t>TDD CFE&amp;I</t>
        </is>
      </c>
      <c r="G347" s="662" t="inlineStr">
        <is>
          <t>Commercial Fuels</t>
        </is>
      </c>
      <c r="H347" s="662" t="inlineStr">
        <is>
          <t>Technology, T&amp;S Data</t>
        </is>
      </c>
      <c r="I347" s="662" t="inlineStr">
        <is>
          <t>Commercial Fuels</t>
        </is>
      </c>
      <c r="J347" s="662" t="inlineStr">
        <is>
          <t>Trading &amp; Shipping</t>
        </is>
      </c>
      <c r="K347" s="662" t="inlineStr">
        <is>
          <t>Trading &amp; Shipping Data</t>
        </is>
      </c>
      <c r="L347" s="662" t="n"/>
      <c r="M347" s="663" t="inlineStr">
        <is>
          <t>Singapore</t>
        </is>
      </c>
      <c r="N347" s="664" t="inlineStr">
        <is>
          <t>CIB</t>
        </is>
      </c>
      <c r="O347" s="664" t="n">
        <v>1</v>
      </c>
      <c r="P347" s="664" t="n"/>
      <c r="Q347" s="664" t="inlineStr">
        <is>
          <t>Permanent - Full Time</t>
        </is>
      </c>
      <c r="R347" s="666" t="n"/>
      <c r="S347" s="666" t="n"/>
      <c r="T347" s="667" t="n">
        <v>145320</v>
      </c>
      <c r="U347" s="668" t="n">
        <v>175837.2</v>
      </c>
      <c r="V347" s="670" t="n">
        <v>0.25</v>
      </c>
      <c r="W347" s="666" t="n"/>
      <c r="X347" s="670" t="n">
        <v>0.17</v>
      </c>
      <c r="Y347" s="918" t="n">
        <v>3310</v>
      </c>
      <c r="Z347" s="713" t="n">
        <v>0.045</v>
      </c>
      <c r="AA347" s="919" t="n">
        <v>260911.498</v>
      </c>
      <c r="AJ347" t="str">
        <f>IFERROR(INDEX(Lists!$U$1:$U$18,MATCH($I347,Lists!$T$1:$T$18,0)),"?")</f>
        <v>Commercial Fuels</v>
      </c>
      <c r="AK347" t="str">
        <f>IF(LOWER($Q347)="v","Vacant",IF(LOWER($Q347)="pause","Paused",IF(LOWER($Q347)="cxc","Contractor",IF($Q347="Contractor","Contractor","Filled"))))</f>
        <v>Filled</v>
      </c>
      <c r="AL347" t="str">
        <f>IF($M347="NZ","NZ","AU")</f>
        <v>AU</v>
      </c>
      <c r="AM347">
        <f>COUNTIF($AJ$2:$AJ347,$AJ347)</f>
        <v>6.0</v>
      </c>
      <c r="AN347" t="str">
        <f>$AJ347&amp;"|"&amp;$AM347</f>
        <v>Commercial Fuels|6</v>
      </c>
    </row>
    <row r="348" ht="18" customHeight="1" s="849">
      <c r="A348" s="659" t="n">
        <v>14100</v>
      </c>
      <c r="B348" s="660" t="inlineStr">
        <is>
          <t>Belinda Ford</t>
        </is>
      </c>
      <c r="C348" s="660" t="inlineStr">
        <is>
          <t>Quality Assurance</t>
        </is>
      </c>
      <c r="D348" s="660" t="inlineStr">
        <is>
          <t>Elle Spencer</t>
        </is>
      </c>
      <c r="E348" s="660" t="inlineStr">
        <is>
          <t>Technology Manager, Energy Solutions</t>
        </is>
      </c>
      <c r="F348" s="661" t="inlineStr">
        <is>
          <t>TDD CFE&amp;I</t>
        </is>
      </c>
      <c r="G348" s="662" t="inlineStr">
        <is>
          <t>B2B &amp; Energy Solutions</t>
        </is>
      </c>
      <c r="H348" s="662" t="inlineStr">
        <is>
          <t>Technology B2B</t>
        </is>
      </c>
      <c r="I348" s="662" t="inlineStr">
        <is>
          <t>B2B &amp; Energy Solutions</t>
        </is>
      </c>
      <c r="J348" s="660" t="inlineStr">
        <is>
          <t>B2B</t>
        </is>
      </c>
      <c r="K348" s="660" t="inlineStr">
        <is>
          <t>B2B</t>
        </is>
      </c>
      <c r="L348" s="662" t="n"/>
      <c r="M348" s="663" t="inlineStr">
        <is>
          <t>Australia</t>
        </is>
      </c>
      <c r="N348" s="666" t="inlineStr">
        <is>
          <t>CDC</t>
        </is>
      </c>
      <c r="O348" s="666" t="n">
        <v>1</v>
      </c>
      <c r="P348" s="666" t="n"/>
      <c r="Q348" s="666" t="inlineStr">
        <is>
          <t>Permanent - Full Time</t>
        </is>
      </c>
      <c r="R348" s="666" t="n"/>
      <c r="S348" s="666" t="n"/>
      <c r="T348" s="667" t="n">
        <v>113430</v>
      </c>
      <c r="U348" s="668" t="n">
        <v>113430</v>
      </c>
      <c r="V348" s="670" t="n">
        <v>0.1</v>
      </c>
      <c r="W348" s="921" t="n">
        <v>0.055</v>
      </c>
      <c r="X348" s="921" t="n">
        <v>0.12</v>
      </c>
      <c r="Y348" s="922" t="n"/>
      <c r="Z348" s="921" t="n">
        <v>0.04</v>
      </c>
      <c r="AA348" s="919" t="n">
        <v>149160.45</v>
      </c>
      <c r="AJ348" t="str">
        <f>IFERROR(INDEX(Lists!$U$1:$U$18,MATCH($I348,Lists!$T$1:$T$18,0)),"?")</f>
        <v>Energy Solutions &amp; B2B</v>
      </c>
      <c r="AK348" t="str">
        <f>IF(LOWER($Q348)="v","Vacant",IF(LOWER($Q348)="pause","Paused",IF(LOWER($Q348)="cxc","Contractor",IF($Q348="Contractor","Contractor","Filled"))))</f>
        <v>Filled</v>
      </c>
      <c r="AL348" t="str">
        <f>IF($M348="NZ","NZ","AU")</f>
        <v>AU</v>
      </c>
      <c r="AM348">
        <f>COUNTIF($AJ$2:$AJ348,$AJ348)</f>
        <v>5.0</v>
      </c>
      <c r="AN348" t="str">
        <f>$AJ348&amp;"|"&amp;$AM348</f>
        <v>Energy Solutions &amp; B2B|5</v>
      </c>
    </row>
    <row r="349" ht="18" customHeight="1" s="849">
      <c r="A349" s="659" t="n">
        <v>101539</v>
      </c>
      <c r="B349" s="660" t="inlineStr">
        <is>
          <t>Breanna Hua</t>
        </is>
      </c>
      <c r="C349" s="660" t="inlineStr">
        <is>
          <t>Systems Analyst</t>
        </is>
      </c>
      <c r="D349" s="660" t="inlineStr">
        <is>
          <t>Karla Orozco Loza</t>
        </is>
      </c>
      <c r="E349" s="660" t="inlineStr">
        <is>
          <t>Technology Manager, Future Infrastructure</t>
        </is>
      </c>
      <c r="F349" s="661" t="inlineStr">
        <is>
          <t>TDD CFE&amp;I</t>
        </is>
      </c>
      <c r="G349" s="662" t="inlineStr">
        <is>
          <t>Fuel Infrastructure</t>
        </is>
      </c>
      <c r="H349" s="662" t="inlineStr">
        <is>
          <t>Fuel Infrastructure</t>
        </is>
      </c>
      <c r="I349" s="662" t="inlineStr">
        <is>
          <t>Infrastructure</t>
        </is>
      </c>
      <c r="J349" s="662" t="inlineStr">
        <is>
          <t>Distribution</t>
        </is>
      </c>
      <c r="K349" s="660" t="inlineStr">
        <is>
          <t>Distribution, Sales &amp; Services</t>
        </is>
      </c>
      <c r="L349" s="662" t="n"/>
      <c r="M349" s="663" t="inlineStr">
        <is>
          <t>Australia</t>
        </is>
      </c>
      <c r="N349" s="664" t="inlineStr">
        <is>
          <t>CIA</t>
        </is>
      </c>
      <c r="O349" s="664" t="n">
        <v>1</v>
      </c>
      <c r="P349" s="664" t="n"/>
      <c r="Q349" s="664" t="inlineStr">
        <is>
          <t>Permanent - Full Time</t>
        </is>
      </c>
      <c r="R349" s="666" t="n"/>
      <c r="S349" s="666" t="n"/>
      <c r="T349" s="667" t="n">
        <v>127110</v>
      </c>
      <c r="U349" s="668" t="n">
        <v>127110</v>
      </c>
      <c r="V349" s="670" t="n">
        <v>0.1</v>
      </c>
      <c r="W349" s="921" t="n">
        <v>0.055</v>
      </c>
      <c r="X349" s="921" t="n">
        <v>0.12</v>
      </c>
      <c r="Y349" s="922" t="n"/>
      <c r="Z349" s="921" t="n">
        <v>0.04</v>
      </c>
      <c r="AA349" s="919" t="n">
        <v>167149.65</v>
      </c>
      <c r="AJ349" t="str">
        <f>IFERROR(INDEX(Lists!$U$1:$U$18,MATCH($I349,Lists!$T$1:$T$18,0)),"?")</f>
        <v>Infrastructure</v>
      </c>
      <c r="AK349" t="str">
        <f>IF(LOWER($Q349)="v","Vacant",IF(LOWER($Q349)="pause","Paused",IF(LOWER($Q349)="cxc","Contractor",IF($Q349="Contractor","Contractor","Filled"))))</f>
        <v>Filled</v>
      </c>
      <c r="AL349" t="str">
        <f>IF($M349="NZ","NZ","AU")</f>
        <v>AU</v>
      </c>
      <c r="AM349">
        <f>COUNTIF($AJ$2:$AJ349,$AJ349)</f>
        <v>6.0</v>
      </c>
      <c r="AN349" t="str">
        <f>$AJ349&amp;"|"&amp;$AM349</f>
        <v>Infrastructure|6</v>
      </c>
    </row>
    <row r="350" ht="18" customHeight="1" s="849">
      <c r="A350" s="659" t="n">
        <v>97284</v>
      </c>
      <c r="B350" s="660" t="inlineStr">
        <is>
          <t>Byron Leung</t>
        </is>
      </c>
      <c r="C350" s="660" t="inlineStr">
        <is>
          <t>Solution Architect</t>
        </is>
      </c>
      <c r="D350" s="662" t="inlineStr">
        <is>
          <t>Vacant</t>
        </is>
      </c>
      <c r="E350" s="660" t="inlineStr">
        <is>
          <t>Technology Manager, Engineering</t>
        </is>
      </c>
      <c r="F350" s="661" t="inlineStr">
        <is>
          <t>TDD CFE&amp;I</t>
        </is>
      </c>
      <c r="G350" s="662" t="inlineStr">
        <is>
          <t>Commercial Fuels</t>
        </is>
      </c>
      <c r="H350" s="662" t="inlineStr">
        <is>
          <t>Technology, CF Engineering</t>
        </is>
      </c>
      <c r="I350" s="662" t="inlineStr">
        <is>
          <t>Commercial Fuels</t>
        </is>
      </c>
      <c r="J350" s="660" t="inlineStr">
        <is>
          <t>CTRM</t>
        </is>
      </c>
      <c r="K350" s="660" t="inlineStr">
        <is>
          <t>CTRM</t>
        </is>
      </c>
      <c r="L350" s="662" t="n"/>
      <c r="M350" s="663" t="inlineStr">
        <is>
          <t>Australia</t>
        </is>
      </c>
      <c r="N350" s="664" t="inlineStr">
        <is>
          <t>CIC</t>
        </is>
      </c>
      <c r="O350" s="664" t="n">
        <v>1</v>
      </c>
      <c r="P350" s="664" t="n"/>
      <c r="Q350" s="664" t="inlineStr">
        <is>
          <t>Permanent - Full Time</t>
        </is>
      </c>
      <c r="R350" s="666" t="n"/>
      <c r="S350" s="666" t="n"/>
      <c r="T350" s="667" t="n">
        <v>207470</v>
      </c>
      <c r="U350" s="668" t="n">
        <v>207470</v>
      </c>
      <c r="V350" s="670" t="n">
        <v>0.12</v>
      </c>
      <c r="W350" s="921" t="n">
        <v>0.055</v>
      </c>
      <c r="X350" s="921" t="n">
        <v>0.12</v>
      </c>
      <c r="Y350" s="922" t="n"/>
      <c r="Z350" s="921" t="n">
        <v>0.04</v>
      </c>
      <c r="AA350" s="919" t="n">
        <v>276972.45</v>
      </c>
      <c r="AJ350" t="str">
        <f>IFERROR(INDEX(Lists!$U$1:$U$18,MATCH($I350,Lists!$T$1:$T$18,0)),"?")</f>
        <v>Commercial Fuels</v>
      </c>
      <c r="AK350" t="str">
        <f>IF(LOWER($Q350)="v","Vacant",IF(LOWER($Q350)="pause","Paused",IF(LOWER($Q350)="cxc","Contractor",IF($Q350="Contractor","Contractor","Filled"))))</f>
        <v>Filled</v>
      </c>
      <c r="AL350" t="str">
        <f>IF($M350="NZ","NZ","AU")</f>
        <v>AU</v>
      </c>
      <c r="AM350">
        <f>COUNTIF($AJ$2:$AJ350,$AJ350)</f>
        <v>7.0</v>
      </c>
      <c r="AN350" t="str">
        <f>$AJ350&amp;"|"&amp;$AM350</f>
        <v>Commercial Fuels|7</v>
      </c>
    </row>
    <row r="351" ht="18" customHeight="1" s="849">
      <c r="A351" s="659" t="n">
        <v>99999101505</v>
      </c>
      <c r="B351" s="660" t="inlineStr">
        <is>
          <t>Caitlin Dyas</t>
        </is>
      </c>
      <c r="C351" s="660" t="inlineStr">
        <is>
          <t>Snr Engineer Software</t>
        </is>
      </c>
      <c r="D351" s="662" t="inlineStr">
        <is>
          <t>Vacant</t>
        </is>
      </c>
      <c r="E351" s="660" t="inlineStr">
        <is>
          <t>Technology Manager, Energy Solutions</t>
        </is>
      </c>
      <c r="F351" s="661" t="inlineStr">
        <is>
          <t>TDD CFE&amp;I</t>
        </is>
      </c>
      <c r="G351" s="662" t="inlineStr">
        <is>
          <t>B2B &amp; Energy Solutions</t>
        </is>
      </c>
      <c r="H351" s="662" t="inlineStr">
        <is>
          <t>Technology Energy Solutions</t>
        </is>
      </c>
      <c r="I351" s="685" t="inlineStr">
        <is>
          <t>B2B &amp; Energy Solutions</t>
        </is>
      </c>
      <c r="J351" s="662" t="inlineStr">
        <is>
          <t>Energy Solutions</t>
        </is>
      </c>
      <c r="K351" s="660" t="inlineStr">
        <is>
          <t>EVCI</t>
        </is>
      </c>
      <c r="L351" s="662" t="n"/>
      <c r="M351" s="663" t="inlineStr">
        <is>
          <t>NZ</t>
        </is>
      </c>
      <c r="N351" s="664" t="inlineStr">
        <is>
          <t>CIB</t>
        </is>
      </c>
      <c r="O351" s="665" t="n">
        <v>1</v>
      </c>
      <c r="P351" s="664" t="n"/>
      <c r="Q351" s="665" t="inlineStr">
        <is>
          <t>Permanent - Full Time</t>
        </is>
      </c>
      <c r="R351" s="666" t="n"/>
      <c r="S351" s="666" t="n"/>
      <c r="T351" s="667" t="n">
        <v>125000</v>
      </c>
      <c r="U351" s="668" t="n">
        <v>115000</v>
      </c>
      <c r="V351" s="669" t="n">
        <v>0.15</v>
      </c>
      <c r="W351" s="665" t="n"/>
      <c r="X351" s="670" t="n">
        <v>0.05</v>
      </c>
      <c r="Y351" s="918" t="n">
        <v>2910</v>
      </c>
      <c r="Z351" s="670" t="n">
        <v>0.03</v>
      </c>
      <c r="AA351" s="919" t="n">
        <v>144360</v>
      </c>
      <c r="AJ351" t="str">
        <f>IFERROR(INDEX(Lists!$U$1:$U$18,MATCH($I351,Lists!$T$1:$T$18,0)),"?")</f>
        <v>Energy Solutions &amp; B2B</v>
      </c>
      <c r="AK351" t="str">
        <f>IF(LOWER($Q351)="v","Vacant",IF(LOWER($Q351)="pause","Paused",IF(LOWER($Q351)="cxc","Contractor",IF($Q351="Contractor","Contractor","Filled"))))</f>
        <v>Filled</v>
      </c>
      <c r="AL351" t="str">
        <f>IF($M351="NZ","NZ","AU")</f>
        <v>NZ</v>
      </c>
      <c r="AM351">
        <f>COUNTIF($AJ$2:$AJ351,$AJ351)</f>
        <v>6.0</v>
      </c>
      <c r="AN351" t="str">
        <f>$AJ351&amp;"|"&amp;$AM351</f>
        <v>Energy Solutions &amp; B2B|6</v>
      </c>
    </row>
    <row r="352" ht="18" customHeight="1" s="849">
      <c r="A352" s="659" t="n">
        <v>99999101895</v>
      </c>
      <c r="B352" s="660" t="inlineStr">
        <is>
          <t>Caitlin Naylor</t>
        </is>
      </c>
      <c r="C352" s="660" t="inlineStr">
        <is>
          <t>Associate Engineer- Software</t>
        </is>
      </c>
      <c r="D352" s="662" t="inlineStr">
        <is>
          <t>Vacant</t>
        </is>
      </c>
      <c r="E352" s="660" t="inlineStr">
        <is>
          <t>Technology Manager, Energy Solutions</t>
        </is>
      </c>
      <c r="F352" s="661" t="inlineStr">
        <is>
          <t>TDD CFE&amp;I</t>
        </is>
      </c>
      <c r="G352" s="662" t="inlineStr">
        <is>
          <t>B2B &amp; Energy Solutions</t>
        </is>
      </c>
      <c r="H352" s="662" t="inlineStr">
        <is>
          <t>Technology Energy Solutions</t>
        </is>
      </c>
      <c r="I352" s="662" t="inlineStr">
        <is>
          <t>B2B &amp; Energy Solutions</t>
        </is>
      </c>
      <c r="J352" s="662" t="inlineStr">
        <is>
          <t>Energy Solutions</t>
        </is>
      </c>
      <c r="K352" s="660" t="inlineStr">
        <is>
          <t>Energy</t>
        </is>
      </c>
      <c r="L352" s="662" t="n"/>
      <c r="M352" s="663" t="inlineStr">
        <is>
          <t>NZ</t>
        </is>
      </c>
      <c r="N352" s="664" t="inlineStr">
        <is>
          <t>CDA</t>
        </is>
      </c>
      <c r="O352" s="665" t="n">
        <v>1</v>
      </c>
      <c r="P352" s="664" t="n"/>
      <c r="Q352" s="665" t="inlineStr">
        <is>
          <t>Permanent - Full Time</t>
        </is>
      </c>
      <c r="R352" s="666" t="n"/>
      <c r="S352" s="666" t="n"/>
      <c r="T352" s="667" t="n">
        <v>77860</v>
      </c>
      <c r="U352" s="668" t="n">
        <v>71631.2</v>
      </c>
      <c r="V352" s="669" t="n">
        <v>0.1</v>
      </c>
      <c r="W352" s="665" t="n"/>
      <c r="X352" s="670" t="n">
        <v>0.05</v>
      </c>
      <c r="Y352" s="918" t="n">
        <v>2910</v>
      </c>
      <c r="Z352" s="670" t="n">
        <v>0.03</v>
      </c>
      <c r="AA352" s="919" t="n">
        <v>87434.81600000001</v>
      </c>
      <c r="AJ352" t="str">
        <f>IFERROR(INDEX(Lists!$U$1:$U$18,MATCH($I352,Lists!$T$1:$T$18,0)),"?")</f>
        <v>Energy Solutions &amp; B2B</v>
      </c>
      <c r="AK352" t="str">
        <f>IF(LOWER($Q352)="v","Vacant",IF(LOWER($Q352)="pause","Paused",IF(LOWER($Q352)="cxc","Contractor",IF($Q352="Contractor","Contractor","Filled"))))</f>
        <v>Filled</v>
      </c>
      <c r="AL352" t="str">
        <f>IF($M352="NZ","NZ","AU")</f>
        <v>NZ</v>
      </c>
      <c r="AM352">
        <f>COUNTIF($AJ$2:$AJ352,$AJ352)</f>
        <v>7.0</v>
      </c>
      <c r="AN352" t="str">
        <f>$AJ352&amp;"|"&amp;$AM352</f>
        <v>Energy Solutions &amp; B2B|7</v>
      </c>
    </row>
    <row r="353" ht="18" customHeight="1" s="849">
      <c r="A353" s="659" t="n">
        <v>106404</v>
      </c>
      <c r="B353" s="660" t="inlineStr">
        <is>
          <t>Carl Russo</t>
        </is>
      </c>
      <c r="C353" s="660" t="inlineStr">
        <is>
          <t>Program Manager - CTRM</t>
        </is>
      </c>
      <c r="D353" s="660" t="inlineStr">
        <is>
          <t>Roanne Steele</t>
        </is>
      </c>
      <c r="E353" s="660" t="inlineStr">
        <is>
          <t>GM TDD, CFE&amp;I</t>
        </is>
      </c>
      <c r="F353" s="661" t="inlineStr">
        <is>
          <t>TDD CFE&amp;I</t>
        </is>
      </c>
      <c r="G353" s="662" t="inlineStr">
        <is>
          <t>Leadership</t>
        </is>
      </c>
      <c r="H353" s="662" t="inlineStr">
        <is>
          <t>Leadership</t>
        </is>
      </c>
      <c r="I353" s="662" t="inlineStr">
        <is>
          <t>Commercial Fuels</t>
        </is>
      </c>
      <c r="J353" s="662" t="inlineStr">
        <is>
          <t>CTRM</t>
        </is>
      </c>
      <c r="K353" s="660" t="inlineStr">
        <is>
          <t>CTRM</t>
        </is>
      </c>
      <c r="L353" s="662" t="n"/>
      <c r="M353" s="663" t="inlineStr">
        <is>
          <t>Australia</t>
        </is>
      </c>
      <c r="N353" s="664" t="inlineStr">
        <is>
          <t>CSB</t>
        </is>
      </c>
      <c r="O353" s="664" t="n">
        <v>1</v>
      </c>
      <c r="P353" s="664" t="n"/>
      <c r="Q353" s="664" t="inlineStr">
        <is>
          <t>Permanent - Full Time</t>
        </is>
      </c>
      <c r="R353" s="666" t="n"/>
      <c r="S353" s="666" t="n"/>
      <c r="T353" s="667" t="n">
        <v>238890</v>
      </c>
      <c r="U353" s="668" t="n">
        <v>238890</v>
      </c>
      <c r="V353" s="670" t="n">
        <v>0.14</v>
      </c>
      <c r="W353" s="921" t="n">
        <v>0.055</v>
      </c>
      <c r="X353" s="921" t="n">
        <v>0.12</v>
      </c>
      <c r="Y353" s="922" t="n"/>
      <c r="Z353" s="921" t="n">
        <v>0.04</v>
      </c>
      <c r="AA353" s="919" t="n">
        <v>323695.95</v>
      </c>
      <c r="AJ353" t="str">
        <f>IFERROR(INDEX(Lists!$U$1:$U$18,MATCH($I353,Lists!$T$1:$T$18,0)),"?")</f>
        <v>Commercial Fuels</v>
      </c>
      <c r="AK353" t="str">
        <f>IF(LOWER($Q353)="v","Vacant",IF(LOWER($Q353)="pause","Paused",IF(LOWER($Q353)="cxc","Contractor",IF($Q353="Contractor","Contractor","Filled"))))</f>
        <v>Filled</v>
      </c>
      <c r="AL353" t="str">
        <f>IF($M353="NZ","NZ","AU")</f>
        <v>AU</v>
      </c>
      <c r="AM353">
        <f>COUNTIF($AJ$2:$AJ353,$AJ353)</f>
        <v>8.0</v>
      </c>
      <c r="AN353" t="str">
        <f>$AJ353&amp;"|"&amp;$AM353</f>
        <v>Commercial Fuels|8</v>
      </c>
    </row>
    <row r="354" ht="18" customHeight="1" s="849">
      <c r="A354" s="659" t="n">
        <v>99999101013</v>
      </c>
      <c r="B354" s="660" t="inlineStr">
        <is>
          <t>Chantal Lynch</t>
        </is>
      </c>
      <c r="C354" s="660" t="inlineStr">
        <is>
          <t>Lead Quality Assurance</t>
        </is>
      </c>
      <c r="D354" s="662" t="inlineStr">
        <is>
          <t>Vacant</t>
        </is>
      </c>
      <c r="E354" s="660" t="inlineStr">
        <is>
          <t>Technology Manager, Engineering</t>
        </is>
      </c>
      <c r="F354" s="661" t="inlineStr">
        <is>
          <t>TDD CFE&amp;I</t>
        </is>
      </c>
      <c r="G354" s="662" t="inlineStr">
        <is>
          <t>Commercial Fuels</t>
        </is>
      </c>
      <c r="H354" s="662" t="inlineStr">
        <is>
          <t>Technology, CF Engineering</t>
        </is>
      </c>
      <c r="I354" s="662" t="inlineStr">
        <is>
          <t>Commercial Fuels</t>
        </is>
      </c>
      <c r="J354" s="660" t="inlineStr">
        <is>
          <t>CTRM</t>
        </is>
      </c>
      <c r="K354" s="660" t="inlineStr">
        <is>
          <t>CTRM</t>
        </is>
      </c>
      <c r="L354" s="662" t="n"/>
      <c r="M354" s="663" t="inlineStr">
        <is>
          <t>NZ</t>
        </is>
      </c>
      <c r="N354" s="664" t="inlineStr">
        <is>
          <t>CIC</t>
        </is>
      </c>
      <c r="O354" s="665" t="n">
        <v>1</v>
      </c>
      <c r="P354" s="664" t="n"/>
      <c r="Q354" s="665" t="inlineStr">
        <is>
          <t>Permanent - Full Time</t>
        </is>
      </c>
      <c r="R354" s="666" t="n"/>
      <c r="S354" s="666" t="n"/>
      <c r="T354" s="667" t="n">
        <v>157060</v>
      </c>
      <c r="U354" s="668" t="n">
        <v>144495.2</v>
      </c>
      <c r="V354" s="669" t="n">
        <v>0.15</v>
      </c>
      <c r="W354" s="665" t="n"/>
      <c r="X354" s="670" t="n">
        <v>0.05</v>
      </c>
      <c r="Y354" s="918" t="n">
        <v>2910</v>
      </c>
      <c r="Z354" s="670" t="n">
        <v>0.03</v>
      </c>
      <c r="AA354" s="919" t="n">
        <v>180639.096</v>
      </c>
      <c r="AJ354" t="str">
        <f>IFERROR(INDEX(Lists!$U$1:$U$18,MATCH($I354,Lists!$T$1:$T$18,0)),"?")</f>
        <v>Commercial Fuels</v>
      </c>
      <c r="AK354" t="str">
        <f>IF(LOWER($Q354)="v","Vacant",IF(LOWER($Q354)="pause","Paused",IF(LOWER($Q354)="cxc","Contractor",IF($Q354="Contractor","Contractor","Filled"))))</f>
        <v>Filled</v>
      </c>
      <c r="AL354" t="str">
        <f>IF($M354="NZ","NZ","AU")</f>
        <v>NZ</v>
      </c>
      <c r="AM354">
        <f>COUNTIF($AJ$2:$AJ354,$AJ354)</f>
        <v>9.0</v>
      </c>
      <c r="AN354" t="str">
        <f>$AJ354&amp;"|"&amp;$AM354</f>
        <v>Commercial Fuels|9</v>
      </c>
    </row>
    <row r="355" ht="18" customHeight="1" s="849">
      <c r="A355" s="659" t="n">
        <v>106547</v>
      </c>
      <c r="B355" s="660" t="inlineStr">
        <is>
          <t>Chin Fang Kwek</t>
        </is>
      </c>
      <c r="C355" s="660" t="inlineStr">
        <is>
          <t>System Analyst</t>
        </is>
      </c>
      <c r="D355" s="660" t="inlineStr">
        <is>
          <t>Allan Francia</t>
        </is>
      </c>
      <c r="E355" s="660" t="inlineStr">
        <is>
          <t>Technology Manager, T&amp;S</t>
        </is>
      </c>
      <c r="F355" s="661" t="inlineStr">
        <is>
          <t>TDD CFE&amp;I</t>
        </is>
      </c>
      <c r="G355" s="662" t="inlineStr">
        <is>
          <t>Commercial Fuels</t>
        </is>
      </c>
      <c r="H355" s="662" t="inlineStr">
        <is>
          <t>Technology, Trading &amp; Shipping</t>
        </is>
      </c>
      <c r="I355" s="662" t="inlineStr">
        <is>
          <t>Commercial Fuels</t>
        </is>
      </c>
      <c r="J355" s="662" t="inlineStr">
        <is>
          <t>Trading &amp; Shipping</t>
        </is>
      </c>
      <c r="K355" s="660" t="inlineStr">
        <is>
          <t>Trading &amp; Shipping</t>
        </is>
      </c>
      <c r="L355" s="662" t="n"/>
      <c r="M355" s="663" t="inlineStr">
        <is>
          <t>Singapore</t>
        </is>
      </c>
      <c r="N355" s="664" t="inlineStr">
        <is>
          <t>CIC</t>
        </is>
      </c>
      <c r="O355" s="664" t="n">
        <v>1</v>
      </c>
      <c r="P355" s="664" t="n"/>
      <c r="Q355" s="664" t="inlineStr">
        <is>
          <t>Permanent - Full Time</t>
        </is>
      </c>
      <c r="R355" s="666" t="n"/>
      <c r="S355" s="666" t="n"/>
      <c r="T355" s="667" t="n">
        <v>193688</v>
      </c>
      <c r="U355" s="668" t="n">
        <v>234362.48</v>
      </c>
      <c r="V355" s="670" t="n">
        <v>0.25</v>
      </c>
      <c r="W355" s="666" t="n"/>
      <c r="X355" s="670" t="n">
        <v>0.17</v>
      </c>
      <c r="Y355" s="918" t="n">
        <v>3310</v>
      </c>
      <c r="Z355" s="713" t="n">
        <v>0.045</v>
      </c>
      <c r="AA355" s="919" t="n">
        <v>346651.0331999999</v>
      </c>
      <c r="AJ355" t="str">
        <f>IFERROR(INDEX(Lists!$U$1:$U$18,MATCH($I355,Lists!$T$1:$T$18,0)),"?")</f>
        <v>Commercial Fuels</v>
      </c>
      <c r="AK355" t="str">
        <f>IF(LOWER($Q355)="v","Vacant",IF(LOWER($Q355)="pause","Paused",IF(LOWER($Q355)="cxc","Contractor",IF($Q355="Contractor","Contractor","Filled"))))</f>
        <v>Filled</v>
      </c>
      <c r="AL355" t="str">
        <f>IF($M355="NZ","NZ","AU")</f>
        <v>AU</v>
      </c>
      <c r="AM355">
        <f>COUNTIF($AJ$2:$AJ355,$AJ355)</f>
        <v>10.0</v>
      </c>
      <c r="AN355" t="str">
        <f>$AJ355&amp;"|"&amp;$AM355</f>
        <v>Commercial Fuels|10</v>
      </c>
    </row>
    <row r="356" ht="18" customHeight="1" s="849">
      <c r="A356" s="764" t="n">
        <v>2967</v>
      </c>
      <c r="B356" s="660" t="inlineStr">
        <is>
          <t>Chris Camacho</t>
        </is>
      </c>
      <c r="C356" s="660" t="inlineStr">
        <is>
          <t>Senior Systems Analyst</t>
        </is>
      </c>
      <c r="D356" s="660" t="inlineStr">
        <is>
          <t>Jaya Ganasan</t>
        </is>
      </c>
      <c r="E356" s="660" t="inlineStr">
        <is>
          <t>Technology Manager, TDD Refinery</t>
        </is>
      </c>
      <c r="F356" s="661" t="inlineStr">
        <is>
          <t>TDD CFE&amp;I</t>
        </is>
      </c>
      <c r="G356" s="662" t="inlineStr">
        <is>
          <t>Fuel Infrastructure</t>
        </is>
      </c>
      <c r="H356" s="662" t="inlineStr">
        <is>
          <t>Refinery Applications</t>
        </is>
      </c>
      <c r="I356" s="662" t="inlineStr">
        <is>
          <t>Infrastructure</t>
        </is>
      </c>
      <c r="J356" s="662" t="inlineStr">
        <is>
          <t>Manufacturing</t>
        </is>
      </c>
      <c r="K356" s="660" t="inlineStr">
        <is>
          <t>Manuacturing Group Projects</t>
        </is>
      </c>
      <c r="L356" s="662" t="n"/>
      <c r="M356" s="663" t="inlineStr">
        <is>
          <t>Australia</t>
        </is>
      </c>
      <c r="N356" s="765" t="inlineStr">
        <is>
          <t xml:space="preserve">CSB </t>
        </is>
      </c>
      <c r="O356" s="765" t="n">
        <v>1</v>
      </c>
      <c r="P356" s="765" t="n"/>
      <c r="Q356" s="765" t="inlineStr">
        <is>
          <t>Permanent - Full Time</t>
        </is>
      </c>
      <c r="R356" s="660" t="n"/>
      <c r="S356" s="660" t="n"/>
      <c r="T356" s="766" t="n">
        <v>166090</v>
      </c>
      <c r="U356" s="783" t="n">
        <v>166090</v>
      </c>
      <c r="V356" s="670" t="n">
        <v>0.14</v>
      </c>
      <c r="W356" s="921" t="n">
        <v>0.055</v>
      </c>
      <c r="X356" s="921" t="n">
        <v>0.12</v>
      </c>
      <c r="Y356" s="922" t="n"/>
      <c r="Z356" s="921" t="n">
        <v>0.04</v>
      </c>
      <c r="AA356" s="919" t="n">
        <v>225051.95</v>
      </c>
      <c r="AJ356" t="str">
        <f>IFERROR(INDEX(Lists!$U$1:$U$18,MATCH($I356,Lists!$T$1:$T$18,0)),"?")</f>
        <v>Infrastructure</v>
      </c>
      <c r="AK356" t="str">
        <f>IF(LOWER($Q356)="v","Vacant",IF(LOWER($Q356)="pause","Paused",IF(LOWER($Q356)="cxc","Contractor",IF($Q356="Contractor","Contractor","Filled"))))</f>
        <v>Filled</v>
      </c>
      <c r="AL356" t="str">
        <f>IF($M356="NZ","NZ","AU")</f>
        <v>AU</v>
      </c>
      <c r="AM356">
        <f>COUNTIF($AJ$2:$AJ356,$AJ356)</f>
        <v>7.0</v>
      </c>
      <c r="AN356" t="str">
        <f>$AJ356&amp;"|"&amp;$AM356</f>
        <v>Infrastructure|7</v>
      </c>
    </row>
    <row r="357" ht="18" customHeight="1" s="849">
      <c r="A357" s="659" t="n">
        <v>105532</v>
      </c>
      <c r="B357" s="660" t="inlineStr">
        <is>
          <t>Debbie Gor</t>
        </is>
      </c>
      <c r="C357" s="660" t="inlineStr">
        <is>
          <t>Delivery Lead</t>
        </is>
      </c>
      <c r="D357" s="662" t="inlineStr">
        <is>
          <t>Vacant</t>
        </is>
      </c>
      <c r="E357" s="660" t="inlineStr">
        <is>
          <t>Delivery Manager</t>
        </is>
      </c>
      <c r="F357" s="661" t="inlineStr">
        <is>
          <t>TDD CFE&amp;I</t>
        </is>
      </c>
      <c r="G357" s="662" t="inlineStr">
        <is>
          <t>B2B &amp; Energy Solutions</t>
        </is>
      </c>
      <c r="H357" s="662" t="inlineStr">
        <is>
          <t>Delivery</t>
        </is>
      </c>
      <c r="I357" s="662" t="inlineStr">
        <is>
          <t>B2B &amp; Energy Solutions</t>
        </is>
      </c>
      <c r="J357" s="660" t="inlineStr">
        <is>
          <t>B2B</t>
        </is>
      </c>
      <c r="K357" s="660" t="inlineStr">
        <is>
          <t>B2B</t>
        </is>
      </c>
      <c r="L357" s="662" t="n"/>
      <c r="M357" s="663" t="inlineStr">
        <is>
          <t>Australia</t>
        </is>
      </c>
      <c r="N357" s="664" t="inlineStr">
        <is>
          <t>CIC</t>
        </is>
      </c>
      <c r="O357" s="664" t="n">
        <v>1</v>
      </c>
      <c r="P357" s="664" t="n"/>
      <c r="Q357" s="664" t="inlineStr">
        <is>
          <t>Permanent - Full Time</t>
        </is>
      </c>
      <c r="R357" s="666" t="n"/>
      <c r="S357" s="666" t="n"/>
      <c r="T357" s="667" t="n">
        <v>199710</v>
      </c>
      <c r="U357" s="668" t="n">
        <v>199710</v>
      </c>
      <c r="V357" s="670" t="n">
        <v>0.12</v>
      </c>
      <c r="W357" s="921" t="n">
        <v>0.055</v>
      </c>
      <c r="X357" s="921" t="n">
        <v>0.12</v>
      </c>
      <c r="Y357" s="922" t="n"/>
      <c r="Z357" s="921" t="n">
        <v>0.04</v>
      </c>
      <c r="AA357" s="919" t="n">
        <v>266612.85</v>
      </c>
      <c r="AJ357" t="str">
        <f>IFERROR(INDEX(Lists!$U$1:$U$18,MATCH($I357,Lists!$T$1:$T$18,0)),"?")</f>
        <v>Energy Solutions &amp; B2B</v>
      </c>
      <c r="AK357" t="str">
        <f>IF(LOWER($Q357)="v","Vacant",IF(LOWER($Q357)="pause","Paused",IF(LOWER($Q357)="cxc","Contractor",IF($Q357="Contractor","Contractor","Filled"))))</f>
        <v>Filled</v>
      </c>
      <c r="AL357" t="str">
        <f>IF($M357="NZ","NZ","AU")</f>
        <v>AU</v>
      </c>
      <c r="AM357">
        <f>COUNTIF($AJ$2:$AJ357,$AJ357)</f>
        <v>8.0</v>
      </c>
      <c r="AN357" t="str">
        <f>$AJ357&amp;"|"&amp;$AM357</f>
        <v>Energy Solutions &amp; B2B|8</v>
      </c>
    </row>
    <row r="358" ht="18" customHeight="1" s="849">
      <c r="A358" s="659" t="n">
        <v>107463</v>
      </c>
      <c r="B358" s="660" t="inlineStr">
        <is>
          <t>Deepa Kaur</t>
        </is>
      </c>
      <c r="C358" s="660" t="inlineStr">
        <is>
          <t>Senior Engineer Automation Testing</t>
        </is>
      </c>
      <c r="D358" s="662" t="inlineStr">
        <is>
          <t>Vacant</t>
        </is>
      </c>
      <c r="E358" s="660" t="inlineStr">
        <is>
          <t>Technology Manager, Engineering</t>
        </is>
      </c>
      <c r="F358" s="661" t="inlineStr">
        <is>
          <t>TDD CFE&amp;I</t>
        </is>
      </c>
      <c r="G358" s="662" t="inlineStr">
        <is>
          <t>Commercial Fuels</t>
        </is>
      </c>
      <c r="H358" s="662" t="inlineStr">
        <is>
          <t>Technology, CF Engineering</t>
        </is>
      </c>
      <c r="I358" s="662" t="inlineStr">
        <is>
          <t>Commercial Fuels</t>
        </is>
      </c>
      <c r="J358" s="660" t="inlineStr">
        <is>
          <t>CTRM</t>
        </is>
      </c>
      <c r="K358" s="660" t="inlineStr">
        <is>
          <t>CTRM</t>
        </is>
      </c>
      <c r="L358" s="662" t="n"/>
      <c r="M358" s="663" t="inlineStr">
        <is>
          <t>Australia</t>
        </is>
      </c>
      <c r="N358" s="664" t="inlineStr">
        <is>
          <t>CIB</t>
        </is>
      </c>
      <c r="O358" s="664" t="n">
        <v>1</v>
      </c>
      <c r="P358" s="664" t="n"/>
      <c r="Q358" s="664" t="inlineStr">
        <is>
          <t>Permanent - Full Time</t>
        </is>
      </c>
      <c r="R358" s="666" t="n"/>
      <c r="S358" s="666" t="n"/>
      <c r="T358" s="667" t="n">
        <v>145710</v>
      </c>
      <c r="U358" s="668" t="n">
        <v>145710</v>
      </c>
      <c r="V358" s="670" t="n">
        <v>0.12</v>
      </c>
      <c r="W358" s="921" t="n">
        <v>0.055</v>
      </c>
      <c r="X358" s="921" t="n">
        <v>0.12</v>
      </c>
      <c r="Y358" s="922" t="n"/>
      <c r="Z358" s="921" t="n">
        <v>0.04</v>
      </c>
      <c r="AA358" s="919" t="n">
        <v>194522.85</v>
      </c>
      <c r="AJ358" t="str">
        <f>IFERROR(INDEX(Lists!$U$1:$U$18,MATCH($I358,Lists!$T$1:$T$18,0)),"?")</f>
        <v>Commercial Fuels</v>
      </c>
      <c r="AK358" t="str">
        <f>IF(LOWER($Q358)="v","Vacant",IF(LOWER($Q358)="pause","Paused",IF(LOWER($Q358)="cxc","Contractor",IF($Q358="Contractor","Contractor","Filled"))))</f>
        <v>Filled</v>
      </c>
      <c r="AL358" t="str">
        <f>IF($M358="NZ","NZ","AU")</f>
        <v>AU</v>
      </c>
      <c r="AM358">
        <f>COUNTIF($AJ$2:$AJ358,$AJ358)</f>
        <v>11.0</v>
      </c>
      <c r="AN358" t="str">
        <f>$AJ358&amp;"|"&amp;$AM358</f>
        <v>Commercial Fuels|11</v>
      </c>
    </row>
    <row r="359" ht="18" customHeight="1" s="849">
      <c r="A359" s="659" t="n">
        <v>6748</v>
      </c>
      <c r="B359" s="660" t="inlineStr">
        <is>
          <t>Elle Spencer</t>
        </is>
      </c>
      <c r="C359" s="660" t="inlineStr">
        <is>
          <t>Technology Manager - B2B</t>
        </is>
      </c>
      <c r="D359" s="662" t="inlineStr">
        <is>
          <t>Liesl Tye</t>
        </is>
      </c>
      <c r="E359" s="660" t="inlineStr">
        <is>
          <t>Head of Technology, B2B &amp; Energy Solutions</t>
        </is>
      </c>
      <c r="F359" s="661" t="inlineStr">
        <is>
          <t>TDD CFE&amp;I</t>
        </is>
      </c>
      <c r="G359" s="662" t="inlineStr">
        <is>
          <t>B2B &amp; Energy Solutions</t>
        </is>
      </c>
      <c r="H359" s="662" t="inlineStr">
        <is>
          <t>Technology B2B</t>
        </is>
      </c>
      <c r="I359" s="662" t="inlineStr">
        <is>
          <t>B2B &amp; Energy Solutions</t>
        </is>
      </c>
      <c r="J359" s="662" t="inlineStr">
        <is>
          <t>Leadership</t>
        </is>
      </c>
      <c r="K359" s="660" t="inlineStr">
        <is>
          <t>Leadership</t>
        </is>
      </c>
      <c r="L359" s="662" t="n"/>
      <c r="M359" s="663" t="inlineStr">
        <is>
          <t>Australia</t>
        </is>
      </c>
      <c r="N359" s="666" t="inlineStr">
        <is>
          <t>CSB</t>
        </is>
      </c>
      <c r="O359" s="666" t="n">
        <v>1</v>
      </c>
      <c r="P359" s="666" t="n"/>
      <c r="Q359" s="666" t="inlineStr">
        <is>
          <t>Permanent - Full Time</t>
        </is>
      </c>
      <c r="R359" s="666" t="n"/>
      <c r="S359" s="666" t="n"/>
      <c r="T359" s="667" t="n">
        <v>217390</v>
      </c>
      <c r="U359" s="668" t="n">
        <v>217390</v>
      </c>
      <c r="V359" s="670" t="n">
        <v>0.14</v>
      </c>
      <c r="W359" s="921" t="n">
        <v>0.055</v>
      </c>
      <c r="X359" s="921" t="n">
        <v>0.12</v>
      </c>
      <c r="Y359" s="922" t="n"/>
      <c r="Z359" s="921" t="n">
        <v>0.04</v>
      </c>
      <c r="AA359" s="919" t="n">
        <v>294563.45</v>
      </c>
      <c r="AJ359" t="str">
        <f>IFERROR(INDEX(Lists!$U$1:$U$18,MATCH($I359,Lists!$T$1:$T$18,0)),"?")</f>
        <v>Energy Solutions &amp; B2B</v>
      </c>
      <c r="AK359" t="str">
        <f>IF(LOWER($Q359)="v","Vacant",IF(LOWER($Q359)="pause","Paused",IF(LOWER($Q359)="cxc","Contractor",IF($Q359="Contractor","Contractor","Filled"))))</f>
        <v>Filled</v>
      </c>
      <c r="AL359" t="str">
        <f>IF($M359="NZ","NZ","AU")</f>
        <v>AU</v>
      </c>
      <c r="AM359">
        <f>COUNTIF($AJ$2:$AJ359,$AJ359)</f>
        <v>9.0</v>
      </c>
      <c r="AN359" t="str">
        <f>$AJ359&amp;"|"&amp;$AM359</f>
        <v>Energy Solutions &amp; B2B|9</v>
      </c>
    </row>
    <row r="360" ht="18" customHeight="1" s="849">
      <c r="A360" s="659" t="n">
        <v>97973</v>
      </c>
      <c r="B360" s="660" t="inlineStr">
        <is>
          <t>Elma Kurian</t>
        </is>
      </c>
      <c r="C360" s="660" t="inlineStr">
        <is>
          <t>System Specialist</t>
        </is>
      </c>
      <c r="D360" s="662" t="inlineStr">
        <is>
          <t>Vacant</t>
        </is>
      </c>
      <c r="E360" s="660" t="inlineStr">
        <is>
          <t>Technology Manager, Energy Solutions</t>
        </is>
      </c>
      <c r="F360" s="661" t="inlineStr">
        <is>
          <t>TDD CFE&amp;I</t>
        </is>
      </c>
      <c r="G360" s="662" t="inlineStr">
        <is>
          <t>B2B &amp; Energy Solutions</t>
        </is>
      </c>
      <c r="H360" s="662" t="inlineStr">
        <is>
          <t>Technology Energy Solutions</t>
        </is>
      </c>
      <c r="I360" s="662" t="inlineStr">
        <is>
          <t>B2B &amp; Energy Solutions</t>
        </is>
      </c>
      <c r="J360" s="662" t="inlineStr">
        <is>
          <t>Energy Solutions</t>
        </is>
      </c>
      <c r="K360" s="660" t="inlineStr">
        <is>
          <t>Energy</t>
        </is>
      </c>
      <c r="L360" s="662" t="n"/>
      <c r="M360" s="663" t="inlineStr">
        <is>
          <t>Australia</t>
        </is>
      </c>
      <c r="N360" s="664" t="inlineStr">
        <is>
          <t>CIB</t>
        </is>
      </c>
      <c r="O360" s="664" t="n">
        <v>1</v>
      </c>
      <c r="P360" s="664" t="n"/>
      <c r="Q360" s="664" t="inlineStr">
        <is>
          <t>Permanent - Full Time</t>
        </is>
      </c>
      <c r="R360" s="666" t="n"/>
      <c r="S360" s="666" t="n"/>
      <c r="T360" s="667" t="n">
        <v>152250</v>
      </c>
      <c r="U360" s="668" t="n">
        <v>152250</v>
      </c>
      <c r="V360" s="670" t="n">
        <v>0.12</v>
      </c>
      <c r="W360" s="921" t="n">
        <v>0.055</v>
      </c>
      <c r="X360" s="921" t="n">
        <v>0.12</v>
      </c>
      <c r="Y360" s="922" t="n"/>
      <c r="Z360" s="921" t="n">
        <v>0.04</v>
      </c>
      <c r="AA360" s="919" t="n">
        <v>203253.75</v>
      </c>
      <c r="AJ360" t="str">
        <f>IFERROR(INDEX(Lists!$U$1:$U$18,MATCH($I360,Lists!$T$1:$T$18,0)),"?")</f>
        <v>Energy Solutions &amp; B2B</v>
      </c>
      <c r="AK360" t="str">
        <f>IF(LOWER($Q360)="v","Vacant",IF(LOWER($Q360)="pause","Paused",IF(LOWER($Q360)="cxc","Contractor",IF($Q360="Contractor","Contractor","Filled"))))</f>
        <v>Filled</v>
      </c>
      <c r="AL360" t="str">
        <f>IF($M360="NZ","NZ","AU")</f>
        <v>AU</v>
      </c>
      <c r="AM360">
        <f>COUNTIF($AJ$2:$AJ360,$AJ360)</f>
        <v>10.0</v>
      </c>
      <c r="AN360" t="str">
        <f>$AJ360&amp;"|"&amp;$AM360</f>
        <v>Energy Solutions &amp; B2B|10</v>
      </c>
    </row>
    <row r="361" ht="18" customHeight="1" s="849">
      <c r="A361" s="659" t="n">
        <v>116090</v>
      </c>
      <c r="B361" s="660" t="inlineStr">
        <is>
          <t>Fabian Moreno Cortes</t>
        </is>
      </c>
      <c r="C361" s="660" t="inlineStr">
        <is>
          <t>Engineer - Software</t>
        </is>
      </c>
      <c r="D361" s="660" t="inlineStr">
        <is>
          <t>Jaya Ganasan</t>
        </is>
      </c>
      <c r="E361" s="660" t="inlineStr">
        <is>
          <t>Technology Manager, TDD Refinery</t>
        </is>
      </c>
      <c r="F361" s="661" t="inlineStr">
        <is>
          <t>TDD CFE&amp;I</t>
        </is>
      </c>
      <c r="G361" s="662" t="inlineStr">
        <is>
          <t>Fuel Infrastructure</t>
        </is>
      </c>
      <c r="H361" s="662" t="inlineStr">
        <is>
          <t>Refinery Applications</t>
        </is>
      </c>
      <c r="I361" s="662" t="inlineStr">
        <is>
          <t>Infrastructure</t>
        </is>
      </c>
      <c r="J361" s="662" t="inlineStr">
        <is>
          <t>Manufacturing</t>
        </is>
      </c>
      <c r="K361" s="660" t="inlineStr">
        <is>
          <t>Manuacturing Group Projects</t>
        </is>
      </c>
      <c r="L361" s="662" t="n"/>
      <c r="M361" s="663" t="inlineStr">
        <is>
          <t>Australia</t>
        </is>
      </c>
      <c r="N361" s="664" t="inlineStr">
        <is>
          <t>CIB</t>
        </is>
      </c>
      <c r="O361" s="664" t="n">
        <v>1</v>
      </c>
      <c r="P361" s="664" t="n"/>
      <c r="Q361" s="664" t="inlineStr">
        <is>
          <t>Permanent - Full Time</t>
        </is>
      </c>
      <c r="R361" s="666" t="n"/>
      <c r="S361" s="666" t="n"/>
      <c r="T361" s="667" t="n">
        <v>145000</v>
      </c>
      <c r="U361" s="668" t="n">
        <v>145000</v>
      </c>
      <c r="V361" s="670" t="n">
        <v>0.12</v>
      </c>
      <c r="W361" s="921" t="n">
        <v>0.055</v>
      </c>
      <c r="X361" s="921" t="n">
        <v>0.12</v>
      </c>
      <c r="Y361" s="922" t="n"/>
      <c r="Z361" s="921" t="n">
        <v>0.04</v>
      </c>
      <c r="AA361" s="919" t="n">
        <v>193575</v>
      </c>
      <c r="AJ361" t="str">
        <f>IFERROR(INDEX(Lists!$U$1:$U$18,MATCH($I361,Lists!$T$1:$T$18,0)),"?")</f>
        <v>Infrastructure</v>
      </c>
      <c r="AK361" t="str">
        <f>IF(LOWER($Q361)="v","Vacant",IF(LOWER($Q361)="pause","Paused",IF(LOWER($Q361)="cxc","Contractor",IF($Q361="Contractor","Contractor","Filled"))))</f>
        <v>Filled</v>
      </c>
      <c r="AL361" t="str">
        <f>IF($M361="NZ","NZ","AU")</f>
        <v>AU</v>
      </c>
      <c r="AM361">
        <f>COUNTIF($AJ$2:$AJ361,$AJ361)</f>
        <v>8.0</v>
      </c>
      <c r="AN361" t="str">
        <f>$AJ361&amp;"|"&amp;$AM361</f>
        <v>Infrastructure|8</v>
      </c>
    </row>
    <row r="362" ht="18" customHeight="1" s="849">
      <c r="A362" s="659" t="n">
        <v>99691</v>
      </c>
      <c r="B362" s="660" t="inlineStr">
        <is>
          <t>Frank Liang</t>
        </is>
      </c>
      <c r="C362" s="660" t="inlineStr">
        <is>
          <t>Senior Systems Analyst</t>
        </is>
      </c>
      <c r="D362" s="660" t="inlineStr">
        <is>
          <t>Elle Spencer</t>
        </is>
      </c>
      <c r="E362" s="660" t="inlineStr">
        <is>
          <t>Technology Manager, Energy Solutions</t>
        </is>
      </c>
      <c r="F362" s="661" t="inlineStr">
        <is>
          <t>TDD CFE&amp;I</t>
        </is>
      </c>
      <c r="G362" s="662" t="inlineStr">
        <is>
          <t>B2B &amp; Energy Solutions</t>
        </is>
      </c>
      <c r="H362" s="662" t="inlineStr">
        <is>
          <t>Technology B2B</t>
        </is>
      </c>
      <c r="I362" s="662" t="inlineStr">
        <is>
          <t>B2B &amp; Energy Solutions</t>
        </is>
      </c>
      <c r="J362" s="660" t="inlineStr">
        <is>
          <t>B2B</t>
        </is>
      </c>
      <c r="K362" s="660" t="inlineStr">
        <is>
          <t>B2B</t>
        </is>
      </c>
      <c r="L362" s="662" t="n"/>
      <c r="M362" s="663" t="inlineStr">
        <is>
          <t>Australia</t>
        </is>
      </c>
      <c r="N362" s="664" t="inlineStr">
        <is>
          <t>CIC</t>
        </is>
      </c>
      <c r="O362" s="664" t="n">
        <v>1</v>
      </c>
      <c r="P362" s="664" t="n"/>
      <c r="Q362" s="664" t="inlineStr">
        <is>
          <t>Permanent - Full Time</t>
        </is>
      </c>
      <c r="R362" s="666" t="n"/>
      <c r="S362" s="666" t="n"/>
      <c r="T362" s="667" t="n">
        <v>167510</v>
      </c>
      <c r="U362" s="668" t="n">
        <v>167510</v>
      </c>
      <c r="V362" s="670" t="n">
        <v>0.12</v>
      </c>
      <c r="W362" s="921" t="n">
        <v>0.055</v>
      </c>
      <c r="X362" s="921" t="n">
        <v>0.12</v>
      </c>
      <c r="Y362" s="922" t="n"/>
      <c r="Z362" s="921" t="n">
        <v>0.04</v>
      </c>
      <c r="AA362" s="919" t="n">
        <v>223625.85</v>
      </c>
      <c r="AJ362" t="str">
        <f>IFERROR(INDEX(Lists!$U$1:$U$18,MATCH($I362,Lists!$T$1:$T$18,0)),"?")</f>
        <v>Energy Solutions &amp; B2B</v>
      </c>
      <c r="AK362" t="str">
        <f>IF(LOWER($Q362)="v","Vacant",IF(LOWER($Q362)="pause","Paused",IF(LOWER($Q362)="cxc","Contractor",IF($Q362="Contractor","Contractor","Filled"))))</f>
        <v>Filled</v>
      </c>
      <c r="AL362" t="str">
        <f>IF($M362="NZ","NZ","AU")</f>
        <v>AU</v>
      </c>
      <c r="AM362">
        <f>COUNTIF($AJ$2:$AJ362,$AJ362)</f>
        <v>11.0</v>
      </c>
      <c r="AN362" t="str">
        <f>$AJ362&amp;"|"&amp;$AM362</f>
        <v>Energy Solutions &amp; B2B|11</v>
      </c>
    </row>
    <row r="363" ht="18" customHeight="1" s="849">
      <c r="A363" s="659" t="n">
        <v>114717</v>
      </c>
      <c r="B363" s="660" t="inlineStr">
        <is>
          <t>Fransiscus Setiawan</t>
        </is>
      </c>
      <c r="C363" s="660" t="inlineStr">
        <is>
          <t xml:space="preserve">Integration Architect   </t>
        </is>
      </c>
      <c r="D363" s="662" t="inlineStr">
        <is>
          <t>Vacant</t>
        </is>
      </c>
      <c r="E363" s="660" t="inlineStr">
        <is>
          <t>Technology Manager, Engineering</t>
        </is>
      </c>
      <c r="F363" s="661" t="inlineStr">
        <is>
          <t>TDD CFE&amp;I</t>
        </is>
      </c>
      <c r="G363" s="662" t="inlineStr">
        <is>
          <t>Commercial Fuels</t>
        </is>
      </c>
      <c r="H363" s="662" t="inlineStr">
        <is>
          <t>Technology, CF Engineering</t>
        </is>
      </c>
      <c r="I363" s="662" t="inlineStr">
        <is>
          <t>Commercial Fuels</t>
        </is>
      </c>
      <c r="J363" s="660" t="inlineStr">
        <is>
          <t>CTRM</t>
        </is>
      </c>
      <c r="K363" s="660" t="inlineStr">
        <is>
          <t>CTRM</t>
        </is>
      </c>
      <c r="L363" s="662" t="n"/>
      <c r="M363" s="663" t="inlineStr">
        <is>
          <t>Australia</t>
        </is>
      </c>
      <c r="N363" s="664" t="inlineStr">
        <is>
          <t>CIC</t>
        </is>
      </c>
      <c r="O363" s="664" t="n">
        <v>1</v>
      </c>
      <c r="P363" s="664" t="n"/>
      <c r="Q363" s="664" t="inlineStr">
        <is>
          <t>Permanent - Full Time</t>
        </is>
      </c>
      <c r="R363" s="666" t="n"/>
      <c r="S363" s="666" t="n"/>
      <c r="T363" s="667" t="n">
        <v>210000</v>
      </c>
      <c r="U363" s="668" t="n">
        <v>210000</v>
      </c>
      <c r="V363" s="670" t="n">
        <v>0.12</v>
      </c>
      <c r="W363" s="921" t="n">
        <v>0.055</v>
      </c>
      <c r="X363" s="921" t="n">
        <v>0.12</v>
      </c>
      <c r="Y363" s="922" t="n"/>
      <c r="Z363" s="921" t="n">
        <v>0.04</v>
      </c>
      <c r="AA363" s="919" t="n">
        <v>280350</v>
      </c>
      <c r="AJ363" t="str">
        <f>IFERROR(INDEX(Lists!$U$1:$U$18,MATCH($I363,Lists!$T$1:$T$18,0)),"?")</f>
        <v>Commercial Fuels</v>
      </c>
      <c r="AK363" t="str">
        <f>IF(LOWER($Q363)="v","Vacant",IF(LOWER($Q363)="pause","Paused",IF(LOWER($Q363)="cxc","Contractor",IF($Q363="Contractor","Contractor","Filled"))))</f>
        <v>Filled</v>
      </c>
      <c r="AL363" t="str">
        <f>IF($M363="NZ","NZ","AU")</f>
        <v>AU</v>
      </c>
      <c r="AM363">
        <f>COUNTIF($AJ$2:$AJ363,$AJ363)</f>
        <v>12.0</v>
      </c>
      <c r="AN363" t="str">
        <f>$AJ363&amp;"|"&amp;$AM363</f>
        <v>Commercial Fuels|12</v>
      </c>
    </row>
    <row r="364" ht="18" customHeight="1" s="849">
      <c r="A364" s="659" t="n">
        <v>106201</v>
      </c>
      <c r="B364" s="705" t="inlineStr">
        <is>
          <t>George Moun</t>
        </is>
      </c>
      <c r="C364" s="705" t="inlineStr">
        <is>
          <t>Solution Architect</t>
        </is>
      </c>
      <c r="D364" s="662" t="inlineStr">
        <is>
          <t>Amish Pandit</t>
        </is>
      </c>
      <c r="E364" s="662" t="inlineStr">
        <is>
          <t>Head of Technology, Infrastructure</t>
        </is>
      </c>
      <c r="F364" s="661" t="inlineStr">
        <is>
          <t>TDD CFE&amp;I</t>
        </is>
      </c>
      <c r="G364" s="662" t="inlineStr">
        <is>
          <t>Fuel Infrastructure</t>
        </is>
      </c>
      <c r="H364" s="662" t="inlineStr">
        <is>
          <t>Fuel Infrastructure</t>
        </is>
      </c>
      <c r="I364" s="662" t="inlineStr">
        <is>
          <t>Infrastructure</t>
        </is>
      </c>
      <c r="J364" s="662" t="inlineStr">
        <is>
          <t xml:space="preserve">Leadership </t>
        </is>
      </c>
      <c r="K364" s="662" t="inlineStr">
        <is>
          <t>Leadership</t>
        </is>
      </c>
      <c r="L364" s="662" t="n"/>
      <c r="M364" s="663" t="inlineStr">
        <is>
          <t>Australia</t>
        </is>
      </c>
      <c r="N364" s="664" t="inlineStr">
        <is>
          <t>CIC</t>
        </is>
      </c>
      <c r="O364" s="664" t="n">
        <v>1</v>
      </c>
      <c r="P364" s="664" t="n"/>
      <c r="Q364" s="664" t="inlineStr">
        <is>
          <t>Permanent - Full Time</t>
        </is>
      </c>
      <c r="R364" s="666" t="n"/>
      <c r="S364" s="666" t="n"/>
      <c r="T364" s="667" t="n">
        <v>192260</v>
      </c>
      <c r="U364" s="668" t="n">
        <v>192260</v>
      </c>
      <c r="V364" s="670" t="n">
        <v>0.12</v>
      </c>
      <c r="W364" s="921" t="n">
        <v>0.055</v>
      </c>
      <c r="X364" s="921" t="n">
        <v>0.12</v>
      </c>
      <c r="Y364" s="922" t="n"/>
      <c r="Z364" s="921" t="n">
        <v>0.04</v>
      </c>
      <c r="AA364" s="919" t="n">
        <v>256667.1</v>
      </c>
      <c r="AJ364" t="str">
        <f>IFERROR(INDEX(Lists!$U$1:$U$18,MATCH($I364,Lists!$T$1:$T$18,0)),"?")</f>
        <v>Infrastructure</v>
      </c>
      <c r="AK364" t="str">
        <f>IF(LOWER($Q364)="v","Vacant",IF(LOWER($Q364)="pause","Paused",IF(LOWER($Q364)="cxc","Contractor",IF($Q364="Contractor","Contractor","Filled"))))</f>
        <v>Filled</v>
      </c>
      <c r="AL364" t="str">
        <f>IF($M364="NZ","NZ","AU")</f>
        <v>AU</v>
      </c>
      <c r="AM364">
        <f>COUNTIF($AJ$2:$AJ364,$AJ364)</f>
        <v>9.0</v>
      </c>
      <c r="AN364" t="str">
        <f>$AJ364&amp;"|"&amp;$AM364</f>
        <v>Infrastructure|9</v>
      </c>
    </row>
    <row r="365" ht="18" customHeight="1" s="849">
      <c r="A365" s="659" t="n">
        <v>102576</v>
      </c>
      <c r="B365" s="660" t="inlineStr">
        <is>
          <t>Glenn Earl</t>
        </is>
      </c>
      <c r="C365" s="660" t="inlineStr">
        <is>
          <t>Lead Technology Support - Infrastructure</t>
        </is>
      </c>
      <c r="D365" s="660" t="inlineStr">
        <is>
          <t>Jaya Ganasan</t>
        </is>
      </c>
      <c r="E365" s="660" t="inlineStr">
        <is>
          <t>Technology Manager, TDD Refinery</t>
        </is>
      </c>
      <c r="F365" s="661" t="inlineStr">
        <is>
          <t>TDD CFE&amp;I</t>
        </is>
      </c>
      <c r="G365" s="662" t="inlineStr">
        <is>
          <t>Fuel Infrastructure</t>
        </is>
      </c>
      <c r="H365" s="662" t="inlineStr">
        <is>
          <t>Refinery Applications</t>
        </is>
      </c>
      <c r="I365" s="662" t="inlineStr">
        <is>
          <t>Infrastructure</t>
        </is>
      </c>
      <c r="J365" s="662" t="inlineStr">
        <is>
          <t>Fuel Infrastructure</t>
        </is>
      </c>
      <c r="K365" s="660" t="inlineStr">
        <is>
          <t>Technology Suport</t>
        </is>
      </c>
      <c r="L365" s="662" t="n"/>
      <c r="M365" s="663" t="inlineStr">
        <is>
          <t>Australia</t>
        </is>
      </c>
      <c r="N365" s="664" t="inlineStr">
        <is>
          <t>CIA</t>
        </is>
      </c>
      <c r="O365" s="664" t="n">
        <v>1</v>
      </c>
      <c r="P365" s="664" t="n"/>
      <c r="Q365" s="784" t="inlineStr">
        <is>
          <t>Permanent - Full Time</t>
        </is>
      </c>
      <c r="R365" s="666" t="n"/>
      <c r="S365" s="666" t="n"/>
      <c r="T365" s="667" t="n">
        <v>130260</v>
      </c>
      <c r="U365" s="668" t="n">
        <v>130260</v>
      </c>
      <c r="V365" s="670" t="n">
        <v>0.1</v>
      </c>
      <c r="W365" s="921" t="n">
        <v>0.055</v>
      </c>
      <c r="X365" s="921" t="n">
        <v>0.12</v>
      </c>
      <c r="Y365" s="922" t="n"/>
      <c r="Z365" s="921" t="n">
        <v>0.04</v>
      </c>
      <c r="AA365" s="919" t="n">
        <v>171291.9</v>
      </c>
      <c r="AJ365" t="str">
        <f>IFERROR(INDEX(Lists!$U$1:$U$18,MATCH($I365,Lists!$T$1:$T$18,0)),"?")</f>
        <v>Infrastructure</v>
      </c>
      <c r="AK365" t="str">
        <f>IF(LOWER($Q365)="v","Vacant",IF(LOWER($Q365)="pause","Paused",IF(LOWER($Q365)="cxc","Contractor",IF($Q365="Contractor","Contractor","Filled"))))</f>
        <v>Filled</v>
      </c>
      <c r="AL365" t="str">
        <f>IF($M365="NZ","NZ","AU")</f>
        <v>AU</v>
      </c>
      <c r="AM365">
        <f>COUNTIF($AJ$2:$AJ365,$AJ365)</f>
        <v>10.0</v>
      </c>
      <c r="AN365" t="str">
        <f>$AJ365&amp;"|"&amp;$AM365</f>
        <v>Infrastructure|10</v>
      </c>
    </row>
    <row r="366" ht="18" customHeight="1" s="849">
      <c r="A366" s="659" t="n">
        <v>99999100769</v>
      </c>
      <c r="B366" s="660" t="inlineStr">
        <is>
          <t>Gokila Mylsamy</t>
        </is>
      </c>
      <c r="C366" s="660" t="inlineStr">
        <is>
          <t>Lead Engineer Software</t>
        </is>
      </c>
      <c r="D366" s="662" t="inlineStr">
        <is>
          <t>Vacant</t>
        </is>
      </c>
      <c r="E366" s="660" t="inlineStr">
        <is>
          <t>Technology Manager, Energy Solutions</t>
        </is>
      </c>
      <c r="F366" s="661" t="inlineStr">
        <is>
          <t>TDD CFE&amp;I</t>
        </is>
      </c>
      <c r="G366" s="662" t="inlineStr">
        <is>
          <t>B2B &amp; Energy Solutions</t>
        </is>
      </c>
      <c r="H366" s="662" t="inlineStr">
        <is>
          <t>Technology Energy Solutions</t>
        </is>
      </c>
      <c r="I366" s="662" t="inlineStr">
        <is>
          <t>B2B &amp; Energy Solutions</t>
        </is>
      </c>
      <c r="J366" s="662" t="inlineStr">
        <is>
          <t>Energy Solutions</t>
        </is>
      </c>
      <c r="K366" s="660" t="inlineStr">
        <is>
          <t>EVCI</t>
        </is>
      </c>
      <c r="L366" s="662" t="n"/>
      <c r="M366" s="663" t="inlineStr">
        <is>
          <t>NZ</t>
        </is>
      </c>
      <c r="N366" s="664" t="inlineStr">
        <is>
          <t>CIC</t>
        </is>
      </c>
      <c r="O366" s="665" t="n">
        <v>1</v>
      </c>
      <c r="P366" s="664" t="n"/>
      <c r="Q366" s="785" t="inlineStr">
        <is>
          <t>Permanent - Full Time</t>
        </is>
      </c>
      <c r="R366" s="666" t="n"/>
      <c r="S366" s="666" t="n"/>
      <c r="T366" s="667" t="n">
        <v>160220</v>
      </c>
      <c r="U366" s="668" t="n">
        <v>147402.4</v>
      </c>
      <c r="V366" s="669" t="n">
        <v>0.15</v>
      </c>
      <c r="W366" s="665" t="n"/>
      <c r="X366" s="670" t="n">
        <v>0.05</v>
      </c>
      <c r="Y366" s="918" t="n">
        <v>2910</v>
      </c>
      <c r="Z366" s="670" t="n">
        <v>0.03</v>
      </c>
      <c r="AA366" s="919" t="n">
        <v>184214.952</v>
      </c>
      <c r="AJ366" t="str">
        <f>IFERROR(INDEX(Lists!$U$1:$U$18,MATCH($I366,Lists!$T$1:$T$18,0)),"?")</f>
        <v>Energy Solutions &amp; B2B</v>
      </c>
      <c r="AK366" t="str">
        <f>IF(LOWER($Q366)="v","Vacant",IF(LOWER($Q366)="pause","Paused",IF(LOWER($Q366)="cxc","Contractor",IF($Q366="Contractor","Contractor","Filled"))))</f>
        <v>Filled</v>
      </c>
      <c r="AL366" t="str">
        <f>IF($M366="NZ","NZ","AU")</f>
        <v>NZ</v>
      </c>
      <c r="AM366">
        <f>COUNTIF($AJ$2:$AJ366,$AJ366)</f>
        <v>12.0</v>
      </c>
      <c r="AN366" t="str">
        <f>$AJ366&amp;"|"&amp;$AM366</f>
        <v>Energy Solutions &amp; B2B|12</v>
      </c>
    </row>
    <row r="367" ht="18" customHeight="1" s="849">
      <c r="A367" s="659" t="n">
        <v>107550</v>
      </c>
      <c r="B367" s="660" t="inlineStr">
        <is>
          <t>Gunjan Vasudeva</t>
        </is>
      </c>
      <c r="C367" s="660" t="inlineStr">
        <is>
          <t>Lead Quality Assurance</t>
        </is>
      </c>
      <c r="D367" s="662" t="inlineStr">
        <is>
          <t>Vacant</t>
        </is>
      </c>
      <c r="E367" s="660" t="inlineStr">
        <is>
          <t>Technology Manager, Energy Solutions</t>
        </is>
      </c>
      <c r="F367" s="661" t="inlineStr">
        <is>
          <t>TDD CFE&amp;I</t>
        </is>
      </c>
      <c r="G367" s="662" t="inlineStr">
        <is>
          <t>B2B &amp; Energy Solutions</t>
        </is>
      </c>
      <c r="H367" s="662" t="inlineStr">
        <is>
          <t>Technology Energy Solutions</t>
        </is>
      </c>
      <c r="I367" s="662" t="inlineStr">
        <is>
          <t>B2B &amp; Energy Solutions</t>
        </is>
      </c>
      <c r="J367" s="662" t="inlineStr">
        <is>
          <t>Energy Solutions</t>
        </is>
      </c>
      <c r="K367" s="660" t="inlineStr">
        <is>
          <t>Energy</t>
        </is>
      </c>
      <c r="L367" s="662" t="n"/>
      <c r="M367" s="663" t="inlineStr">
        <is>
          <t>Australia</t>
        </is>
      </c>
      <c r="N367" s="664" t="inlineStr">
        <is>
          <t>CIB</t>
        </is>
      </c>
      <c r="O367" s="664" t="n">
        <v>1</v>
      </c>
      <c r="P367" s="664" t="n"/>
      <c r="Q367" s="784" t="inlineStr">
        <is>
          <t>Permanent - Full Time</t>
        </is>
      </c>
      <c r="R367" s="666" t="n"/>
      <c r="S367" s="666" t="n"/>
      <c r="T367" s="667" t="n">
        <v>156160</v>
      </c>
      <c r="U367" s="668" t="n">
        <v>156160</v>
      </c>
      <c r="V367" s="670" t="n">
        <v>0.12</v>
      </c>
      <c r="W367" s="921" t="n">
        <v>0.055</v>
      </c>
      <c r="X367" s="921" t="n">
        <v>0.12</v>
      </c>
      <c r="Y367" s="922" t="n"/>
      <c r="Z367" s="921" t="n">
        <v>0.04</v>
      </c>
      <c r="AA367" s="919" t="n">
        <v>208473.6</v>
      </c>
      <c r="AJ367" t="str">
        <f>IFERROR(INDEX(Lists!$U$1:$U$18,MATCH($I367,Lists!$T$1:$T$18,0)),"?")</f>
        <v>Energy Solutions &amp; B2B</v>
      </c>
      <c r="AK367" t="str">
        <f>IF(LOWER($Q367)="v","Vacant",IF(LOWER($Q367)="pause","Paused",IF(LOWER($Q367)="cxc","Contractor",IF($Q367="Contractor","Contractor","Filled"))))</f>
        <v>Filled</v>
      </c>
      <c r="AL367" t="str">
        <f>IF($M367="NZ","NZ","AU")</f>
        <v>AU</v>
      </c>
      <c r="AM367">
        <f>COUNTIF($AJ$2:$AJ367,$AJ367)</f>
        <v>13.0</v>
      </c>
      <c r="AN367" t="str">
        <f>$AJ367&amp;"|"&amp;$AM367</f>
        <v>Energy Solutions &amp; B2B|13</v>
      </c>
    </row>
    <row r="368" ht="18" customHeight="1" s="849">
      <c r="A368" s="659" t="n">
        <v>103651</v>
      </c>
      <c r="B368" s="660" t="inlineStr">
        <is>
          <t>Hari Maneti</t>
        </is>
      </c>
      <c r="C368" s="660" t="inlineStr">
        <is>
          <t>Systems Analyst</t>
        </is>
      </c>
      <c r="D368" s="660" t="inlineStr">
        <is>
          <t>Allan Francia</t>
        </is>
      </c>
      <c r="E368" s="660" t="inlineStr">
        <is>
          <t>Technology Manager, T&amp;S</t>
        </is>
      </c>
      <c r="F368" s="661" t="inlineStr">
        <is>
          <t>TDD CFE&amp;I</t>
        </is>
      </c>
      <c r="G368" s="662" t="inlineStr">
        <is>
          <t>Commercial Fuels</t>
        </is>
      </c>
      <c r="H368" s="662" t="inlineStr">
        <is>
          <t>Technology, Trading &amp; Shipping</t>
        </is>
      </c>
      <c r="I368" s="662" t="inlineStr">
        <is>
          <t>Commercial Fuels</t>
        </is>
      </c>
      <c r="J368" s="662" t="inlineStr">
        <is>
          <t>Trading &amp; Shipping</t>
        </is>
      </c>
      <c r="K368" s="660" t="inlineStr">
        <is>
          <t>Trading &amp; Shipping</t>
        </is>
      </c>
      <c r="L368" s="662" t="n"/>
      <c r="M368" s="663" t="inlineStr">
        <is>
          <t>Singapore</t>
        </is>
      </c>
      <c r="N368" s="664" t="inlineStr">
        <is>
          <t>CIB</t>
        </is>
      </c>
      <c r="O368" s="664" t="n">
        <v>1</v>
      </c>
      <c r="P368" s="664" t="n"/>
      <c r="Q368" s="784" t="inlineStr">
        <is>
          <t>Permanent - Full Time</t>
        </is>
      </c>
      <c r="R368" s="666" t="n"/>
      <c r="S368" s="666" t="n"/>
      <c r="T368" s="667" t="n">
        <v>163780</v>
      </c>
      <c r="U368" s="668" t="n">
        <v>198173.8</v>
      </c>
      <c r="V368" s="670" t="n">
        <v>0.25</v>
      </c>
      <c r="W368" s="666" t="n"/>
      <c r="X368" s="670" t="n">
        <v>0.17</v>
      </c>
      <c r="Y368" s="918" t="n">
        <v>3310</v>
      </c>
      <c r="Z368" s="713" t="n">
        <v>0.045</v>
      </c>
      <c r="AA368" s="919" t="n">
        <v>293634.617</v>
      </c>
      <c r="AJ368" t="str">
        <f>IFERROR(INDEX(Lists!$U$1:$U$18,MATCH($I368,Lists!$T$1:$T$18,0)),"?")</f>
        <v>Commercial Fuels</v>
      </c>
      <c r="AK368" t="str">
        <f>IF(LOWER($Q368)="v","Vacant",IF(LOWER($Q368)="pause","Paused",IF(LOWER($Q368)="cxc","Contractor",IF($Q368="Contractor","Contractor","Filled"))))</f>
        <v>Filled</v>
      </c>
      <c r="AL368" t="str">
        <f>IF($M368="NZ","NZ","AU")</f>
        <v>AU</v>
      </c>
      <c r="AM368">
        <f>COUNTIF($AJ$2:$AJ368,$AJ368)</f>
        <v>13.0</v>
      </c>
      <c r="AN368" t="str">
        <f>$AJ368&amp;"|"&amp;$AM368</f>
        <v>Commercial Fuels|13</v>
      </c>
    </row>
    <row r="369" ht="18" customHeight="1" s="849">
      <c r="A369" s="659" t="n">
        <v>99999101143</v>
      </c>
      <c r="B369" s="660" t="inlineStr">
        <is>
          <t>Hayden Corney</t>
        </is>
      </c>
      <c r="C369" s="660" t="inlineStr">
        <is>
          <t>Lead Engineer Software</t>
        </is>
      </c>
      <c r="D369" s="662" t="inlineStr">
        <is>
          <t>Vacant</t>
        </is>
      </c>
      <c r="E369" s="660" t="inlineStr">
        <is>
          <t>Technology Manager, Engineering</t>
        </is>
      </c>
      <c r="F369" s="661" t="inlineStr">
        <is>
          <t>TDD CFE&amp;I</t>
        </is>
      </c>
      <c r="G369" s="662" t="inlineStr">
        <is>
          <t>Commercial Fuels</t>
        </is>
      </c>
      <c r="H369" s="662" t="inlineStr">
        <is>
          <t>Technology, CF Engineering</t>
        </is>
      </c>
      <c r="I369" s="662" t="inlineStr">
        <is>
          <t>Commercial Fuels</t>
        </is>
      </c>
      <c r="J369" s="660" t="inlineStr">
        <is>
          <t>CTRM</t>
        </is>
      </c>
      <c r="K369" s="660" t="inlineStr">
        <is>
          <t>CTRM</t>
        </is>
      </c>
      <c r="L369" s="662" t="n"/>
      <c r="M369" s="663" t="inlineStr">
        <is>
          <t>NZ</t>
        </is>
      </c>
      <c r="N369" s="664" t="inlineStr">
        <is>
          <t>CIC</t>
        </is>
      </c>
      <c r="O369" s="665" t="n">
        <v>1</v>
      </c>
      <c r="P369" s="664" t="n"/>
      <c r="Q369" s="785" t="inlineStr">
        <is>
          <t>Permanent - Full Time</t>
        </is>
      </c>
      <c r="R369" s="666" t="n"/>
      <c r="S369" s="666" t="n"/>
      <c r="T369" s="667" t="n">
        <v>171800</v>
      </c>
      <c r="U369" s="668" t="n">
        <v>158056</v>
      </c>
      <c r="V369" s="669" t="n">
        <v>0.15</v>
      </c>
      <c r="W369" s="665" t="n"/>
      <c r="X369" s="670" t="n">
        <v>0.05</v>
      </c>
      <c r="Y369" s="918" t="n">
        <v>2910</v>
      </c>
      <c r="Z369" s="670" t="n">
        <v>0.03</v>
      </c>
      <c r="AA369" s="919" t="n">
        <v>197318.88</v>
      </c>
      <c r="AJ369" t="str">
        <f>IFERROR(INDEX(Lists!$U$1:$U$18,MATCH($I369,Lists!$T$1:$T$18,0)),"?")</f>
        <v>Commercial Fuels</v>
      </c>
      <c r="AK369" t="str">
        <f>IF(LOWER($Q369)="v","Vacant",IF(LOWER($Q369)="pause","Paused",IF(LOWER($Q369)="cxc","Contractor",IF($Q369="Contractor","Contractor","Filled"))))</f>
        <v>Filled</v>
      </c>
      <c r="AL369" t="str">
        <f>IF($M369="NZ","NZ","AU")</f>
        <v>NZ</v>
      </c>
      <c r="AM369">
        <f>COUNTIF($AJ$2:$AJ369,$AJ369)</f>
        <v>14.0</v>
      </c>
      <c r="AN369" t="str">
        <f>$AJ369&amp;"|"&amp;$AM369</f>
        <v>Commercial Fuels|14</v>
      </c>
    </row>
    <row r="370" ht="18" customHeight="1" s="849">
      <c r="A370" s="659" t="n">
        <v>108075</v>
      </c>
      <c r="B370" s="660" t="inlineStr">
        <is>
          <t>Isha Riyat</t>
        </is>
      </c>
      <c r="C370" s="660" t="inlineStr">
        <is>
          <t>Senior Business Analyst</t>
        </is>
      </c>
      <c r="D370" s="662" t="inlineStr">
        <is>
          <t>Vacant</t>
        </is>
      </c>
      <c r="E370" s="660" t="inlineStr">
        <is>
          <t>Delivery Manager</t>
        </is>
      </c>
      <c r="F370" s="661" t="inlineStr">
        <is>
          <t>TDD CFE&amp;I</t>
        </is>
      </c>
      <c r="G370" s="662" t="inlineStr">
        <is>
          <t>Commercial Fuels</t>
        </is>
      </c>
      <c r="H370" s="662" t="inlineStr">
        <is>
          <t>Delivery, Commercial Fuels</t>
        </is>
      </c>
      <c r="I370" s="662" t="inlineStr">
        <is>
          <t>Commercial Fuels</t>
        </is>
      </c>
      <c r="J370" s="662" t="inlineStr">
        <is>
          <t>Trading &amp; Shipping</t>
        </is>
      </c>
      <c r="K370" s="662" t="inlineStr">
        <is>
          <t>Trading &amp; Shipping</t>
        </is>
      </c>
      <c r="L370" s="660" t="n"/>
      <c r="M370" s="663" t="inlineStr">
        <is>
          <t>Australia</t>
        </is>
      </c>
      <c r="N370" s="664" t="inlineStr">
        <is>
          <t>CIB</t>
        </is>
      </c>
      <c r="O370" s="664" t="n">
        <v>1</v>
      </c>
      <c r="P370" s="664" t="n"/>
      <c r="Q370" s="784" t="inlineStr">
        <is>
          <t>Permanent - Full Time</t>
        </is>
      </c>
      <c r="R370" s="666" t="n"/>
      <c r="S370" s="666" t="n"/>
      <c r="T370" s="667" t="n">
        <v>169610</v>
      </c>
      <c r="U370" s="668" t="n">
        <v>169610</v>
      </c>
      <c r="V370" s="670" t="n">
        <v>0.12</v>
      </c>
      <c r="W370" s="921" t="n">
        <v>0.055</v>
      </c>
      <c r="X370" s="921" t="n">
        <v>0.12</v>
      </c>
      <c r="Y370" s="922" t="n"/>
      <c r="Z370" s="921" t="n">
        <v>0.04</v>
      </c>
      <c r="AA370" s="919" t="n">
        <v>226429.35</v>
      </c>
      <c r="AJ370" t="str">
        <f>IFERROR(INDEX(Lists!$U$1:$U$18,MATCH($I370,Lists!$T$1:$T$18,0)),"?")</f>
        <v>Commercial Fuels</v>
      </c>
      <c r="AK370" t="str">
        <f>IF(LOWER($Q370)="v","Vacant",IF(LOWER($Q370)="pause","Paused",IF(LOWER($Q370)="cxc","Contractor",IF($Q370="Contractor","Contractor","Filled"))))</f>
        <v>Filled</v>
      </c>
      <c r="AL370" t="str">
        <f>IF($M370="NZ","NZ","AU")</f>
        <v>AU</v>
      </c>
      <c r="AM370">
        <f>COUNTIF($AJ$2:$AJ370,$AJ370)</f>
        <v>15.0</v>
      </c>
      <c r="AN370" t="str">
        <f>$AJ370&amp;"|"&amp;$AM370</f>
        <v>Commercial Fuels|15</v>
      </c>
    </row>
    <row r="371" ht="18" customHeight="1" s="849">
      <c r="A371" s="659" t="n">
        <v>104159</v>
      </c>
      <c r="B371" s="660" t="inlineStr">
        <is>
          <t>James Hung</t>
        </is>
      </c>
      <c r="C371" s="660" t="inlineStr">
        <is>
          <t>System Specialist</t>
        </is>
      </c>
      <c r="D371" s="662" t="inlineStr">
        <is>
          <t>Vacant</t>
        </is>
      </c>
      <c r="E371" s="660" t="inlineStr">
        <is>
          <t>Technology Manager, Energy Solutions</t>
        </is>
      </c>
      <c r="F371" s="661" t="inlineStr">
        <is>
          <t>TDD CFE&amp;I</t>
        </is>
      </c>
      <c r="G371" s="662" t="inlineStr">
        <is>
          <t>B2B &amp; Energy Solutions</t>
        </is>
      </c>
      <c r="H371" s="662" t="inlineStr">
        <is>
          <t>Technology Energy Solutions</t>
        </is>
      </c>
      <c r="I371" s="662" t="inlineStr">
        <is>
          <t>B2B &amp; Energy Solutions</t>
        </is>
      </c>
      <c r="J371" s="662" t="inlineStr">
        <is>
          <t>Energy Solutions</t>
        </is>
      </c>
      <c r="K371" s="660" t="inlineStr">
        <is>
          <t>Energy</t>
        </is>
      </c>
      <c r="L371" s="662" t="n"/>
      <c r="M371" s="663" t="inlineStr">
        <is>
          <t>Australia</t>
        </is>
      </c>
      <c r="N371" s="664" t="inlineStr">
        <is>
          <t>CIB</t>
        </is>
      </c>
      <c r="O371" s="664" t="n">
        <v>1</v>
      </c>
      <c r="P371" s="664" t="n"/>
      <c r="Q371" s="784" t="inlineStr">
        <is>
          <t>Permanent - Full Time</t>
        </is>
      </c>
      <c r="R371" s="666" t="n"/>
      <c r="S371" s="666" t="n"/>
      <c r="T371" s="667" t="n">
        <v>159950</v>
      </c>
      <c r="U371" s="668" t="n">
        <v>159950</v>
      </c>
      <c r="V371" s="670" t="n">
        <v>0.12</v>
      </c>
      <c r="W371" s="921" t="n">
        <v>0.055</v>
      </c>
      <c r="X371" s="921" t="n">
        <v>0.12</v>
      </c>
      <c r="Y371" s="922" t="n"/>
      <c r="Z371" s="921" t="n">
        <v>0.04</v>
      </c>
      <c r="AA371" s="919" t="n">
        <v>213533.25</v>
      </c>
      <c r="AJ371" t="str">
        <f>IFERROR(INDEX(Lists!$U$1:$U$18,MATCH($I371,Lists!$T$1:$T$18,0)),"?")</f>
        <v>Energy Solutions &amp; B2B</v>
      </c>
      <c r="AK371" t="str">
        <f>IF(LOWER($Q371)="v","Vacant",IF(LOWER($Q371)="pause","Paused",IF(LOWER($Q371)="cxc","Contractor",IF($Q371="Contractor","Contractor","Filled"))))</f>
        <v>Filled</v>
      </c>
      <c r="AL371" t="str">
        <f>IF($M371="NZ","NZ","AU")</f>
        <v>AU</v>
      </c>
      <c r="AM371">
        <f>COUNTIF($AJ$2:$AJ371,$AJ371)</f>
        <v>14.0</v>
      </c>
      <c r="AN371" t="str">
        <f>$AJ371&amp;"|"&amp;$AM371</f>
        <v>Energy Solutions &amp; B2B|14</v>
      </c>
    </row>
    <row r="372" ht="18" customHeight="1" s="849">
      <c r="A372" s="659" t="n">
        <v>109475</v>
      </c>
      <c r="B372" s="660" t="inlineStr">
        <is>
          <t>Jaya Ganasan</t>
        </is>
      </c>
      <c r="C372" s="786" t="inlineStr">
        <is>
          <t>B2B &amp; Energy+B452:I452</t>
        </is>
      </c>
      <c r="D372" s="660" t="inlineStr">
        <is>
          <t>Amish Pandit</t>
        </is>
      </c>
      <c r="E372" s="660" t="inlineStr">
        <is>
          <t>Head of Technology, Fuel Infrastructure</t>
        </is>
      </c>
      <c r="F372" s="661" t="inlineStr">
        <is>
          <t>TDD CFE&amp;I</t>
        </is>
      </c>
      <c r="G372" s="662" t="inlineStr">
        <is>
          <t>Fuel Infrastructure</t>
        </is>
      </c>
      <c r="H372" s="662" t="inlineStr">
        <is>
          <t>Refinery Applications</t>
        </is>
      </c>
      <c r="I372" s="662" t="inlineStr">
        <is>
          <t>Infrastructure</t>
        </is>
      </c>
      <c r="J372" s="662" t="inlineStr">
        <is>
          <t>Manufacturing</t>
        </is>
      </c>
      <c r="K372" s="660" t="inlineStr">
        <is>
          <t>Manufacturing Group Projects</t>
        </is>
      </c>
      <c r="L372" s="662" t="n"/>
      <c r="M372" s="663" t="inlineStr">
        <is>
          <t>Australia</t>
        </is>
      </c>
      <c r="N372" s="664" t="inlineStr">
        <is>
          <t>CSB</t>
        </is>
      </c>
      <c r="O372" s="664" t="n">
        <v>1</v>
      </c>
      <c r="P372" s="664" t="n"/>
      <c r="Q372" s="784" t="inlineStr">
        <is>
          <t>Permanent - Full Time</t>
        </is>
      </c>
      <c r="R372" s="666" t="n"/>
      <c r="S372" s="666" t="n"/>
      <c r="T372" s="667" t="n">
        <v>190180</v>
      </c>
      <c r="U372" s="668" t="n">
        <v>190180</v>
      </c>
      <c r="V372" s="670" t="n">
        <v>0.14</v>
      </c>
      <c r="W372" s="921" t="n">
        <v>0.055</v>
      </c>
      <c r="X372" s="921" t="n">
        <v>0.12</v>
      </c>
      <c r="Y372" s="922" t="n"/>
      <c r="Z372" s="921" t="n">
        <v>0.04</v>
      </c>
      <c r="AA372" s="919" t="n">
        <v>257693.9</v>
      </c>
      <c r="AJ372" t="str">
        <f>IFERROR(INDEX(Lists!$U$1:$U$18,MATCH($I372,Lists!$T$1:$T$18,0)),"?")</f>
        <v>Infrastructure</v>
      </c>
      <c r="AK372" t="str">
        <f>IF(LOWER($Q372)="v","Vacant",IF(LOWER($Q372)="pause","Paused",IF(LOWER($Q372)="cxc","Contractor",IF($Q372="Contractor","Contractor","Filled"))))</f>
        <v>Filled</v>
      </c>
      <c r="AL372" t="str">
        <f>IF($M372="NZ","NZ","AU")</f>
        <v>AU</v>
      </c>
      <c r="AM372">
        <f>COUNTIF($AJ$2:$AJ372,$AJ372)</f>
        <v>11.0</v>
      </c>
      <c r="AN372" t="str">
        <f>$AJ372&amp;"|"&amp;$AM372</f>
        <v>Infrastructure|11</v>
      </c>
    </row>
    <row r="373" ht="18" customHeight="1" s="849">
      <c r="A373" s="659" t="n">
        <v>14013</v>
      </c>
      <c r="B373" s="660" t="inlineStr">
        <is>
          <t>Jem Cruz</t>
        </is>
      </c>
      <c r="C373" s="660" t="inlineStr">
        <is>
          <t>System Specialist</t>
        </is>
      </c>
      <c r="D373" s="660" t="inlineStr">
        <is>
          <t>Allan Francia</t>
        </is>
      </c>
      <c r="E373" s="660" t="inlineStr">
        <is>
          <t>Technology Manager, T&amp;S</t>
        </is>
      </c>
      <c r="F373" s="661" t="inlineStr">
        <is>
          <t>TDD CFE&amp;I</t>
        </is>
      </c>
      <c r="G373" s="662" t="inlineStr">
        <is>
          <t>Commercial Fuels</t>
        </is>
      </c>
      <c r="H373" s="662" t="inlineStr">
        <is>
          <t>Technology, Trading &amp; Shipping</t>
        </is>
      </c>
      <c r="I373" s="662" t="inlineStr">
        <is>
          <t>Commercial Fuels</t>
        </is>
      </c>
      <c r="J373" s="662" t="inlineStr">
        <is>
          <t>Trading &amp; Shipping</t>
        </is>
      </c>
      <c r="K373" s="660" t="inlineStr">
        <is>
          <t>Trading &amp; Shipping</t>
        </is>
      </c>
      <c r="L373" s="662" t="n"/>
      <c r="M373" s="663" t="inlineStr">
        <is>
          <t>Australia</t>
        </is>
      </c>
      <c r="N373" s="666" t="inlineStr">
        <is>
          <t>CIA</t>
        </is>
      </c>
      <c r="O373" s="666" t="n">
        <v>1</v>
      </c>
      <c r="P373" s="666" t="n"/>
      <c r="Q373" s="782" t="inlineStr">
        <is>
          <t>Permanent - Full Time</t>
        </is>
      </c>
      <c r="R373" s="666" t="n"/>
      <c r="S373" s="666" t="n"/>
      <c r="T373" s="667" t="n">
        <v>136890</v>
      </c>
      <c r="U373" s="668" t="n">
        <v>136890</v>
      </c>
      <c r="V373" s="670" t="n">
        <v>0.1</v>
      </c>
      <c r="W373" s="921" t="n">
        <v>0.055</v>
      </c>
      <c r="X373" s="921" t="n">
        <v>0.12</v>
      </c>
      <c r="Y373" s="922" t="n"/>
      <c r="Z373" s="921" t="n">
        <v>0.04</v>
      </c>
      <c r="AA373" s="919" t="n">
        <v>180010.35</v>
      </c>
      <c r="AJ373" t="str">
        <f>IFERROR(INDEX(Lists!$U$1:$U$18,MATCH($I373,Lists!$T$1:$T$18,0)),"?")</f>
        <v>Commercial Fuels</v>
      </c>
      <c r="AK373" t="str">
        <f>IF(LOWER($Q373)="v","Vacant",IF(LOWER($Q373)="pause","Paused",IF(LOWER($Q373)="cxc","Contractor",IF($Q373="Contractor","Contractor","Filled"))))</f>
        <v>Filled</v>
      </c>
      <c r="AL373" t="str">
        <f>IF($M373="NZ","NZ","AU")</f>
        <v>AU</v>
      </c>
      <c r="AM373">
        <f>COUNTIF($AJ$2:$AJ373,$AJ373)</f>
        <v>16.0</v>
      </c>
      <c r="AN373" t="str">
        <f>$AJ373&amp;"|"&amp;$AM373</f>
        <v>Commercial Fuels|16</v>
      </c>
    </row>
    <row r="374" ht="18" customHeight="1" s="849">
      <c r="A374" s="659" t="n">
        <v>101157</v>
      </c>
      <c r="B374" s="660" t="inlineStr">
        <is>
          <t>Jessica Calla</t>
        </is>
      </c>
      <c r="C374" s="660" t="inlineStr">
        <is>
          <t>System Analyst Card</t>
        </is>
      </c>
      <c r="D374" s="660" t="inlineStr">
        <is>
          <t>Elle Spencer</t>
        </is>
      </c>
      <c r="E374" s="660" t="inlineStr">
        <is>
          <t>Technology Manager, Energy Solutions</t>
        </is>
      </c>
      <c r="F374" s="661" t="inlineStr">
        <is>
          <t>TDD CFE&amp;I</t>
        </is>
      </c>
      <c r="G374" s="662" t="inlineStr">
        <is>
          <t>B2B &amp; Energy Solutions</t>
        </is>
      </c>
      <c r="H374" s="662" t="inlineStr">
        <is>
          <t>Technology B2B</t>
        </is>
      </c>
      <c r="I374" s="662" t="inlineStr">
        <is>
          <t>B2B &amp; Energy Solutions</t>
        </is>
      </c>
      <c r="J374" s="660" t="inlineStr">
        <is>
          <t>B2B</t>
        </is>
      </c>
      <c r="K374" s="660" t="inlineStr">
        <is>
          <t>B2B</t>
        </is>
      </c>
      <c r="L374" s="662" t="n"/>
      <c r="M374" s="663" t="inlineStr">
        <is>
          <t>Australia</t>
        </is>
      </c>
      <c r="N374" s="664" t="inlineStr">
        <is>
          <t>CDC</t>
        </is>
      </c>
      <c r="O374" s="664" t="n">
        <v>1</v>
      </c>
      <c r="P374" s="664" t="n"/>
      <c r="Q374" s="784" t="inlineStr">
        <is>
          <t>Permanent - Full Time</t>
        </is>
      </c>
      <c r="R374" s="666" t="n"/>
      <c r="S374" s="666" t="n"/>
      <c r="T374" s="667" t="n">
        <v>104570</v>
      </c>
      <c r="U374" s="668" t="n">
        <v>104570</v>
      </c>
      <c r="V374" s="670" t="n">
        <v>0.1</v>
      </c>
      <c r="W374" s="921" t="n">
        <v>0.055</v>
      </c>
      <c r="X374" s="921" t="n">
        <v>0.12</v>
      </c>
      <c r="Y374" s="922" t="n"/>
      <c r="Z374" s="921" t="n">
        <v>0.04</v>
      </c>
      <c r="AA374" s="919" t="n">
        <v>137509.55</v>
      </c>
      <c r="AJ374" t="str">
        <f>IFERROR(INDEX(Lists!$U$1:$U$18,MATCH($I374,Lists!$T$1:$T$18,0)),"?")</f>
        <v>Energy Solutions &amp; B2B</v>
      </c>
      <c r="AK374" t="str">
        <f>IF(LOWER($Q374)="v","Vacant",IF(LOWER($Q374)="pause","Paused",IF(LOWER($Q374)="cxc","Contractor",IF($Q374="Contractor","Contractor","Filled"))))</f>
        <v>Filled</v>
      </c>
      <c r="AL374" t="str">
        <f>IF($M374="NZ","NZ","AU")</f>
        <v>AU</v>
      </c>
      <c r="AM374">
        <f>COUNTIF($AJ$2:$AJ374,$AJ374)</f>
        <v>15.0</v>
      </c>
      <c r="AN374" t="str">
        <f>$AJ374&amp;"|"&amp;$AM374</f>
        <v>Energy Solutions &amp; B2B|15</v>
      </c>
    </row>
    <row r="375" ht="18" customHeight="1" s="849">
      <c r="A375" s="659" t="n">
        <v>105531</v>
      </c>
      <c r="B375" s="660" t="inlineStr">
        <is>
          <t>Jodi Higgins</t>
        </is>
      </c>
      <c r="C375" s="660" t="inlineStr">
        <is>
          <t>Delivery Lead</t>
        </is>
      </c>
      <c r="D375" s="662" t="inlineStr">
        <is>
          <t>Vacant</t>
        </is>
      </c>
      <c r="E375" s="660" t="inlineStr">
        <is>
          <t>Delivery Manager</t>
        </is>
      </c>
      <c r="F375" s="661" t="inlineStr">
        <is>
          <t>TDD CFE&amp;I</t>
        </is>
      </c>
      <c r="G375" s="662" t="inlineStr">
        <is>
          <t>Fuel Infrastructure</t>
        </is>
      </c>
      <c r="H375" s="662" t="inlineStr">
        <is>
          <t>Fuel Infrastructure, Delivery</t>
        </is>
      </c>
      <c r="I375" s="662" t="inlineStr">
        <is>
          <t>Infrastructure</t>
        </is>
      </c>
      <c r="J375" s="662" t="inlineStr">
        <is>
          <t>Distribution</t>
        </is>
      </c>
      <c r="K375" s="660" t="inlineStr">
        <is>
          <t>Distribution, Sales &amp; Services</t>
        </is>
      </c>
      <c r="L375" s="662" t="n"/>
      <c r="M375" s="663" t="inlineStr">
        <is>
          <t>Australia</t>
        </is>
      </c>
      <c r="N375" s="664" t="inlineStr">
        <is>
          <t>CIC</t>
        </is>
      </c>
      <c r="O375" s="664" t="n">
        <v>1</v>
      </c>
      <c r="P375" s="664" t="n"/>
      <c r="Q375" s="784" t="inlineStr">
        <is>
          <t>Permanent - Full Time</t>
        </is>
      </c>
      <c r="R375" s="666" t="n"/>
      <c r="S375" s="666" t="n"/>
      <c r="T375" s="667" t="n">
        <v>192870</v>
      </c>
      <c r="U375" s="668" t="n">
        <v>192870</v>
      </c>
      <c r="V375" s="670" t="n">
        <v>0.12</v>
      </c>
      <c r="W375" s="921" t="n">
        <v>0.055</v>
      </c>
      <c r="X375" s="921" t="n">
        <v>0.12</v>
      </c>
      <c r="Y375" s="922" t="n"/>
      <c r="Z375" s="921" t="n">
        <v>0.04</v>
      </c>
      <c r="AA375" s="919" t="n">
        <v>257481.45</v>
      </c>
      <c r="AJ375" t="str">
        <f>IFERROR(INDEX(Lists!$U$1:$U$18,MATCH($I375,Lists!$T$1:$T$18,0)),"?")</f>
        <v>Infrastructure</v>
      </c>
      <c r="AK375" t="str">
        <f>IF(LOWER($Q375)="v","Vacant",IF(LOWER($Q375)="pause","Paused",IF(LOWER($Q375)="cxc","Contractor",IF($Q375="Contractor","Contractor","Filled"))))</f>
        <v>Filled</v>
      </c>
      <c r="AL375" t="str">
        <f>IF($M375="NZ","NZ","AU")</f>
        <v>AU</v>
      </c>
      <c r="AM375">
        <f>COUNTIF($AJ$2:$AJ375,$AJ375)</f>
        <v>12.0</v>
      </c>
      <c r="AN375" t="str">
        <f>$AJ375&amp;"|"&amp;$AM375</f>
        <v>Infrastructure|12</v>
      </c>
    </row>
    <row r="376" ht="18" customHeight="1" s="849">
      <c r="A376" s="659" t="n">
        <v>115847</v>
      </c>
      <c r="B376" s="660" t="inlineStr">
        <is>
          <t>Jonathan Wong</t>
        </is>
      </c>
      <c r="C376" s="660" t="inlineStr">
        <is>
          <t>Senior Business Analyst</t>
        </is>
      </c>
      <c r="D376" s="662" t="inlineStr">
        <is>
          <t>Vacant</t>
        </is>
      </c>
      <c r="E376" s="660" t="inlineStr">
        <is>
          <t>Technology Manager, Data</t>
        </is>
      </c>
      <c r="F376" s="661" t="inlineStr">
        <is>
          <t>TDD CFE&amp;I</t>
        </is>
      </c>
      <c r="G376" s="662" t="inlineStr">
        <is>
          <t>Commercial Fuels</t>
        </is>
      </c>
      <c r="H376" s="662" t="inlineStr">
        <is>
          <t>Technology, T&amp;S Data</t>
        </is>
      </c>
      <c r="I376" s="662" t="inlineStr">
        <is>
          <t>Commercial Fuels</t>
        </is>
      </c>
      <c r="J376" s="662" t="inlineStr">
        <is>
          <t>Trading &amp; Shipping</t>
        </is>
      </c>
      <c r="K376" s="662" t="inlineStr">
        <is>
          <t>Trading &amp; Shipping Data</t>
        </is>
      </c>
      <c r="L376" s="662" t="n"/>
      <c r="M376" s="663" t="inlineStr">
        <is>
          <t>Singapore</t>
        </is>
      </c>
      <c r="N376" s="664" t="inlineStr">
        <is>
          <t>CIC</t>
        </is>
      </c>
      <c r="O376" s="664" t="n">
        <v>1</v>
      </c>
      <c r="P376" s="664" t="n"/>
      <c r="Q376" s="784" t="inlineStr">
        <is>
          <t>Permanent - Full Time</t>
        </is>
      </c>
      <c r="R376" s="666" t="n"/>
      <c r="S376" s="666" t="n"/>
      <c r="T376" s="667" t="n">
        <v>180000</v>
      </c>
      <c r="U376" s="668" t="n">
        <v>217800</v>
      </c>
      <c r="V376" s="670" t="n">
        <v>0.25</v>
      </c>
      <c r="W376" s="666" t="n"/>
      <c r="X376" s="670" t="n">
        <v>0.17</v>
      </c>
      <c r="Y376" s="918" t="n">
        <v>3310</v>
      </c>
      <c r="Z376" s="713" t="n">
        <v>0.045</v>
      </c>
      <c r="AA376" s="919" t="n">
        <v>322386.9999999999</v>
      </c>
      <c r="AJ376" t="str">
        <f>IFERROR(INDEX(Lists!$U$1:$U$18,MATCH($I376,Lists!$T$1:$T$18,0)),"?")</f>
        <v>Commercial Fuels</v>
      </c>
      <c r="AK376" t="str">
        <f>IF(LOWER($Q376)="v","Vacant",IF(LOWER($Q376)="pause","Paused",IF(LOWER($Q376)="cxc","Contractor",IF($Q376="Contractor","Contractor","Filled"))))</f>
        <v>Filled</v>
      </c>
      <c r="AL376" t="str">
        <f>IF($M376="NZ","NZ","AU")</f>
        <v>AU</v>
      </c>
      <c r="AM376">
        <f>COUNTIF($AJ$2:$AJ376,$AJ376)</f>
        <v>17.0</v>
      </c>
      <c r="AN376" t="str">
        <f>$AJ376&amp;"|"&amp;$AM376</f>
        <v>Commercial Fuels|17</v>
      </c>
    </row>
    <row r="377" ht="18" customHeight="1" s="849">
      <c r="A377" s="659" t="n">
        <v>99999101545</v>
      </c>
      <c r="B377" s="660" t="inlineStr">
        <is>
          <t>Josh Campbell</t>
        </is>
      </c>
      <c r="C377" s="660" t="inlineStr">
        <is>
          <t>Engineer Software</t>
        </is>
      </c>
      <c r="D377" s="662" t="inlineStr">
        <is>
          <t>Vacant</t>
        </is>
      </c>
      <c r="E377" s="660" t="inlineStr">
        <is>
          <t>Technology Manager, Energy Solutions</t>
        </is>
      </c>
      <c r="F377" s="661" t="inlineStr">
        <is>
          <t>TDD CFE&amp;I</t>
        </is>
      </c>
      <c r="G377" s="662" t="inlineStr">
        <is>
          <t>B2B &amp; Energy Solutions</t>
        </is>
      </c>
      <c r="H377" s="662" t="inlineStr">
        <is>
          <t>Technology Energy Solutions</t>
        </is>
      </c>
      <c r="I377" s="662" t="inlineStr">
        <is>
          <t>B2B &amp; Energy Solutions</t>
        </is>
      </c>
      <c r="J377" s="662" t="inlineStr">
        <is>
          <t>Energy Solutions</t>
        </is>
      </c>
      <c r="K377" s="660" t="inlineStr">
        <is>
          <t>EVCI</t>
        </is>
      </c>
      <c r="L377" s="662" t="n"/>
      <c r="M377" s="663" t="inlineStr">
        <is>
          <t>NZ</t>
        </is>
      </c>
      <c r="N377" s="664" t="inlineStr">
        <is>
          <t>CDB</t>
        </is>
      </c>
      <c r="O377" s="665" t="n">
        <v>1</v>
      </c>
      <c r="P377" s="664" t="n"/>
      <c r="Q377" s="785" t="inlineStr">
        <is>
          <t>Permanent - Full Time</t>
        </is>
      </c>
      <c r="R377" s="666" t="n"/>
      <c r="S377" s="666" t="n"/>
      <c r="T377" s="667" t="n">
        <v>90970</v>
      </c>
      <c r="U377" s="668" t="n">
        <v>83692.40000000001</v>
      </c>
      <c r="V377" s="669" t="n">
        <v>0.1</v>
      </c>
      <c r="W377" s="665" t="n"/>
      <c r="X377" s="670" t="n">
        <v>0.05</v>
      </c>
      <c r="Y377" s="918" t="n">
        <v>2910</v>
      </c>
      <c r="Z377" s="670" t="n">
        <v>0.03</v>
      </c>
      <c r="AA377" s="919" t="n">
        <v>101667.032</v>
      </c>
      <c r="AJ377" t="str">
        <f>IFERROR(INDEX(Lists!$U$1:$U$18,MATCH($I377,Lists!$T$1:$T$18,0)),"?")</f>
        <v>Energy Solutions &amp; B2B</v>
      </c>
      <c r="AK377" t="str">
        <f>IF(LOWER($Q377)="v","Vacant",IF(LOWER($Q377)="pause","Paused",IF(LOWER($Q377)="cxc","Contractor",IF($Q377="Contractor","Contractor","Filled"))))</f>
        <v>Filled</v>
      </c>
      <c r="AL377" t="str">
        <f>IF($M377="NZ","NZ","AU")</f>
        <v>NZ</v>
      </c>
      <c r="AM377">
        <f>COUNTIF($AJ$2:$AJ377,$AJ377)</f>
        <v>16.0</v>
      </c>
      <c r="AN377" t="str">
        <f>$AJ377&amp;"|"&amp;$AM377</f>
        <v>Energy Solutions &amp; B2B|16</v>
      </c>
    </row>
    <row r="378" ht="18" customHeight="1" s="849">
      <c r="A378" s="659" t="n">
        <v>115836</v>
      </c>
      <c r="B378" s="660" t="inlineStr">
        <is>
          <t>JR Panganiban</t>
        </is>
      </c>
      <c r="C378" s="660" t="inlineStr">
        <is>
          <t>Technology Support Engineer</t>
        </is>
      </c>
      <c r="D378" s="660" t="inlineStr">
        <is>
          <t>Allan Francia</t>
        </is>
      </c>
      <c r="E378" s="660" t="inlineStr">
        <is>
          <t>Technology Manager, T&amp;S</t>
        </is>
      </c>
      <c r="F378" s="661" t="inlineStr">
        <is>
          <t>TDD CFE&amp;I</t>
        </is>
      </c>
      <c r="G378" s="662" t="inlineStr">
        <is>
          <t>Commercial Fuels</t>
        </is>
      </c>
      <c r="H378" s="662" t="inlineStr">
        <is>
          <t>Technology, Trading &amp; Shipping</t>
        </is>
      </c>
      <c r="I378" s="662" t="inlineStr">
        <is>
          <t>Commercial Fuels</t>
        </is>
      </c>
      <c r="J378" s="662" t="inlineStr">
        <is>
          <t>Trading &amp; Shipping</t>
        </is>
      </c>
      <c r="K378" s="660" t="inlineStr">
        <is>
          <t>Trading &amp; Shipping</t>
        </is>
      </c>
      <c r="L378" s="662" t="n"/>
      <c r="M378" s="663" t="inlineStr">
        <is>
          <t>USA</t>
        </is>
      </c>
      <c r="N378" s="664" t="inlineStr">
        <is>
          <t>CIA</t>
        </is>
      </c>
      <c r="O378" s="664" t="n">
        <v>1</v>
      </c>
      <c r="P378" s="664" t="n"/>
      <c r="Q378" s="784" t="inlineStr">
        <is>
          <t>Permanent - Full Time</t>
        </is>
      </c>
      <c r="R378" s="666" t="n"/>
      <c r="S378" s="666" t="n"/>
      <c r="T378" s="667" t="n">
        <v>92000</v>
      </c>
      <c r="U378" s="668" t="n">
        <v>140760</v>
      </c>
      <c r="V378" s="666" t="n">
        <v>0</v>
      </c>
      <c r="W378" s="666" t="n">
        <v>0</v>
      </c>
      <c r="X378" s="670" t="n">
        <v>0</v>
      </c>
      <c r="Y378" s="662" t="n">
        <v>0</v>
      </c>
      <c r="Z378" s="670" t="n">
        <v>0.04</v>
      </c>
      <c r="AA378" s="919" t="n">
        <v>146390.4</v>
      </c>
      <c r="AJ378" t="str">
        <f>IFERROR(INDEX(Lists!$U$1:$U$18,MATCH($I378,Lists!$T$1:$T$18,0)),"?")</f>
        <v>Commercial Fuels</v>
      </c>
      <c r="AK378" t="str">
        <f>IF(LOWER($Q378)="v","Vacant",IF(LOWER($Q378)="pause","Paused",IF(LOWER($Q378)="cxc","Contractor",IF($Q378="Contractor","Contractor","Filled"))))</f>
        <v>Filled</v>
      </c>
      <c r="AL378" t="str">
        <f>IF($M378="NZ","NZ","AU")</f>
        <v>AU</v>
      </c>
      <c r="AM378">
        <f>COUNTIF($AJ$2:$AJ378,$AJ378)</f>
        <v>18.0</v>
      </c>
      <c r="AN378" t="str">
        <f>$AJ378&amp;"|"&amp;$AM378</f>
        <v>Commercial Fuels|18</v>
      </c>
    </row>
    <row r="379" ht="18" customHeight="1" s="849">
      <c r="A379" s="769" t="n">
        <v>11661</v>
      </c>
      <c r="B379" s="773" t="inlineStr">
        <is>
          <t>Kevin Li</t>
        </is>
      </c>
      <c r="C379" s="773" t="inlineStr">
        <is>
          <t>System Specialist</t>
        </is>
      </c>
      <c r="D379" s="772" t="inlineStr">
        <is>
          <t>Allan Francia</t>
        </is>
      </c>
      <c r="E379" s="770" t="inlineStr">
        <is>
          <t>Technology Manager, T&amp;S</t>
        </is>
      </c>
      <c r="F379" s="787" t="inlineStr">
        <is>
          <t>TDD CFE&amp;I</t>
        </is>
      </c>
      <c r="G379" s="772" t="inlineStr">
        <is>
          <t>Commercial Fuels</t>
        </is>
      </c>
      <c r="H379" s="772" t="inlineStr">
        <is>
          <t>Technology, Trading &amp; Shipping</t>
        </is>
      </c>
      <c r="I379" s="772" t="inlineStr">
        <is>
          <t>Commercial Fuels</t>
        </is>
      </c>
      <c r="J379" s="772" t="inlineStr">
        <is>
          <t>Trading &amp; Shipping</t>
        </is>
      </c>
      <c r="K379" s="772" t="inlineStr">
        <is>
          <t>Trading &amp; Shipping</t>
        </is>
      </c>
      <c r="L379" s="772" t="n"/>
      <c r="M379" s="774" t="inlineStr">
        <is>
          <t>Australia</t>
        </is>
      </c>
      <c r="N379" s="706" t="inlineStr">
        <is>
          <t>CIA</t>
        </is>
      </c>
      <c r="O379" s="706" t="n">
        <v>1</v>
      </c>
      <c r="P379" s="706" t="n"/>
      <c r="Q379" s="788" t="inlineStr">
        <is>
          <t>Permanent - Full Time</t>
        </is>
      </c>
      <c r="R379" s="706" t="n"/>
      <c r="S379" s="706" t="n"/>
      <c r="T379" s="776" t="n">
        <v>136860</v>
      </c>
      <c r="U379" s="777" t="n">
        <v>136860</v>
      </c>
      <c r="V379" s="778" t="n">
        <v>0.1</v>
      </c>
      <c r="W379" s="940" t="n">
        <v>0.055</v>
      </c>
      <c r="X379" s="940" t="n">
        <v>0.12</v>
      </c>
      <c r="Y379" s="941" t="n"/>
      <c r="Z379" s="940" t="n">
        <v>0.04</v>
      </c>
      <c r="AA379" s="942" t="n">
        <v>179970.9</v>
      </c>
      <c r="AJ379" t="str">
        <f>IFERROR(INDEX(Lists!$U$1:$U$18,MATCH($I379,Lists!$T$1:$T$18,0)),"?")</f>
        <v>Commercial Fuels</v>
      </c>
      <c r="AK379" t="str">
        <f>IF(LOWER($Q379)="v","Vacant",IF(LOWER($Q379)="pause","Paused",IF(LOWER($Q379)="cxc","Contractor",IF($Q379="Contractor","Contractor","Filled"))))</f>
        <v>Filled</v>
      </c>
      <c r="AL379" t="str">
        <f>IF($M379="NZ","NZ","AU")</f>
        <v>AU</v>
      </c>
      <c r="AM379">
        <f>COUNTIF($AJ$2:$AJ379,$AJ379)</f>
        <v>19.0</v>
      </c>
      <c r="AN379" t="str">
        <f>$AJ379&amp;"|"&amp;$AM379</f>
        <v>Commercial Fuels|19</v>
      </c>
    </row>
    <row r="380" ht="18" customHeight="1" s="849">
      <c r="A380" s="659" t="n">
        <v>110044</v>
      </c>
      <c r="B380" s="660" t="inlineStr">
        <is>
          <t>Kevin Nelson</t>
        </is>
      </c>
      <c r="C380" s="660" t="inlineStr">
        <is>
          <t>Delivery Lead</t>
        </is>
      </c>
      <c r="D380" s="662" t="inlineStr">
        <is>
          <t>Vacant</t>
        </is>
      </c>
      <c r="E380" s="660" t="inlineStr">
        <is>
          <t>Delivery Manager</t>
        </is>
      </c>
      <c r="F380" s="661" t="inlineStr">
        <is>
          <t>TDD CFE&amp;I</t>
        </is>
      </c>
      <c r="G380" s="662" t="inlineStr">
        <is>
          <t>Fuel Infrastructure</t>
        </is>
      </c>
      <c r="H380" s="662" t="inlineStr">
        <is>
          <t>Fuel Infrastructure, Delivery</t>
        </is>
      </c>
      <c r="I380" s="662" t="inlineStr">
        <is>
          <t>RETAIL</t>
        </is>
      </c>
      <c r="J380" s="662" t="inlineStr">
        <is>
          <t>AMPOS</t>
        </is>
      </c>
      <c r="K380" s="660" t="inlineStr">
        <is>
          <t>AmPos</t>
        </is>
      </c>
      <c r="L380" s="662" t="n"/>
      <c r="M380" s="663" t="inlineStr">
        <is>
          <t>Australia</t>
        </is>
      </c>
      <c r="N380" s="664" t="inlineStr">
        <is>
          <t>CIC</t>
        </is>
      </c>
      <c r="O380" s="664" t="n">
        <v>1</v>
      </c>
      <c r="P380" s="664" t="n"/>
      <c r="Q380" s="784" t="inlineStr">
        <is>
          <t>Permanent - Full Time</t>
        </is>
      </c>
      <c r="R380" s="666" t="n"/>
      <c r="S380" s="666" t="n"/>
      <c r="T380" s="667" t="n">
        <v>189620</v>
      </c>
      <c r="U380" s="668" t="n">
        <v>189620</v>
      </c>
      <c r="V380" s="670" t="n">
        <v>0.12</v>
      </c>
      <c r="W380" s="921" t="n">
        <v>0.055</v>
      </c>
      <c r="X380" s="921" t="n">
        <v>0.12</v>
      </c>
      <c r="Y380" s="922" t="n"/>
      <c r="Z380" s="921" t="n">
        <v>0.04</v>
      </c>
      <c r="AA380" s="919" t="n">
        <v>253142.7</v>
      </c>
      <c r="AJ380" t="str">
        <f>IFERROR(INDEX(Lists!$U$1:$U$18,MATCH($I380,Lists!$T$1:$T$18,0)),"?")</f>
        <v>Ampol Retail</v>
      </c>
      <c r="AK380" t="str">
        <f>IF(LOWER($Q380)="v","Vacant",IF(LOWER($Q380)="pause","Paused",IF(LOWER($Q380)="cxc","Contractor",IF($Q380="Contractor","Contractor","Filled"))))</f>
        <v>Filled</v>
      </c>
      <c r="AL380" t="str">
        <f>IF($M380="NZ","NZ","AU")</f>
        <v>AU</v>
      </c>
      <c r="AM380">
        <f>COUNTIF($AJ$2:$AJ380,$AJ380)</f>
        <v>68.0</v>
      </c>
      <c r="AN380" t="str">
        <f>$AJ380&amp;"|"&amp;$AM380</f>
        <v>Ampol Retail|68</v>
      </c>
    </row>
    <row r="381" ht="18" customHeight="1" s="849">
      <c r="A381" s="659" t="n">
        <v>115723</v>
      </c>
      <c r="B381" s="660" t="inlineStr">
        <is>
          <t>Kumar Siva</t>
        </is>
      </c>
      <c r="C381" s="660" t="inlineStr">
        <is>
          <t>Lead engineer Data</t>
        </is>
      </c>
      <c r="D381" s="662" t="inlineStr">
        <is>
          <t>Vacant</t>
        </is>
      </c>
      <c r="E381" s="660" t="inlineStr">
        <is>
          <t>Technology Manager, Data</t>
        </is>
      </c>
      <c r="F381" s="661" t="inlineStr">
        <is>
          <t>TDD CFE&amp;I</t>
        </is>
      </c>
      <c r="G381" s="662" t="inlineStr">
        <is>
          <t>Commercial Fuels</t>
        </is>
      </c>
      <c r="H381" s="662" t="inlineStr">
        <is>
          <t>Technology, T&amp;S Data</t>
        </is>
      </c>
      <c r="I381" s="662" t="inlineStr">
        <is>
          <t>Commercial Fuels</t>
        </is>
      </c>
      <c r="J381" s="662" t="inlineStr">
        <is>
          <t>Trading &amp; Shipping</t>
        </is>
      </c>
      <c r="K381" s="662" t="inlineStr">
        <is>
          <t>Trading &amp; Shipping Data</t>
        </is>
      </c>
      <c r="L381" s="662" t="n"/>
      <c r="M381" s="663" t="inlineStr">
        <is>
          <t>Singapore</t>
        </is>
      </c>
      <c r="N381" s="664" t="inlineStr">
        <is>
          <t>CIC</t>
        </is>
      </c>
      <c r="O381" s="664" t="n">
        <v>1</v>
      </c>
      <c r="P381" s="664" t="n"/>
      <c r="Q381" s="784" t="inlineStr">
        <is>
          <t>Permanent - Full Time</t>
        </is>
      </c>
      <c r="R381" s="666" t="n"/>
      <c r="S381" s="666" t="n"/>
      <c r="T381" s="667" t="n">
        <v>210000</v>
      </c>
      <c r="U381" s="668" t="n">
        <v>254100</v>
      </c>
      <c r="V381" s="670" t="n">
        <v>0.25</v>
      </c>
      <c r="W381" s="666" t="n"/>
      <c r="X381" s="670" t="n">
        <v>0.17</v>
      </c>
      <c r="Y381" s="918" t="n">
        <v>3310</v>
      </c>
      <c r="Z381" s="713" t="n">
        <v>0.045</v>
      </c>
      <c r="AA381" s="919" t="n">
        <v>375566.4999999999</v>
      </c>
      <c r="AJ381" t="str">
        <f>IFERROR(INDEX(Lists!$U$1:$U$18,MATCH($I381,Lists!$T$1:$T$18,0)),"?")</f>
        <v>Commercial Fuels</v>
      </c>
      <c r="AK381" t="str">
        <f>IF(LOWER($Q381)="v","Vacant",IF(LOWER($Q381)="pause","Paused",IF(LOWER($Q381)="cxc","Contractor",IF($Q381="Contractor","Contractor","Filled"))))</f>
        <v>Filled</v>
      </c>
      <c r="AL381" t="str">
        <f>IF($M381="NZ","NZ","AU")</f>
        <v>AU</v>
      </c>
      <c r="AM381">
        <f>COUNTIF($AJ$2:$AJ381,$AJ381)</f>
        <v>20.0</v>
      </c>
      <c r="AN381" t="str">
        <f>$AJ381&amp;"|"&amp;$AM381</f>
        <v>Commercial Fuels|20</v>
      </c>
    </row>
    <row r="382" ht="18" customHeight="1" s="849">
      <c r="A382" s="659" t="n">
        <v>99999101421</v>
      </c>
      <c r="B382" s="660" t="inlineStr">
        <is>
          <t>Lana Wagner</t>
        </is>
      </c>
      <c r="C382" s="660" t="inlineStr">
        <is>
          <t>Senior Business Analyst</t>
        </is>
      </c>
      <c r="D382" s="662" t="inlineStr">
        <is>
          <t>Vacant</t>
        </is>
      </c>
      <c r="E382" s="660" t="inlineStr">
        <is>
          <t>Delivery Manager</t>
        </is>
      </c>
      <c r="F382" s="661" t="inlineStr">
        <is>
          <t>TDD CFE&amp;I</t>
        </is>
      </c>
      <c r="G382" s="662" t="inlineStr">
        <is>
          <t>B2B &amp; Energy Solutions</t>
        </is>
      </c>
      <c r="H382" s="662" t="inlineStr">
        <is>
          <t>Delivery</t>
        </is>
      </c>
      <c r="I382" s="662" t="inlineStr">
        <is>
          <t>B2B &amp; Energy Solutions</t>
        </is>
      </c>
      <c r="J382" s="662" t="inlineStr">
        <is>
          <t>Energy Solutions</t>
        </is>
      </c>
      <c r="K382" s="660" t="inlineStr">
        <is>
          <t>EVCI</t>
        </is>
      </c>
      <c r="L382" s="662" t="n"/>
      <c r="M382" s="663" t="inlineStr">
        <is>
          <t>NZ</t>
        </is>
      </c>
      <c r="N382" s="664" t="inlineStr">
        <is>
          <t>CIA</t>
        </is>
      </c>
      <c r="O382" s="665" t="n">
        <v>1</v>
      </c>
      <c r="P382" s="664" t="n"/>
      <c r="Q382" s="785" t="inlineStr">
        <is>
          <t>Permanent - Full Time</t>
        </is>
      </c>
      <c r="R382" s="666" t="n"/>
      <c r="S382" s="666" t="n"/>
      <c r="T382" s="667" t="n">
        <v>137720</v>
      </c>
      <c r="U382" s="668" t="n">
        <v>126702.4</v>
      </c>
      <c r="V382" s="669" t="n">
        <v>0.15</v>
      </c>
      <c r="W382" s="666" t="n"/>
      <c r="X382" s="670" t="n">
        <v>0.05</v>
      </c>
      <c r="Y382" s="918" t="n">
        <v>2910</v>
      </c>
      <c r="Z382" s="670" t="n">
        <v>0.03</v>
      </c>
      <c r="AA382" s="919" t="n">
        <v>158753.952</v>
      </c>
      <c r="AJ382" t="str">
        <f>IFERROR(INDEX(Lists!$U$1:$U$18,MATCH($I382,Lists!$T$1:$T$18,0)),"?")</f>
        <v>Energy Solutions &amp; B2B</v>
      </c>
      <c r="AK382" t="str">
        <f>IF(LOWER($Q382)="v","Vacant",IF(LOWER($Q382)="pause","Paused",IF(LOWER($Q382)="cxc","Contractor",IF($Q382="Contractor","Contractor","Filled"))))</f>
        <v>Filled</v>
      </c>
      <c r="AL382" t="str">
        <f>IF($M382="NZ","NZ","AU")</f>
        <v>NZ</v>
      </c>
      <c r="AM382">
        <f>COUNTIF($AJ$2:$AJ382,$AJ382)</f>
        <v>17.0</v>
      </c>
      <c r="AN382" t="str">
        <f>$AJ382&amp;"|"&amp;$AM382</f>
        <v>Energy Solutions &amp; B2B|17</v>
      </c>
    </row>
    <row r="383" ht="18" customHeight="1" s="849">
      <c r="A383" s="659" t="n">
        <v>99999101325</v>
      </c>
      <c r="B383" s="660" t="inlineStr">
        <is>
          <t>Laura Roberts</t>
        </is>
      </c>
      <c r="C383" s="660" t="inlineStr">
        <is>
          <t>Senior Engineer Software</t>
        </is>
      </c>
      <c r="D383" s="662" t="inlineStr">
        <is>
          <t>Vacant</t>
        </is>
      </c>
      <c r="E383" s="660" t="inlineStr">
        <is>
          <t>Technology Manager, Engineering</t>
        </is>
      </c>
      <c r="F383" s="661" t="inlineStr">
        <is>
          <t>TDD CFE&amp;I</t>
        </is>
      </c>
      <c r="G383" s="662" t="inlineStr">
        <is>
          <t>Commercial Fuels</t>
        </is>
      </c>
      <c r="H383" s="662" t="inlineStr">
        <is>
          <t>Technology, CF Engineering</t>
        </is>
      </c>
      <c r="I383" s="662" t="inlineStr">
        <is>
          <t>Commercial Fuels</t>
        </is>
      </c>
      <c r="J383" s="660" t="inlineStr">
        <is>
          <t>CTRM</t>
        </is>
      </c>
      <c r="K383" s="660" t="inlineStr">
        <is>
          <t>CTRM</t>
        </is>
      </c>
      <c r="L383" s="662" t="n"/>
      <c r="M383" s="663" t="inlineStr">
        <is>
          <t>NZ</t>
        </is>
      </c>
      <c r="N383" s="664" t="inlineStr">
        <is>
          <t>CIA</t>
        </is>
      </c>
      <c r="O383" s="665" t="n">
        <v>1</v>
      </c>
      <c r="P383" s="664" t="n"/>
      <c r="Q383" s="785" t="inlineStr">
        <is>
          <t>Permanent - Full Time</t>
        </is>
      </c>
      <c r="R383" s="666" t="n"/>
      <c r="S383" s="666" t="n"/>
      <c r="T383" s="667" t="n">
        <v>135720</v>
      </c>
      <c r="U383" s="668" t="n">
        <v>124862.4</v>
      </c>
      <c r="V383" s="669" t="n">
        <v>0.15</v>
      </c>
      <c r="W383" s="666" t="n"/>
      <c r="X383" s="670" t="n">
        <v>0.05</v>
      </c>
      <c r="Y383" s="918" t="n">
        <v>2910</v>
      </c>
      <c r="Z383" s="670" t="n">
        <v>0.03</v>
      </c>
      <c r="AA383" s="919" t="n">
        <v>156490.752</v>
      </c>
      <c r="AJ383" t="str">
        <f>IFERROR(INDEX(Lists!$U$1:$U$18,MATCH($I383,Lists!$T$1:$T$18,0)),"?")</f>
        <v>Commercial Fuels</v>
      </c>
      <c r="AK383" t="str">
        <f>IF(LOWER($Q383)="v","Vacant",IF(LOWER($Q383)="pause","Paused",IF(LOWER($Q383)="cxc","Contractor",IF($Q383="Contractor","Contractor","Filled"))))</f>
        <v>Filled</v>
      </c>
      <c r="AL383" t="str">
        <f>IF($M383="NZ","NZ","AU")</f>
        <v>NZ</v>
      </c>
      <c r="AM383">
        <f>COUNTIF($AJ$2:$AJ383,$AJ383)</f>
        <v>21.0</v>
      </c>
      <c r="AN383" t="str">
        <f>$AJ383&amp;"|"&amp;$AM383</f>
        <v>Commercial Fuels|21</v>
      </c>
    </row>
    <row r="384" ht="18" customHeight="1" s="849">
      <c r="A384" s="659" t="n">
        <v>6511</v>
      </c>
      <c r="B384" s="660" t="inlineStr">
        <is>
          <t>Leo Machin</t>
        </is>
      </c>
      <c r="C384" s="660" t="inlineStr">
        <is>
          <t>Lead Engineer Applications</t>
        </is>
      </c>
      <c r="D384" s="660" t="inlineStr">
        <is>
          <t>Allan Francia</t>
        </is>
      </c>
      <c r="E384" s="660" t="inlineStr">
        <is>
          <t>Technology Manager, T&amp;S</t>
        </is>
      </c>
      <c r="F384" s="661" t="inlineStr">
        <is>
          <t>TDD CFE&amp;I</t>
        </is>
      </c>
      <c r="G384" s="662" t="inlineStr">
        <is>
          <t>Commercial Fuels</t>
        </is>
      </c>
      <c r="H384" s="662" t="inlineStr">
        <is>
          <t>Technology, Trading &amp; Shipping</t>
        </is>
      </c>
      <c r="I384" s="662" t="inlineStr">
        <is>
          <t>Commercial Fuels</t>
        </is>
      </c>
      <c r="J384" s="662" t="inlineStr">
        <is>
          <t>Trading &amp; Shipping</t>
        </is>
      </c>
      <c r="K384" s="660" t="inlineStr">
        <is>
          <t>Trading &amp; Shipping</t>
        </is>
      </c>
      <c r="L384" s="662" t="n"/>
      <c r="M384" s="663" t="inlineStr">
        <is>
          <t>Australia</t>
        </is>
      </c>
      <c r="N384" s="666" t="inlineStr">
        <is>
          <t>CIB</t>
        </is>
      </c>
      <c r="O384" s="666" t="n">
        <v>1</v>
      </c>
      <c r="P384" s="666" t="n"/>
      <c r="Q384" s="782" t="inlineStr">
        <is>
          <t>Permanent - Full Time</t>
        </is>
      </c>
      <c r="R384" s="666" t="n"/>
      <c r="S384" s="666" t="n"/>
      <c r="T384" s="667" t="n">
        <v>159220</v>
      </c>
      <c r="U384" s="668" t="n">
        <v>159220</v>
      </c>
      <c r="V384" s="670" t="n">
        <v>0.12</v>
      </c>
      <c r="W384" s="921" t="n">
        <v>0.055</v>
      </c>
      <c r="X384" s="921" t="n">
        <v>0.12</v>
      </c>
      <c r="Y384" s="922" t="n"/>
      <c r="Z384" s="921" t="n">
        <v>0.04</v>
      </c>
      <c r="AA384" s="919" t="n">
        <v>212558.7</v>
      </c>
      <c r="AJ384" t="str">
        <f>IFERROR(INDEX(Lists!$U$1:$U$18,MATCH($I384,Lists!$T$1:$T$18,0)),"?")</f>
        <v>Commercial Fuels</v>
      </c>
      <c r="AK384" t="str">
        <f>IF(LOWER($Q384)="v","Vacant",IF(LOWER($Q384)="pause","Paused",IF(LOWER($Q384)="cxc","Contractor",IF($Q384="Contractor","Contractor","Filled"))))</f>
        <v>Filled</v>
      </c>
      <c r="AL384" t="str">
        <f>IF($M384="NZ","NZ","AU")</f>
        <v>AU</v>
      </c>
      <c r="AM384">
        <f>COUNTIF($AJ$2:$AJ384,$AJ384)</f>
        <v>22.0</v>
      </c>
      <c r="AN384" t="str">
        <f>$AJ384&amp;"|"&amp;$AM384</f>
        <v>Commercial Fuels|22</v>
      </c>
    </row>
    <row r="385" ht="18" customHeight="1" s="849">
      <c r="A385" s="659" t="n">
        <v>99999101304</v>
      </c>
      <c r="B385" s="660" t="inlineStr">
        <is>
          <t>Liesl Tye</t>
        </is>
      </c>
      <c r="C385" s="660" t="inlineStr">
        <is>
          <t>Head of Technology, B2B &amp; Energy Solutions</t>
        </is>
      </c>
      <c r="D385" s="660" t="inlineStr">
        <is>
          <t xml:space="preserve">Roanne Steele </t>
        </is>
      </c>
      <c r="E385" s="660" t="inlineStr">
        <is>
          <t>GM TDD, CFE&amp;I</t>
        </is>
      </c>
      <c r="F385" s="661" t="inlineStr">
        <is>
          <t>TDD CFE&amp;I</t>
        </is>
      </c>
      <c r="G385" s="662" t="inlineStr">
        <is>
          <t>B2B &amp; Energy Solutions</t>
        </is>
      </c>
      <c r="H385" s="662" t="inlineStr">
        <is>
          <t>Leadership</t>
        </is>
      </c>
      <c r="I385" s="662" t="inlineStr">
        <is>
          <t>B2B &amp; Energy Solutions</t>
        </is>
      </c>
      <c r="J385" s="662" t="inlineStr">
        <is>
          <t>Leadership</t>
        </is>
      </c>
      <c r="K385" s="660" t="inlineStr">
        <is>
          <t>Leadership</t>
        </is>
      </c>
      <c r="L385" s="662" t="n"/>
      <c r="M385" s="663" t="inlineStr">
        <is>
          <t>NZ</t>
        </is>
      </c>
      <c r="N385" s="664" t="inlineStr">
        <is>
          <t>CSC</t>
        </is>
      </c>
      <c r="O385" s="665" t="n">
        <v>1</v>
      </c>
      <c r="P385" s="664" t="n"/>
      <c r="Q385" s="785" t="inlineStr">
        <is>
          <t>Permanent - Full Time</t>
        </is>
      </c>
      <c r="R385" s="666" t="n"/>
      <c r="S385" s="666" t="n"/>
      <c r="T385" s="667" t="n">
        <v>230000</v>
      </c>
      <c r="U385" s="668" t="n">
        <v>211600</v>
      </c>
      <c r="V385" s="669" t="n">
        <v>0.2</v>
      </c>
      <c r="W385" s="666" t="n"/>
      <c r="X385" s="670" t="n">
        <v>0.05</v>
      </c>
      <c r="Y385" s="918" t="n">
        <v>2910</v>
      </c>
      <c r="Z385" s="670" t="n">
        <v>0.03</v>
      </c>
      <c r="AA385" s="919" t="n">
        <v>273758</v>
      </c>
      <c r="AJ385" t="str">
        <f>IFERROR(INDEX(Lists!$U$1:$U$18,MATCH($I385,Lists!$T$1:$T$18,0)),"?")</f>
        <v>Energy Solutions &amp; B2B</v>
      </c>
      <c r="AK385" t="str">
        <f>IF(LOWER($Q385)="v","Vacant",IF(LOWER($Q385)="pause","Paused",IF(LOWER($Q385)="cxc","Contractor",IF($Q385="Contractor","Contractor","Filled"))))</f>
        <v>Filled</v>
      </c>
      <c r="AL385" t="str">
        <f>IF($M385="NZ","NZ","AU")</f>
        <v>NZ</v>
      </c>
      <c r="AM385">
        <f>COUNTIF($AJ$2:$AJ385,$AJ385)</f>
        <v>18.0</v>
      </c>
      <c r="AN385" t="str">
        <f>$AJ385&amp;"|"&amp;$AM385</f>
        <v>Energy Solutions &amp; B2B|18</v>
      </c>
    </row>
    <row r="386" ht="18" customHeight="1" s="849">
      <c r="A386" s="659" t="n">
        <v>105799</v>
      </c>
      <c r="B386" s="660" t="inlineStr">
        <is>
          <t>Lindsay Baipas</t>
        </is>
      </c>
      <c r="C386" s="660" t="inlineStr">
        <is>
          <t>System Analyst Card</t>
        </is>
      </c>
      <c r="D386" s="660" t="inlineStr">
        <is>
          <t>Elle Spencer</t>
        </is>
      </c>
      <c r="E386" s="660" t="inlineStr">
        <is>
          <t>Technology Manager, Energy Solutions</t>
        </is>
      </c>
      <c r="F386" s="661" t="inlineStr">
        <is>
          <t>TDD CFE&amp;I</t>
        </is>
      </c>
      <c r="G386" s="662" t="inlineStr">
        <is>
          <t>B2B &amp; Energy Solutions</t>
        </is>
      </c>
      <c r="H386" s="662" t="inlineStr">
        <is>
          <t>Technology B2B</t>
        </is>
      </c>
      <c r="I386" s="662" t="inlineStr">
        <is>
          <t>B2B &amp; Energy Solutions</t>
        </is>
      </c>
      <c r="J386" s="660" t="inlineStr">
        <is>
          <t>B2B</t>
        </is>
      </c>
      <c r="K386" s="660" t="inlineStr">
        <is>
          <t>B2B</t>
        </is>
      </c>
      <c r="L386" s="662" t="n"/>
      <c r="M386" s="663" t="inlineStr">
        <is>
          <t>Australia</t>
        </is>
      </c>
      <c r="N386" s="664" t="inlineStr">
        <is>
          <t>CIA</t>
        </is>
      </c>
      <c r="O386" s="664" t="n">
        <v>1</v>
      </c>
      <c r="P386" s="664" t="n"/>
      <c r="Q386" s="784" t="inlineStr">
        <is>
          <t>Permanent - Full Time</t>
        </is>
      </c>
      <c r="R386" s="666" t="n"/>
      <c r="S386" s="666" t="n"/>
      <c r="T386" s="667" t="n">
        <v>144720</v>
      </c>
      <c r="U386" s="668" t="n">
        <v>144720</v>
      </c>
      <c r="V386" s="670" t="n">
        <v>0.1</v>
      </c>
      <c r="W386" s="921" t="n">
        <v>0.055</v>
      </c>
      <c r="X386" s="921" t="n">
        <v>0.12</v>
      </c>
      <c r="Y386" s="922" t="n"/>
      <c r="Z386" s="921" t="n">
        <v>0.04</v>
      </c>
      <c r="AA386" s="919" t="n">
        <v>190306.8</v>
      </c>
      <c r="AJ386" t="str">
        <f>IFERROR(INDEX(Lists!$U$1:$U$18,MATCH($I386,Lists!$T$1:$T$18,0)),"?")</f>
        <v>Energy Solutions &amp; B2B</v>
      </c>
      <c r="AK386" t="str">
        <f>IF(LOWER($Q386)="v","Vacant",IF(LOWER($Q386)="pause","Paused",IF(LOWER($Q386)="cxc","Contractor",IF($Q386="Contractor","Contractor","Filled"))))</f>
        <v>Filled</v>
      </c>
      <c r="AL386" t="str">
        <f>IF($M386="NZ","NZ","AU")</f>
        <v>AU</v>
      </c>
      <c r="AM386">
        <f>COUNTIF($AJ$2:$AJ386,$AJ386)</f>
        <v>19.0</v>
      </c>
      <c r="AN386" t="str">
        <f>$AJ386&amp;"|"&amp;$AM386</f>
        <v>Energy Solutions &amp; B2B|19</v>
      </c>
    </row>
    <row r="387" ht="18" customHeight="1" s="849">
      <c r="A387" s="659" t="n">
        <v>105488</v>
      </c>
      <c r="B387" s="660" t="inlineStr">
        <is>
          <t>Louis Ballington</t>
        </is>
      </c>
      <c r="C387" s="660" t="inlineStr">
        <is>
          <t>Delivery Lead</t>
        </is>
      </c>
      <c r="D387" s="662" t="inlineStr">
        <is>
          <t>Vacant</t>
        </is>
      </c>
      <c r="E387" s="660" t="inlineStr">
        <is>
          <t>Delivery Manager</t>
        </is>
      </c>
      <c r="F387" s="661" t="inlineStr">
        <is>
          <t>TDD CFE&amp;I</t>
        </is>
      </c>
      <c r="G387" s="662" t="inlineStr">
        <is>
          <t>Fuel Infrastructure</t>
        </is>
      </c>
      <c r="H387" s="662" t="inlineStr">
        <is>
          <t>Fuel Infrastructure, Delivery</t>
        </is>
      </c>
      <c r="I387" s="662" t="inlineStr">
        <is>
          <t>Infrastructure</t>
        </is>
      </c>
      <c r="J387" s="662" t="inlineStr">
        <is>
          <t>Manufacturing</t>
        </is>
      </c>
      <c r="K387" s="660" t="inlineStr">
        <is>
          <t>Manufacturing Group Projects</t>
        </is>
      </c>
      <c r="L387" s="662" t="n"/>
      <c r="M387" s="663" t="inlineStr">
        <is>
          <t>Australia</t>
        </is>
      </c>
      <c r="N387" s="664" t="inlineStr">
        <is>
          <t>CIC</t>
        </is>
      </c>
      <c r="O387" s="664" t="n">
        <v>1</v>
      </c>
      <c r="P387" s="664" t="n"/>
      <c r="Q387" s="784" t="inlineStr">
        <is>
          <t>Permanent - Full Time</t>
        </is>
      </c>
      <c r="R387" s="666" t="n"/>
      <c r="S387" s="666" t="n"/>
      <c r="T387" s="667" t="n">
        <v>192110</v>
      </c>
      <c r="U387" s="668" t="n">
        <v>192110</v>
      </c>
      <c r="V387" s="670" t="n">
        <v>0.12</v>
      </c>
      <c r="W387" s="921" t="n">
        <v>0.055</v>
      </c>
      <c r="X387" s="921" t="n">
        <v>0.12</v>
      </c>
      <c r="Y387" s="922" t="n"/>
      <c r="Z387" s="921" t="n">
        <v>0.04</v>
      </c>
      <c r="AA387" s="919" t="n">
        <v>256466.85</v>
      </c>
      <c r="AJ387" t="str">
        <f>IFERROR(INDEX(Lists!$U$1:$U$18,MATCH($I387,Lists!$T$1:$T$18,0)),"?")</f>
        <v>Infrastructure</v>
      </c>
      <c r="AK387" t="str">
        <f>IF(LOWER($Q387)="v","Vacant",IF(LOWER($Q387)="pause","Paused",IF(LOWER($Q387)="cxc","Contractor",IF($Q387="Contractor","Contractor","Filled"))))</f>
        <v>Filled</v>
      </c>
      <c r="AL387" t="str">
        <f>IF($M387="NZ","NZ","AU")</f>
        <v>AU</v>
      </c>
      <c r="AM387">
        <f>COUNTIF($AJ$2:$AJ387,$AJ387)</f>
        <v>13.0</v>
      </c>
      <c r="AN387" t="str">
        <f>$AJ387&amp;"|"&amp;$AM387</f>
        <v>Infrastructure|13</v>
      </c>
    </row>
    <row r="388" ht="18" customHeight="1" s="849">
      <c r="A388" s="659" t="n">
        <v>8367</v>
      </c>
      <c r="B388" s="660" t="inlineStr">
        <is>
          <t>Marcela Gonzalez</t>
        </is>
      </c>
      <c r="C388" s="660" t="inlineStr">
        <is>
          <t>Energy Platforms Lead</t>
        </is>
      </c>
      <c r="D388" s="662" t="inlineStr">
        <is>
          <t>Vacant</t>
        </is>
      </c>
      <c r="E388" s="660" t="inlineStr">
        <is>
          <t>Technology Manager, Energy Solutions</t>
        </is>
      </c>
      <c r="F388" s="661" t="inlineStr">
        <is>
          <t>TDD CFE&amp;I</t>
        </is>
      </c>
      <c r="G388" s="662" t="inlineStr">
        <is>
          <t>B2B &amp; Energy Solutions</t>
        </is>
      </c>
      <c r="H388" s="662" t="inlineStr">
        <is>
          <t>Technology Energy Solutions</t>
        </is>
      </c>
      <c r="I388" s="662" t="inlineStr">
        <is>
          <t>B2B &amp; Energy Solutions</t>
        </is>
      </c>
      <c r="J388" s="662" t="inlineStr">
        <is>
          <t>Energy Solutions</t>
        </is>
      </c>
      <c r="K388" s="660" t="inlineStr">
        <is>
          <t>Energy</t>
        </is>
      </c>
      <c r="L388" s="662" t="n"/>
      <c r="M388" s="663" t="inlineStr">
        <is>
          <t>Australia</t>
        </is>
      </c>
      <c r="N388" s="666" t="inlineStr">
        <is>
          <t>cic</t>
        </is>
      </c>
      <c r="O388" s="666" t="n">
        <v>1</v>
      </c>
      <c r="P388" s="666" t="n"/>
      <c r="Q388" s="782" t="inlineStr">
        <is>
          <t>Permanent - Full Time</t>
        </is>
      </c>
      <c r="R388" s="666" t="n"/>
      <c r="S388" s="666" t="n"/>
      <c r="T388" s="667" t="n">
        <v>187730</v>
      </c>
      <c r="U388" s="668" t="n">
        <v>187730</v>
      </c>
      <c r="V388" s="670" t="n">
        <v>0.12</v>
      </c>
      <c r="W388" s="921" t="n">
        <v>0.055</v>
      </c>
      <c r="X388" s="921" t="n">
        <v>0.12</v>
      </c>
      <c r="Y388" s="922" t="n"/>
      <c r="Z388" s="921" t="n">
        <v>0.04</v>
      </c>
      <c r="AA388" s="919" t="n">
        <v>250619.55</v>
      </c>
      <c r="AJ388" t="str">
        <f>IFERROR(INDEX(Lists!$U$1:$U$18,MATCH($I388,Lists!$T$1:$T$18,0)),"?")</f>
        <v>Energy Solutions &amp; B2B</v>
      </c>
      <c r="AK388" t="str">
        <f>IF(LOWER($Q388)="v","Vacant",IF(LOWER($Q388)="pause","Paused",IF(LOWER($Q388)="cxc","Contractor",IF($Q388="Contractor","Contractor","Filled"))))</f>
        <v>Filled</v>
      </c>
      <c r="AL388" t="str">
        <f>IF($M388="NZ","NZ","AU")</f>
        <v>AU</v>
      </c>
      <c r="AM388">
        <f>COUNTIF($AJ$2:$AJ388,$AJ388)</f>
        <v>20.0</v>
      </c>
      <c r="AN388" t="str">
        <f>$AJ388&amp;"|"&amp;$AM388</f>
        <v>Energy Solutions &amp; B2B|20</v>
      </c>
    </row>
    <row r="389" ht="18" customHeight="1" s="849">
      <c r="A389" s="659" t="n">
        <v>85491</v>
      </c>
      <c r="B389" s="660" t="inlineStr">
        <is>
          <t>Mick DaSilva</t>
        </is>
      </c>
      <c r="C389" s="660" t="inlineStr">
        <is>
          <t>Senior Business Analyst</t>
        </is>
      </c>
      <c r="D389" s="662" t="inlineStr">
        <is>
          <t>Vacant</t>
        </is>
      </c>
      <c r="E389" s="660" t="inlineStr">
        <is>
          <t>Delivery Manager</t>
        </is>
      </c>
      <c r="F389" s="661" t="inlineStr">
        <is>
          <t>TDD CFE&amp;I</t>
        </is>
      </c>
      <c r="G389" s="662" t="inlineStr">
        <is>
          <t>B2B &amp; Energy Solutions</t>
        </is>
      </c>
      <c r="H389" s="662" t="inlineStr">
        <is>
          <t>Delivery</t>
        </is>
      </c>
      <c r="I389" s="662" t="inlineStr">
        <is>
          <t>B2B &amp; Energy Solutions</t>
        </is>
      </c>
      <c r="J389" s="660" t="inlineStr">
        <is>
          <t>B2B</t>
        </is>
      </c>
      <c r="K389" s="660" t="inlineStr">
        <is>
          <t>B2B</t>
        </is>
      </c>
      <c r="L389" s="662" t="n"/>
      <c r="M389" s="663" t="inlineStr">
        <is>
          <t>Australia</t>
        </is>
      </c>
      <c r="N389" s="666" t="inlineStr">
        <is>
          <t>CIB</t>
        </is>
      </c>
      <c r="O389" s="666" t="n">
        <v>1</v>
      </c>
      <c r="P389" s="666" t="n"/>
      <c r="Q389" s="782" t="inlineStr">
        <is>
          <t>Permanent - Full Time</t>
        </is>
      </c>
      <c r="R389" s="666" t="n"/>
      <c r="S389" s="666" t="n"/>
      <c r="T389" s="667" t="n">
        <v>164380</v>
      </c>
      <c r="U389" s="668" t="n">
        <v>164380</v>
      </c>
      <c r="V389" s="670" t="n">
        <v>0.12</v>
      </c>
      <c r="W389" s="921" t="n">
        <v>0.055</v>
      </c>
      <c r="X389" s="921" t="n">
        <v>0.12</v>
      </c>
      <c r="Y389" s="922" t="n"/>
      <c r="Z389" s="921" t="n">
        <v>0.04</v>
      </c>
      <c r="AA389" s="919" t="n">
        <v>219447.3</v>
      </c>
      <c r="AJ389" t="str">
        <f>IFERROR(INDEX(Lists!$U$1:$U$18,MATCH($I389,Lists!$T$1:$T$18,0)),"?")</f>
        <v>Energy Solutions &amp; B2B</v>
      </c>
      <c r="AK389" t="str">
        <f>IF(LOWER($Q389)="v","Vacant",IF(LOWER($Q389)="pause","Paused",IF(LOWER($Q389)="cxc","Contractor",IF($Q389="Contractor","Contractor","Filled"))))</f>
        <v>Filled</v>
      </c>
      <c r="AL389" t="str">
        <f>IF($M389="NZ","NZ","AU")</f>
        <v>AU</v>
      </c>
      <c r="AM389">
        <f>COUNTIF($AJ$2:$AJ389,$AJ389)</f>
        <v>21.0</v>
      </c>
      <c r="AN389" t="str">
        <f>$AJ389&amp;"|"&amp;$AM389</f>
        <v>Energy Solutions &amp; B2B|21</v>
      </c>
    </row>
    <row r="390" ht="18" customHeight="1" s="849">
      <c r="A390" s="680" t="n">
        <v>90813</v>
      </c>
      <c r="B390" s="684" t="inlineStr">
        <is>
          <t>Mikey Tran</t>
        </is>
      </c>
      <c r="C390" s="684" t="inlineStr">
        <is>
          <t>Senior Systems Analyst - Card</t>
        </is>
      </c>
      <c r="D390" s="684" t="inlineStr">
        <is>
          <t>Elle Spencer</t>
        </is>
      </c>
      <c r="E390" s="684" t="inlineStr">
        <is>
          <t>Technology Manager, Energy Solutions</t>
        </is>
      </c>
      <c r="F390" s="683" t="inlineStr">
        <is>
          <t>TDD CFE&amp;I</t>
        </is>
      </c>
      <c r="G390" s="682" t="inlineStr">
        <is>
          <t>B2B &amp; Energy Solutions</t>
        </is>
      </c>
      <c r="H390" s="682" t="inlineStr">
        <is>
          <t>Technology B2B</t>
        </is>
      </c>
      <c r="I390" s="682" t="inlineStr">
        <is>
          <t>B2B &amp; Energy Solutions</t>
        </is>
      </c>
      <c r="J390" s="684" t="inlineStr">
        <is>
          <t>B2B</t>
        </is>
      </c>
      <c r="K390" s="684" t="inlineStr">
        <is>
          <t>B2B</t>
        </is>
      </c>
      <c r="L390" s="682" t="n"/>
      <c r="M390" s="686" t="inlineStr">
        <is>
          <t>Australia</t>
        </is>
      </c>
      <c r="N390" s="687" t="inlineStr">
        <is>
          <t>CIB</t>
        </is>
      </c>
      <c r="O390" s="687" t="n">
        <v>1</v>
      </c>
      <c r="P390" s="687" t="n"/>
      <c r="Q390" s="784" t="inlineStr">
        <is>
          <t>Permanent - Full Time</t>
        </is>
      </c>
      <c r="R390" s="789" t="n"/>
      <c r="S390" s="789" t="n"/>
      <c r="T390" s="790" t="n">
        <v>140000</v>
      </c>
      <c r="U390" s="791" t="n">
        <v>140000</v>
      </c>
      <c r="V390" s="792" t="n">
        <v>0.12</v>
      </c>
      <c r="W390" s="943" t="n">
        <v>0.055</v>
      </c>
      <c r="X390" s="943" t="n">
        <v>0.12</v>
      </c>
      <c r="Y390" s="944" t="n"/>
      <c r="Z390" s="943" t="n">
        <v>0.04</v>
      </c>
      <c r="AA390" s="945" t="n">
        <v>186900</v>
      </c>
      <c r="AJ390" t="str">
        <f>IFERROR(INDEX(Lists!$U$1:$U$18,MATCH($I390,Lists!$T$1:$T$18,0)),"?")</f>
        <v>Energy Solutions &amp; B2B</v>
      </c>
      <c r="AK390" t="str">
        <f>IF(LOWER($Q390)="v","Vacant",IF(LOWER($Q390)="pause","Paused",IF(LOWER($Q390)="cxc","Contractor",IF($Q390="Contractor","Contractor","Filled"))))</f>
        <v>Filled</v>
      </c>
      <c r="AL390" t="str">
        <f>IF($M390="NZ","NZ","AU")</f>
        <v>AU</v>
      </c>
      <c r="AM390">
        <f>COUNTIF($AJ$2:$AJ390,$AJ390)</f>
        <v>22.0</v>
      </c>
      <c r="AN390" t="str">
        <f>$AJ390&amp;"|"&amp;$AM390</f>
        <v>Energy Solutions &amp; B2B|22</v>
      </c>
    </row>
    <row r="391" ht="18" customHeight="1" s="849">
      <c r="A391" s="659" t="n">
        <v>114723</v>
      </c>
      <c r="B391" s="660" t="inlineStr">
        <is>
          <t>Ming Shao</t>
        </is>
      </c>
      <c r="C391" s="660" t="inlineStr">
        <is>
          <t>Senior Systems Analyst Card</t>
        </is>
      </c>
      <c r="D391" s="660" t="inlineStr">
        <is>
          <t>Elle Spencer</t>
        </is>
      </c>
      <c r="E391" s="660" t="inlineStr">
        <is>
          <t>Technology Manager, Energy Solutions</t>
        </is>
      </c>
      <c r="F391" s="661" t="inlineStr">
        <is>
          <t>TDD CFE&amp;I</t>
        </is>
      </c>
      <c r="G391" s="662" t="inlineStr">
        <is>
          <t>B2B &amp; Energy Solutions</t>
        </is>
      </c>
      <c r="H391" s="662" t="inlineStr">
        <is>
          <t>Technology B2B</t>
        </is>
      </c>
      <c r="I391" s="662" t="inlineStr">
        <is>
          <t>B2B &amp; Energy Solutions</t>
        </is>
      </c>
      <c r="J391" s="660" t="inlineStr">
        <is>
          <t>B2B</t>
        </is>
      </c>
      <c r="K391" s="660" t="inlineStr">
        <is>
          <t>B2B</t>
        </is>
      </c>
      <c r="L391" s="662" t="n"/>
      <c r="M391" s="688" t="inlineStr">
        <is>
          <t>Australia</t>
        </is>
      </c>
      <c r="N391" s="664" t="inlineStr">
        <is>
          <t>CIC</t>
        </is>
      </c>
      <c r="O391" s="664" t="n">
        <v>1</v>
      </c>
      <c r="P391" s="664" t="n"/>
      <c r="Q391" s="664" t="inlineStr">
        <is>
          <t>Permanent - Full Time</t>
        </is>
      </c>
      <c r="R391" s="666" t="n"/>
      <c r="S391" s="666" t="n"/>
      <c r="T391" s="666" t="n">
        <v>166000</v>
      </c>
      <c r="U391" s="679" t="n">
        <v>166000</v>
      </c>
      <c r="V391" s="670" t="n">
        <v>0.12</v>
      </c>
      <c r="W391" s="921" t="n">
        <v>0.055</v>
      </c>
      <c r="X391" s="921" t="n">
        <v>0.12</v>
      </c>
      <c r="Y391" s="922" t="n"/>
      <c r="Z391" s="921" t="n">
        <v>0.04</v>
      </c>
      <c r="AA391" s="919" t="n">
        <v>221610</v>
      </c>
      <c r="AB391" s="744" t="n"/>
      <c r="AC391" s="744" t="n"/>
      <c r="AD391" s="744" t="n"/>
      <c r="AE391" s="744" t="n"/>
      <c r="AF391" s="744" t="n"/>
      <c r="AG391" s="744" t="n"/>
      <c r="AJ391" t="str">
        <f>IFERROR(INDEX(Lists!$U$1:$U$18,MATCH($I391,Lists!$T$1:$T$18,0)),"?")</f>
        <v>Energy Solutions &amp; B2B</v>
      </c>
      <c r="AK391" t="str">
        <f>IF(LOWER($Q391)="v","Vacant",IF(LOWER($Q391)="pause","Paused",IF(LOWER($Q391)="cxc","Contractor",IF($Q391="Contractor","Contractor","Filled"))))</f>
        <v>Filled</v>
      </c>
      <c r="AL391" t="str">
        <f>IF($M391="NZ","NZ","AU")</f>
        <v>AU</v>
      </c>
      <c r="AM391">
        <f>COUNTIF($AJ$2:$AJ391,$AJ391)</f>
        <v>23.0</v>
      </c>
      <c r="AN391" t="str">
        <f>$AJ391&amp;"|"&amp;$AM391</f>
        <v>Energy Solutions &amp; B2B|23</v>
      </c>
    </row>
    <row r="392" ht="18" customHeight="1" s="849">
      <c r="A392" s="659" t="n">
        <v>99999101224</v>
      </c>
      <c r="B392" s="660" t="inlineStr">
        <is>
          <t>Nakul Bharade</t>
        </is>
      </c>
      <c r="C392" s="660" t="inlineStr">
        <is>
          <t>Head of Technology, Commercial Fuels</t>
        </is>
      </c>
      <c r="D392" s="660" t="inlineStr">
        <is>
          <t xml:space="preserve">Roanne Steele </t>
        </is>
      </c>
      <c r="E392" s="660" t="inlineStr">
        <is>
          <t>GM TDD, CFE&amp;I</t>
        </is>
      </c>
      <c r="F392" s="661" t="inlineStr">
        <is>
          <t>TDD CFE&amp;I</t>
        </is>
      </c>
      <c r="G392" s="662" t="inlineStr">
        <is>
          <t>Commercial Fuels</t>
        </is>
      </c>
      <c r="H392" s="662" t="inlineStr">
        <is>
          <t>Leadership</t>
        </is>
      </c>
      <c r="I392" s="662" t="inlineStr">
        <is>
          <t>Commercial Fuels</t>
        </is>
      </c>
      <c r="J392" s="662" t="inlineStr">
        <is>
          <t>Leadership</t>
        </is>
      </c>
      <c r="K392" s="662" t="inlineStr">
        <is>
          <t>Leadership</t>
        </is>
      </c>
      <c r="L392" s="662" t="n"/>
      <c r="M392" s="688" t="inlineStr">
        <is>
          <t>NZ</t>
        </is>
      </c>
      <c r="N392" s="664" t="inlineStr">
        <is>
          <t>CSC</t>
        </is>
      </c>
      <c r="O392" s="665" t="n">
        <v>1</v>
      </c>
      <c r="P392" s="664" t="n"/>
      <c r="Q392" s="665" t="inlineStr">
        <is>
          <t>Permanent - Full Time</t>
        </is>
      </c>
      <c r="R392" s="666" t="n"/>
      <c r="S392" s="666" t="n"/>
      <c r="T392" s="666" t="n">
        <v>245860</v>
      </c>
      <c r="U392" s="679" t="n">
        <v>226191.2</v>
      </c>
      <c r="V392" s="669" t="n">
        <v>0.2</v>
      </c>
      <c r="W392" s="666" t="n"/>
      <c r="X392" s="670" t="n">
        <v>0.05</v>
      </c>
      <c r="Y392" s="918" t="n">
        <v>2910</v>
      </c>
      <c r="Z392" s="670" t="n">
        <v>0.03</v>
      </c>
      <c r="AA392" s="919" t="n">
        <v>292434.736</v>
      </c>
      <c r="AB392" s="744" t="n"/>
      <c r="AC392" s="744" t="n"/>
      <c r="AD392" s="744" t="n"/>
      <c r="AE392" s="744" t="n"/>
      <c r="AF392" s="744" t="n"/>
      <c r="AG392" s="744" t="n"/>
      <c r="AJ392" t="str">
        <f>IFERROR(INDEX(Lists!$U$1:$U$18,MATCH($I392,Lists!$T$1:$T$18,0)),"?")</f>
        <v>Commercial Fuels</v>
      </c>
      <c r="AK392" t="str">
        <f>IF(LOWER($Q392)="v","Vacant",IF(LOWER($Q392)="pause","Paused",IF(LOWER($Q392)="cxc","Contractor",IF($Q392="Contractor","Contractor","Filled"))))</f>
        <v>Filled</v>
      </c>
      <c r="AL392" t="str">
        <f>IF($M392="NZ","NZ","AU")</f>
        <v>NZ</v>
      </c>
      <c r="AM392">
        <f>COUNTIF($AJ$2:$AJ392,$AJ392)</f>
        <v>23.0</v>
      </c>
      <c r="AN392" t="str">
        <f>$AJ392&amp;"|"&amp;$AM392</f>
        <v>Commercial Fuels|23</v>
      </c>
    </row>
    <row r="393" ht="18" customHeight="1" s="849">
      <c r="A393" s="659" t="n">
        <v>99999101908</v>
      </c>
      <c r="B393" s="660" t="inlineStr">
        <is>
          <t>Oliver Shanks</t>
        </is>
      </c>
      <c r="C393" s="660" t="inlineStr">
        <is>
          <t>Associate Engineer Software</t>
        </is>
      </c>
      <c r="D393" s="662" t="inlineStr">
        <is>
          <t>Vacant</t>
        </is>
      </c>
      <c r="E393" s="660" t="inlineStr">
        <is>
          <t>Technology Manager, Engineering</t>
        </is>
      </c>
      <c r="F393" s="661" t="inlineStr">
        <is>
          <t>TDD CFE&amp;I</t>
        </is>
      </c>
      <c r="G393" s="662" t="inlineStr">
        <is>
          <t>Commercial Fuels</t>
        </is>
      </c>
      <c r="H393" s="662" t="inlineStr">
        <is>
          <t>Technology, CF Engineering</t>
        </is>
      </c>
      <c r="I393" s="662" t="inlineStr">
        <is>
          <t>Commercial Fuels</t>
        </is>
      </c>
      <c r="J393" s="660" t="inlineStr">
        <is>
          <t>CTRM</t>
        </is>
      </c>
      <c r="K393" s="660" t="inlineStr">
        <is>
          <t>CTRM</t>
        </is>
      </c>
      <c r="L393" s="662" t="n"/>
      <c r="M393" s="688" t="inlineStr">
        <is>
          <t>NZ</t>
        </is>
      </c>
      <c r="N393" s="664" t="inlineStr">
        <is>
          <t>CDA</t>
        </is>
      </c>
      <c r="O393" s="665" t="n">
        <v>1</v>
      </c>
      <c r="P393" s="664" t="n"/>
      <c r="Q393" s="665" t="inlineStr">
        <is>
          <t>Permanent - Full Time</t>
        </is>
      </c>
      <c r="R393" s="666" t="n"/>
      <c r="S393" s="666" t="n"/>
      <c r="T393" s="666" t="n">
        <v>75170</v>
      </c>
      <c r="U393" s="679" t="n">
        <v>69156.40000000001</v>
      </c>
      <c r="V393" s="669" t="n">
        <v>0.1</v>
      </c>
      <c r="W393" s="666" t="n"/>
      <c r="X393" s="670" t="n">
        <v>0.05</v>
      </c>
      <c r="Y393" s="918" t="n">
        <v>2910</v>
      </c>
      <c r="Z393" s="670" t="n">
        <v>0.03</v>
      </c>
      <c r="AA393" s="919" t="n">
        <v>84514.55200000003</v>
      </c>
      <c r="AB393" s="744" t="n"/>
      <c r="AC393" s="744" t="n"/>
      <c r="AD393" s="744" t="n"/>
      <c r="AE393" s="744" t="n"/>
      <c r="AF393" s="744" t="n"/>
      <c r="AG393" s="744" t="n"/>
      <c r="AJ393" t="str">
        <f>IFERROR(INDEX(Lists!$U$1:$U$18,MATCH($I393,Lists!$T$1:$T$18,0)),"?")</f>
        <v>Commercial Fuels</v>
      </c>
      <c r="AK393" t="str">
        <f>IF(LOWER($Q393)="v","Vacant",IF(LOWER($Q393)="pause","Paused",IF(LOWER($Q393)="cxc","Contractor",IF($Q393="Contractor","Contractor","Filled"))))</f>
        <v>Filled</v>
      </c>
      <c r="AL393" t="str">
        <f>IF($M393="NZ","NZ","AU")</f>
        <v>NZ</v>
      </c>
      <c r="AM393">
        <f>COUNTIF($AJ$2:$AJ393,$AJ393)</f>
        <v>24.0</v>
      </c>
      <c r="AN393" t="str">
        <f>$AJ393&amp;"|"&amp;$AM393</f>
        <v>Commercial Fuels|24</v>
      </c>
    </row>
    <row r="394" ht="18" customHeight="1" s="849">
      <c r="A394" s="659" t="n">
        <v>106907</v>
      </c>
      <c r="B394" s="660" t="inlineStr">
        <is>
          <t>Oz Shaaban</t>
        </is>
      </c>
      <c r="C394" s="660" t="inlineStr">
        <is>
          <t>Delivery Lead</t>
        </is>
      </c>
      <c r="D394" s="662" t="inlineStr">
        <is>
          <t>Vacant</t>
        </is>
      </c>
      <c r="E394" s="660" t="inlineStr">
        <is>
          <t>Delivery Manager</t>
        </is>
      </c>
      <c r="F394" s="661" t="inlineStr">
        <is>
          <t>TDD CFE&amp;I</t>
        </is>
      </c>
      <c r="G394" s="662" t="inlineStr">
        <is>
          <t>Commercial Fuels</t>
        </is>
      </c>
      <c r="H394" s="662" t="inlineStr">
        <is>
          <t>Delivery, Commercial Fuels</t>
        </is>
      </c>
      <c r="I394" s="662" t="inlineStr">
        <is>
          <t>Commercial Fuels</t>
        </is>
      </c>
      <c r="J394" s="662" t="inlineStr">
        <is>
          <t>CTRM</t>
        </is>
      </c>
      <c r="K394" s="662" t="inlineStr">
        <is>
          <t>CTRM</t>
        </is>
      </c>
      <c r="L394" s="660" t="n"/>
      <c r="M394" s="688" t="inlineStr">
        <is>
          <t>Australia</t>
        </is>
      </c>
      <c r="N394" s="664" t="inlineStr">
        <is>
          <t>CIC</t>
        </is>
      </c>
      <c r="O394" s="664" t="n">
        <v>1</v>
      </c>
      <c r="P394" s="664" t="n"/>
      <c r="Q394" s="664" t="inlineStr">
        <is>
          <t>Permanent - Full Time</t>
        </is>
      </c>
      <c r="R394" s="666" t="n"/>
      <c r="S394" s="666" t="n"/>
      <c r="T394" s="666" t="n">
        <v>190260</v>
      </c>
      <c r="U394" s="679" t="n">
        <v>190260</v>
      </c>
      <c r="V394" s="670" t="n">
        <v>0.12</v>
      </c>
      <c r="W394" s="921" t="n">
        <v>0.055</v>
      </c>
      <c r="X394" s="921" t="n">
        <v>0.12</v>
      </c>
      <c r="Y394" s="922" t="n"/>
      <c r="Z394" s="921" t="n">
        <v>0.04</v>
      </c>
      <c r="AA394" s="919" t="n">
        <v>253997.1</v>
      </c>
      <c r="AB394" s="744" t="n"/>
      <c r="AC394" s="744" t="n"/>
      <c r="AD394" s="744" t="n"/>
      <c r="AE394" s="744" t="n"/>
      <c r="AF394" s="744" t="n"/>
      <c r="AG394" s="744" t="n"/>
      <c r="AJ394" t="str">
        <f>IFERROR(INDEX(Lists!$U$1:$U$18,MATCH($I394,Lists!$T$1:$T$18,0)),"?")</f>
        <v>Commercial Fuels</v>
      </c>
      <c r="AK394" t="str">
        <f>IF(LOWER($Q394)="v","Vacant",IF(LOWER($Q394)="pause","Paused",IF(LOWER($Q394)="cxc","Contractor",IF($Q394="Contractor","Contractor","Filled"))))</f>
        <v>Filled</v>
      </c>
      <c r="AL394" t="str">
        <f>IF($M394="NZ","NZ","AU")</f>
        <v>AU</v>
      </c>
      <c r="AM394">
        <f>COUNTIF($AJ$2:$AJ394,$AJ394)</f>
        <v>25.0</v>
      </c>
      <c r="AN394" t="str">
        <f>$AJ394&amp;"|"&amp;$AM394</f>
        <v>Commercial Fuels|25</v>
      </c>
    </row>
    <row r="395" ht="18" customHeight="1" s="849">
      <c r="A395" s="659" t="n">
        <v>14920</v>
      </c>
      <c r="B395" s="660" t="inlineStr">
        <is>
          <t>Poch Fernandez</t>
        </is>
      </c>
      <c r="C395" s="660" t="inlineStr">
        <is>
          <t xml:space="preserve">Lead Technology Support  </t>
        </is>
      </c>
      <c r="D395" s="660" t="inlineStr">
        <is>
          <t>Allan Francia</t>
        </is>
      </c>
      <c r="E395" s="660" t="inlineStr">
        <is>
          <t>Technology Manager, T&amp;S</t>
        </is>
      </c>
      <c r="F395" s="661" t="inlineStr">
        <is>
          <t>TDD CFE&amp;I</t>
        </is>
      </c>
      <c r="G395" s="662" t="inlineStr">
        <is>
          <t>Commercial Fuels</t>
        </is>
      </c>
      <c r="H395" s="662" t="inlineStr">
        <is>
          <t>Technology, Trading &amp; Shipping</t>
        </is>
      </c>
      <c r="I395" s="662" t="inlineStr">
        <is>
          <t>Commercial Fuels</t>
        </is>
      </c>
      <c r="J395" s="662" t="inlineStr">
        <is>
          <t>Trading &amp; Shipping</t>
        </is>
      </c>
      <c r="K395" s="660" t="inlineStr">
        <is>
          <t>Trading &amp; Shipping</t>
        </is>
      </c>
      <c r="L395" s="662" t="n"/>
      <c r="M395" s="688" t="inlineStr">
        <is>
          <t>Singapore</t>
        </is>
      </c>
      <c r="N395" s="666" t="inlineStr">
        <is>
          <t>CIA</t>
        </is>
      </c>
      <c r="O395" s="666" t="n">
        <v>1</v>
      </c>
      <c r="P395" s="666" t="n"/>
      <c r="Q395" s="666" t="inlineStr">
        <is>
          <t>Permanent - Full Time</t>
        </is>
      </c>
      <c r="R395" s="666" t="n"/>
      <c r="S395" s="666" t="n"/>
      <c r="T395" s="666" t="n">
        <v>126380</v>
      </c>
      <c r="U395" s="679" t="n">
        <v>152919.8</v>
      </c>
      <c r="V395" s="670" t="n">
        <v>0.18</v>
      </c>
      <c r="W395" s="666" t="n"/>
      <c r="X395" s="670" t="n">
        <v>0.17</v>
      </c>
      <c r="Y395" s="918" t="n">
        <v>3310</v>
      </c>
      <c r="Z395" s="713" t="n">
        <v>0.045</v>
      </c>
      <c r="AA395" s="919" t="n">
        <v>216633.121</v>
      </c>
      <c r="AB395" s="744" t="n"/>
      <c r="AC395" s="744" t="n"/>
      <c r="AD395" s="744" t="n"/>
      <c r="AE395" s="744" t="n"/>
      <c r="AF395" s="744" t="n"/>
      <c r="AG395" s="744" t="n"/>
      <c r="AJ395" t="str">
        <f>IFERROR(INDEX(Lists!$U$1:$U$18,MATCH($I395,Lists!$T$1:$T$18,0)),"?")</f>
        <v>Commercial Fuels</v>
      </c>
      <c r="AK395" t="str">
        <f>IF(LOWER($Q395)="v","Vacant",IF(LOWER($Q395)="pause","Paused",IF(LOWER($Q395)="cxc","Contractor",IF($Q395="Contractor","Contractor","Filled"))))</f>
        <v>Filled</v>
      </c>
      <c r="AL395" t="str">
        <f>IF($M395="NZ","NZ","AU")</f>
        <v>AU</v>
      </c>
      <c r="AM395">
        <f>COUNTIF($AJ$2:$AJ395,$AJ395)</f>
        <v>26.0</v>
      </c>
      <c r="AN395" t="str">
        <f>$AJ395&amp;"|"&amp;$AM395</f>
        <v>Commercial Fuels|26</v>
      </c>
    </row>
    <row r="396" ht="18" customHeight="1" s="849">
      <c r="A396" s="659" t="n">
        <v>92697</v>
      </c>
      <c r="B396" s="660" t="inlineStr">
        <is>
          <t>Radek Rybar</t>
        </is>
      </c>
      <c r="C396" s="660" t="inlineStr">
        <is>
          <t>Technology Support Engineer - Infrastructure</t>
        </is>
      </c>
      <c r="D396" s="660" t="inlineStr">
        <is>
          <t>Glenn Earl</t>
        </is>
      </c>
      <c r="E396" s="660" t="inlineStr">
        <is>
          <t>Lead Support, Infrastructure</t>
        </is>
      </c>
      <c r="F396" s="661" t="inlineStr">
        <is>
          <t>TDD CFE&amp;I</t>
        </is>
      </c>
      <c r="G396" s="662" t="inlineStr">
        <is>
          <t>Fuel Infrastructure</t>
        </is>
      </c>
      <c r="H396" s="662" t="inlineStr">
        <is>
          <t>Refinery Applications</t>
        </is>
      </c>
      <c r="I396" s="662" t="inlineStr">
        <is>
          <t>Infrastructure</t>
        </is>
      </c>
      <c r="J396" s="662" t="inlineStr">
        <is>
          <t>Fuel Infrastructure</t>
        </is>
      </c>
      <c r="K396" s="660" t="inlineStr">
        <is>
          <t>Technology Suport</t>
        </is>
      </c>
      <c r="L396" s="662" t="n"/>
      <c r="M396" s="688" t="inlineStr">
        <is>
          <t>Australia</t>
        </is>
      </c>
      <c r="N396" s="664" t="inlineStr">
        <is>
          <t>CIA</t>
        </is>
      </c>
      <c r="O396" s="664" t="n">
        <v>1</v>
      </c>
      <c r="P396" s="664" t="n"/>
      <c r="Q396" s="664" t="inlineStr">
        <is>
          <t>Permanent - Full Time</t>
        </is>
      </c>
      <c r="R396" s="666" t="n"/>
      <c r="S396" s="666" t="n"/>
      <c r="T396" s="666" t="n">
        <v>116880</v>
      </c>
      <c r="U396" s="679" t="n">
        <v>116880</v>
      </c>
      <c r="V396" s="670" t="n">
        <v>0.1</v>
      </c>
      <c r="W396" s="921" t="n">
        <v>0.055</v>
      </c>
      <c r="X396" s="921" t="n">
        <v>0.12</v>
      </c>
      <c r="Y396" s="922" t="n"/>
      <c r="Z396" s="921" t="n">
        <v>0.04</v>
      </c>
      <c r="AA396" s="919" t="n">
        <v>153697.2</v>
      </c>
      <c r="AB396" s="744" t="n"/>
      <c r="AC396" s="744" t="n"/>
      <c r="AD396" s="744" t="n"/>
      <c r="AE396" s="744" t="n"/>
      <c r="AF396" s="744" t="n"/>
      <c r="AG396" s="744" t="n"/>
      <c r="AJ396" t="str">
        <f>IFERROR(INDEX(Lists!$U$1:$U$18,MATCH($I396,Lists!$T$1:$T$18,0)),"?")</f>
        <v>Infrastructure</v>
      </c>
      <c r="AK396" t="str">
        <f>IF(LOWER($Q396)="v","Vacant",IF(LOWER($Q396)="pause","Paused",IF(LOWER($Q396)="cxc","Contractor",IF($Q396="Contractor","Contractor","Filled"))))</f>
        <v>Filled</v>
      </c>
      <c r="AL396" t="str">
        <f>IF($M396="NZ","NZ","AU")</f>
        <v>AU</v>
      </c>
      <c r="AM396">
        <f>COUNTIF($AJ$2:$AJ396,$AJ396)</f>
        <v>14.0</v>
      </c>
      <c r="AN396" t="str">
        <f>$AJ396&amp;"|"&amp;$AM396</f>
        <v>Infrastructure|14</v>
      </c>
    </row>
    <row r="397" ht="18" customHeight="1" s="849">
      <c r="A397" s="659" t="n">
        <v>97884</v>
      </c>
      <c r="B397" s="660" t="inlineStr">
        <is>
          <t>Rebecca Estepa</t>
        </is>
      </c>
      <c r="C397" s="660" t="inlineStr">
        <is>
          <t>Snr Business Analyst</t>
        </is>
      </c>
      <c r="D397" s="662" t="inlineStr">
        <is>
          <t>Vacant</t>
        </is>
      </c>
      <c r="E397" s="660" t="inlineStr">
        <is>
          <t>Delivery Manager</t>
        </is>
      </c>
      <c r="F397" s="661" t="inlineStr">
        <is>
          <t>TDD CFE&amp;I</t>
        </is>
      </c>
      <c r="G397" s="662" t="inlineStr">
        <is>
          <t>Fuel Infrastructure</t>
        </is>
      </c>
      <c r="H397" s="662" t="inlineStr">
        <is>
          <t>Fuel Infrastructure, Delivery</t>
        </is>
      </c>
      <c r="I397" s="662" t="inlineStr">
        <is>
          <t>Infrastructure</t>
        </is>
      </c>
      <c r="J397" s="660" t="inlineStr">
        <is>
          <t>Distribution</t>
        </is>
      </c>
      <c r="K397" s="660" t="inlineStr">
        <is>
          <t>Distribution, Sales &amp; Services</t>
        </is>
      </c>
      <c r="L397" s="662" t="n"/>
      <c r="M397" s="688" t="inlineStr">
        <is>
          <t>Australia</t>
        </is>
      </c>
      <c r="N397" s="664" t="inlineStr">
        <is>
          <t>CIB</t>
        </is>
      </c>
      <c r="O397" s="664" t="n">
        <v>1</v>
      </c>
      <c r="P397" s="664" t="n"/>
      <c r="Q397" s="664" t="inlineStr">
        <is>
          <t>Permanent - Full Time</t>
        </is>
      </c>
      <c r="R397" s="666" t="n"/>
      <c r="S397" s="666" t="n"/>
      <c r="T397" s="666" t="n">
        <v>174780</v>
      </c>
      <c r="U397" s="679" t="n">
        <v>174780</v>
      </c>
      <c r="V397" s="670" t="n">
        <v>0.12</v>
      </c>
      <c r="W397" s="921" t="n">
        <v>0.055</v>
      </c>
      <c r="X397" s="921" t="n">
        <v>0.12</v>
      </c>
      <c r="Y397" s="922" t="n"/>
      <c r="Z397" s="921" t="n">
        <v>0.04</v>
      </c>
      <c r="AA397" s="919" t="n">
        <v>233331.3</v>
      </c>
      <c r="AB397" s="744" t="n"/>
      <c r="AC397" s="744" t="n"/>
      <c r="AD397" s="744" t="n"/>
      <c r="AE397" s="744" t="n"/>
      <c r="AF397" s="744" t="n"/>
      <c r="AG397" s="744" t="n"/>
      <c r="AH397" s="744" t="n"/>
      <c r="AJ397" t="str">
        <f>IFERROR(INDEX(Lists!$U$1:$U$18,MATCH($I397,Lists!$T$1:$T$18,0)),"?")</f>
        <v>Infrastructure</v>
      </c>
      <c r="AK397" t="str">
        <f>IF(LOWER($Q397)="v","Vacant",IF(LOWER($Q397)="pause","Paused",IF(LOWER($Q397)="cxc","Contractor",IF($Q397="Contractor","Contractor","Filled"))))</f>
        <v>Filled</v>
      </c>
      <c r="AL397" t="str">
        <f>IF($M397="NZ","NZ","AU")</f>
        <v>AU</v>
      </c>
      <c r="AM397">
        <f>COUNTIF($AJ$2:$AJ397,$AJ397)</f>
        <v>15.0</v>
      </c>
      <c r="AN397" t="str">
        <f>$AJ397&amp;"|"&amp;$AM397</f>
        <v>Infrastructure|15</v>
      </c>
    </row>
    <row r="398" ht="18" customHeight="1" s="849">
      <c r="A398" s="659" t="n">
        <v>115935</v>
      </c>
      <c r="B398" s="660" t="inlineStr">
        <is>
          <t>Rick Abainza</t>
        </is>
      </c>
      <c r="C398" s="660" t="inlineStr">
        <is>
          <t>Lead Business Analyst</t>
        </is>
      </c>
      <c r="D398" s="662" t="inlineStr">
        <is>
          <t>Vacant</t>
        </is>
      </c>
      <c r="E398" s="660" t="inlineStr">
        <is>
          <t>Delivery Manager</t>
        </is>
      </c>
      <c r="F398" s="661" t="inlineStr">
        <is>
          <t>TDD CFE&amp;I</t>
        </is>
      </c>
      <c r="G398" s="662" t="inlineStr">
        <is>
          <t>Commercial Fuels</t>
        </is>
      </c>
      <c r="H398" s="662" t="inlineStr">
        <is>
          <t>Delivery, Commercial Fuels</t>
        </is>
      </c>
      <c r="I398" s="662" t="inlineStr">
        <is>
          <t>Commercial Fuels</t>
        </is>
      </c>
      <c r="J398" s="662" t="inlineStr">
        <is>
          <t>CTRM</t>
        </is>
      </c>
      <c r="K398" s="662" t="inlineStr">
        <is>
          <t>CTRM</t>
        </is>
      </c>
      <c r="L398" s="660" t="n"/>
      <c r="M398" s="688" t="inlineStr">
        <is>
          <t>Singapore</t>
        </is>
      </c>
      <c r="N398" s="664" t="inlineStr">
        <is>
          <t>CIC</t>
        </is>
      </c>
      <c r="O398" s="664" t="n">
        <v>1</v>
      </c>
      <c r="P398" s="664" t="n"/>
      <c r="Q398" s="664" t="inlineStr">
        <is>
          <t>Permanent - Full Time</t>
        </is>
      </c>
      <c r="R398" s="666" t="n"/>
      <c r="S398" s="666" t="n"/>
      <c r="T398" s="666" t="n">
        <v>205000</v>
      </c>
      <c r="U398" s="679" t="n">
        <v>248050</v>
      </c>
      <c r="V398" s="670" t="n">
        <v>0.25</v>
      </c>
      <c r="W398" s="666" t="n"/>
      <c r="X398" s="670" t="n">
        <v>0.17</v>
      </c>
      <c r="Y398" s="918" t="n">
        <v>3310</v>
      </c>
      <c r="Z398" s="713" t="n">
        <v>0.045</v>
      </c>
      <c r="AA398" s="919" t="n">
        <v>366703.2499999999</v>
      </c>
      <c r="AB398" s="744" t="n"/>
      <c r="AC398" s="744" t="n"/>
      <c r="AD398" s="744" t="n"/>
      <c r="AE398" s="744" t="n"/>
      <c r="AF398" s="744" t="n"/>
      <c r="AG398" s="744" t="n"/>
      <c r="AH398" s="744" t="n"/>
      <c r="AJ398" t="str">
        <f>IFERROR(INDEX(Lists!$U$1:$U$18,MATCH($I398,Lists!$T$1:$T$18,0)),"?")</f>
        <v>Commercial Fuels</v>
      </c>
      <c r="AK398" t="str">
        <f>IF(LOWER($Q398)="v","Vacant",IF(LOWER($Q398)="pause","Paused",IF(LOWER($Q398)="cxc","Contractor",IF($Q398="Contractor","Contractor","Filled"))))</f>
        <v>Filled</v>
      </c>
      <c r="AL398" t="str">
        <f>IF($M398="NZ","NZ","AU")</f>
        <v>AU</v>
      </c>
      <c r="AM398">
        <f>COUNTIF($AJ$2:$AJ398,$AJ398)</f>
        <v>27.0</v>
      </c>
      <c r="AN398" t="str">
        <f>$AJ398&amp;"|"&amp;$AM398</f>
        <v>Commercial Fuels|27</v>
      </c>
    </row>
    <row r="399" ht="18" customHeight="1" s="849">
      <c r="A399" s="659" t="n">
        <v>99999101636</v>
      </c>
      <c r="B399" s="660" t="inlineStr">
        <is>
          <t>Rod Santillan</t>
        </is>
      </c>
      <c r="C399" s="660" t="inlineStr">
        <is>
          <t>Snr Engineer Software</t>
        </is>
      </c>
      <c r="D399" s="660" t="inlineStr">
        <is>
          <t>Elle Spencer</t>
        </is>
      </c>
      <c r="E399" s="660" t="inlineStr">
        <is>
          <t>Technology Manager, Energy Solutions</t>
        </is>
      </c>
      <c r="F399" s="661" t="inlineStr">
        <is>
          <t>TDD CFE&amp;I</t>
        </is>
      </c>
      <c r="G399" s="662" t="inlineStr">
        <is>
          <t>B2B &amp; Energy Solutions</t>
        </is>
      </c>
      <c r="H399" s="662" t="inlineStr">
        <is>
          <t>Technology B2B</t>
        </is>
      </c>
      <c r="I399" s="662" t="inlineStr">
        <is>
          <t>B2B &amp; Energy Solutions</t>
        </is>
      </c>
      <c r="J399" s="660" t="inlineStr">
        <is>
          <t>B2B</t>
        </is>
      </c>
      <c r="K399" s="660" t="inlineStr">
        <is>
          <t>B2B</t>
        </is>
      </c>
      <c r="L399" s="662" t="n"/>
      <c r="M399" s="688" t="inlineStr">
        <is>
          <t>NZ</t>
        </is>
      </c>
      <c r="N399" s="664" t="inlineStr">
        <is>
          <t>CIA</t>
        </is>
      </c>
      <c r="O399" s="665" t="n">
        <v>1</v>
      </c>
      <c r="P399" s="664" t="n"/>
      <c r="Q399" s="665" t="inlineStr">
        <is>
          <t>Permanent - Full Time</t>
        </is>
      </c>
      <c r="R399" s="666" t="n"/>
      <c r="S399" s="666" t="n"/>
      <c r="T399" s="666" t="n">
        <v>142200</v>
      </c>
      <c r="U399" s="679" t="n">
        <v>130824</v>
      </c>
      <c r="V399" s="669" t="n">
        <v>0.15</v>
      </c>
      <c r="W399" s="666" t="n"/>
      <c r="X399" s="670" t="n">
        <v>0.05</v>
      </c>
      <c r="Y399" s="918" t="n">
        <v>2910</v>
      </c>
      <c r="Z399" s="670" t="n">
        <v>0.03</v>
      </c>
      <c r="AA399" s="919" t="n">
        <v>163823.52</v>
      </c>
      <c r="AB399" s="744" t="n"/>
      <c r="AC399" s="744" t="n"/>
      <c r="AD399" s="744" t="n"/>
      <c r="AE399" s="744" t="n"/>
      <c r="AF399" s="744" t="n"/>
      <c r="AG399" s="744" t="n"/>
      <c r="AH399" s="744" t="n"/>
      <c r="AJ399" t="str">
        <f>IFERROR(INDEX(Lists!$U$1:$U$18,MATCH($I399,Lists!$T$1:$T$18,0)),"?")</f>
        <v>Energy Solutions &amp; B2B</v>
      </c>
      <c r="AK399" t="str">
        <f>IF(LOWER($Q399)="v","Vacant",IF(LOWER($Q399)="pause","Paused",IF(LOWER($Q399)="cxc","Contractor",IF($Q399="Contractor","Contractor","Filled"))))</f>
        <v>Filled</v>
      </c>
      <c r="AL399" t="str">
        <f>IF($M399="NZ","NZ","AU")</f>
        <v>NZ</v>
      </c>
      <c r="AM399">
        <f>COUNTIF($AJ$2:$AJ399,$AJ399)</f>
        <v>24.0</v>
      </c>
      <c r="AN399" t="str">
        <f>$AJ399&amp;"|"&amp;$AM399</f>
        <v>Energy Solutions &amp; B2B|24</v>
      </c>
    </row>
    <row r="400" ht="18" customHeight="1" s="849">
      <c r="A400" s="659" t="n">
        <v>113202</v>
      </c>
      <c r="B400" s="660" t="inlineStr">
        <is>
          <t>Rohan Patel</t>
        </is>
      </c>
      <c r="C400" s="660" t="inlineStr">
        <is>
          <t>Senior Systems Analyst</t>
        </is>
      </c>
      <c r="D400" s="660" t="inlineStr">
        <is>
          <t>Karla Orozco Loza</t>
        </is>
      </c>
      <c r="E400" s="660" t="inlineStr">
        <is>
          <t>Technology Manager, Future Infrastructure</t>
        </is>
      </c>
      <c r="F400" s="661" t="inlineStr">
        <is>
          <t>TDD CFE&amp;I</t>
        </is>
      </c>
      <c r="G400" s="662" t="inlineStr">
        <is>
          <t>Fuel Infrastructure</t>
        </is>
      </c>
      <c r="H400" s="662" t="inlineStr">
        <is>
          <t>Technology - Distribution</t>
        </is>
      </c>
      <c r="I400" s="662" t="inlineStr">
        <is>
          <t>Infrastructure</t>
        </is>
      </c>
      <c r="J400" s="662" t="inlineStr">
        <is>
          <t>Distribution</t>
        </is>
      </c>
      <c r="K400" s="660" t="inlineStr">
        <is>
          <t>Distribution, Sales &amp; Services</t>
        </is>
      </c>
      <c r="L400" s="662" t="n"/>
      <c r="M400" s="688" t="inlineStr">
        <is>
          <t>Australia</t>
        </is>
      </c>
      <c r="N400" s="664" t="inlineStr">
        <is>
          <t>CIB</t>
        </is>
      </c>
      <c r="O400" s="664" t="n">
        <v>1</v>
      </c>
      <c r="P400" s="664" t="n"/>
      <c r="Q400" s="664" t="inlineStr">
        <is>
          <t>Permanent - Full Time</t>
        </is>
      </c>
      <c r="R400" s="666" t="n"/>
      <c r="S400" s="666" t="n"/>
      <c r="T400" s="666" t="n">
        <v>156850</v>
      </c>
      <c r="U400" s="679" t="n">
        <v>156850</v>
      </c>
      <c r="V400" s="670" t="n">
        <v>0.12</v>
      </c>
      <c r="W400" s="921" t="n">
        <v>0.055</v>
      </c>
      <c r="X400" s="921" t="n">
        <v>0.12</v>
      </c>
      <c r="Y400" s="922" t="n"/>
      <c r="Z400" s="921" t="n">
        <v>0.04</v>
      </c>
      <c r="AA400" s="919" t="n">
        <v>209394.75</v>
      </c>
      <c r="AB400" s="744" t="n"/>
      <c r="AC400" s="744" t="n"/>
      <c r="AD400" s="744" t="n"/>
      <c r="AE400" s="744" t="n"/>
      <c r="AF400" s="744" t="n"/>
      <c r="AG400" s="744" t="n"/>
      <c r="AH400" s="744" t="n"/>
      <c r="AJ400" t="str">
        <f>IFERROR(INDEX(Lists!$U$1:$U$18,MATCH($I400,Lists!$T$1:$T$18,0)),"?")</f>
        <v>Infrastructure</v>
      </c>
      <c r="AK400" t="str">
        <f>IF(LOWER($Q400)="v","Vacant",IF(LOWER($Q400)="pause","Paused",IF(LOWER($Q400)="cxc","Contractor",IF($Q400="Contractor","Contractor","Filled"))))</f>
        <v>Filled</v>
      </c>
      <c r="AL400" t="str">
        <f>IF($M400="NZ","NZ","AU")</f>
        <v>AU</v>
      </c>
      <c r="AM400">
        <f>COUNTIF($AJ$2:$AJ400,$AJ400)</f>
        <v>16.0</v>
      </c>
      <c r="AN400" t="str">
        <f>$AJ400&amp;"|"&amp;$AM400</f>
        <v>Infrastructure|16</v>
      </c>
    </row>
    <row r="401" ht="18" customHeight="1" s="849">
      <c r="A401" s="659" t="n">
        <v>109362</v>
      </c>
      <c r="B401" s="660" t="inlineStr">
        <is>
          <t>Scott Hasson</t>
        </is>
      </c>
      <c r="C401" s="660" t="inlineStr">
        <is>
          <t>Technology Support Engineer - Infrastructure</t>
        </is>
      </c>
      <c r="D401" s="660" t="inlineStr">
        <is>
          <t>Glenn Earl</t>
        </is>
      </c>
      <c r="E401" s="660" t="inlineStr">
        <is>
          <t>Lead Support, Infrastructure</t>
        </is>
      </c>
      <c r="F401" s="661" t="inlineStr">
        <is>
          <t>TDD CFE&amp;I</t>
        </is>
      </c>
      <c r="G401" s="662" t="inlineStr">
        <is>
          <t>Fuel Infrastructure</t>
        </is>
      </c>
      <c r="H401" s="662" t="inlineStr">
        <is>
          <t>Refinery Applications</t>
        </is>
      </c>
      <c r="I401" s="662" t="inlineStr">
        <is>
          <t>Infrastructure</t>
        </is>
      </c>
      <c r="J401" s="662" t="inlineStr">
        <is>
          <t>Fuel Infrastructure</t>
        </is>
      </c>
      <c r="K401" s="660" t="inlineStr">
        <is>
          <t>Technology Suport</t>
        </is>
      </c>
      <c r="L401" s="662" t="n"/>
      <c r="M401" s="688" t="inlineStr">
        <is>
          <t>Australia</t>
        </is>
      </c>
      <c r="N401" s="664" t="inlineStr">
        <is>
          <t>CIA</t>
        </is>
      </c>
      <c r="O401" s="664" t="n">
        <v>1</v>
      </c>
      <c r="P401" s="664" t="n"/>
      <c r="Q401" s="664" t="inlineStr">
        <is>
          <t>Permanent - Full Time</t>
        </is>
      </c>
      <c r="R401" s="666" t="n"/>
      <c r="S401" s="666" t="n"/>
      <c r="T401" s="666" t="n">
        <v>111580</v>
      </c>
      <c r="U401" s="679" t="n">
        <v>111580</v>
      </c>
      <c r="V401" s="670" t="n">
        <v>0.1</v>
      </c>
      <c r="W401" s="921" t="n">
        <v>0.055</v>
      </c>
      <c r="X401" s="921" t="n">
        <v>0.12</v>
      </c>
      <c r="Y401" s="922" t="n"/>
      <c r="Z401" s="921" t="n">
        <v>0.04</v>
      </c>
      <c r="AA401" s="919" t="n">
        <v>146727.7</v>
      </c>
      <c r="AB401" s="744" t="n"/>
      <c r="AC401" s="744" t="n"/>
      <c r="AD401" s="744" t="n"/>
      <c r="AE401" s="744" t="n"/>
      <c r="AF401" s="744" t="n"/>
      <c r="AG401" s="744" t="n"/>
      <c r="AH401" s="744" t="n"/>
      <c r="AJ401" t="str">
        <f>IFERROR(INDEX(Lists!$U$1:$U$18,MATCH($I401,Lists!$T$1:$T$18,0)),"?")</f>
        <v>Infrastructure</v>
      </c>
      <c r="AK401" t="str">
        <f>IF(LOWER($Q401)="v","Vacant",IF(LOWER($Q401)="pause","Paused",IF(LOWER($Q401)="cxc","Contractor",IF($Q401="Contractor","Contractor","Filled"))))</f>
        <v>Filled</v>
      </c>
      <c r="AL401" t="str">
        <f>IF($M401="NZ","NZ","AU")</f>
        <v>AU</v>
      </c>
      <c r="AM401">
        <f>COUNTIF($AJ$2:$AJ401,$AJ401)</f>
        <v>17.0</v>
      </c>
      <c r="AN401" t="str">
        <f>$AJ401&amp;"|"&amp;$AM401</f>
        <v>Infrastructure|17</v>
      </c>
    </row>
    <row r="402" ht="18" customHeight="1" s="849">
      <c r="A402" s="659" t="n">
        <v>102187</v>
      </c>
      <c r="B402" s="660" t="inlineStr">
        <is>
          <t>Sijin Zhu</t>
        </is>
      </c>
      <c r="C402" s="660" t="inlineStr">
        <is>
          <t>Business Analyst</t>
        </is>
      </c>
      <c r="D402" s="662" t="inlineStr">
        <is>
          <t>Vacant</t>
        </is>
      </c>
      <c r="E402" s="660" t="inlineStr">
        <is>
          <t>Delivery Manager</t>
        </is>
      </c>
      <c r="F402" s="661" t="inlineStr">
        <is>
          <t>TDD CFE&amp;I</t>
        </is>
      </c>
      <c r="G402" s="662" t="inlineStr">
        <is>
          <t>Commercial Fuels</t>
        </is>
      </c>
      <c r="H402" s="662" t="inlineStr">
        <is>
          <t>Delivery, Commercial Fuels</t>
        </is>
      </c>
      <c r="I402" s="662" t="inlineStr">
        <is>
          <t>Commercial Fuels</t>
        </is>
      </c>
      <c r="J402" s="662" t="inlineStr">
        <is>
          <t>CTRM</t>
        </is>
      </c>
      <c r="K402" s="662" t="inlineStr">
        <is>
          <t>CTRM</t>
        </is>
      </c>
      <c r="L402" s="660" t="n"/>
      <c r="M402" s="688" t="inlineStr">
        <is>
          <t>Singapore</t>
        </is>
      </c>
      <c r="N402" s="664" t="inlineStr">
        <is>
          <t>CIB</t>
        </is>
      </c>
      <c r="O402" s="664" t="n">
        <v>1</v>
      </c>
      <c r="P402" s="664" t="n"/>
      <c r="Q402" s="664" t="inlineStr">
        <is>
          <t>Permanent - Full Time</t>
        </is>
      </c>
      <c r="R402" s="666" t="n"/>
      <c r="S402" s="666" t="n"/>
      <c r="T402" s="666" t="n">
        <v>155640</v>
      </c>
      <c r="U402" s="679" t="n">
        <v>188324.4</v>
      </c>
      <c r="V402" s="670" t="n">
        <v>0.25</v>
      </c>
      <c r="W402" s="666" t="n"/>
      <c r="X402" s="670" t="n">
        <v>0.17</v>
      </c>
      <c r="Y402" s="918" t="n">
        <v>3310</v>
      </c>
      <c r="Z402" s="713" t="n">
        <v>0.045</v>
      </c>
      <c r="AA402" s="919" t="n">
        <v>279205.246</v>
      </c>
      <c r="AB402" s="744" t="n"/>
      <c r="AC402" s="744" t="n"/>
      <c r="AD402" s="744" t="n"/>
      <c r="AE402" s="744" t="n"/>
      <c r="AF402" s="744" t="n"/>
      <c r="AG402" s="744" t="n"/>
      <c r="AH402" s="744" t="n"/>
      <c r="AJ402" t="str">
        <f>IFERROR(INDEX(Lists!$U$1:$U$18,MATCH($I402,Lists!$T$1:$T$18,0)),"?")</f>
        <v>Commercial Fuels</v>
      </c>
      <c r="AK402" t="str">
        <f>IF(LOWER($Q402)="v","Vacant",IF(LOWER($Q402)="pause","Paused",IF(LOWER($Q402)="cxc","Contractor",IF($Q402="Contractor","Contractor","Filled"))))</f>
        <v>Filled</v>
      </c>
      <c r="AL402" t="str">
        <f>IF($M402="NZ","NZ","AU")</f>
        <v>AU</v>
      </c>
      <c r="AM402">
        <f>COUNTIF($AJ$2:$AJ402,$AJ402)</f>
        <v>28.0</v>
      </c>
      <c r="AN402" t="str">
        <f>$AJ402&amp;"|"&amp;$AM402</f>
        <v>Commercial Fuels|28</v>
      </c>
    </row>
    <row r="403" ht="18" customHeight="1" s="849">
      <c r="A403" s="659" t="inlineStr">
        <is>
          <t>C</t>
        </is>
      </c>
      <c r="B403" s="660" t="inlineStr">
        <is>
          <t>Simrat Singh</t>
        </is>
      </c>
      <c r="C403" s="660" t="inlineStr">
        <is>
          <t>Reporting Analyst</t>
        </is>
      </c>
      <c r="D403" s="660" t="inlineStr">
        <is>
          <t>Jaya Ganasan</t>
        </is>
      </c>
      <c r="E403" s="660" t="inlineStr">
        <is>
          <t>Technology Manager, TDD Refinery</t>
        </is>
      </c>
      <c r="F403" s="661" t="inlineStr">
        <is>
          <t>TDD CFE&amp;I</t>
        </is>
      </c>
      <c r="G403" s="662" t="inlineStr">
        <is>
          <t>Fuel Infrastructure</t>
        </is>
      </c>
      <c r="H403" s="662" t="inlineStr">
        <is>
          <t>Refinery Applications</t>
        </is>
      </c>
      <c r="I403" s="662" t="inlineStr">
        <is>
          <t>Infrastructure</t>
        </is>
      </c>
      <c r="J403" s="660" t="inlineStr">
        <is>
          <t xml:space="preserve">Data &amp; Insights </t>
        </is>
      </c>
      <c r="K403" s="660" t="inlineStr">
        <is>
          <t xml:space="preserve">Data &amp; Insights </t>
        </is>
      </c>
      <c r="L403" s="662" t="n"/>
      <c r="M403" s="688" t="inlineStr">
        <is>
          <t>Australia</t>
        </is>
      </c>
      <c r="N403" s="666" t="inlineStr">
        <is>
          <t>NA</t>
        </is>
      </c>
      <c r="O403" s="664" t="n">
        <v>1</v>
      </c>
      <c r="P403" s="666" t="n"/>
      <c r="Q403" s="666" t="inlineStr">
        <is>
          <t>cxc</t>
        </is>
      </c>
      <c r="R403" s="677" t="inlineStr">
        <is>
          <t>Daily</t>
        </is>
      </c>
      <c r="S403" s="666" t="n">
        <v>890</v>
      </c>
      <c r="T403" s="666" t="n">
        <v>0</v>
      </c>
      <c r="U403" s="666" t="n"/>
      <c r="V403" s="662" t="n"/>
      <c r="W403" s="662" t="n"/>
      <c r="X403" s="662" t="n"/>
      <c r="Y403" s="662" t="n"/>
      <c r="Z403" s="662" t="n"/>
      <c r="AA403" s="678" t="n">
        <v>197580</v>
      </c>
      <c r="AB403" s="744" t="n"/>
      <c r="AC403" s="744" t="n"/>
      <c r="AD403" s="744" t="n"/>
      <c r="AE403" s="744" t="n"/>
      <c r="AF403" s="744" t="n"/>
      <c r="AG403" s="744" t="n"/>
      <c r="AH403" s="744" t="n"/>
      <c r="AJ403" t="str">
        <f>IFERROR(INDEX(Lists!$U$1:$U$18,MATCH($I403,Lists!$T$1:$T$18,0)),"?")</f>
        <v>Infrastructure</v>
      </c>
      <c r="AK403" t="str">
        <f>IF(LOWER($Q403)="v","Vacant",IF(LOWER($Q403)="pause","Paused",IF(LOWER($Q403)="cxc","Contractor",IF($Q403="Contractor","Contractor","Filled"))))</f>
        <v>Contractor</v>
      </c>
      <c r="AL403" t="str">
        <f>IF($M403="NZ","NZ","AU")</f>
        <v>AU</v>
      </c>
      <c r="AM403">
        <f>COUNTIF($AJ$2:$AJ403,$AJ403)</f>
        <v>18.0</v>
      </c>
      <c r="AN403" t="str">
        <f>$AJ403&amp;"|"&amp;$AM403</f>
        <v>Infrastructure|18</v>
      </c>
    </row>
    <row r="404" ht="18" customHeight="1" s="849">
      <c r="A404" s="659" t="n">
        <v>116253</v>
      </c>
      <c r="B404" s="660" t="inlineStr">
        <is>
          <t>Siva Chimmani</t>
        </is>
      </c>
      <c r="C404" s="660" t="inlineStr">
        <is>
          <t>Senior Engineer</t>
        </is>
      </c>
      <c r="D404" s="660" t="inlineStr">
        <is>
          <t>Karla Orozco Loza</t>
        </is>
      </c>
      <c r="E404" s="660" t="inlineStr">
        <is>
          <t>Technology Manager, Future Infrastructure</t>
        </is>
      </c>
      <c r="F404" s="661" t="inlineStr">
        <is>
          <t>TDD CFE&amp;I</t>
        </is>
      </c>
      <c r="G404" s="662" t="inlineStr">
        <is>
          <t>Fuel Infrastructure</t>
        </is>
      </c>
      <c r="H404" s="662" t="inlineStr">
        <is>
          <t>Technology - Distribution</t>
        </is>
      </c>
      <c r="I404" s="662" t="inlineStr">
        <is>
          <t>Infrastructure</t>
        </is>
      </c>
      <c r="J404" s="662" t="inlineStr">
        <is>
          <t>Distribution</t>
        </is>
      </c>
      <c r="K404" s="660" t="inlineStr">
        <is>
          <t>Distribution, Sales &amp; Services</t>
        </is>
      </c>
      <c r="L404" s="662" t="n"/>
      <c r="M404" s="688" t="inlineStr">
        <is>
          <t>Australia</t>
        </is>
      </c>
      <c r="N404" s="664" t="inlineStr">
        <is>
          <t>CIB</t>
        </is>
      </c>
      <c r="O404" s="664" t="n">
        <v>1</v>
      </c>
      <c r="P404" s="664" t="n"/>
      <c r="Q404" s="664" t="inlineStr">
        <is>
          <t>Permanent - Full Time</t>
        </is>
      </c>
      <c r="R404" s="666" t="n"/>
      <c r="S404" s="666" t="n"/>
      <c r="T404" s="666" t="n">
        <v>160000</v>
      </c>
      <c r="U404" s="679" t="n">
        <v>160000</v>
      </c>
      <c r="V404" s="670" t="n">
        <v>0.12</v>
      </c>
      <c r="W404" s="921" t="n">
        <v>0.055</v>
      </c>
      <c r="X404" s="921" t="n">
        <v>0.12</v>
      </c>
      <c r="Y404" s="922" t="n"/>
      <c r="Z404" s="921" t="n">
        <v>0.04</v>
      </c>
      <c r="AA404" s="919" t="n">
        <v>213600</v>
      </c>
      <c r="AB404" s="744" t="n"/>
      <c r="AC404" s="744" t="n"/>
      <c r="AD404" s="744" t="n"/>
      <c r="AE404" s="744" t="n"/>
      <c r="AF404" s="744" t="n"/>
      <c r="AG404" s="744" t="n"/>
      <c r="AH404" s="744" t="n"/>
      <c r="AJ404" t="str">
        <f>IFERROR(INDEX(Lists!$U$1:$U$18,MATCH($I404,Lists!$T$1:$T$18,0)),"?")</f>
        <v>Infrastructure</v>
      </c>
      <c r="AK404" t="str">
        <f>IF(LOWER($Q404)="v","Vacant",IF(LOWER($Q404)="pause","Paused",IF(LOWER($Q404)="cxc","Contractor",IF($Q404="Contractor","Contractor","Filled"))))</f>
        <v>Filled</v>
      </c>
      <c r="AL404" t="str">
        <f>IF($M404="NZ","NZ","AU")</f>
        <v>AU</v>
      </c>
      <c r="AM404">
        <f>COUNTIF($AJ$2:$AJ404,$AJ404)</f>
        <v>19.0</v>
      </c>
      <c r="AN404" t="str">
        <f>$AJ404&amp;"|"&amp;$AM404</f>
        <v>Infrastructure|19</v>
      </c>
    </row>
    <row r="405" ht="18" customHeight="1" s="849">
      <c r="A405" s="659" t="n">
        <v>110185</v>
      </c>
      <c r="B405" s="660" t="inlineStr">
        <is>
          <t>Soumya Choudhury</t>
        </is>
      </c>
      <c r="C405" s="660" t="inlineStr">
        <is>
          <t xml:space="preserve">Data Application Specialist </t>
        </is>
      </c>
      <c r="D405" s="662" t="inlineStr">
        <is>
          <t>Vacant</t>
        </is>
      </c>
      <c r="E405" s="660" t="inlineStr">
        <is>
          <t>Technology Manager, Data</t>
        </is>
      </c>
      <c r="F405" s="661" t="inlineStr">
        <is>
          <t>TDD CFE&amp;I</t>
        </is>
      </c>
      <c r="G405" s="662" t="inlineStr">
        <is>
          <t>Commercial Fuels</t>
        </is>
      </c>
      <c r="H405" s="662" t="inlineStr">
        <is>
          <t>Technology, T&amp;S Data</t>
        </is>
      </c>
      <c r="I405" s="662" t="inlineStr">
        <is>
          <t>Commercial Fuels</t>
        </is>
      </c>
      <c r="J405" s="662" t="inlineStr">
        <is>
          <t>Trading &amp; Shipping</t>
        </is>
      </c>
      <c r="K405" s="662" t="inlineStr">
        <is>
          <t>Trading &amp; Shipping Data</t>
        </is>
      </c>
      <c r="L405" s="662" t="n"/>
      <c r="M405" s="688" t="inlineStr">
        <is>
          <t>Singapore</t>
        </is>
      </c>
      <c r="N405" s="664" t="inlineStr">
        <is>
          <t>CIC</t>
        </is>
      </c>
      <c r="O405" s="664" t="n">
        <v>1</v>
      </c>
      <c r="P405" s="664" t="n"/>
      <c r="Q405" s="664" t="inlineStr">
        <is>
          <t>Permanent - Full Time</t>
        </is>
      </c>
      <c r="R405" s="666" t="n"/>
      <c r="S405" s="666" t="n"/>
      <c r="T405" s="666" t="n">
        <v>181860</v>
      </c>
      <c r="U405" s="679" t="n">
        <v>220050.6</v>
      </c>
      <c r="V405" s="670" t="n">
        <v>0.25</v>
      </c>
      <c r="W405" s="666" t="n"/>
      <c r="X405" s="670" t="n">
        <v>0.17</v>
      </c>
      <c r="Y405" s="918" t="n">
        <v>3310</v>
      </c>
      <c r="Z405" s="713" t="n">
        <v>0.045</v>
      </c>
      <c r="AA405" s="919" t="n">
        <v>325684.129</v>
      </c>
      <c r="AB405" s="744" t="n"/>
      <c r="AC405" s="744" t="n"/>
      <c r="AD405" s="744" t="n"/>
      <c r="AE405" s="744" t="n"/>
      <c r="AF405" s="744" t="n"/>
      <c r="AG405" s="744" t="n"/>
      <c r="AH405" s="744" t="n"/>
      <c r="AJ405" t="str">
        <f>IFERROR(INDEX(Lists!$U$1:$U$18,MATCH($I405,Lists!$T$1:$T$18,0)),"?")</f>
        <v>Commercial Fuels</v>
      </c>
      <c r="AK405" t="str">
        <f>IF(LOWER($Q405)="v","Vacant",IF(LOWER($Q405)="pause","Paused",IF(LOWER($Q405)="cxc","Contractor",IF($Q405="Contractor","Contractor","Filled"))))</f>
        <v>Filled</v>
      </c>
      <c r="AL405" t="str">
        <f>IF($M405="NZ","NZ","AU")</f>
        <v>AU</v>
      </c>
      <c r="AM405">
        <f>COUNTIF($AJ$2:$AJ405,$AJ405)</f>
        <v>29.0</v>
      </c>
      <c r="AN405" t="str">
        <f>$AJ405&amp;"|"&amp;$AM405</f>
        <v>Commercial Fuels|29</v>
      </c>
    </row>
    <row r="406" ht="18" customHeight="1" s="849">
      <c r="A406" s="659" t="n">
        <v>101059</v>
      </c>
      <c r="B406" s="660" t="inlineStr">
        <is>
          <t>Sriramani Deyyala</t>
        </is>
      </c>
      <c r="C406" s="660" t="inlineStr">
        <is>
          <t>Systems Analyst</t>
        </is>
      </c>
      <c r="D406" s="660" t="inlineStr">
        <is>
          <t>Karla Orozco Loza</t>
        </is>
      </c>
      <c r="E406" s="660" t="inlineStr">
        <is>
          <t>Technology Manager, Future Infrastructure</t>
        </is>
      </c>
      <c r="F406" s="661" t="inlineStr">
        <is>
          <t>TDD CFE&amp;I</t>
        </is>
      </c>
      <c r="G406" s="662" t="inlineStr">
        <is>
          <t>Fuel Infrastructure</t>
        </is>
      </c>
      <c r="H406" s="662" t="inlineStr">
        <is>
          <t>Technology - Distribution</t>
        </is>
      </c>
      <c r="I406" s="662" t="inlineStr">
        <is>
          <t>Infrastructure</t>
        </is>
      </c>
      <c r="J406" s="662" t="inlineStr">
        <is>
          <t>Distribution</t>
        </is>
      </c>
      <c r="K406" s="660" t="inlineStr">
        <is>
          <t>Distribution, Sales &amp; Services</t>
        </is>
      </c>
      <c r="L406" s="662" t="n"/>
      <c r="M406" s="688" t="inlineStr">
        <is>
          <t>Australia</t>
        </is>
      </c>
      <c r="N406" s="664" t="inlineStr">
        <is>
          <t>CIB</t>
        </is>
      </c>
      <c r="O406" s="664" t="n">
        <v>1</v>
      </c>
      <c r="P406" s="664" t="n"/>
      <c r="Q406" s="664" t="inlineStr">
        <is>
          <t>Permanent - Full Time</t>
        </is>
      </c>
      <c r="R406" s="666" t="n"/>
      <c r="S406" s="666" t="n"/>
      <c r="T406" s="666" t="n">
        <v>166360</v>
      </c>
      <c r="U406" s="679" t="n">
        <v>166360</v>
      </c>
      <c r="V406" s="670" t="n">
        <v>0.12</v>
      </c>
      <c r="W406" s="921" t="n">
        <v>0.055</v>
      </c>
      <c r="X406" s="921" t="n">
        <v>0.12</v>
      </c>
      <c r="Y406" s="922" t="n"/>
      <c r="Z406" s="921" t="n">
        <v>0.04</v>
      </c>
      <c r="AA406" s="919" t="n">
        <v>222090.6</v>
      </c>
      <c r="AB406" s="744" t="n"/>
      <c r="AC406" s="744" t="n"/>
      <c r="AD406" s="744" t="n"/>
      <c r="AE406" s="744" t="n"/>
      <c r="AF406" s="744" t="n"/>
      <c r="AG406" s="744" t="n"/>
      <c r="AH406" s="744" t="n"/>
      <c r="AJ406" t="str">
        <f>IFERROR(INDEX(Lists!$U$1:$U$18,MATCH($I406,Lists!$T$1:$T$18,0)),"?")</f>
        <v>Infrastructure</v>
      </c>
      <c r="AK406" t="str">
        <f>IF(LOWER($Q406)="v","Vacant",IF(LOWER($Q406)="pause","Paused",IF(LOWER($Q406)="cxc","Contractor",IF($Q406="Contractor","Contractor","Filled"))))</f>
        <v>Filled</v>
      </c>
      <c r="AL406" t="str">
        <f>IF($M406="NZ","NZ","AU")</f>
        <v>AU</v>
      </c>
      <c r="AM406">
        <f>COUNTIF($AJ$2:$AJ406,$AJ406)</f>
        <v>20.0</v>
      </c>
      <c r="AN406" t="str">
        <f>$AJ406&amp;"|"&amp;$AM406</f>
        <v>Infrastructure|20</v>
      </c>
    </row>
    <row r="407" ht="18" customHeight="1" s="849">
      <c r="A407" s="659" t="n">
        <v>10572</v>
      </c>
      <c r="B407" s="660" t="inlineStr">
        <is>
          <t>Stevani Kho</t>
        </is>
      </c>
      <c r="C407" s="660" t="inlineStr">
        <is>
          <t>Delivery Lead</t>
        </is>
      </c>
      <c r="D407" s="660" t="inlineStr">
        <is>
          <t>Vacant</t>
        </is>
      </c>
      <c r="E407" s="660" t="inlineStr">
        <is>
          <t>Technology Manger, Data</t>
        </is>
      </c>
      <c r="F407" s="661" t="inlineStr">
        <is>
          <t>TDD CFE&amp;I</t>
        </is>
      </c>
      <c r="G407" s="662" t="inlineStr">
        <is>
          <t>Fuel Infrastructure</t>
        </is>
      </c>
      <c r="H407" s="662" t="inlineStr">
        <is>
          <t>Fuel Infrastructure, Data</t>
        </is>
      </c>
      <c r="I407" s="662" t="inlineStr">
        <is>
          <t>Infrastructure</t>
        </is>
      </c>
      <c r="J407" s="660" t="inlineStr">
        <is>
          <t xml:space="preserve">Data &amp; Insights </t>
        </is>
      </c>
      <c r="K407" s="660" t="inlineStr">
        <is>
          <t xml:space="preserve">Data &amp; Insights </t>
        </is>
      </c>
      <c r="L407" s="662" t="n"/>
      <c r="M407" s="688" t="inlineStr">
        <is>
          <t>Australia</t>
        </is>
      </c>
      <c r="N407" s="666" t="inlineStr">
        <is>
          <t>CSB</t>
        </is>
      </c>
      <c r="O407" s="666" t="n">
        <v>1</v>
      </c>
      <c r="P407" s="666" t="n"/>
      <c r="Q407" s="666" t="inlineStr">
        <is>
          <t>Permanent - Full Time</t>
        </is>
      </c>
      <c r="R407" s="666" t="n"/>
      <c r="S407" s="666" t="n"/>
      <c r="T407" s="666" t="n">
        <v>205050</v>
      </c>
      <c r="U407" s="679" t="n">
        <v>205050</v>
      </c>
      <c r="V407" s="670" t="n">
        <v>0.14</v>
      </c>
      <c r="W407" s="921" t="n">
        <v>0.055</v>
      </c>
      <c r="X407" s="921" t="n">
        <v>0.12</v>
      </c>
      <c r="Y407" s="922" t="n"/>
      <c r="Z407" s="921" t="n">
        <v>0.04</v>
      </c>
      <c r="AA407" s="919" t="n">
        <v>277842.75</v>
      </c>
      <c r="AB407" s="744" t="n"/>
      <c r="AC407" s="744" t="n"/>
      <c r="AD407" s="744" t="n"/>
      <c r="AE407" s="744" t="n"/>
      <c r="AF407" s="744" t="n"/>
      <c r="AG407" s="744" t="n"/>
      <c r="AH407" s="744" t="n"/>
      <c r="AJ407" t="str">
        <f>IFERROR(INDEX(Lists!$U$1:$U$18,MATCH($I407,Lists!$T$1:$T$18,0)),"?")</f>
        <v>Infrastructure</v>
      </c>
      <c r="AK407" t="str">
        <f>IF(LOWER($Q407)="v","Vacant",IF(LOWER($Q407)="pause","Paused",IF(LOWER($Q407)="cxc","Contractor",IF($Q407="Contractor","Contractor","Filled"))))</f>
        <v>Filled</v>
      </c>
      <c r="AL407" t="str">
        <f>IF($M407="NZ","NZ","AU")</f>
        <v>AU</v>
      </c>
      <c r="AM407">
        <f>COUNTIF($AJ$2:$AJ407,$AJ407)</f>
        <v>21.0</v>
      </c>
      <c r="AN407" t="str">
        <f>$AJ407&amp;"|"&amp;$AM407</f>
        <v>Infrastructure|21</v>
      </c>
    </row>
    <row r="408" ht="18" customHeight="1" s="849">
      <c r="A408" s="659" t="n">
        <v>106221</v>
      </c>
      <c r="B408" s="660" t="inlineStr">
        <is>
          <t>Suja Sugathan</t>
        </is>
      </c>
      <c r="C408" s="660" t="inlineStr">
        <is>
          <t>Senior Business Analyst</t>
        </is>
      </c>
      <c r="D408" s="662" t="inlineStr">
        <is>
          <t>Vacant</t>
        </is>
      </c>
      <c r="E408" s="660" t="inlineStr">
        <is>
          <t>Delivery Manager</t>
        </is>
      </c>
      <c r="F408" s="661" t="inlineStr">
        <is>
          <t>TDD CFE&amp;I</t>
        </is>
      </c>
      <c r="G408" s="662" t="inlineStr">
        <is>
          <t>Commercial Fuels</t>
        </is>
      </c>
      <c r="H408" s="662" t="inlineStr">
        <is>
          <t>Delivery, Commercial Fuels</t>
        </is>
      </c>
      <c r="I408" s="662" t="inlineStr">
        <is>
          <t>Commercial Fuels</t>
        </is>
      </c>
      <c r="J408" s="662" t="inlineStr">
        <is>
          <t>Trading &amp; Shipping</t>
        </is>
      </c>
      <c r="K408" s="662" t="inlineStr">
        <is>
          <t>Trading &amp; Shipping</t>
        </is>
      </c>
      <c r="L408" s="660" t="n"/>
      <c r="M408" s="688" t="inlineStr">
        <is>
          <t>Singapore</t>
        </is>
      </c>
      <c r="N408" s="664" t="inlineStr">
        <is>
          <t>CIC</t>
        </is>
      </c>
      <c r="O408" s="664" t="n">
        <v>1</v>
      </c>
      <c r="P408" s="664" t="n"/>
      <c r="Q408" s="664" t="inlineStr">
        <is>
          <t>Permanent - Full Time</t>
        </is>
      </c>
      <c r="R408" s="666" t="n"/>
      <c r="S408" s="666" t="n"/>
      <c r="T408" s="666" t="n">
        <v>196770</v>
      </c>
      <c r="U408" s="679" t="n">
        <v>238091.7</v>
      </c>
      <c r="V408" s="670" t="n">
        <v>0.25</v>
      </c>
      <c r="W408" s="666" t="n"/>
      <c r="X408" s="670" t="n">
        <v>0.17</v>
      </c>
      <c r="Y408" s="918" t="n">
        <v>3310</v>
      </c>
      <c r="Z408" s="713" t="n">
        <v>0.045</v>
      </c>
      <c r="AA408" s="919" t="n">
        <v>352114.3404999999</v>
      </c>
      <c r="AB408" s="744" t="n"/>
      <c r="AC408" s="744" t="n"/>
      <c r="AD408" s="744" t="n"/>
      <c r="AE408" s="744" t="n"/>
      <c r="AF408" s="744" t="n"/>
      <c r="AG408" s="744" t="n"/>
      <c r="AH408" s="744" t="n"/>
      <c r="AJ408" t="str">
        <f>IFERROR(INDEX(Lists!$U$1:$U$18,MATCH($I408,Lists!$T$1:$T$18,0)),"?")</f>
        <v>Commercial Fuels</v>
      </c>
      <c r="AK408" t="str">
        <f>IF(LOWER($Q408)="v","Vacant",IF(LOWER($Q408)="pause","Paused",IF(LOWER($Q408)="cxc","Contractor",IF($Q408="Contractor","Contractor","Filled"))))</f>
        <v>Filled</v>
      </c>
      <c r="AL408" t="str">
        <f>IF($M408="NZ","NZ","AU")</f>
        <v>AU</v>
      </c>
      <c r="AM408">
        <f>COUNTIF($AJ$2:$AJ408,$AJ408)</f>
        <v>30.0</v>
      </c>
      <c r="AN408" t="str">
        <f>$AJ408&amp;"|"&amp;$AM408</f>
        <v>Commercial Fuels|30</v>
      </c>
    </row>
    <row r="409" ht="18" customHeight="1" s="849">
      <c r="A409" s="659" t="n">
        <v>113333</v>
      </c>
      <c r="B409" s="660" t="inlineStr">
        <is>
          <t>Tom Moore</t>
        </is>
      </c>
      <c r="C409" s="660" t="inlineStr">
        <is>
          <t>Technology Support Engineer - Infrastructure</t>
        </is>
      </c>
      <c r="D409" s="660" t="inlineStr">
        <is>
          <t>Glenn Earl</t>
        </is>
      </c>
      <c r="E409" s="660" t="inlineStr">
        <is>
          <t>Lead Support, Infrastructure</t>
        </is>
      </c>
      <c r="F409" s="661" t="inlineStr">
        <is>
          <t>TDD CFE&amp;I</t>
        </is>
      </c>
      <c r="G409" s="662" t="inlineStr">
        <is>
          <t>Fuel Infrastructure</t>
        </is>
      </c>
      <c r="H409" s="662" t="inlineStr">
        <is>
          <t>Refinery Applications</t>
        </is>
      </c>
      <c r="I409" s="662" t="inlineStr">
        <is>
          <t>Infrastructure</t>
        </is>
      </c>
      <c r="J409" s="662" t="inlineStr">
        <is>
          <t>Fuel Infrastructure</t>
        </is>
      </c>
      <c r="K409" s="660" t="inlineStr">
        <is>
          <t>Technology Suport</t>
        </is>
      </c>
      <c r="L409" s="662" t="n"/>
      <c r="M409" s="688" t="inlineStr">
        <is>
          <t>Australia</t>
        </is>
      </c>
      <c r="N409" s="664" t="inlineStr">
        <is>
          <t>CDA</t>
        </is>
      </c>
      <c r="O409" s="664" t="n">
        <v>1</v>
      </c>
      <c r="P409" s="664" t="n"/>
      <c r="Q409" s="664" t="inlineStr">
        <is>
          <t>Permanent - Full Time</t>
        </is>
      </c>
      <c r="R409" s="666" t="n"/>
      <c r="S409" s="666" t="n"/>
      <c r="T409" s="666" t="n">
        <v>82380</v>
      </c>
      <c r="U409" s="679" t="n">
        <v>82380</v>
      </c>
      <c r="V409" s="670" t="n">
        <v>0.08</v>
      </c>
      <c r="W409" s="921" t="n">
        <v>0.055</v>
      </c>
      <c r="X409" s="921" t="n">
        <v>0.12</v>
      </c>
      <c r="Y409" s="922" t="n"/>
      <c r="Z409" s="921" t="n">
        <v>0.04</v>
      </c>
      <c r="AA409" s="919" t="n">
        <v>106682.1</v>
      </c>
      <c r="AB409" s="744" t="n"/>
      <c r="AC409" s="744" t="n"/>
      <c r="AD409" s="744" t="n"/>
      <c r="AE409" s="744" t="n"/>
      <c r="AF409" s="744" t="n"/>
      <c r="AG409" s="744" t="n"/>
      <c r="AH409" s="744" t="n"/>
      <c r="AJ409" t="str">
        <f>IFERROR(INDEX(Lists!$U$1:$U$18,MATCH($I409,Lists!$T$1:$T$18,0)),"?")</f>
        <v>Infrastructure</v>
      </c>
      <c r="AK409" t="str">
        <f>IF(LOWER($Q409)="v","Vacant",IF(LOWER($Q409)="pause","Paused",IF(LOWER($Q409)="cxc","Contractor",IF($Q409="Contractor","Contractor","Filled"))))</f>
        <v>Filled</v>
      </c>
      <c r="AL409" t="str">
        <f>IF($M409="NZ","NZ","AU")</f>
        <v>AU</v>
      </c>
      <c r="AM409">
        <f>COUNTIF($AJ$2:$AJ409,$AJ409)</f>
        <v>22.0</v>
      </c>
      <c r="AN409" t="str">
        <f>$AJ409&amp;"|"&amp;$AM409</f>
        <v>Infrastructure|22</v>
      </c>
    </row>
    <row r="410" ht="18" customHeight="1" s="849">
      <c r="A410" s="659" t="n">
        <v>116312</v>
      </c>
      <c r="B410" s="660" t="inlineStr">
        <is>
          <t>Trung Truong</t>
        </is>
      </c>
      <c r="C410" s="660" t="inlineStr">
        <is>
          <t>Engineer Applications</t>
        </is>
      </c>
      <c r="D410" s="660" t="inlineStr">
        <is>
          <t>Allan Francia</t>
        </is>
      </c>
      <c r="E410" s="660" t="inlineStr">
        <is>
          <t>Technology Manager, T&amp;S</t>
        </is>
      </c>
      <c r="F410" s="661" t="inlineStr">
        <is>
          <t>TDD CFE&amp;I</t>
        </is>
      </c>
      <c r="G410" s="662" t="inlineStr">
        <is>
          <t>Commercial Fuels</t>
        </is>
      </c>
      <c r="H410" s="662" t="inlineStr">
        <is>
          <t>Technology, Trading &amp; Shipping</t>
        </is>
      </c>
      <c r="I410" s="662" t="inlineStr">
        <is>
          <t>Commercial Fuels</t>
        </is>
      </c>
      <c r="J410" s="660" t="inlineStr">
        <is>
          <t>CTRM</t>
        </is>
      </c>
      <c r="K410" s="660" t="inlineStr">
        <is>
          <t>CTRM</t>
        </is>
      </c>
      <c r="L410" s="662" t="n"/>
      <c r="M410" s="688" t="inlineStr">
        <is>
          <t>Singapore</t>
        </is>
      </c>
      <c r="N410" s="664" t="inlineStr">
        <is>
          <t>CIC</t>
        </is>
      </c>
      <c r="O410" s="664" t="n">
        <v>1</v>
      </c>
      <c r="P410" s="664" t="n"/>
      <c r="Q410" s="664" t="inlineStr">
        <is>
          <t>Permanent - Full Time</t>
        </is>
      </c>
      <c r="R410" s="666" t="n"/>
      <c r="S410" s="666" t="n"/>
      <c r="T410" s="666" t="n">
        <v>170000</v>
      </c>
      <c r="U410" s="679" t="n">
        <v>205700</v>
      </c>
      <c r="V410" s="670" t="n">
        <v>0.25</v>
      </c>
      <c r="W410" s="666" t="n"/>
      <c r="X410" s="670" t="n">
        <v>0.17</v>
      </c>
      <c r="Y410" s="918" t="n">
        <v>3310</v>
      </c>
      <c r="Z410" s="713" t="n">
        <v>0.045</v>
      </c>
      <c r="AA410" s="919" t="n">
        <v>304660.4999999999</v>
      </c>
      <c r="AB410" s="744" t="n"/>
      <c r="AC410" s="744" t="n"/>
      <c r="AD410" s="744" t="n"/>
      <c r="AE410" s="744" t="n"/>
      <c r="AF410" s="744" t="n"/>
      <c r="AG410" s="744" t="n"/>
      <c r="AH410" s="744" t="n"/>
      <c r="AJ410" t="str">
        <f>IFERROR(INDEX(Lists!$U$1:$U$18,MATCH($I410,Lists!$T$1:$T$18,0)),"?")</f>
        <v>Commercial Fuels</v>
      </c>
      <c r="AK410" t="str">
        <f>IF(LOWER($Q410)="v","Vacant",IF(LOWER($Q410)="pause","Paused",IF(LOWER($Q410)="cxc","Contractor",IF($Q410="Contractor","Contractor","Filled"))))</f>
        <v>Filled</v>
      </c>
      <c r="AL410" t="str">
        <f>IF($M410="NZ","NZ","AU")</f>
        <v>AU</v>
      </c>
      <c r="AM410">
        <f>COUNTIF($AJ$2:$AJ410,$AJ410)</f>
        <v>31.0</v>
      </c>
      <c r="AN410" t="str">
        <f>$AJ410&amp;"|"&amp;$AM410</f>
        <v>Commercial Fuels|31</v>
      </c>
    </row>
    <row r="411" ht="18" customHeight="1" s="849">
      <c r="A411" s="659" t="n">
        <v>110040</v>
      </c>
      <c r="B411" s="660" t="inlineStr">
        <is>
          <t>Tyler Meggs</t>
        </is>
      </c>
      <c r="C411" s="660" t="inlineStr">
        <is>
          <t>System Analyst</t>
        </is>
      </c>
      <c r="D411" s="660" t="inlineStr">
        <is>
          <t>Jaya Ganasan</t>
        </is>
      </c>
      <c r="E411" s="660" t="inlineStr">
        <is>
          <t>Technology Manager, TDD Refinery</t>
        </is>
      </c>
      <c r="F411" s="661" t="inlineStr">
        <is>
          <t>TDD CFE&amp;I</t>
        </is>
      </c>
      <c r="G411" s="662" t="inlineStr">
        <is>
          <t>Fuel Infrastructure</t>
        </is>
      </c>
      <c r="H411" s="662" t="inlineStr">
        <is>
          <t>Refinery Applications</t>
        </is>
      </c>
      <c r="I411" s="662" t="inlineStr">
        <is>
          <t>Infrastructure</t>
        </is>
      </c>
      <c r="J411" s="662" t="inlineStr">
        <is>
          <t>Manufacturing</t>
        </is>
      </c>
      <c r="K411" s="660" t="inlineStr">
        <is>
          <t>Manufacturing Group Projects</t>
        </is>
      </c>
      <c r="L411" s="662" t="n"/>
      <c r="M411" s="688" t="inlineStr">
        <is>
          <t>Australia</t>
        </is>
      </c>
      <c r="N411" s="664" t="inlineStr">
        <is>
          <t>CIA</t>
        </is>
      </c>
      <c r="O411" s="664" t="n">
        <v>1</v>
      </c>
      <c r="P411" s="664" t="n"/>
      <c r="Q411" s="664" t="inlineStr">
        <is>
          <t>Permanent - Full Time</t>
        </is>
      </c>
      <c r="R411" s="666" t="n"/>
      <c r="S411" s="666" t="n"/>
      <c r="T411" s="666" t="n">
        <v>110000</v>
      </c>
      <c r="U411" s="679" t="n">
        <v>110000</v>
      </c>
      <c r="V411" s="670" t="n">
        <v>0.1</v>
      </c>
      <c r="W411" s="921" t="n">
        <v>0.055</v>
      </c>
      <c r="X411" s="921" t="n">
        <v>0.12</v>
      </c>
      <c r="Y411" s="922" t="n"/>
      <c r="Z411" s="921" t="n">
        <v>0.04</v>
      </c>
      <c r="AA411" s="919" t="n">
        <v>144650</v>
      </c>
      <c r="AB411" s="744" t="n"/>
      <c r="AC411" s="744" t="n"/>
      <c r="AD411" s="744" t="n"/>
      <c r="AE411" s="744" t="n"/>
      <c r="AF411" s="744" t="n"/>
      <c r="AG411" s="744" t="n"/>
      <c r="AH411" s="744" t="n"/>
      <c r="AJ411" t="str">
        <f>IFERROR(INDEX(Lists!$U$1:$U$18,MATCH($I411,Lists!$T$1:$T$18,0)),"?")</f>
        <v>Infrastructure</v>
      </c>
      <c r="AK411" t="str">
        <f>IF(LOWER($Q411)="v","Vacant",IF(LOWER($Q411)="pause","Paused",IF(LOWER($Q411)="cxc","Contractor",IF($Q411="Contractor","Contractor","Filled"))))</f>
        <v>Filled</v>
      </c>
      <c r="AL411" t="str">
        <f>IF($M411="NZ","NZ","AU")</f>
        <v>AU</v>
      </c>
      <c r="AM411">
        <f>COUNTIF($AJ$2:$AJ411,$AJ411)</f>
        <v>23.0</v>
      </c>
      <c r="AN411" t="str">
        <f>$AJ411&amp;"|"&amp;$AM411</f>
        <v>Infrastructure|23</v>
      </c>
    </row>
    <row r="412" ht="18" customHeight="1" s="849">
      <c r="A412" s="659" t="inlineStr">
        <is>
          <t>V</t>
        </is>
      </c>
      <c r="B412" s="660" t="inlineStr">
        <is>
          <t>Vacant</t>
        </is>
      </c>
      <c r="C412" s="660" t="inlineStr">
        <is>
          <t>Engineer Software</t>
        </is>
      </c>
      <c r="D412" s="660" t="inlineStr">
        <is>
          <t>Elle Spencer</t>
        </is>
      </c>
      <c r="E412" s="660" t="inlineStr">
        <is>
          <t>Technology Manager, Energy Solutions</t>
        </is>
      </c>
      <c r="F412" s="661" t="inlineStr">
        <is>
          <t>TDD CFE&amp;I</t>
        </is>
      </c>
      <c r="G412" s="662" t="inlineStr">
        <is>
          <t>B2B &amp; Energy Solutions</t>
        </is>
      </c>
      <c r="H412" s="662" t="inlineStr">
        <is>
          <t>Technology B2B</t>
        </is>
      </c>
      <c r="I412" s="662" t="inlineStr">
        <is>
          <t>B2B &amp; Energy Solutions</t>
        </is>
      </c>
      <c r="J412" s="660" t="inlineStr">
        <is>
          <t>B2B</t>
        </is>
      </c>
      <c r="K412" s="660" t="inlineStr">
        <is>
          <t>B2B</t>
        </is>
      </c>
      <c r="L412" s="662" t="n"/>
      <c r="M412" s="688" t="inlineStr">
        <is>
          <t>Australia</t>
        </is>
      </c>
      <c r="N412" s="664" t="inlineStr">
        <is>
          <t>CIB</t>
        </is>
      </c>
      <c r="O412" s="664" t="n">
        <v>1</v>
      </c>
      <c r="P412" s="664" t="n"/>
      <c r="Q412" s="664" t="inlineStr">
        <is>
          <t>V</t>
        </is>
      </c>
      <c r="R412" s="666" t="n"/>
      <c r="S412" s="666" t="n"/>
      <c r="T412" s="666" t="n">
        <v>151950</v>
      </c>
      <c r="U412" s="679" t="n">
        <v>151950</v>
      </c>
      <c r="V412" s="670" t="n">
        <v>0.12</v>
      </c>
      <c r="W412" s="921" t="n">
        <v>0.055</v>
      </c>
      <c r="X412" s="921" t="n">
        <v>0.12</v>
      </c>
      <c r="Y412" s="922" t="n"/>
      <c r="Z412" s="921" t="n">
        <v>0.04</v>
      </c>
      <c r="AA412" s="919" t="n">
        <v>202853.25</v>
      </c>
      <c r="AB412" s="744" t="n"/>
      <c r="AC412" s="744" t="n"/>
      <c r="AD412" s="744" t="n"/>
      <c r="AE412" s="744" t="n"/>
      <c r="AF412" s="744" t="n"/>
      <c r="AG412" s="744" t="n"/>
      <c r="AH412" s="744" t="n"/>
      <c r="AJ412" t="str">
        <f>IFERROR(INDEX(Lists!$U$1:$U$18,MATCH($I412,Lists!$T$1:$T$18,0)),"?")</f>
        <v>Energy Solutions &amp; B2B</v>
      </c>
      <c r="AK412" t="str">
        <f>IF(LOWER($Q412)="v","Vacant",IF(LOWER($Q412)="pause","Paused",IF(LOWER($Q412)="cxc","Contractor",IF($Q412="Contractor","Contractor","Filled"))))</f>
        <v>Vacant</v>
      </c>
      <c r="AL412" t="str">
        <f>IF($M412="NZ","NZ","AU")</f>
        <v>AU</v>
      </c>
      <c r="AM412">
        <f>COUNTIF($AJ$2:$AJ412,$AJ412)</f>
        <v>25.0</v>
      </c>
      <c r="AN412" t="str">
        <f>$AJ412&amp;"|"&amp;$AM412</f>
        <v>Energy Solutions &amp; B2B|25</v>
      </c>
    </row>
    <row r="413" ht="18" customHeight="1" s="849">
      <c r="A413" s="659" t="inlineStr">
        <is>
          <t>V</t>
        </is>
      </c>
      <c r="B413" s="660" t="inlineStr">
        <is>
          <t>Vacant</t>
        </is>
      </c>
      <c r="C413" s="660" t="inlineStr">
        <is>
          <t>Solution Architect</t>
        </is>
      </c>
      <c r="D413" s="660" t="inlineStr">
        <is>
          <t>Elle Spencer</t>
        </is>
      </c>
      <c r="E413" s="660" t="inlineStr">
        <is>
          <t>Technology Manager, Energy Solutions</t>
        </is>
      </c>
      <c r="F413" s="661" t="inlineStr">
        <is>
          <t>TDD CFE&amp;I</t>
        </is>
      </c>
      <c r="G413" s="662" t="inlineStr">
        <is>
          <t>B2B &amp; Energy Solutions</t>
        </is>
      </c>
      <c r="H413" s="662" t="inlineStr">
        <is>
          <t>Technology B2B</t>
        </is>
      </c>
      <c r="I413" s="662" t="inlineStr">
        <is>
          <t>B2B &amp; Energy Solutions</t>
        </is>
      </c>
      <c r="J413" s="660" t="inlineStr">
        <is>
          <t>B2B</t>
        </is>
      </c>
      <c r="K413" s="660" t="inlineStr">
        <is>
          <t>B2B</t>
        </is>
      </c>
      <c r="L413" s="662" t="n"/>
      <c r="M413" s="688" t="inlineStr">
        <is>
          <t>australia</t>
        </is>
      </c>
      <c r="N413" s="664" t="inlineStr">
        <is>
          <t>CIC</t>
        </is>
      </c>
      <c r="O413" s="664" t="n">
        <v>1</v>
      </c>
      <c r="P413" s="664" t="n"/>
      <c r="Q413" s="664" t="inlineStr">
        <is>
          <t>v</t>
        </is>
      </c>
      <c r="R413" s="666" t="n"/>
      <c r="S413" s="666" t="n"/>
      <c r="T413" s="666" t="n">
        <v>173550</v>
      </c>
      <c r="U413" s="679" t="n">
        <v>173550</v>
      </c>
      <c r="V413" s="670" t="n">
        <v>0.12</v>
      </c>
      <c r="W413" s="921" t="n">
        <v>0.055</v>
      </c>
      <c r="X413" s="921" t="n">
        <v>0.12</v>
      </c>
      <c r="Y413" s="922" t="n"/>
      <c r="Z413" s="921" t="n">
        <v>0.04</v>
      </c>
      <c r="AA413" s="919" t="n">
        <v>231689.25</v>
      </c>
      <c r="AB413" s="744" t="n"/>
      <c r="AC413" s="744" t="n"/>
      <c r="AD413" s="744" t="n"/>
      <c r="AE413" s="744" t="n"/>
      <c r="AF413" s="744" t="n"/>
      <c r="AG413" s="744" t="n"/>
      <c r="AH413" s="744" t="n"/>
      <c r="AJ413" t="str">
        <f>IFERROR(INDEX(Lists!$U$1:$U$18,MATCH($I413,Lists!$T$1:$T$18,0)),"?")</f>
        <v>Energy Solutions &amp; B2B</v>
      </c>
      <c r="AK413" t="str">
        <f>IF(LOWER($Q413)="v","Vacant",IF(LOWER($Q413)="pause","Paused",IF(LOWER($Q413)="cxc","Contractor",IF($Q413="Contractor","Contractor","Filled"))))</f>
        <v>Vacant</v>
      </c>
      <c r="AL413" t="str">
        <f>IF($M413="NZ","NZ","AU")</f>
        <v>AU</v>
      </c>
      <c r="AM413">
        <f>COUNTIF($AJ$2:$AJ413,$AJ413)</f>
        <v>26.0</v>
      </c>
      <c r="AN413" t="str">
        <f>$AJ413&amp;"|"&amp;$AM413</f>
        <v>Energy Solutions &amp; B2B|26</v>
      </c>
    </row>
    <row r="414" ht="18" customHeight="1" s="849">
      <c r="A414" s="659" t="inlineStr">
        <is>
          <t>V</t>
        </is>
      </c>
      <c r="B414" s="660" t="inlineStr">
        <is>
          <t>Vacant</t>
        </is>
      </c>
      <c r="C414" s="660" t="inlineStr">
        <is>
          <t>Delivery manager</t>
        </is>
      </c>
      <c r="D414" s="662" t="inlineStr">
        <is>
          <t>Liesl Tye</t>
        </is>
      </c>
      <c r="E414" s="660" t="inlineStr">
        <is>
          <t>Head of Technology, B2B &amp; Energy Solutions</t>
        </is>
      </c>
      <c r="F414" s="661" t="inlineStr">
        <is>
          <t>TDD CFE&amp;I</t>
        </is>
      </c>
      <c r="G414" s="662" t="inlineStr">
        <is>
          <t>B2B &amp; Energy Solutions</t>
        </is>
      </c>
      <c r="H414" s="662" t="inlineStr">
        <is>
          <t>Leadership</t>
        </is>
      </c>
      <c r="I414" s="662" t="inlineStr">
        <is>
          <t>B2B &amp; Energy Solutions</t>
        </is>
      </c>
      <c r="J414" s="662" t="inlineStr">
        <is>
          <t>Leadership</t>
        </is>
      </c>
      <c r="K414" s="660" t="inlineStr">
        <is>
          <t>Leadership</t>
        </is>
      </c>
      <c r="L414" s="662" t="n"/>
      <c r="M414" s="688" t="inlineStr">
        <is>
          <t>Australia</t>
        </is>
      </c>
      <c r="N414" s="664" t="inlineStr">
        <is>
          <t>CSB</t>
        </is>
      </c>
      <c r="O414" s="664" t="n">
        <v>1</v>
      </c>
      <c r="P414" s="664" t="n"/>
      <c r="Q414" s="664" t="inlineStr">
        <is>
          <t>V</t>
        </is>
      </c>
      <c r="R414" s="666" t="n"/>
      <c r="S414" s="666" t="n"/>
      <c r="T414" s="666" t="n">
        <v>203550</v>
      </c>
      <c r="U414" s="679" t="n">
        <v>203550</v>
      </c>
      <c r="V414" s="670" t="n">
        <v>0.14</v>
      </c>
      <c r="W414" s="921" t="n">
        <v>0.055</v>
      </c>
      <c r="X414" s="921" t="n">
        <v>0.12</v>
      </c>
      <c r="Y414" s="922" t="n"/>
      <c r="Z414" s="921" t="n">
        <v>0.04</v>
      </c>
      <c r="AA414" s="919" t="n">
        <v>275810.25</v>
      </c>
      <c r="AB414" s="744" t="n"/>
      <c r="AC414" s="744" t="n"/>
      <c r="AD414" s="744" t="n"/>
      <c r="AE414" s="744" t="n"/>
      <c r="AF414" s="744" t="n"/>
      <c r="AG414" s="744" t="n"/>
      <c r="AH414" s="744" t="n"/>
      <c r="AJ414" t="str">
        <f>IFERROR(INDEX(Lists!$U$1:$U$18,MATCH($I414,Lists!$T$1:$T$18,0)),"?")</f>
        <v>Energy Solutions &amp; B2B</v>
      </c>
      <c r="AK414" t="str">
        <f>IF(LOWER($Q414)="v","Vacant",IF(LOWER($Q414)="pause","Paused",IF(LOWER($Q414)="cxc","Contractor",IF($Q414="Contractor","Contractor","Filled"))))</f>
        <v>Vacant</v>
      </c>
      <c r="AL414" t="str">
        <f>IF($M414="NZ","NZ","AU")</f>
        <v>AU</v>
      </c>
      <c r="AM414">
        <f>COUNTIF($AJ$2:$AJ414,$AJ414)</f>
        <v>27.0</v>
      </c>
      <c r="AN414" t="str">
        <f>$AJ414&amp;"|"&amp;$AM414</f>
        <v>Energy Solutions &amp; B2B|27</v>
      </c>
    </row>
    <row r="415" ht="18" customHeight="1" s="849">
      <c r="A415" s="659" t="inlineStr">
        <is>
          <t>V</t>
        </is>
      </c>
      <c r="B415" s="660" t="inlineStr">
        <is>
          <t>Vacant</t>
        </is>
      </c>
      <c r="C415" s="660" t="inlineStr">
        <is>
          <t>Technology Manager, Energy Solutions</t>
        </is>
      </c>
      <c r="D415" s="662" t="inlineStr">
        <is>
          <t>Liesl Tye</t>
        </is>
      </c>
      <c r="E415" s="660" t="inlineStr">
        <is>
          <t>Head of Technology, B2B &amp; Energy Solutions</t>
        </is>
      </c>
      <c r="F415" s="661" t="inlineStr">
        <is>
          <t>TDD CFE&amp;I</t>
        </is>
      </c>
      <c r="G415" s="662" t="inlineStr">
        <is>
          <t>B2B &amp; Energy Solutions</t>
        </is>
      </c>
      <c r="H415" s="662" t="inlineStr">
        <is>
          <t>Technology Energy Solutions</t>
        </is>
      </c>
      <c r="I415" s="662" t="inlineStr">
        <is>
          <t>B2B &amp; Energy Solutions</t>
        </is>
      </c>
      <c r="J415" s="796" t="inlineStr">
        <is>
          <t>Leadership</t>
        </is>
      </c>
      <c r="K415" s="660" t="inlineStr">
        <is>
          <t>Leadership</t>
        </is>
      </c>
      <c r="L415" s="662" t="n"/>
      <c r="M415" s="688" t="inlineStr">
        <is>
          <t>Australia</t>
        </is>
      </c>
      <c r="N415" s="664" t="inlineStr">
        <is>
          <t>CSB</t>
        </is>
      </c>
      <c r="O415" s="664" t="n">
        <v>1</v>
      </c>
      <c r="P415" s="664" t="n"/>
      <c r="Q415" s="664" t="inlineStr">
        <is>
          <t>v</t>
        </is>
      </c>
      <c r="R415" s="666" t="n"/>
      <c r="S415" s="666" t="n"/>
      <c r="T415" s="666" t="n">
        <v>203550</v>
      </c>
      <c r="U415" s="679" t="n">
        <v>203550</v>
      </c>
      <c r="V415" s="670" t="n">
        <v>0.14</v>
      </c>
      <c r="W415" s="921" t="n">
        <v>0.055</v>
      </c>
      <c r="X415" s="921" t="n">
        <v>0.12</v>
      </c>
      <c r="Y415" s="922" t="n"/>
      <c r="Z415" s="921" t="n">
        <v>0.04</v>
      </c>
      <c r="AA415" s="919" t="n">
        <v>275810.25</v>
      </c>
      <c r="AB415" s="744" t="n"/>
      <c r="AC415" s="744" t="n"/>
      <c r="AD415" s="744" t="n"/>
      <c r="AE415" s="744" t="n"/>
      <c r="AF415" s="744" t="n"/>
      <c r="AG415" s="744" t="n"/>
      <c r="AH415" s="744" t="n"/>
      <c r="AJ415" t="str">
        <f>IFERROR(INDEX(Lists!$U$1:$U$18,MATCH($I415,Lists!$T$1:$T$18,0)),"?")</f>
        <v>Energy Solutions &amp; B2B</v>
      </c>
      <c r="AK415" t="str">
        <f>IF(LOWER($Q415)="v","Vacant",IF(LOWER($Q415)="pause","Paused",IF(LOWER($Q415)="cxc","Contractor",IF($Q415="Contractor","Contractor","Filled"))))</f>
        <v>Vacant</v>
      </c>
      <c r="AL415" t="str">
        <f>IF($M415="NZ","NZ","AU")</f>
        <v>AU</v>
      </c>
      <c r="AM415">
        <f>COUNTIF($AJ$2:$AJ415,$AJ415)</f>
        <v>28.0</v>
      </c>
      <c r="AN415" t="str">
        <f>$AJ415&amp;"|"&amp;$AM415</f>
        <v>Energy Solutions &amp; B2B|28</v>
      </c>
    </row>
    <row r="416" ht="18" customHeight="1" s="849">
      <c r="A416" s="659" t="inlineStr">
        <is>
          <t>V</t>
        </is>
      </c>
      <c r="B416" s="660" t="inlineStr">
        <is>
          <t>Vacant</t>
        </is>
      </c>
      <c r="C416" s="660" t="inlineStr">
        <is>
          <t>Engineer Automation - Testing</t>
        </is>
      </c>
      <c r="D416" s="662" t="inlineStr">
        <is>
          <t>Vacant</t>
        </is>
      </c>
      <c r="E416" s="660" t="inlineStr">
        <is>
          <t>Technology Manager, Energy Solutions</t>
        </is>
      </c>
      <c r="F416" s="661" t="inlineStr">
        <is>
          <t>TDD CFE&amp;I</t>
        </is>
      </c>
      <c r="G416" s="662" t="inlineStr">
        <is>
          <t>B2B &amp; Energy Solutions</t>
        </is>
      </c>
      <c r="H416" s="662" t="inlineStr">
        <is>
          <t>Technology Energy Solutions</t>
        </is>
      </c>
      <c r="I416" s="662" t="inlineStr">
        <is>
          <t>B2B &amp; Energy Solutions</t>
        </is>
      </c>
      <c r="J416" s="662" t="inlineStr">
        <is>
          <t>Energy Solutions</t>
        </is>
      </c>
      <c r="K416" s="660" t="inlineStr">
        <is>
          <t>Energy</t>
        </is>
      </c>
      <c r="L416" s="662" t="n"/>
      <c r="M416" s="688" t="inlineStr">
        <is>
          <t>Australia</t>
        </is>
      </c>
      <c r="N416" s="664" t="inlineStr">
        <is>
          <t>CIB</t>
        </is>
      </c>
      <c r="O416" s="664" t="n">
        <v>1</v>
      </c>
      <c r="P416" s="664" t="n"/>
      <c r="Q416" s="664" t="inlineStr">
        <is>
          <t>V</t>
        </is>
      </c>
      <c r="R416" s="666" t="n"/>
      <c r="S416" s="666" t="n"/>
      <c r="T416" s="666" t="n">
        <v>151950</v>
      </c>
      <c r="U416" s="679" t="n">
        <v>151950</v>
      </c>
      <c r="V416" s="670" t="n">
        <v>0.12</v>
      </c>
      <c r="W416" s="921" t="n">
        <v>0.055</v>
      </c>
      <c r="X416" s="921" t="n">
        <v>0.12</v>
      </c>
      <c r="Y416" s="922" t="n"/>
      <c r="Z416" s="921" t="n">
        <v>0.04</v>
      </c>
      <c r="AA416" s="919" t="n">
        <v>202853.25</v>
      </c>
      <c r="AB416" s="744" t="n"/>
      <c r="AC416" s="744" t="n"/>
      <c r="AD416" s="744" t="n"/>
      <c r="AE416" s="744" t="n"/>
      <c r="AF416" s="744" t="n"/>
      <c r="AG416" s="744" t="n"/>
      <c r="AH416" s="744" t="n"/>
      <c r="AJ416" t="str">
        <f>IFERROR(INDEX(Lists!$U$1:$U$18,MATCH($I416,Lists!$T$1:$T$18,0)),"?")</f>
        <v>Energy Solutions &amp; B2B</v>
      </c>
      <c r="AK416" t="str">
        <f>IF(LOWER($Q416)="v","Vacant",IF(LOWER($Q416)="pause","Paused",IF(LOWER($Q416)="cxc","Contractor",IF($Q416="Contractor","Contractor","Filled"))))</f>
        <v>Vacant</v>
      </c>
      <c r="AL416" t="str">
        <f>IF($M416="NZ","NZ","AU")</f>
        <v>AU</v>
      </c>
      <c r="AM416">
        <f>COUNTIF($AJ$2:$AJ416,$AJ416)</f>
        <v>29.0</v>
      </c>
      <c r="AN416" t="str">
        <f>$AJ416&amp;"|"&amp;$AM416</f>
        <v>Energy Solutions &amp; B2B|29</v>
      </c>
    </row>
    <row r="417" ht="18" customHeight="1" s="849">
      <c r="A417" s="659" t="inlineStr">
        <is>
          <t>V</t>
        </is>
      </c>
      <c r="B417" s="660" t="inlineStr">
        <is>
          <t>Vacant</t>
        </is>
      </c>
      <c r="C417" s="660" t="inlineStr">
        <is>
          <t>Snr Engineer Software</t>
        </is>
      </c>
      <c r="D417" s="662" t="inlineStr">
        <is>
          <t>Vacant</t>
        </is>
      </c>
      <c r="E417" s="660" t="inlineStr">
        <is>
          <t>Technology Manager, Energy Solutions</t>
        </is>
      </c>
      <c r="F417" s="661" t="inlineStr">
        <is>
          <t>TDD CFE&amp;I</t>
        </is>
      </c>
      <c r="G417" s="662" t="inlineStr">
        <is>
          <t>B2B &amp; Energy Solutions</t>
        </is>
      </c>
      <c r="H417" s="662" t="inlineStr">
        <is>
          <t>Technology Energy Solutions</t>
        </is>
      </c>
      <c r="I417" s="662" t="inlineStr">
        <is>
          <t>B2B &amp; Energy Solutions</t>
        </is>
      </c>
      <c r="J417" s="662" t="inlineStr">
        <is>
          <t>Energy Solutions</t>
        </is>
      </c>
      <c r="K417" s="660" t="inlineStr">
        <is>
          <t>Energy</t>
        </is>
      </c>
      <c r="L417" s="662" t="n"/>
      <c r="M417" s="688" t="inlineStr">
        <is>
          <t>Australia</t>
        </is>
      </c>
      <c r="N417" s="664" t="inlineStr">
        <is>
          <t>CIB</t>
        </is>
      </c>
      <c r="O417" s="664" t="n">
        <v>1</v>
      </c>
      <c r="P417" s="664" t="n"/>
      <c r="Q417" s="664" t="inlineStr">
        <is>
          <t>v</t>
        </is>
      </c>
      <c r="R417" s="666" t="n"/>
      <c r="S417" s="666" t="n"/>
      <c r="T417" s="666" t="n">
        <v>151950</v>
      </c>
      <c r="U417" s="679" t="n">
        <v>151950</v>
      </c>
      <c r="V417" s="670" t="n">
        <v>0.12</v>
      </c>
      <c r="W417" s="921" t="n">
        <v>0.055</v>
      </c>
      <c r="X417" s="921" t="n">
        <v>0.12</v>
      </c>
      <c r="Y417" s="922" t="n"/>
      <c r="Z417" s="921" t="n">
        <v>0.04</v>
      </c>
      <c r="AA417" s="919" t="n">
        <v>202853.25</v>
      </c>
      <c r="AB417" s="744" t="n"/>
      <c r="AC417" s="744" t="n"/>
      <c r="AD417" s="744" t="n"/>
      <c r="AE417" s="744" t="n"/>
      <c r="AF417" s="744" t="n"/>
      <c r="AG417" s="744" t="n"/>
      <c r="AH417" s="744" t="n"/>
      <c r="AJ417" t="str">
        <f>IFERROR(INDEX(Lists!$U$1:$U$18,MATCH($I417,Lists!$T$1:$T$18,0)),"?")</f>
        <v>Energy Solutions &amp; B2B</v>
      </c>
      <c r="AK417" t="str">
        <f>IF(LOWER($Q417)="v","Vacant",IF(LOWER($Q417)="pause","Paused",IF(LOWER($Q417)="cxc","Contractor",IF($Q417="Contractor","Contractor","Filled"))))</f>
        <v>Vacant</v>
      </c>
      <c r="AL417" t="str">
        <f>IF($M417="NZ","NZ","AU")</f>
        <v>AU</v>
      </c>
      <c r="AM417">
        <f>COUNTIF($AJ$2:$AJ417,$AJ417)</f>
        <v>30.0</v>
      </c>
      <c r="AN417" t="str">
        <f>$AJ417&amp;"|"&amp;$AM417</f>
        <v>Energy Solutions &amp; B2B|30</v>
      </c>
    </row>
    <row r="418" ht="18" customHeight="1" s="849">
      <c r="A418" s="659" t="inlineStr">
        <is>
          <t>V</t>
        </is>
      </c>
      <c r="B418" s="660" t="inlineStr">
        <is>
          <t>Vacant</t>
        </is>
      </c>
      <c r="C418" s="660" t="inlineStr">
        <is>
          <t>Solution Architect</t>
        </is>
      </c>
      <c r="D418" s="662" t="inlineStr">
        <is>
          <t>Vacant</t>
        </is>
      </c>
      <c r="E418" s="660" t="inlineStr">
        <is>
          <t>Technology Manager, Energy Solutions</t>
        </is>
      </c>
      <c r="F418" s="661" t="inlineStr">
        <is>
          <t>TDD CFE&amp;I</t>
        </is>
      </c>
      <c r="G418" s="662" t="inlineStr">
        <is>
          <t>B2B &amp; Energy Solutions</t>
        </is>
      </c>
      <c r="H418" s="662" t="inlineStr">
        <is>
          <t>Technology Energy Solutions</t>
        </is>
      </c>
      <c r="I418" s="662" t="inlineStr">
        <is>
          <t>B2B &amp; Energy Solutions</t>
        </is>
      </c>
      <c r="J418" s="662" t="inlineStr">
        <is>
          <t>Energy Solutions</t>
        </is>
      </c>
      <c r="K418" s="660" t="inlineStr">
        <is>
          <t>Energy</t>
        </is>
      </c>
      <c r="L418" s="662" t="n"/>
      <c r="M418" s="688" t="inlineStr">
        <is>
          <t>australia</t>
        </is>
      </c>
      <c r="N418" s="664" t="inlineStr">
        <is>
          <t>CIC</t>
        </is>
      </c>
      <c r="O418" s="664" t="n">
        <v>1</v>
      </c>
      <c r="P418" s="664" t="n"/>
      <c r="Q418" s="664" t="inlineStr">
        <is>
          <t>v</t>
        </is>
      </c>
      <c r="R418" s="666" t="n"/>
      <c r="S418" s="666" t="n"/>
      <c r="T418" s="666" t="n">
        <v>173550</v>
      </c>
      <c r="U418" s="679" t="n">
        <v>173550</v>
      </c>
      <c r="V418" s="670" t="n">
        <v>0.12</v>
      </c>
      <c r="W418" s="921" t="n">
        <v>0.055</v>
      </c>
      <c r="X418" s="921" t="n">
        <v>0.12</v>
      </c>
      <c r="Y418" s="922" t="n"/>
      <c r="Z418" s="921" t="n">
        <v>0.04</v>
      </c>
      <c r="AA418" s="919" t="n">
        <v>231689.25</v>
      </c>
      <c r="AB418" s="744" t="n"/>
      <c r="AC418" s="744" t="n"/>
      <c r="AD418" s="744" t="n"/>
      <c r="AE418" s="744" t="n"/>
      <c r="AF418" s="744" t="n"/>
      <c r="AG418" s="744" t="n"/>
      <c r="AH418" s="744" t="n"/>
      <c r="AJ418" t="str">
        <f>IFERROR(INDEX(Lists!$U$1:$U$18,MATCH($I418,Lists!$T$1:$T$18,0)),"?")</f>
        <v>Energy Solutions &amp; B2B</v>
      </c>
      <c r="AK418" t="str">
        <f>IF(LOWER($Q418)="v","Vacant",IF(LOWER($Q418)="pause","Paused",IF(LOWER($Q418)="cxc","Contractor",IF($Q418="Contractor","Contractor","Filled"))))</f>
        <v>Vacant</v>
      </c>
      <c r="AL418" t="str">
        <f>IF($M418="NZ","NZ","AU")</f>
        <v>AU</v>
      </c>
      <c r="AM418">
        <f>COUNTIF($AJ$2:$AJ418,$AJ418)</f>
        <v>31.0</v>
      </c>
      <c r="AN418" t="str">
        <f>$AJ418&amp;"|"&amp;$AM418</f>
        <v>Energy Solutions &amp; B2B|31</v>
      </c>
    </row>
    <row r="419" ht="18" customHeight="1" s="849">
      <c r="A419" s="659" t="inlineStr">
        <is>
          <t>V</t>
        </is>
      </c>
      <c r="B419" s="660" t="inlineStr">
        <is>
          <t>Vacant</t>
        </is>
      </c>
      <c r="C419" s="660" t="inlineStr">
        <is>
          <t>System Specialist</t>
        </is>
      </c>
      <c r="D419" s="660" t="inlineStr">
        <is>
          <t>Allan Francia</t>
        </is>
      </c>
      <c r="E419" s="660" t="inlineStr">
        <is>
          <t>Technology Manager, T&amp;S</t>
        </is>
      </c>
      <c r="F419" s="661" t="inlineStr">
        <is>
          <t>TDD CFE&amp;I</t>
        </is>
      </c>
      <c r="G419" s="662" t="inlineStr">
        <is>
          <t>Commercial Fuels</t>
        </is>
      </c>
      <c r="H419" s="662" t="inlineStr">
        <is>
          <t>Technology, Trading &amp; Shipping</t>
        </is>
      </c>
      <c r="I419" s="662" t="inlineStr">
        <is>
          <t>Commercial Fuels</t>
        </is>
      </c>
      <c r="J419" s="662" t="inlineStr">
        <is>
          <t>Supply</t>
        </is>
      </c>
      <c r="K419" s="660" t="inlineStr">
        <is>
          <t>Supply</t>
        </is>
      </c>
      <c r="L419" s="662" t="n"/>
      <c r="M419" s="688" t="inlineStr">
        <is>
          <t>Australia</t>
        </is>
      </c>
      <c r="N419" s="664" t="inlineStr">
        <is>
          <t>CIB</t>
        </is>
      </c>
      <c r="O419" s="664" t="n">
        <v>1</v>
      </c>
      <c r="P419" s="664" t="n"/>
      <c r="Q419" s="664" t="inlineStr">
        <is>
          <t>v</t>
        </is>
      </c>
      <c r="R419" s="666" t="n"/>
      <c r="S419" s="666" t="n"/>
      <c r="T419" s="666" t="n">
        <v>151950</v>
      </c>
      <c r="U419" s="679" t="n">
        <v>151950</v>
      </c>
      <c r="V419" s="670" t="n">
        <v>0.12</v>
      </c>
      <c r="W419" s="921" t="n">
        <v>0.055</v>
      </c>
      <c r="X419" s="921" t="n">
        <v>0.12</v>
      </c>
      <c r="Y419" s="922" t="n"/>
      <c r="Z419" s="921" t="n">
        <v>0.04</v>
      </c>
      <c r="AA419" s="919" t="n">
        <v>202853.25</v>
      </c>
      <c r="AB419" s="744" t="n"/>
      <c r="AC419" s="744" t="n"/>
      <c r="AD419" s="744" t="n"/>
      <c r="AE419" s="744" t="n"/>
      <c r="AF419" s="744" t="n"/>
      <c r="AG419" s="744" t="n"/>
      <c r="AH419" s="744" t="n"/>
      <c r="AJ419" t="str">
        <f>IFERROR(INDEX(Lists!$U$1:$U$18,MATCH($I419,Lists!$T$1:$T$18,0)),"?")</f>
        <v>Commercial Fuels</v>
      </c>
      <c r="AK419" t="str">
        <f>IF(LOWER($Q419)="v","Vacant",IF(LOWER($Q419)="pause","Paused",IF(LOWER($Q419)="cxc","Contractor",IF($Q419="Contractor","Contractor","Filled"))))</f>
        <v>Vacant</v>
      </c>
      <c r="AL419" t="str">
        <f>IF($M419="NZ","NZ","AU")</f>
        <v>AU</v>
      </c>
      <c r="AM419">
        <f>COUNTIF($AJ$2:$AJ419,$AJ419)</f>
        <v>32.0</v>
      </c>
      <c r="AN419" t="str">
        <f>$AJ419&amp;"|"&amp;$AM419</f>
        <v>Commercial Fuels|32</v>
      </c>
    </row>
    <row r="420" ht="18" customHeight="1" s="849">
      <c r="A420" s="659" t="inlineStr">
        <is>
          <t>V</t>
        </is>
      </c>
      <c r="B420" s="660" t="inlineStr">
        <is>
          <t>Vacant</t>
        </is>
      </c>
      <c r="C420" s="660" t="inlineStr">
        <is>
          <t>Tech Support Technician</t>
        </is>
      </c>
      <c r="D420" s="660" t="inlineStr">
        <is>
          <t>Allan Francia</t>
        </is>
      </c>
      <c r="E420" s="660" t="inlineStr">
        <is>
          <t>Technology Manager, T&amp;S</t>
        </is>
      </c>
      <c r="F420" s="661" t="inlineStr">
        <is>
          <t>TDD CFE&amp;I</t>
        </is>
      </c>
      <c r="G420" s="662" t="inlineStr">
        <is>
          <t>Commercial Fuels</t>
        </is>
      </c>
      <c r="H420" s="662" t="inlineStr">
        <is>
          <t>Technology, Trading &amp; Shipping</t>
        </is>
      </c>
      <c r="I420" s="662" t="inlineStr">
        <is>
          <t>Commercial Fuels</t>
        </is>
      </c>
      <c r="J420" s="662" t="inlineStr">
        <is>
          <t>Trading &amp; Shipping</t>
        </is>
      </c>
      <c r="K420" s="660" t="inlineStr">
        <is>
          <t>Trading &amp; Shipping</t>
        </is>
      </c>
      <c r="L420" s="662" t="n"/>
      <c r="M420" s="688" t="inlineStr">
        <is>
          <t>Australia</t>
        </is>
      </c>
      <c r="N420" s="664" t="inlineStr">
        <is>
          <t>CDB</t>
        </is>
      </c>
      <c r="O420" s="664" t="n">
        <v>1</v>
      </c>
      <c r="P420" s="664" t="n"/>
      <c r="Q420" s="664" t="inlineStr">
        <is>
          <t>v</t>
        </is>
      </c>
      <c r="R420" s="666" t="n"/>
      <c r="S420" s="666" t="n"/>
      <c r="T420" s="666" t="n">
        <v>94650</v>
      </c>
      <c r="U420" s="679" t="n">
        <v>94650</v>
      </c>
      <c r="V420" s="670" t="n">
        <v>0.08</v>
      </c>
      <c r="W420" s="921" t="n">
        <v>0.055</v>
      </c>
      <c r="X420" s="921" t="n">
        <v>0.12</v>
      </c>
      <c r="Y420" s="922" t="n"/>
      <c r="Z420" s="921" t="n">
        <v>0.04</v>
      </c>
      <c r="AA420" s="919" t="n">
        <v>122571.75</v>
      </c>
      <c r="AB420" s="744" t="n"/>
      <c r="AC420" s="744" t="n"/>
      <c r="AD420" s="744" t="n"/>
      <c r="AE420" s="744" t="n"/>
      <c r="AF420" s="744" t="n"/>
      <c r="AG420" s="744" t="n"/>
      <c r="AH420" s="744" t="n"/>
      <c r="AJ420" t="str">
        <f>IFERROR(INDEX(Lists!$U$1:$U$18,MATCH($I420,Lists!$T$1:$T$18,0)),"?")</f>
        <v>Commercial Fuels</v>
      </c>
      <c r="AK420" t="str">
        <f>IF(LOWER($Q420)="v","Vacant",IF(LOWER($Q420)="pause","Paused",IF(LOWER($Q420)="cxc","Contractor",IF($Q420="Contractor","Contractor","Filled"))))</f>
        <v>Vacant</v>
      </c>
      <c r="AL420" t="str">
        <f>IF($M420="NZ","NZ","AU")</f>
        <v>AU</v>
      </c>
      <c r="AM420">
        <f>COUNTIF($AJ$2:$AJ420,$AJ420)</f>
        <v>33.0</v>
      </c>
      <c r="AN420" t="str">
        <f>$AJ420&amp;"|"&amp;$AM420</f>
        <v>Commercial Fuels|33</v>
      </c>
    </row>
    <row r="421" ht="18" customHeight="1" s="849">
      <c r="A421" s="659" t="inlineStr">
        <is>
          <t>V</t>
        </is>
      </c>
      <c r="B421" s="660" t="inlineStr">
        <is>
          <t>Vacant</t>
        </is>
      </c>
      <c r="C421" s="660" t="inlineStr">
        <is>
          <t>Delivery Manager</t>
        </is>
      </c>
      <c r="D421" s="662" t="inlineStr">
        <is>
          <t>Nakul Bharade</t>
        </is>
      </c>
      <c r="E421" s="660" t="inlineStr">
        <is>
          <t>Head of Technology, Commercial Fuels</t>
        </is>
      </c>
      <c r="F421" s="661" t="inlineStr">
        <is>
          <t>TDD CFE&amp;I</t>
        </is>
      </c>
      <c r="G421" s="662" t="inlineStr">
        <is>
          <t>Commercial Fuels</t>
        </is>
      </c>
      <c r="H421" s="662" t="inlineStr">
        <is>
          <t>Delivery, Commercial Fuels</t>
        </is>
      </c>
      <c r="I421" s="662" t="inlineStr">
        <is>
          <t>Commercial Fuels</t>
        </is>
      </c>
      <c r="J421" s="662" t="inlineStr">
        <is>
          <t>Leadership</t>
        </is>
      </c>
      <c r="K421" s="662" t="inlineStr">
        <is>
          <t>Leadership</t>
        </is>
      </c>
      <c r="L421" s="662" t="n"/>
      <c r="M421" s="688" t="inlineStr">
        <is>
          <t>Australia</t>
        </is>
      </c>
      <c r="N421" s="664" t="inlineStr">
        <is>
          <t>CSB</t>
        </is>
      </c>
      <c r="O421" s="664" t="n">
        <v>1</v>
      </c>
      <c r="P421" s="664" t="n"/>
      <c r="Q421" s="664" t="inlineStr">
        <is>
          <t>V</t>
        </is>
      </c>
      <c r="R421" s="666" t="n"/>
      <c r="S421" s="666" t="n"/>
      <c r="T421" s="666" t="n">
        <v>203550</v>
      </c>
      <c r="U421" s="679" t="n">
        <v>203550</v>
      </c>
      <c r="V421" s="670" t="n">
        <v>0.14</v>
      </c>
      <c r="W421" s="921" t="n">
        <v>0.055</v>
      </c>
      <c r="X421" s="921" t="n">
        <v>0.12</v>
      </c>
      <c r="Y421" s="922" t="n"/>
      <c r="Z421" s="921" t="n">
        <v>0.04</v>
      </c>
      <c r="AA421" s="919" t="n">
        <v>275810.25</v>
      </c>
      <c r="AB421" s="744" t="n"/>
      <c r="AC421" s="744" t="n"/>
      <c r="AD421" s="744" t="n"/>
      <c r="AE421" s="744" t="n"/>
      <c r="AF421" s="744" t="n"/>
      <c r="AG421" s="744" t="n"/>
      <c r="AH421" s="744" t="n"/>
      <c r="AJ421" t="str">
        <f>IFERROR(INDEX(Lists!$U$1:$U$18,MATCH($I421,Lists!$T$1:$T$18,0)),"?")</f>
        <v>Commercial Fuels</v>
      </c>
      <c r="AK421" t="str">
        <f>IF(LOWER($Q421)="v","Vacant",IF(LOWER($Q421)="pause","Paused",IF(LOWER($Q421)="cxc","Contractor",IF($Q421="Contractor","Contractor","Filled"))))</f>
        <v>Vacant</v>
      </c>
      <c r="AL421" t="str">
        <f>IF($M421="NZ","NZ","AU")</f>
        <v>AU</v>
      </c>
      <c r="AM421">
        <f>COUNTIF($AJ$2:$AJ421,$AJ421)</f>
        <v>34.0</v>
      </c>
      <c r="AN421" t="str">
        <f>$AJ421&amp;"|"&amp;$AM421</f>
        <v>Commercial Fuels|34</v>
      </c>
    </row>
    <row r="422" ht="18" customHeight="1" s="849">
      <c r="A422" s="659" t="inlineStr">
        <is>
          <t>V</t>
        </is>
      </c>
      <c r="B422" s="660" t="inlineStr">
        <is>
          <t>Vacant</t>
        </is>
      </c>
      <c r="C422" s="660" t="inlineStr">
        <is>
          <t>Technology Manager, Data</t>
        </is>
      </c>
      <c r="D422" s="662" t="inlineStr">
        <is>
          <t>Nakul Bharade</t>
        </is>
      </c>
      <c r="E422" s="660" t="inlineStr">
        <is>
          <t>Head of Technology, Commercial Fuels</t>
        </is>
      </c>
      <c r="F422" s="661" t="inlineStr">
        <is>
          <t>TDD CFE&amp;I</t>
        </is>
      </c>
      <c r="G422" s="662" t="inlineStr">
        <is>
          <t>Commercial Fuels</t>
        </is>
      </c>
      <c r="H422" s="662" t="inlineStr">
        <is>
          <t>Technology, T&amp;S Data</t>
        </is>
      </c>
      <c r="I422" s="662" t="inlineStr">
        <is>
          <t>Commercial Fuels</t>
        </is>
      </c>
      <c r="J422" s="662" t="inlineStr">
        <is>
          <t>Leadership</t>
        </is>
      </c>
      <c r="K422" s="662" t="inlineStr">
        <is>
          <t>Leadership</t>
        </is>
      </c>
      <c r="L422" s="662" t="n"/>
      <c r="M422" s="688" t="inlineStr">
        <is>
          <t>Australia</t>
        </is>
      </c>
      <c r="N422" s="664" t="inlineStr">
        <is>
          <t>CSB</t>
        </is>
      </c>
      <c r="O422" s="664" t="n">
        <v>1</v>
      </c>
      <c r="P422" s="664" t="n"/>
      <c r="Q422" s="664" t="inlineStr">
        <is>
          <t>v</t>
        </is>
      </c>
      <c r="R422" s="666" t="n"/>
      <c r="S422" s="666" t="n"/>
      <c r="T422" s="666" t="n">
        <v>203550</v>
      </c>
      <c r="U422" s="679" t="n">
        <v>203550</v>
      </c>
      <c r="V422" s="670" t="n">
        <v>0.14</v>
      </c>
      <c r="W422" s="921" t="n">
        <v>0.055</v>
      </c>
      <c r="X422" s="921" t="n">
        <v>0.12</v>
      </c>
      <c r="Y422" s="922" t="n"/>
      <c r="Z422" s="921" t="n">
        <v>0.04</v>
      </c>
      <c r="AA422" s="919" t="n">
        <v>275810.25</v>
      </c>
      <c r="AB422" s="744" t="n"/>
      <c r="AC422" s="744" t="n"/>
      <c r="AD422" s="744" t="n"/>
      <c r="AE422" s="744" t="n"/>
      <c r="AF422" s="744" t="n"/>
      <c r="AG422" s="744" t="n"/>
      <c r="AH422" s="744" t="n"/>
      <c r="AJ422" t="str">
        <f>IFERROR(INDEX(Lists!$U$1:$U$18,MATCH($I422,Lists!$T$1:$T$18,0)),"?")</f>
        <v>Commercial Fuels</v>
      </c>
      <c r="AK422" t="str">
        <f>IF(LOWER($Q422)="v","Vacant",IF(LOWER($Q422)="pause","Paused",IF(LOWER($Q422)="cxc","Contractor",IF($Q422="Contractor","Contractor","Filled"))))</f>
        <v>Vacant</v>
      </c>
      <c r="AL422" t="str">
        <f>IF($M422="NZ","NZ","AU")</f>
        <v>AU</v>
      </c>
      <c r="AM422">
        <f>COUNTIF($AJ$2:$AJ422,$AJ422)</f>
        <v>35.0</v>
      </c>
      <c r="AN422" t="str">
        <f>$AJ422&amp;"|"&amp;$AM422</f>
        <v>Commercial Fuels|35</v>
      </c>
    </row>
    <row r="423" ht="18" customHeight="1" s="849">
      <c r="A423" s="659" t="inlineStr">
        <is>
          <t>V</t>
        </is>
      </c>
      <c r="B423" s="660" t="inlineStr">
        <is>
          <t>Vacant</t>
        </is>
      </c>
      <c r="C423" s="660" t="inlineStr">
        <is>
          <t>Delivery Lead</t>
        </is>
      </c>
      <c r="D423" s="662" t="inlineStr">
        <is>
          <t>Vacant</t>
        </is>
      </c>
      <c r="E423" s="660" t="inlineStr">
        <is>
          <t>Delivery Manager</t>
        </is>
      </c>
      <c r="F423" s="661" t="inlineStr">
        <is>
          <t>TDD CFE&amp;I</t>
        </is>
      </c>
      <c r="G423" s="662" t="inlineStr">
        <is>
          <t>Commercial Fuels</t>
        </is>
      </c>
      <c r="H423" s="662" t="inlineStr">
        <is>
          <t>Delivery, Commercial Fuels</t>
        </is>
      </c>
      <c r="I423" s="662" t="inlineStr">
        <is>
          <t>Commercial Fuels</t>
        </is>
      </c>
      <c r="J423" s="662" t="inlineStr">
        <is>
          <t>Supply</t>
        </is>
      </c>
      <c r="K423" s="662" t="inlineStr">
        <is>
          <t>Supply</t>
        </is>
      </c>
      <c r="L423" s="660" t="n"/>
      <c r="M423" s="688" t="inlineStr">
        <is>
          <t>Australia</t>
        </is>
      </c>
      <c r="N423" s="664" t="inlineStr">
        <is>
          <t>CIC</t>
        </is>
      </c>
      <c r="O423" s="664" t="n">
        <v>1</v>
      </c>
      <c r="P423" s="664" t="n"/>
      <c r="Q423" s="664" t="inlineStr">
        <is>
          <t>V</t>
        </is>
      </c>
      <c r="R423" s="666" t="n"/>
      <c r="S423" s="666" t="n"/>
      <c r="T423" s="666" t="n">
        <v>173550</v>
      </c>
      <c r="U423" s="679" t="n">
        <v>173550</v>
      </c>
      <c r="V423" s="670" t="n">
        <v>0.12</v>
      </c>
      <c r="W423" s="921" t="n">
        <v>0.055</v>
      </c>
      <c r="X423" s="921" t="n">
        <v>0.12</v>
      </c>
      <c r="Y423" s="922" t="n"/>
      <c r="Z423" s="921" t="n">
        <v>0.04</v>
      </c>
      <c r="AA423" s="919" t="n">
        <v>231689.25</v>
      </c>
      <c r="AB423" s="744" t="n"/>
      <c r="AC423" s="744" t="n"/>
      <c r="AD423" s="744" t="n"/>
      <c r="AE423" s="744" t="n"/>
      <c r="AF423" s="744" t="n"/>
      <c r="AG423" s="744" t="n"/>
      <c r="AH423" s="744" t="n"/>
      <c r="AJ423" t="str">
        <f>IFERROR(INDEX(Lists!$U$1:$U$18,MATCH($I423,Lists!$T$1:$T$18,0)),"?")</f>
        <v>Commercial Fuels</v>
      </c>
      <c r="AK423" t="str">
        <f>IF(LOWER($Q423)="v","Vacant",IF(LOWER($Q423)="pause","Paused",IF(LOWER($Q423)="cxc","Contractor",IF($Q423="Contractor","Contractor","Filled"))))</f>
        <v>Vacant</v>
      </c>
      <c r="AL423" t="str">
        <f>IF($M423="NZ","NZ","AU")</f>
        <v>AU</v>
      </c>
      <c r="AM423">
        <f>COUNTIF($AJ$2:$AJ423,$AJ423)</f>
        <v>36.0</v>
      </c>
      <c r="AN423" t="str">
        <f>$AJ423&amp;"|"&amp;$AM423</f>
        <v>Commercial Fuels|36</v>
      </c>
    </row>
    <row r="424" ht="18" customHeight="1" s="849">
      <c r="A424" s="659" t="inlineStr">
        <is>
          <t>V</t>
        </is>
      </c>
      <c r="B424" s="660" t="inlineStr">
        <is>
          <t>Vacant</t>
        </is>
      </c>
      <c r="C424" s="660" t="inlineStr">
        <is>
          <t>Delivery Lead</t>
        </is>
      </c>
      <c r="D424" s="662" t="inlineStr">
        <is>
          <t>Vacant</t>
        </is>
      </c>
      <c r="E424" s="660" t="inlineStr">
        <is>
          <t>Delivery Manager</t>
        </is>
      </c>
      <c r="F424" s="661" t="inlineStr">
        <is>
          <t>TDD CFE&amp;I</t>
        </is>
      </c>
      <c r="G424" s="662" t="inlineStr">
        <is>
          <t>Commercial Fuels</t>
        </is>
      </c>
      <c r="H424" s="662" t="inlineStr">
        <is>
          <t>Delivery, Commercial Fuels</t>
        </is>
      </c>
      <c r="I424" s="662" t="inlineStr">
        <is>
          <t>Commercial Fuels</t>
        </is>
      </c>
      <c r="J424" s="662" t="inlineStr">
        <is>
          <t>Trading &amp; Shipping</t>
        </is>
      </c>
      <c r="K424" s="662" t="inlineStr">
        <is>
          <t>Trading &amp; Shipping</t>
        </is>
      </c>
      <c r="L424" s="660" t="n"/>
      <c r="M424" s="688" t="inlineStr">
        <is>
          <t>Australia</t>
        </is>
      </c>
      <c r="N424" s="664" t="inlineStr">
        <is>
          <t>CIC</t>
        </is>
      </c>
      <c r="O424" s="664" t="n">
        <v>1</v>
      </c>
      <c r="P424" s="664" t="n"/>
      <c r="Q424" s="664" t="inlineStr">
        <is>
          <t>V</t>
        </is>
      </c>
      <c r="R424" s="666" t="n"/>
      <c r="S424" s="666" t="n"/>
      <c r="T424" s="666" t="n">
        <v>173550</v>
      </c>
      <c r="U424" s="679" t="n">
        <v>173550</v>
      </c>
      <c r="V424" s="670" t="n">
        <v>0.12</v>
      </c>
      <c r="W424" s="921" t="n">
        <v>0.055</v>
      </c>
      <c r="X424" s="921" t="n">
        <v>0.12</v>
      </c>
      <c r="Y424" s="922" t="n"/>
      <c r="Z424" s="921" t="n">
        <v>0.04</v>
      </c>
      <c r="AA424" s="919" t="n">
        <v>231689.25</v>
      </c>
      <c r="AB424" s="744" t="n"/>
      <c r="AC424" s="744" t="n"/>
      <c r="AD424" s="744" t="n"/>
      <c r="AE424" s="744" t="n"/>
      <c r="AF424" s="744" t="n"/>
      <c r="AG424" s="744" t="n"/>
      <c r="AH424" s="744" t="n"/>
      <c r="AJ424" t="str">
        <f>IFERROR(INDEX(Lists!$U$1:$U$18,MATCH($I424,Lists!$T$1:$T$18,0)),"?")</f>
        <v>Commercial Fuels</v>
      </c>
      <c r="AK424" t="str">
        <f>IF(LOWER($Q424)="v","Vacant",IF(LOWER($Q424)="pause","Paused",IF(LOWER($Q424)="cxc","Contractor",IF($Q424="Contractor","Contractor","Filled"))))</f>
        <v>Vacant</v>
      </c>
      <c r="AL424" t="str">
        <f>IF($M424="NZ","NZ","AU")</f>
        <v>AU</v>
      </c>
      <c r="AM424">
        <f>COUNTIF($AJ$2:$AJ424,$AJ424)</f>
        <v>37.0</v>
      </c>
      <c r="AN424" t="str">
        <f>$AJ424&amp;"|"&amp;$AM424</f>
        <v>Commercial Fuels|37</v>
      </c>
    </row>
    <row r="425" ht="18" customHeight="1" s="849">
      <c r="A425" s="659" t="inlineStr">
        <is>
          <t>V</t>
        </is>
      </c>
      <c r="B425" s="660" t="inlineStr">
        <is>
          <t>Vacant</t>
        </is>
      </c>
      <c r="C425" s="660" t="inlineStr">
        <is>
          <t>Quality Assurance</t>
        </is>
      </c>
      <c r="D425" s="662" t="inlineStr">
        <is>
          <t>Vacant</t>
        </is>
      </c>
      <c r="E425" s="660" t="inlineStr">
        <is>
          <t>Technology Manager, Engineering</t>
        </is>
      </c>
      <c r="F425" s="661" t="inlineStr">
        <is>
          <t>TDD CFE&amp;I</t>
        </is>
      </c>
      <c r="G425" s="662" t="inlineStr">
        <is>
          <t>Commercial Fuels</t>
        </is>
      </c>
      <c r="H425" s="662" t="inlineStr">
        <is>
          <t>Technology, CF Engineering</t>
        </is>
      </c>
      <c r="I425" s="662" t="inlineStr">
        <is>
          <t>Commercial Fuels</t>
        </is>
      </c>
      <c r="J425" s="662" t="inlineStr">
        <is>
          <t>Trading &amp; Shipping</t>
        </is>
      </c>
      <c r="K425" s="660" t="inlineStr">
        <is>
          <t>Trading &amp; Shipping</t>
        </is>
      </c>
      <c r="L425" s="662" t="n"/>
      <c r="M425" s="688" t="inlineStr">
        <is>
          <t>Australia</t>
        </is>
      </c>
      <c r="N425" s="664" t="inlineStr">
        <is>
          <t>CIA</t>
        </is>
      </c>
      <c r="O425" s="664" t="n">
        <v>1</v>
      </c>
      <c r="P425" s="664" t="n"/>
      <c r="Q425" s="664" t="inlineStr">
        <is>
          <t>v</t>
        </is>
      </c>
      <c r="R425" s="666" t="n"/>
      <c r="S425" s="666" t="n"/>
      <c r="T425" s="666" t="n">
        <v>129650</v>
      </c>
      <c r="U425" s="679" t="n">
        <v>129650</v>
      </c>
      <c r="V425" s="670" t="n">
        <v>0.1</v>
      </c>
      <c r="W425" s="921" t="n">
        <v>0.055</v>
      </c>
      <c r="X425" s="921" t="n">
        <v>0.12</v>
      </c>
      <c r="Y425" s="922" t="n"/>
      <c r="Z425" s="921" t="n">
        <v>0.04</v>
      </c>
      <c r="AA425" s="919" t="n">
        <v>170489.75</v>
      </c>
      <c r="AB425" s="744" t="n"/>
      <c r="AC425" s="744" t="n"/>
      <c r="AD425" s="744" t="n"/>
      <c r="AE425" s="744" t="n"/>
      <c r="AF425" s="744" t="n"/>
      <c r="AG425" s="744" t="n"/>
      <c r="AH425" s="744" t="n"/>
      <c r="AJ425" t="str">
        <f>IFERROR(INDEX(Lists!$U$1:$U$18,MATCH($I425,Lists!$T$1:$T$18,0)),"?")</f>
        <v>Commercial Fuels</v>
      </c>
      <c r="AK425" t="str">
        <f>IF(LOWER($Q425)="v","Vacant",IF(LOWER($Q425)="pause","Paused",IF(LOWER($Q425)="cxc","Contractor",IF($Q425="Contractor","Contractor","Filled"))))</f>
        <v>Vacant</v>
      </c>
      <c r="AL425" t="str">
        <f>IF($M425="NZ","NZ","AU")</f>
        <v>AU</v>
      </c>
      <c r="AM425">
        <f>COUNTIF($AJ$2:$AJ425,$AJ425)</f>
        <v>38.0</v>
      </c>
      <c r="AN425" t="str">
        <f>$AJ425&amp;"|"&amp;$AM425</f>
        <v>Commercial Fuels|38</v>
      </c>
    </row>
    <row r="426" ht="18" customHeight="1" s="849">
      <c r="A426" s="659" t="inlineStr">
        <is>
          <t>V</t>
        </is>
      </c>
      <c r="B426" s="660" t="inlineStr">
        <is>
          <t>vacant</t>
        </is>
      </c>
      <c r="C426" s="660" t="inlineStr">
        <is>
          <t>Delivery manager</t>
        </is>
      </c>
      <c r="D426" s="660" t="inlineStr">
        <is>
          <t>Amish Pandit</t>
        </is>
      </c>
      <c r="E426" s="660" t="inlineStr">
        <is>
          <t>Head of Technology, Fuel Infrastructure</t>
        </is>
      </c>
      <c r="F426" s="661" t="inlineStr">
        <is>
          <t>TDD CFE&amp;I</t>
        </is>
      </c>
      <c r="G426" s="662" t="inlineStr">
        <is>
          <t>Fuel Infrastructure</t>
        </is>
      </c>
      <c r="H426" s="662" t="inlineStr">
        <is>
          <t>Fuel Infrastructure, Delivery</t>
        </is>
      </c>
      <c r="I426" s="662" t="inlineStr">
        <is>
          <t>Infrastructure</t>
        </is>
      </c>
      <c r="J426" s="662" t="inlineStr">
        <is>
          <t xml:space="preserve">Leadership </t>
        </is>
      </c>
      <c r="K426" s="660" t="inlineStr">
        <is>
          <t>Leadership</t>
        </is>
      </c>
      <c r="L426" s="662" t="n"/>
      <c r="M426" s="688" t="inlineStr">
        <is>
          <t>Australia</t>
        </is>
      </c>
      <c r="N426" s="664" t="inlineStr">
        <is>
          <t>CSB</t>
        </is>
      </c>
      <c r="O426" s="664" t="n">
        <v>1</v>
      </c>
      <c r="P426" s="664" t="n"/>
      <c r="Q426" s="664" t="inlineStr">
        <is>
          <t>V</t>
        </is>
      </c>
      <c r="R426" s="666" t="n"/>
      <c r="S426" s="666" t="n"/>
      <c r="T426" s="666" t="n">
        <v>203550</v>
      </c>
      <c r="U426" s="679" t="n">
        <v>203550</v>
      </c>
      <c r="V426" s="670" t="n">
        <v>0.14</v>
      </c>
      <c r="W426" s="921" t="n">
        <v>0.055</v>
      </c>
      <c r="X426" s="921" t="n">
        <v>0.12</v>
      </c>
      <c r="Y426" s="922" t="n"/>
      <c r="Z426" s="921" t="n">
        <v>0.04</v>
      </c>
      <c r="AA426" s="919" t="n">
        <v>275810.25</v>
      </c>
      <c r="AB426" s="744" t="n"/>
      <c r="AC426" s="744" t="n"/>
      <c r="AD426" s="744" t="n"/>
      <c r="AE426" s="744" t="n"/>
      <c r="AF426" s="744" t="n"/>
      <c r="AG426" s="744" t="n"/>
      <c r="AH426" s="744" t="n"/>
      <c r="AJ426" t="str">
        <f>IFERROR(INDEX(Lists!$U$1:$U$18,MATCH($I426,Lists!$T$1:$T$18,0)),"?")</f>
        <v>Infrastructure</v>
      </c>
      <c r="AK426" t="str">
        <f>IF(LOWER($Q426)="v","Vacant",IF(LOWER($Q426)="pause","Paused",IF(LOWER($Q426)="cxc","Contractor",IF($Q426="Contractor","Contractor","Filled"))))</f>
        <v>Vacant</v>
      </c>
      <c r="AL426" t="str">
        <f>IF($M426="NZ","NZ","AU")</f>
        <v>AU</v>
      </c>
      <c r="AM426">
        <f>COUNTIF($AJ$2:$AJ426,$AJ426)</f>
        <v>24.0</v>
      </c>
      <c r="AN426" t="str">
        <f>$AJ426&amp;"|"&amp;$AM426</f>
        <v>Infrastructure|24</v>
      </c>
    </row>
    <row r="427" ht="18" customHeight="1" s="849">
      <c r="A427" s="659" t="inlineStr">
        <is>
          <t>V</t>
        </is>
      </c>
      <c r="B427" s="660" t="inlineStr">
        <is>
          <t>Vacant</t>
        </is>
      </c>
      <c r="C427" s="660" t="inlineStr">
        <is>
          <t>Technology Manager Data</t>
        </is>
      </c>
      <c r="D427" s="660" t="inlineStr">
        <is>
          <t>Amish Pandit</t>
        </is>
      </c>
      <c r="E427" s="660" t="inlineStr">
        <is>
          <t>Head of Technology, Fuel Infrastructure</t>
        </is>
      </c>
      <c r="F427" s="661" t="inlineStr">
        <is>
          <t>TDD CFE&amp;I</t>
        </is>
      </c>
      <c r="G427" s="662" t="inlineStr">
        <is>
          <t>Fuel Infrastructure</t>
        </is>
      </c>
      <c r="H427" s="662" t="inlineStr">
        <is>
          <t>Fuel Infrastructure, Data</t>
        </is>
      </c>
      <c r="I427" s="662" t="inlineStr">
        <is>
          <t>Infrastructure</t>
        </is>
      </c>
      <c r="J427" s="660" t="inlineStr">
        <is>
          <t>Leadership</t>
        </is>
      </c>
      <c r="K427" s="660" t="inlineStr">
        <is>
          <t>Leadership</t>
        </is>
      </c>
      <c r="L427" s="662" t="n"/>
      <c r="M427" s="688" t="inlineStr">
        <is>
          <t>Australia</t>
        </is>
      </c>
      <c r="N427" s="664" t="inlineStr">
        <is>
          <t>CSB</t>
        </is>
      </c>
      <c r="O427" s="664" t="n">
        <v>1</v>
      </c>
      <c r="P427" s="664" t="n"/>
      <c r="Q427" s="664" t="inlineStr">
        <is>
          <t>v</t>
        </is>
      </c>
      <c r="R427" s="666" t="n"/>
      <c r="S427" s="666" t="n"/>
      <c r="T427" s="666" t="n">
        <v>203550</v>
      </c>
      <c r="U427" s="679" t="n">
        <v>203550</v>
      </c>
      <c r="V427" s="670" t="n">
        <v>0.14</v>
      </c>
      <c r="W427" s="921" t="n">
        <v>0.055</v>
      </c>
      <c r="X427" s="921" t="n">
        <v>0.12</v>
      </c>
      <c r="Y427" s="922" t="n"/>
      <c r="Z427" s="921" t="n">
        <v>0.04</v>
      </c>
      <c r="AA427" s="919" t="n">
        <v>275810.25</v>
      </c>
      <c r="AB427" s="744" t="n"/>
      <c r="AC427" s="744" t="n"/>
      <c r="AD427" s="744" t="n"/>
      <c r="AE427" s="744" t="n"/>
      <c r="AF427" s="744" t="n"/>
      <c r="AG427" s="744" t="n"/>
      <c r="AH427" s="744" t="n"/>
      <c r="AJ427" t="str">
        <f>IFERROR(INDEX(Lists!$U$1:$U$18,MATCH($I427,Lists!$T$1:$T$18,0)),"?")</f>
        <v>Infrastructure</v>
      </c>
      <c r="AK427" t="str">
        <f>IF(LOWER($Q427)="v","Vacant",IF(LOWER($Q427)="pause","Paused",IF(LOWER($Q427)="cxc","Contractor",IF($Q427="Contractor","Contractor","Filled"))))</f>
        <v>Vacant</v>
      </c>
      <c r="AL427" t="str">
        <f>IF($M427="NZ","NZ","AU")</f>
        <v>AU</v>
      </c>
      <c r="AM427">
        <f>COUNTIF($AJ$2:$AJ427,$AJ427)</f>
        <v>25.0</v>
      </c>
      <c r="AN427" t="str">
        <f>$AJ427&amp;"|"&amp;$AM427</f>
        <v>Infrastructure|25</v>
      </c>
    </row>
    <row r="428" ht="18" customHeight="1" s="849">
      <c r="A428" s="659" t="inlineStr">
        <is>
          <t>V</t>
        </is>
      </c>
      <c r="B428" s="660" t="inlineStr">
        <is>
          <t>Vacant</t>
        </is>
      </c>
      <c r="C428" s="660" t="inlineStr">
        <is>
          <t xml:space="preserve">Technology Manager, Future Infrastructure </t>
        </is>
      </c>
      <c r="D428" s="660" t="inlineStr">
        <is>
          <t>Amish Pandit</t>
        </is>
      </c>
      <c r="E428" s="660" t="inlineStr">
        <is>
          <t>Head of Technology, Fuel Infrastructure</t>
        </is>
      </c>
      <c r="F428" s="661" t="inlineStr">
        <is>
          <t>TDD CFE&amp;I</t>
        </is>
      </c>
      <c r="G428" s="662" t="inlineStr">
        <is>
          <t>Fuel Infrastructure</t>
        </is>
      </c>
      <c r="H428" s="662" t="inlineStr">
        <is>
          <t>Technology - Distribution</t>
        </is>
      </c>
      <c r="I428" s="662" t="inlineStr">
        <is>
          <t>Infrastructure</t>
        </is>
      </c>
      <c r="J428" s="662" t="inlineStr">
        <is>
          <t>Distribution</t>
        </is>
      </c>
      <c r="K428" s="660" t="inlineStr">
        <is>
          <t>Leadership</t>
        </is>
      </c>
      <c r="L428" s="662" t="n"/>
      <c r="M428" s="688" t="inlineStr">
        <is>
          <t>Australia</t>
        </is>
      </c>
      <c r="N428" s="664" t="inlineStr">
        <is>
          <t>CSB</t>
        </is>
      </c>
      <c r="O428" s="664" t="n">
        <v>1</v>
      </c>
      <c r="P428" s="664" t="n"/>
      <c r="Q428" s="664" t="inlineStr">
        <is>
          <t>v</t>
        </is>
      </c>
      <c r="R428" s="666" t="n"/>
      <c r="S428" s="666" t="n"/>
      <c r="T428" s="666" t="n">
        <v>203550</v>
      </c>
      <c r="U428" s="679" t="n">
        <v>203550</v>
      </c>
      <c r="V428" s="670" t="n">
        <v>0.14</v>
      </c>
      <c r="W428" s="921" t="n">
        <v>0.055</v>
      </c>
      <c r="X428" s="921" t="n">
        <v>0.12</v>
      </c>
      <c r="Y428" s="922" t="n"/>
      <c r="Z428" s="921" t="n">
        <v>0.04</v>
      </c>
      <c r="AA428" s="919" t="n">
        <v>275810.25</v>
      </c>
      <c r="AB428" s="744" t="n"/>
      <c r="AC428" s="744" t="n"/>
      <c r="AD428" s="744" t="n"/>
      <c r="AE428" s="744" t="n"/>
      <c r="AF428" s="744" t="n"/>
      <c r="AG428" s="744" t="n"/>
      <c r="AH428" s="744" t="n"/>
      <c r="AJ428" t="str">
        <f>IFERROR(INDEX(Lists!$U$1:$U$18,MATCH($I428,Lists!$T$1:$T$18,0)),"?")</f>
        <v>Infrastructure</v>
      </c>
      <c r="AK428" t="str">
        <f>IF(LOWER($Q428)="v","Vacant",IF(LOWER($Q428)="pause","Paused",IF(LOWER($Q428)="cxc","Contractor",IF($Q428="Contractor","Contractor","Filled"))))</f>
        <v>Vacant</v>
      </c>
      <c r="AL428" t="str">
        <f>IF($M428="NZ","NZ","AU")</f>
        <v>AU</v>
      </c>
      <c r="AM428">
        <f>COUNTIF($AJ$2:$AJ428,$AJ428)</f>
        <v>26.0</v>
      </c>
      <c r="AN428" t="str">
        <f>$AJ428&amp;"|"&amp;$AM428</f>
        <v>Infrastructure|26</v>
      </c>
    </row>
    <row r="429" ht="18" customHeight="1" s="849">
      <c r="A429" s="659" t="inlineStr">
        <is>
          <t>V</t>
        </is>
      </c>
      <c r="B429" s="660" t="inlineStr">
        <is>
          <t>Vacant</t>
        </is>
      </c>
      <c r="C429" s="660" t="inlineStr">
        <is>
          <t>Quality Assurance</t>
        </is>
      </c>
      <c r="D429" s="660" t="inlineStr">
        <is>
          <t>Jaya Ganasan</t>
        </is>
      </c>
      <c r="E429" s="660" t="inlineStr">
        <is>
          <t>Technology Manager, TDD Refinery</t>
        </is>
      </c>
      <c r="F429" s="661" t="inlineStr">
        <is>
          <t>TDD CFE&amp;I</t>
        </is>
      </c>
      <c r="G429" s="662" t="inlineStr">
        <is>
          <t>Fuel Infrastructure</t>
        </is>
      </c>
      <c r="H429" s="662" t="inlineStr">
        <is>
          <t>Refinery Applications</t>
        </is>
      </c>
      <c r="I429" s="662" t="inlineStr">
        <is>
          <t>Infrastructure</t>
        </is>
      </c>
      <c r="J429" s="662" t="inlineStr">
        <is>
          <t>Manufacturing</t>
        </is>
      </c>
      <c r="K429" s="660" t="inlineStr">
        <is>
          <t>Manufacturing Group Projects</t>
        </is>
      </c>
      <c r="L429" s="662" t="n"/>
      <c r="M429" s="688" t="inlineStr">
        <is>
          <t>Australia</t>
        </is>
      </c>
      <c r="N429" s="664" t="inlineStr">
        <is>
          <t>CIA</t>
        </is>
      </c>
      <c r="O429" s="664" t="n">
        <v>1</v>
      </c>
      <c r="P429" s="664" t="n"/>
      <c r="Q429" s="664" t="inlineStr">
        <is>
          <t>v</t>
        </is>
      </c>
      <c r="R429" s="666" t="n"/>
      <c r="S429" s="666" t="n"/>
      <c r="T429" s="666" t="n">
        <v>129650</v>
      </c>
      <c r="U429" s="679" t="n">
        <v>129650</v>
      </c>
      <c r="V429" s="670" t="n">
        <v>0.1</v>
      </c>
      <c r="W429" s="921" t="n">
        <v>0.055</v>
      </c>
      <c r="X429" s="921" t="n">
        <v>0.12</v>
      </c>
      <c r="Y429" s="922" t="n"/>
      <c r="Z429" s="921" t="n">
        <v>0.04</v>
      </c>
      <c r="AA429" s="919" t="n">
        <v>170489.75</v>
      </c>
      <c r="AB429" s="744" t="n"/>
      <c r="AC429" s="744" t="n"/>
      <c r="AD429" s="744" t="n"/>
      <c r="AE429" s="744" t="n"/>
      <c r="AF429" s="744" t="n"/>
      <c r="AG429" s="744" t="n"/>
      <c r="AH429" s="744" t="n"/>
      <c r="AJ429" t="str">
        <f>IFERROR(INDEX(Lists!$U$1:$U$18,MATCH($I429,Lists!$T$1:$T$18,0)),"?")</f>
        <v>Infrastructure</v>
      </c>
      <c r="AK429" t="str">
        <f>IF(LOWER($Q429)="v","Vacant",IF(LOWER($Q429)="pause","Paused",IF(LOWER($Q429)="cxc","Contractor",IF($Q429="Contractor","Contractor","Filled"))))</f>
        <v>Vacant</v>
      </c>
      <c r="AL429" t="str">
        <f>IF($M429="NZ","NZ","AU")</f>
        <v>AU</v>
      </c>
      <c r="AM429">
        <f>COUNTIF($AJ$2:$AJ429,$AJ429)</f>
        <v>27.0</v>
      </c>
      <c r="AN429" t="str">
        <f>$AJ429&amp;"|"&amp;$AM429</f>
        <v>Infrastructure|27</v>
      </c>
    </row>
    <row r="430" ht="18" customHeight="1" s="849">
      <c r="A430" s="659" t="inlineStr">
        <is>
          <t>V</t>
        </is>
      </c>
      <c r="B430" s="660" t="inlineStr">
        <is>
          <t>Vacant</t>
        </is>
      </c>
      <c r="C430" s="660" t="inlineStr">
        <is>
          <t>Solution Architect</t>
        </is>
      </c>
      <c r="D430" s="660" t="inlineStr">
        <is>
          <t>Jaya Ganasan</t>
        </is>
      </c>
      <c r="E430" s="660" t="inlineStr">
        <is>
          <t>Technology Manager, TDD Refinery</t>
        </is>
      </c>
      <c r="F430" s="661" t="inlineStr">
        <is>
          <t>TDD CFE&amp;I</t>
        </is>
      </c>
      <c r="G430" s="662" t="inlineStr">
        <is>
          <t>Fuel Infrastructure</t>
        </is>
      </c>
      <c r="H430" s="662" t="inlineStr">
        <is>
          <t>Refinery Applications</t>
        </is>
      </c>
      <c r="I430" s="662" t="inlineStr">
        <is>
          <t>Infrastructure</t>
        </is>
      </c>
      <c r="J430" s="662" t="inlineStr">
        <is>
          <t>Manufacturing</t>
        </is>
      </c>
      <c r="K430" s="660" t="inlineStr">
        <is>
          <t>Manufacturing Group Projects</t>
        </is>
      </c>
      <c r="L430" s="662" t="n"/>
      <c r="M430" s="688" t="inlineStr">
        <is>
          <t>australia</t>
        </is>
      </c>
      <c r="N430" s="664" t="inlineStr">
        <is>
          <t>CIC</t>
        </is>
      </c>
      <c r="O430" s="664" t="n">
        <v>1</v>
      </c>
      <c r="P430" s="664" t="n"/>
      <c r="Q430" s="664" t="inlineStr">
        <is>
          <t>v</t>
        </is>
      </c>
      <c r="R430" s="666" t="n"/>
      <c r="S430" s="666" t="n"/>
      <c r="T430" s="666" t="n">
        <v>173550</v>
      </c>
      <c r="U430" s="679" t="n">
        <v>173550</v>
      </c>
      <c r="V430" s="670" t="n">
        <v>0.12</v>
      </c>
      <c r="W430" s="921" t="n">
        <v>0.055</v>
      </c>
      <c r="X430" s="921" t="n">
        <v>0.12</v>
      </c>
      <c r="Y430" s="922" t="n"/>
      <c r="Z430" s="921" t="n">
        <v>0.04</v>
      </c>
      <c r="AA430" s="919" t="n">
        <v>231689.25</v>
      </c>
      <c r="AB430" s="744" t="n"/>
      <c r="AC430" s="744" t="n"/>
      <c r="AD430" s="744" t="n"/>
      <c r="AE430" s="744" t="n"/>
      <c r="AF430" s="744" t="n"/>
      <c r="AG430" s="744" t="n"/>
      <c r="AH430" s="744" t="n"/>
      <c r="AJ430" t="str">
        <f>IFERROR(INDEX(Lists!$U$1:$U$18,MATCH($I430,Lists!$T$1:$T$18,0)),"?")</f>
        <v>Infrastructure</v>
      </c>
      <c r="AK430" t="str">
        <f>IF(LOWER($Q430)="v","Vacant",IF(LOWER($Q430)="pause","Paused",IF(LOWER($Q430)="cxc","Contractor",IF($Q430="Contractor","Contractor","Filled"))))</f>
        <v>Vacant</v>
      </c>
      <c r="AL430" t="str">
        <f>IF($M430="NZ","NZ","AU")</f>
        <v>AU</v>
      </c>
      <c r="AM430">
        <f>COUNTIF($AJ$2:$AJ430,$AJ430)</f>
        <v>28.0</v>
      </c>
      <c r="AN430" t="str">
        <f>$AJ430&amp;"|"&amp;$AM430</f>
        <v>Infrastructure|28</v>
      </c>
    </row>
    <row r="431" ht="18" customHeight="1" s="849">
      <c r="A431" s="659" t="inlineStr">
        <is>
          <t>V</t>
        </is>
      </c>
      <c r="B431" s="660" t="inlineStr">
        <is>
          <t>Vacant</t>
        </is>
      </c>
      <c r="C431" s="660" t="inlineStr">
        <is>
          <t>Quality Assurance</t>
        </is>
      </c>
      <c r="D431" s="660" t="inlineStr">
        <is>
          <t>Karla Orozco Loza</t>
        </is>
      </c>
      <c r="E431" s="660" t="inlineStr">
        <is>
          <t>Technology Manager, Future Infrastructure</t>
        </is>
      </c>
      <c r="F431" s="661" t="inlineStr">
        <is>
          <t>TDD CFE&amp;I</t>
        </is>
      </c>
      <c r="G431" s="662" t="inlineStr">
        <is>
          <t>Fuel Infrastructure</t>
        </is>
      </c>
      <c r="H431" s="662" t="inlineStr">
        <is>
          <t>Technology - Distribution</t>
        </is>
      </c>
      <c r="I431" s="662" t="inlineStr">
        <is>
          <t>Infrastructure</t>
        </is>
      </c>
      <c r="J431" s="662" t="inlineStr">
        <is>
          <t>Distribution</t>
        </is>
      </c>
      <c r="K431" s="660" t="inlineStr">
        <is>
          <t>Distribution, Sales &amp; Services</t>
        </is>
      </c>
      <c r="L431" s="662" t="n"/>
      <c r="M431" s="688" t="inlineStr">
        <is>
          <t>Australia</t>
        </is>
      </c>
      <c r="N431" s="664" t="inlineStr">
        <is>
          <t>CIA</t>
        </is>
      </c>
      <c r="O431" s="664" t="n">
        <v>1</v>
      </c>
      <c r="P431" s="664" t="n"/>
      <c r="Q431" s="664" t="inlineStr">
        <is>
          <t>v</t>
        </is>
      </c>
      <c r="R431" s="666" t="n"/>
      <c r="S431" s="666" t="n"/>
      <c r="T431" s="666" t="n">
        <v>129650</v>
      </c>
      <c r="U431" s="679" t="n">
        <v>129650</v>
      </c>
      <c r="V431" s="670" t="n">
        <v>0.1</v>
      </c>
      <c r="W431" s="921" t="n">
        <v>0.055</v>
      </c>
      <c r="X431" s="921" t="n">
        <v>0.12</v>
      </c>
      <c r="Y431" s="922" t="n"/>
      <c r="Z431" s="921" t="n">
        <v>0.04</v>
      </c>
      <c r="AA431" s="919" t="n">
        <v>170489.75</v>
      </c>
      <c r="AB431" s="744" t="n"/>
      <c r="AC431" s="744" t="n"/>
      <c r="AD431" s="744" t="n"/>
      <c r="AE431" s="744" t="n"/>
      <c r="AF431" s="744" t="n"/>
      <c r="AG431" s="744" t="n"/>
      <c r="AH431" s="744" t="n"/>
      <c r="AJ431" t="str">
        <f>IFERROR(INDEX(Lists!$U$1:$U$18,MATCH($I431,Lists!$T$1:$T$18,0)),"?")</f>
        <v>Infrastructure</v>
      </c>
      <c r="AK431" t="str">
        <f>IF(LOWER($Q431)="v","Vacant",IF(LOWER($Q431)="pause","Paused",IF(LOWER($Q431)="cxc","Contractor",IF($Q431="Contractor","Contractor","Filled"))))</f>
        <v>Vacant</v>
      </c>
      <c r="AL431" t="str">
        <f>IF($M431="NZ","NZ","AU")</f>
        <v>AU</v>
      </c>
      <c r="AM431">
        <f>COUNTIF($AJ$2:$AJ431,$AJ431)</f>
        <v>29.0</v>
      </c>
      <c r="AN431" t="str">
        <f>$AJ431&amp;"|"&amp;$AM431</f>
        <v>Infrastructure|29</v>
      </c>
    </row>
    <row r="432" ht="18" customHeight="1" s="849">
      <c r="A432" s="659" t="inlineStr">
        <is>
          <t>V</t>
        </is>
      </c>
      <c r="B432" s="660" t="inlineStr">
        <is>
          <t>Vacant</t>
        </is>
      </c>
      <c r="C432" s="660" t="inlineStr">
        <is>
          <t>Business Analyst</t>
        </is>
      </c>
      <c r="D432" s="662" t="inlineStr">
        <is>
          <t>Vacant</t>
        </is>
      </c>
      <c r="E432" s="660" t="inlineStr">
        <is>
          <t>Delivery Manager</t>
        </is>
      </c>
      <c r="F432" s="661" t="inlineStr">
        <is>
          <t>TDD CFE&amp;I</t>
        </is>
      </c>
      <c r="G432" s="662" t="inlineStr">
        <is>
          <t>Fuel Infrastructure</t>
        </is>
      </c>
      <c r="H432" s="662" t="inlineStr">
        <is>
          <t>Fuel Infrastructure, Delivery</t>
        </is>
      </c>
      <c r="I432" s="662" t="inlineStr">
        <is>
          <t>Infrastructure</t>
        </is>
      </c>
      <c r="J432" s="662" t="inlineStr">
        <is>
          <t>Distribution</t>
        </is>
      </c>
      <c r="K432" s="660" t="inlineStr">
        <is>
          <t>Distribution, Sales &amp; Services</t>
        </is>
      </c>
      <c r="L432" s="662" t="n"/>
      <c r="M432" s="688" t="inlineStr">
        <is>
          <t>Australia</t>
        </is>
      </c>
      <c r="N432" s="664" t="inlineStr">
        <is>
          <t>CIB</t>
        </is>
      </c>
      <c r="O432" s="664" t="n">
        <v>1</v>
      </c>
      <c r="P432" s="664" t="n"/>
      <c r="Q432" s="664" t="inlineStr">
        <is>
          <t>V</t>
        </is>
      </c>
      <c r="R432" s="666" t="n"/>
      <c r="S432" s="666" t="n"/>
      <c r="T432" s="666" t="n">
        <v>151950</v>
      </c>
      <c r="U432" s="679" t="n">
        <v>151950</v>
      </c>
      <c r="V432" s="670" t="n">
        <v>0.12</v>
      </c>
      <c r="W432" s="921" t="n">
        <v>0.055</v>
      </c>
      <c r="X432" s="921" t="n">
        <v>0.12</v>
      </c>
      <c r="Y432" s="922" t="n"/>
      <c r="Z432" s="921" t="n">
        <v>0.04</v>
      </c>
      <c r="AA432" s="919" t="n">
        <v>202853.25</v>
      </c>
      <c r="AB432" s="744" t="n"/>
      <c r="AC432" s="744" t="n"/>
      <c r="AD432" s="744" t="n"/>
      <c r="AE432" s="744" t="n"/>
      <c r="AF432" s="744" t="n"/>
      <c r="AG432" s="744" t="n"/>
      <c r="AH432" s="744" t="n"/>
      <c r="AJ432" t="str">
        <f>IFERROR(INDEX(Lists!$U$1:$U$18,MATCH($I432,Lists!$T$1:$T$18,0)),"?")</f>
        <v>Infrastructure</v>
      </c>
      <c r="AK432" t="str">
        <f>IF(LOWER($Q432)="v","Vacant",IF(LOWER($Q432)="pause","Paused",IF(LOWER($Q432)="cxc","Contractor",IF($Q432="Contractor","Contractor","Filled"))))</f>
        <v>Vacant</v>
      </c>
      <c r="AL432" t="str">
        <f>IF($M432="NZ","NZ","AU")</f>
        <v>AU</v>
      </c>
      <c r="AM432">
        <f>COUNTIF($AJ$2:$AJ432,$AJ432)</f>
        <v>30.0</v>
      </c>
      <c r="AN432" t="str">
        <f>$AJ432&amp;"|"&amp;$AM432</f>
        <v>Infrastructure|30</v>
      </c>
    </row>
    <row r="433" ht="18" customHeight="1" s="849">
      <c r="A433" s="659" t="inlineStr">
        <is>
          <t>V</t>
        </is>
      </c>
      <c r="B433" s="660" t="inlineStr">
        <is>
          <t>Vacant</t>
        </is>
      </c>
      <c r="C433" s="660" t="inlineStr">
        <is>
          <t>Data Analyst</t>
        </is>
      </c>
      <c r="D433" s="660" t="inlineStr">
        <is>
          <t>Vacant</t>
        </is>
      </c>
      <c r="E433" s="660" t="inlineStr">
        <is>
          <t>Technology Manger, Data</t>
        </is>
      </c>
      <c r="F433" s="661" t="inlineStr">
        <is>
          <t>TDD CFE&amp;I</t>
        </is>
      </c>
      <c r="G433" s="662" t="inlineStr">
        <is>
          <t>Fuel Infrastructure</t>
        </is>
      </c>
      <c r="H433" s="662" t="inlineStr">
        <is>
          <t>Fuel Infrastructure, Data</t>
        </is>
      </c>
      <c r="I433" s="662" t="inlineStr">
        <is>
          <t>Infrastructure</t>
        </is>
      </c>
      <c r="J433" s="660" t="inlineStr">
        <is>
          <t xml:space="preserve">Data &amp; Insights </t>
        </is>
      </c>
      <c r="K433" s="660" t="inlineStr">
        <is>
          <t xml:space="preserve">Data &amp; Insights </t>
        </is>
      </c>
      <c r="L433" s="662" t="n"/>
      <c r="M433" s="688" t="inlineStr">
        <is>
          <t>Australia</t>
        </is>
      </c>
      <c r="N433" s="664" t="inlineStr">
        <is>
          <t>CIB</t>
        </is>
      </c>
      <c r="O433" s="664" t="n">
        <v>1</v>
      </c>
      <c r="P433" s="664" t="n"/>
      <c r="Q433" s="664" t="inlineStr">
        <is>
          <t>V</t>
        </is>
      </c>
      <c r="R433" s="666" t="n"/>
      <c r="S433" s="666" t="n"/>
      <c r="T433" s="666" t="n">
        <v>151000</v>
      </c>
      <c r="U433" s="679" t="n">
        <v>151000</v>
      </c>
      <c r="V433" s="670" t="n">
        <v>0.12</v>
      </c>
      <c r="W433" s="921" t="n">
        <v>0.055</v>
      </c>
      <c r="X433" s="921" t="n">
        <v>0.12</v>
      </c>
      <c r="Y433" s="922" t="n"/>
      <c r="Z433" s="921" t="n">
        <v>0.04</v>
      </c>
      <c r="AA433" s="919" t="n">
        <v>201585</v>
      </c>
      <c r="AB433" s="744" t="n"/>
      <c r="AC433" s="744" t="n"/>
      <c r="AD433" s="744" t="n"/>
      <c r="AE433" s="744" t="n"/>
      <c r="AF433" s="744" t="n"/>
      <c r="AG433" s="744" t="n"/>
      <c r="AH433" s="744" t="n"/>
      <c r="AJ433" t="str">
        <f>IFERROR(INDEX(Lists!$U$1:$U$18,MATCH($I433,Lists!$T$1:$T$18,0)),"?")</f>
        <v>Infrastructure</v>
      </c>
      <c r="AK433" t="str">
        <f>IF(LOWER($Q433)="v","Vacant",IF(LOWER($Q433)="pause","Paused",IF(LOWER($Q433)="cxc","Contractor",IF($Q433="Contractor","Contractor","Filled"))))</f>
        <v>Vacant</v>
      </c>
      <c r="AL433" t="str">
        <f>IF($M433="NZ","NZ","AU")</f>
        <v>AU</v>
      </c>
      <c r="AM433">
        <f>COUNTIF($AJ$2:$AJ433,$AJ433)</f>
        <v>31.0</v>
      </c>
      <c r="AN433" t="str">
        <f>$AJ433&amp;"|"&amp;$AM433</f>
        <v>Infrastructure|31</v>
      </c>
    </row>
    <row r="434" ht="18" customHeight="1" s="849">
      <c r="A434" s="659" t="inlineStr">
        <is>
          <t>V</t>
        </is>
      </c>
      <c r="B434" s="660" t="inlineStr">
        <is>
          <t>Vacant</t>
        </is>
      </c>
      <c r="C434" s="660" t="inlineStr">
        <is>
          <t>Engineer Data</t>
        </is>
      </c>
      <c r="D434" s="660" t="inlineStr">
        <is>
          <t>Vacant</t>
        </is>
      </c>
      <c r="E434" s="660" t="inlineStr">
        <is>
          <t>Technology Manger, Data</t>
        </is>
      </c>
      <c r="F434" s="661" t="inlineStr">
        <is>
          <t>TDD CFE&amp;I</t>
        </is>
      </c>
      <c r="G434" s="662" t="inlineStr">
        <is>
          <t>Fuel Infrastructure</t>
        </is>
      </c>
      <c r="H434" s="662" t="inlineStr">
        <is>
          <t>Fuel Infrastructure, Data</t>
        </is>
      </c>
      <c r="I434" s="662" t="inlineStr">
        <is>
          <t>Infrastructure</t>
        </is>
      </c>
      <c r="J434" s="660" t="inlineStr">
        <is>
          <t xml:space="preserve">Data &amp; Insights </t>
        </is>
      </c>
      <c r="K434" s="660" t="inlineStr">
        <is>
          <t xml:space="preserve">Data &amp; Insights </t>
        </is>
      </c>
      <c r="L434" s="662" t="n"/>
      <c r="M434" s="688" t="inlineStr">
        <is>
          <t>Australia</t>
        </is>
      </c>
      <c r="N434" s="664" t="inlineStr">
        <is>
          <t>CIB</t>
        </is>
      </c>
      <c r="O434" s="664" t="n">
        <v>1</v>
      </c>
      <c r="P434" s="664" t="n"/>
      <c r="Q434" s="664" t="inlineStr">
        <is>
          <t>V</t>
        </is>
      </c>
      <c r="R434" s="666" t="n"/>
      <c r="S434" s="666" t="n"/>
      <c r="T434" s="666" t="n">
        <v>151950</v>
      </c>
      <c r="U434" s="679" t="n">
        <v>151950</v>
      </c>
      <c r="V434" s="670" t="n">
        <v>0.12</v>
      </c>
      <c r="W434" s="921" t="n">
        <v>0.055</v>
      </c>
      <c r="X434" s="921" t="n">
        <v>0.12</v>
      </c>
      <c r="Y434" s="922" t="n"/>
      <c r="Z434" s="921" t="n">
        <v>0.04</v>
      </c>
      <c r="AA434" s="919" t="n">
        <v>202853.25</v>
      </c>
      <c r="AB434" s="744" t="n"/>
      <c r="AC434" s="744" t="n"/>
      <c r="AD434" s="744" t="n"/>
      <c r="AE434" s="744" t="n"/>
      <c r="AF434" s="744" t="n"/>
      <c r="AG434" s="744" t="n"/>
      <c r="AH434" s="744" t="n"/>
      <c r="AJ434" t="str">
        <f>IFERROR(INDEX(Lists!$U$1:$U$18,MATCH($I434,Lists!$T$1:$T$18,0)),"?")</f>
        <v>Infrastructure</v>
      </c>
      <c r="AK434" t="str">
        <f>IF(LOWER($Q434)="v","Vacant",IF(LOWER($Q434)="pause","Paused",IF(LOWER($Q434)="cxc","Contractor",IF($Q434="Contractor","Contractor","Filled"))))</f>
        <v>Vacant</v>
      </c>
      <c r="AL434" t="str">
        <f>IF($M434="NZ","NZ","AU")</f>
        <v>AU</v>
      </c>
      <c r="AM434">
        <f>COUNTIF($AJ$2:$AJ434,$AJ434)</f>
        <v>32.0</v>
      </c>
      <c r="AN434" t="str">
        <f>$AJ434&amp;"|"&amp;$AM434</f>
        <v>Infrastructure|32</v>
      </c>
    </row>
    <row r="435" ht="18" customHeight="1" s="849">
      <c r="A435" s="659" t="inlineStr">
        <is>
          <t>V</t>
        </is>
      </c>
      <c r="B435" s="660" t="inlineStr">
        <is>
          <t>Vacant</t>
        </is>
      </c>
      <c r="C435" s="660" t="inlineStr">
        <is>
          <t>Lead Data Analyst</t>
        </is>
      </c>
      <c r="D435" s="660" t="inlineStr">
        <is>
          <t>Vacant</t>
        </is>
      </c>
      <c r="E435" s="660" t="inlineStr">
        <is>
          <t>Technology Manger, Data</t>
        </is>
      </c>
      <c r="F435" s="661" t="inlineStr">
        <is>
          <t>TDD CFE&amp;I</t>
        </is>
      </c>
      <c r="G435" s="662" t="inlineStr">
        <is>
          <t>Fuel Infrastructure</t>
        </is>
      </c>
      <c r="H435" s="662" t="inlineStr">
        <is>
          <t>Fuel Infrastructure, Data</t>
        </is>
      </c>
      <c r="I435" s="662" t="inlineStr">
        <is>
          <t>Infrastructure</t>
        </is>
      </c>
      <c r="J435" s="660" t="inlineStr">
        <is>
          <t xml:space="preserve">Data &amp; Insights </t>
        </is>
      </c>
      <c r="K435" s="660" t="inlineStr">
        <is>
          <t xml:space="preserve">Data &amp; Insights </t>
        </is>
      </c>
      <c r="L435" s="662" t="n"/>
      <c r="M435" s="688" t="inlineStr">
        <is>
          <t>Australia</t>
        </is>
      </c>
      <c r="N435" s="664" t="inlineStr">
        <is>
          <t>CIC</t>
        </is>
      </c>
      <c r="O435" s="664" t="n">
        <v>1</v>
      </c>
      <c r="P435" s="664" t="n"/>
      <c r="Q435" s="664" t="inlineStr">
        <is>
          <t>v</t>
        </is>
      </c>
      <c r="R435" s="666" t="n"/>
      <c r="S435" s="666" t="n"/>
      <c r="T435" s="666" t="n">
        <v>173550</v>
      </c>
      <c r="U435" s="679" t="n">
        <v>173550</v>
      </c>
      <c r="V435" s="670" t="n">
        <v>0.12</v>
      </c>
      <c r="W435" s="921" t="n">
        <v>0.055</v>
      </c>
      <c r="X435" s="921" t="n">
        <v>0.12</v>
      </c>
      <c r="Y435" s="922" t="n"/>
      <c r="Z435" s="921" t="n">
        <v>0.04</v>
      </c>
      <c r="AA435" s="919" t="n">
        <v>231689.25</v>
      </c>
      <c r="AB435" s="744" t="n"/>
      <c r="AC435" s="744" t="n"/>
      <c r="AD435" s="744" t="n"/>
      <c r="AE435" s="744" t="n"/>
      <c r="AF435" s="744" t="n"/>
      <c r="AG435" s="744" t="n"/>
      <c r="AH435" s="744" t="n"/>
      <c r="AJ435" t="str">
        <f>IFERROR(INDEX(Lists!$U$1:$U$18,MATCH($I435,Lists!$T$1:$T$18,0)),"?")</f>
        <v>Infrastructure</v>
      </c>
      <c r="AK435" t="str">
        <f>IF(LOWER($Q435)="v","Vacant",IF(LOWER($Q435)="pause","Paused",IF(LOWER($Q435)="cxc","Contractor",IF($Q435="Contractor","Contractor","Filled"))))</f>
        <v>Vacant</v>
      </c>
      <c r="AL435" t="str">
        <f>IF($M435="NZ","NZ","AU")</f>
        <v>AU</v>
      </c>
      <c r="AM435">
        <f>COUNTIF($AJ$2:$AJ435,$AJ435)</f>
        <v>33.0</v>
      </c>
      <c r="AN435" t="str">
        <f>$AJ435&amp;"|"&amp;$AM435</f>
        <v>Infrastructure|33</v>
      </c>
    </row>
    <row r="436" ht="18" customHeight="1" s="849">
      <c r="A436" s="659" t="inlineStr">
        <is>
          <t>V</t>
        </is>
      </c>
      <c r="B436" s="660" t="inlineStr">
        <is>
          <t>Vacant</t>
        </is>
      </c>
      <c r="C436" s="660" t="inlineStr">
        <is>
          <t>Reporting Analyst</t>
        </is>
      </c>
      <c r="D436" s="660" t="inlineStr">
        <is>
          <t>Vacant</t>
        </is>
      </c>
      <c r="E436" s="660" t="inlineStr">
        <is>
          <t>Technology Manger, Data</t>
        </is>
      </c>
      <c r="F436" s="661" t="inlineStr">
        <is>
          <t>TDD CFE&amp;I</t>
        </is>
      </c>
      <c r="G436" s="662" t="inlineStr">
        <is>
          <t>Fuel Infrastructure</t>
        </is>
      </c>
      <c r="H436" s="662" t="inlineStr">
        <is>
          <t>Fuel Infrastructure, Data</t>
        </is>
      </c>
      <c r="I436" s="662" t="inlineStr">
        <is>
          <t>Infrastructure</t>
        </is>
      </c>
      <c r="J436" s="660" t="inlineStr">
        <is>
          <t xml:space="preserve">Data &amp; Insights </t>
        </is>
      </c>
      <c r="K436" s="660" t="inlineStr">
        <is>
          <t xml:space="preserve">Data &amp; Insights </t>
        </is>
      </c>
      <c r="L436" s="662" t="n"/>
      <c r="M436" s="688" t="inlineStr">
        <is>
          <t>Australia</t>
        </is>
      </c>
      <c r="N436" s="664" t="inlineStr">
        <is>
          <t>CIB</t>
        </is>
      </c>
      <c r="O436" s="664" t="n">
        <v>1</v>
      </c>
      <c r="P436" s="664" t="n"/>
      <c r="Q436" s="664" t="inlineStr">
        <is>
          <t>v</t>
        </is>
      </c>
      <c r="R436" s="666" t="n"/>
      <c r="S436" s="666" t="n"/>
      <c r="T436" s="666" t="n">
        <v>151950</v>
      </c>
      <c r="U436" s="679" t="n">
        <v>151950</v>
      </c>
      <c r="V436" s="670" t="n">
        <v>0.12</v>
      </c>
      <c r="W436" s="921" t="n">
        <v>0.055</v>
      </c>
      <c r="X436" s="921" t="n">
        <v>0.12</v>
      </c>
      <c r="Y436" s="922" t="n"/>
      <c r="Z436" s="921" t="n">
        <v>0.04</v>
      </c>
      <c r="AA436" s="919" t="n">
        <v>202853.25</v>
      </c>
      <c r="AB436" s="744" t="n"/>
      <c r="AC436" s="744" t="n"/>
      <c r="AD436" s="744" t="n"/>
      <c r="AE436" s="744" t="n"/>
      <c r="AF436" s="744" t="n"/>
      <c r="AG436" s="744" t="n"/>
      <c r="AH436" s="744" t="n"/>
      <c r="AJ436" t="str">
        <f>IFERROR(INDEX(Lists!$U$1:$U$18,MATCH($I436,Lists!$T$1:$T$18,0)),"?")</f>
        <v>Infrastructure</v>
      </c>
      <c r="AK436" t="str">
        <f>IF(LOWER($Q436)="v","Vacant",IF(LOWER($Q436)="pause","Paused",IF(LOWER($Q436)="cxc","Contractor",IF($Q436="Contractor","Contractor","Filled"))))</f>
        <v>Vacant</v>
      </c>
      <c r="AL436" t="str">
        <f>IF($M436="NZ","NZ","AU")</f>
        <v>AU</v>
      </c>
      <c r="AM436">
        <f>COUNTIF($AJ$2:$AJ436,$AJ436)</f>
        <v>34.0</v>
      </c>
      <c r="AN436" t="str">
        <f>$AJ436&amp;"|"&amp;$AM436</f>
        <v>Infrastructure|34</v>
      </c>
    </row>
    <row r="437" ht="18" customHeight="1" s="849">
      <c r="A437" s="659" t="inlineStr">
        <is>
          <t>V</t>
        </is>
      </c>
      <c r="B437" s="660" t="inlineStr">
        <is>
          <t>Vacant</t>
        </is>
      </c>
      <c r="C437" s="660" t="inlineStr">
        <is>
          <t>Senior Engineer Data</t>
        </is>
      </c>
      <c r="D437" s="660" t="inlineStr">
        <is>
          <t>Vacant</t>
        </is>
      </c>
      <c r="E437" s="660" t="inlineStr">
        <is>
          <t>Technology Manger, Data</t>
        </is>
      </c>
      <c r="F437" s="661" t="inlineStr">
        <is>
          <t>TDD CFE&amp;I</t>
        </is>
      </c>
      <c r="G437" s="662" t="inlineStr">
        <is>
          <t>Fuel Infrastructure</t>
        </is>
      </c>
      <c r="H437" s="662" t="inlineStr">
        <is>
          <t>Fuel Infrastructure, Data</t>
        </is>
      </c>
      <c r="I437" s="662" t="inlineStr">
        <is>
          <t>Infrastructure</t>
        </is>
      </c>
      <c r="J437" s="660" t="inlineStr">
        <is>
          <t xml:space="preserve">Data &amp; Insights </t>
        </is>
      </c>
      <c r="K437" s="660" t="inlineStr">
        <is>
          <t xml:space="preserve">Data &amp; Insights </t>
        </is>
      </c>
      <c r="L437" s="662" t="n"/>
      <c r="M437" s="688" t="inlineStr">
        <is>
          <t>Australia</t>
        </is>
      </c>
      <c r="N437" s="664" t="inlineStr">
        <is>
          <t>CIB</t>
        </is>
      </c>
      <c r="O437" s="664" t="n">
        <v>1</v>
      </c>
      <c r="P437" s="664" t="n"/>
      <c r="Q437" s="664" t="inlineStr">
        <is>
          <t>v</t>
        </is>
      </c>
      <c r="R437" s="666" t="n"/>
      <c r="S437" s="666" t="n"/>
      <c r="T437" s="666" t="n">
        <v>151950</v>
      </c>
      <c r="U437" s="679" t="n">
        <v>151950</v>
      </c>
      <c r="V437" s="670" t="n">
        <v>0.12</v>
      </c>
      <c r="W437" s="921" t="n">
        <v>0.055</v>
      </c>
      <c r="X437" s="921" t="n">
        <v>0.12</v>
      </c>
      <c r="Y437" s="922" t="n"/>
      <c r="Z437" s="921" t="n">
        <v>0.04</v>
      </c>
      <c r="AA437" s="919" t="n">
        <v>202853.25</v>
      </c>
      <c r="AB437" s="744" t="n"/>
      <c r="AC437" s="744" t="n"/>
      <c r="AD437" s="744" t="n"/>
      <c r="AE437" s="744" t="n"/>
      <c r="AF437" s="744" t="n"/>
      <c r="AG437" s="744" t="n"/>
      <c r="AH437" s="744" t="n"/>
      <c r="AJ437" t="str">
        <f>IFERROR(INDEX(Lists!$U$1:$U$18,MATCH($I437,Lists!$T$1:$T$18,0)),"?")</f>
        <v>Infrastructure</v>
      </c>
      <c r="AK437" t="str">
        <f>IF(LOWER($Q437)="v","Vacant",IF(LOWER($Q437)="pause","Paused",IF(LOWER($Q437)="cxc","Contractor",IF($Q437="Contractor","Contractor","Filled"))))</f>
        <v>Vacant</v>
      </c>
      <c r="AL437" t="str">
        <f>IF($M437="NZ","NZ","AU")</f>
        <v>AU</v>
      </c>
      <c r="AM437">
        <f>COUNTIF($AJ$2:$AJ437,$AJ437)</f>
        <v>35.0</v>
      </c>
      <c r="AN437" t="str">
        <f>$AJ437&amp;"|"&amp;$AM437</f>
        <v>Infrastructure|35</v>
      </c>
    </row>
    <row r="438" ht="18" customHeight="1" s="849">
      <c r="A438" s="659" t="inlineStr">
        <is>
          <t>V</t>
        </is>
      </c>
      <c r="B438" s="660" t="inlineStr">
        <is>
          <t xml:space="preserve">Vacant </t>
        </is>
      </c>
      <c r="C438" s="660" t="inlineStr">
        <is>
          <t>Business Analyst</t>
        </is>
      </c>
      <c r="D438" s="662" t="inlineStr">
        <is>
          <t>Vacant</t>
        </is>
      </c>
      <c r="E438" s="660" t="inlineStr">
        <is>
          <t>Delivery Manager</t>
        </is>
      </c>
      <c r="F438" s="661" t="inlineStr">
        <is>
          <t>TDD CFE&amp;I</t>
        </is>
      </c>
      <c r="G438" s="662" t="inlineStr">
        <is>
          <t>B2B &amp; Energy Solutions</t>
        </is>
      </c>
      <c r="H438" s="662" t="inlineStr">
        <is>
          <t>Delivery</t>
        </is>
      </c>
      <c r="I438" s="662" t="inlineStr">
        <is>
          <t>B2B &amp; Energy Solutions</t>
        </is>
      </c>
      <c r="J438" s="660" t="inlineStr">
        <is>
          <t>B2B</t>
        </is>
      </c>
      <c r="K438" s="660" t="inlineStr">
        <is>
          <t>B2B</t>
        </is>
      </c>
      <c r="L438" s="662" t="n"/>
      <c r="M438" s="688" t="inlineStr">
        <is>
          <t>Australia</t>
        </is>
      </c>
      <c r="N438" s="664" t="inlineStr">
        <is>
          <t>CIB</t>
        </is>
      </c>
      <c r="O438" s="664" t="n">
        <v>1</v>
      </c>
      <c r="P438" s="664" t="n"/>
      <c r="Q438" s="664" t="inlineStr">
        <is>
          <t>V</t>
        </is>
      </c>
      <c r="R438" s="666" t="n"/>
      <c r="S438" s="666" t="n"/>
      <c r="T438" s="666" t="n">
        <v>151950</v>
      </c>
      <c r="U438" s="679" t="n">
        <v>151950</v>
      </c>
      <c r="V438" s="670" t="n">
        <v>0.12</v>
      </c>
      <c r="W438" s="921" t="n">
        <v>0.055</v>
      </c>
      <c r="X438" s="921" t="n">
        <v>0.12</v>
      </c>
      <c r="Y438" s="922" t="n"/>
      <c r="Z438" s="921" t="n">
        <v>0.04</v>
      </c>
      <c r="AA438" s="919" t="n">
        <v>202853.25</v>
      </c>
      <c r="AB438" s="744" t="n"/>
      <c r="AC438" s="744" t="n"/>
      <c r="AD438" s="744" t="n"/>
      <c r="AE438" s="744" t="n"/>
      <c r="AF438" s="744" t="n"/>
      <c r="AG438" s="744" t="n"/>
      <c r="AH438" s="744" t="n"/>
      <c r="AJ438" t="str">
        <f>IFERROR(INDEX(Lists!$U$1:$U$18,MATCH($I438,Lists!$T$1:$T$18,0)),"?")</f>
        <v>Energy Solutions &amp; B2B</v>
      </c>
      <c r="AK438" t="str">
        <f>IF(LOWER($Q438)="v","Vacant",IF(LOWER($Q438)="pause","Paused",IF(LOWER($Q438)="cxc","Contractor",IF($Q438="Contractor","Contractor","Filled"))))</f>
        <v>Vacant</v>
      </c>
      <c r="AL438" t="str">
        <f>IF($M438="NZ","NZ","AU")</f>
        <v>AU</v>
      </c>
      <c r="AM438">
        <f>COUNTIF($AJ$2:$AJ438,$AJ438)</f>
        <v>32.0</v>
      </c>
      <c r="AN438" t="str">
        <f>$AJ438&amp;"|"&amp;$AM438</f>
        <v>Energy Solutions &amp; B2B|32</v>
      </c>
    </row>
    <row r="439" ht="18" customHeight="1" s="849">
      <c r="A439" s="659" t="inlineStr">
        <is>
          <t>V</t>
        </is>
      </c>
      <c r="B439" s="660" t="inlineStr">
        <is>
          <t xml:space="preserve">Vacant </t>
        </is>
      </c>
      <c r="C439" s="660" t="inlineStr">
        <is>
          <t>Business Analyst</t>
        </is>
      </c>
      <c r="D439" s="662" t="inlineStr">
        <is>
          <t>Vacant</t>
        </is>
      </c>
      <c r="E439" s="660" t="inlineStr">
        <is>
          <t>Delivery Manager</t>
        </is>
      </c>
      <c r="F439" s="661" t="inlineStr">
        <is>
          <t>TDD CFE&amp;I</t>
        </is>
      </c>
      <c r="G439" s="662" t="inlineStr">
        <is>
          <t>B2B &amp; Energy Solutions</t>
        </is>
      </c>
      <c r="H439" s="662" t="inlineStr">
        <is>
          <t>Delivery</t>
        </is>
      </c>
      <c r="I439" s="662" t="inlineStr">
        <is>
          <t>B2B &amp; Energy Solutions</t>
        </is>
      </c>
      <c r="J439" s="662" t="inlineStr">
        <is>
          <t>Energy Solutions</t>
        </is>
      </c>
      <c r="K439" s="660" t="inlineStr">
        <is>
          <t>Energy</t>
        </is>
      </c>
      <c r="L439" s="662" t="n"/>
      <c r="M439" s="688" t="inlineStr">
        <is>
          <t>Australia</t>
        </is>
      </c>
      <c r="N439" s="664" t="inlineStr">
        <is>
          <t>CIB</t>
        </is>
      </c>
      <c r="O439" s="664" t="n">
        <v>1</v>
      </c>
      <c r="P439" s="664" t="n"/>
      <c r="Q439" s="664" t="inlineStr">
        <is>
          <t>V</t>
        </is>
      </c>
      <c r="R439" s="666" t="n"/>
      <c r="S439" s="666" t="n"/>
      <c r="T439" s="666" t="n">
        <v>151950</v>
      </c>
      <c r="U439" s="679" t="n">
        <v>151950</v>
      </c>
      <c r="V439" s="670" t="n">
        <v>0.12</v>
      </c>
      <c r="W439" s="921" t="n">
        <v>0.055</v>
      </c>
      <c r="X439" s="921" t="n">
        <v>0.12</v>
      </c>
      <c r="Y439" s="922" t="n"/>
      <c r="Z439" s="921" t="n">
        <v>0.04</v>
      </c>
      <c r="AA439" s="919" t="n">
        <v>202853.25</v>
      </c>
      <c r="AB439" s="744" t="n"/>
      <c r="AC439" s="744" t="n"/>
      <c r="AD439" s="744" t="n"/>
      <c r="AE439" s="744" t="n"/>
      <c r="AF439" s="744" t="n"/>
      <c r="AG439" s="744" t="n"/>
      <c r="AH439" s="744" t="n"/>
      <c r="AJ439" t="str">
        <f>IFERROR(INDEX(Lists!$U$1:$U$18,MATCH($I439,Lists!$T$1:$T$18,0)),"?")</f>
        <v>Energy Solutions &amp; B2B</v>
      </c>
      <c r="AK439" t="str">
        <f>IF(LOWER($Q439)="v","Vacant",IF(LOWER($Q439)="pause","Paused",IF(LOWER($Q439)="cxc","Contractor",IF($Q439="Contractor","Contractor","Filled"))))</f>
        <v>Vacant</v>
      </c>
      <c r="AL439" t="str">
        <f>IF($M439="NZ","NZ","AU")</f>
        <v>AU</v>
      </c>
      <c r="AM439">
        <f>COUNTIF($AJ$2:$AJ439,$AJ439)</f>
        <v>33.0</v>
      </c>
      <c r="AN439" t="str">
        <f>$AJ439&amp;"|"&amp;$AM439</f>
        <v>Energy Solutions &amp; B2B|33</v>
      </c>
    </row>
    <row r="440" ht="18" customHeight="1" s="849">
      <c r="A440" s="659" t="inlineStr">
        <is>
          <t>V</t>
        </is>
      </c>
      <c r="B440" s="660" t="inlineStr">
        <is>
          <t xml:space="preserve">Vacant </t>
        </is>
      </c>
      <c r="C440" s="660" t="inlineStr">
        <is>
          <t>Engineer Software</t>
        </is>
      </c>
      <c r="D440" s="662" t="inlineStr">
        <is>
          <t>Vacant</t>
        </is>
      </c>
      <c r="E440" s="660" t="inlineStr">
        <is>
          <t>Technology Manager, Engineering</t>
        </is>
      </c>
      <c r="F440" s="661" t="inlineStr">
        <is>
          <t>TDD CFE&amp;I</t>
        </is>
      </c>
      <c r="G440" s="662" t="inlineStr">
        <is>
          <t>Commercial Fuels</t>
        </is>
      </c>
      <c r="H440" s="662" t="inlineStr">
        <is>
          <t>Technology, CF Engineering</t>
        </is>
      </c>
      <c r="I440" s="662" t="inlineStr">
        <is>
          <t>Commercial Fuels</t>
        </is>
      </c>
      <c r="J440" s="662" t="inlineStr">
        <is>
          <t>Supply</t>
        </is>
      </c>
      <c r="K440" s="660" t="inlineStr">
        <is>
          <t>Supply</t>
        </is>
      </c>
      <c r="L440" s="662" t="n"/>
      <c r="M440" s="688" t="inlineStr">
        <is>
          <t>Australia</t>
        </is>
      </c>
      <c r="N440" s="664" t="inlineStr">
        <is>
          <t>CIB</t>
        </is>
      </c>
      <c r="O440" s="664" t="n">
        <v>1</v>
      </c>
      <c r="P440" s="664" t="n"/>
      <c r="Q440" s="664" t="inlineStr">
        <is>
          <t>V</t>
        </is>
      </c>
      <c r="R440" s="666" t="n"/>
      <c r="S440" s="666" t="n"/>
      <c r="T440" s="666" t="n">
        <v>151950</v>
      </c>
      <c r="U440" s="679" t="n">
        <v>151950</v>
      </c>
      <c r="V440" s="670" t="n">
        <v>0.12</v>
      </c>
      <c r="W440" s="921" t="n">
        <v>0.055</v>
      </c>
      <c r="X440" s="921" t="n">
        <v>0.12</v>
      </c>
      <c r="Y440" s="922" t="n"/>
      <c r="Z440" s="921" t="n">
        <v>0.04</v>
      </c>
      <c r="AA440" s="919" t="n">
        <v>202853.25</v>
      </c>
      <c r="AB440" s="744" t="n"/>
      <c r="AC440" s="744" t="n"/>
      <c r="AD440" s="744" t="n"/>
      <c r="AE440" s="744" t="n"/>
      <c r="AF440" s="744" t="n"/>
      <c r="AG440" s="744" t="n"/>
      <c r="AH440" s="744" t="n"/>
      <c r="AJ440" t="str">
        <f>IFERROR(INDEX(Lists!$U$1:$U$18,MATCH($I440,Lists!$T$1:$T$18,0)),"?")</f>
        <v>Commercial Fuels</v>
      </c>
      <c r="AK440" t="str">
        <f>IF(LOWER($Q440)="v","Vacant",IF(LOWER($Q440)="pause","Paused",IF(LOWER($Q440)="cxc","Contractor",IF($Q440="Contractor","Contractor","Filled"))))</f>
        <v>Vacant</v>
      </c>
      <c r="AL440" t="str">
        <f>IF($M440="NZ","NZ","AU")</f>
        <v>AU</v>
      </c>
      <c r="AM440">
        <f>COUNTIF($AJ$2:$AJ440,$AJ440)</f>
        <v>39.0</v>
      </c>
      <c r="AN440" t="str">
        <f>$AJ440&amp;"|"&amp;$AM440</f>
        <v>Commercial Fuels|39</v>
      </c>
    </row>
    <row r="441" ht="18" customHeight="1" s="849">
      <c r="A441" s="659" t="inlineStr">
        <is>
          <t>V</t>
        </is>
      </c>
      <c r="B441" s="660" t="inlineStr">
        <is>
          <t>Vacant (anaplan)</t>
        </is>
      </c>
      <c r="C441" s="660" t="inlineStr">
        <is>
          <t>System Specialist</t>
        </is>
      </c>
      <c r="D441" s="660" t="inlineStr">
        <is>
          <t>Allan Francia</t>
        </is>
      </c>
      <c r="E441" s="660" t="inlineStr">
        <is>
          <t>Technology Manager, T&amp;S</t>
        </is>
      </c>
      <c r="F441" s="661" t="inlineStr">
        <is>
          <t>TDD CFE&amp;I</t>
        </is>
      </c>
      <c r="G441" s="662" t="inlineStr">
        <is>
          <t>Commercial Fuels</t>
        </is>
      </c>
      <c r="H441" s="662" t="inlineStr">
        <is>
          <t>Technology, Trading &amp; Shipping</t>
        </is>
      </c>
      <c r="I441" s="662" t="inlineStr">
        <is>
          <t>Commercial Fuels</t>
        </is>
      </c>
      <c r="J441" s="662" t="inlineStr">
        <is>
          <t>Supply</t>
        </is>
      </c>
      <c r="K441" s="660" t="inlineStr">
        <is>
          <t>Supply</t>
        </is>
      </c>
      <c r="L441" s="662" t="n"/>
      <c r="M441" s="688" t="inlineStr">
        <is>
          <t>Australia</t>
        </is>
      </c>
      <c r="N441" s="666" t="inlineStr">
        <is>
          <t>CIB</t>
        </is>
      </c>
      <c r="O441" s="664" t="n">
        <v>1</v>
      </c>
      <c r="P441" s="666" t="n"/>
      <c r="Q441" s="664" t="inlineStr">
        <is>
          <t>v</t>
        </is>
      </c>
      <c r="R441" s="666" t="n"/>
      <c r="S441" s="666" t="n"/>
      <c r="T441" s="666" t="n">
        <v>151950</v>
      </c>
      <c r="U441" s="679" t="n">
        <v>151950</v>
      </c>
      <c r="V441" s="670" t="n">
        <v>0.12</v>
      </c>
      <c r="W441" s="921" t="n">
        <v>0.055</v>
      </c>
      <c r="X441" s="921" t="n">
        <v>0.12</v>
      </c>
      <c r="Y441" s="922" t="n"/>
      <c r="Z441" s="921" t="n">
        <v>0.04</v>
      </c>
      <c r="AA441" s="919" t="n">
        <v>202853.25</v>
      </c>
      <c r="AB441" s="744" t="n"/>
      <c r="AC441" s="744" t="n"/>
      <c r="AD441" s="744" t="n"/>
      <c r="AE441" s="744" t="n"/>
      <c r="AF441" s="744" t="n"/>
      <c r="AG441" s="744" t="n"/>
      <c r="AH441" s="744" t="n"/>
      <c r="AJ441" t="str">
        <f>IFERROR(INDEX(Lists!$U$1:$U$18,MATCH($I441,Lists!$T$1:$T$18,0)),"?")</f>
        <v>Commercial Fuels</v>
      </c>
      <c r="AK441" t="str">
        <f>IF(LOWER($Q441)="v","Vacant",IF(LOWER($Q441)="pause","Paused",IF(LOWER($Q441)="cxc","Contractor",IF($Q441="Contractor","Contractor","Filled"))))</f>
        <v>Vacant</v>
      </c>
      <c r="AL441" t="str">
        <f>IF($M441="NZ","NZ","AU")</f>
        <v>AU</v>
      </c>
      <c r="AM441">
        <f>COUNTIF($AJ$2:$AJ441,$AJ441)</f>
        <v>40.0</v>
      </c>
      <c r="AN441" t="str">
        <f>$AJ441&amp;"|"&amp;$AM441</f>
        <v>Commercial Fuels|40</v>
      </c>
    </row>
    <row r="442" ht="18" customHeight="1" s="849">
      <c r="A442" s="659" t="n">
        <v>106791</v>
      </c>
      <c r="B442" s="660" t="inlineStr">
        <is>
          <t>Victor Beuk</t>
        </is>
      </c>
      <c r="C442" s="660" t="inlineStr">
        <is>
          <t>Delivery Lead</t>
        </is>
      </c>
      <c r="D442" s="662" t="inlineStr">
        <is>
          <t>Vacant</t>
        </is>
      </c>
      <c r="E442" s="660" t="inlineStr">
        <is>
          <t>Delivery Manager</t>
        </is>
      </c>
      <c r="F442" s="661" t="inlineStr">
        <is>
          <t>TDD CFE&amp;I</t>
        </is>
      </c>
      <c r="G442" s="662" t="inlineStr">
        <is>
          <t>B2B &amp; Energy Solutions</t>
        </is>
      </c>
      <c r="H442" s="662" t="inlineStr">
        <is>
          <t>Delivery</t>
        </is>
      </c>
      <c r="I442" s="662" t="inlineStr">
        <is>
          <t>RETAIL</t>
        </is>
      </c>
      <c r="J442" s="662" t="inlineStr">
        <is>
          <t>AMPOS</t>
        </is>
      </c>
      <c r="K442" s="660" t="inlineStr">
        <is>
          <t>AmPos</t>
        </is>
      </c>
      <c r="L442" s="662" t="n"/>
      <c r="M442" s="688" t="inlineStr">
        <is>
          <t>Australia</t>
        </is>
      </c>
      <c r="N442" s="664" t="inlineStr">
        <is>
          <t>CIC</t>
        </is>
      </c>
      <c r="O442" s="664" t="n">
        <v>1</v>
      </c>
      <c r="P442" s="664" t="n"/>
      <c r="Q442" s="664" t="inlineStr">
        <is>
          <t>Permanent - Full Time</t>
        </is>
      </c>
      <c r="R442" s="666" t="n"/>
      <c r="S442" s="666" t="n"/>
      <c r="T442" s="666" t="n">
        <v>185360</v>
      </c>
      <c r="U442" s="679" t="n">
        <v>185360</v>
      </c>
      <c r="V442" s="670" t="n">
        <v>0.12</v>
      </c>
      <c r="W442" s="921" t="n">
        <v>0.055</v>
      </c>
      <c r="X442" s="921" t="n">
        <v>0.12</v>
      </c>
      <c r="Y442" s="922" t="n"/>
      <c r="Z442" s="921" t="n">
        <v>0.04</v>
      </c>
      <c r="AA442" s="919" t="n">
        <v>247455.6</v>
      </c>
      <c r="AB442" s="744" t="n"/>
      <c r="AC442" s="744" t="n"/>
      <c r="AD442" s="744" t="n"/>
      <c r="AE442" s="744" t="n"/>
      <c r="AF442" s="744" t="n"/>
      <c r="AG442" s="744" t="n"/>
      <c r="AH442" s="744" t="n"/>
      <c r="AJ442" t="str">
        <f>IFERROR(INDEX(Lists!$U$1:$U$18,MATCH($I442,Lists!$T$1:$T$18,0)),"?")</f>
        <v>Ampol Retail</v>
      </c>
      <c r="AK442" t="str">
        <f>IF(LOWER($Q442)="v","Vacant",IF(LOWER($Q442)="pause","Paused",IF(LOWER($Q442)="cxc","Contractor",IF($Q442="Contractor","Contractor","Filled"))))</f>
        <v>Filled</v>
      </c>
      <c r="AL442" t="str">
        <f>IF($M442="NZ","NZ","AU")</f>
        <v>AU</v>
      </c>
      <c r="AM442">
        <f>COUNTIF($AJ$2:$AJ442,$AJ442)</f>
        <v>69.0</v>
      </c>
      <c r="AN442" t="str">
        <f>$AJ442&amp;"|"&amp;$AM442</f>
        <v>Ampol Retail|69</v>
      </c>
    </row>
    <row r="443" ht="18" customHeight="1" s="849">
      <c r="A443" s="659" t="n">
        <v>98087</v>
      </c>
      <c r="B443" s="660" t="inlineStr">
        <is>
          <t>Victor Olasanoye</t>
        </is>
      </c>
      <c r="C443" s="660" t="inlineStr">
        <is>
          <t>Senior Systems Analyst</t>
        </is>
      </c>
      <c r="D443" s="660" t="inlineStr">
        <is>
          <t>Jaya Ganasan</t>
        </is>
      </c>
      <c r="E443" s="660" t="inlineStr">
        <is>
          <t>Technology Manager, TDD Refinery</t>
        </is>
      </c>
      <c r="F443" s="661" t="inlineStr">
        <is>
          <t>TDD CFE&amp;I</t>
        </is>
      </c>
      <c r="G443" s="662" t="inlineStr">
        <is>
          <t>Fuel Infrastructure</t>
        </is>
      </c>
      <c r="H443" s="662" t="inlineStr">
        <is>
          <t>Refinery Applications</t>
        </is>
      </c>
      <c r="I443" s="662" t="inlineStr">
        <is>
          <t>Infrastructure</t>
        </is>
      </c>
      <c r="J443" s="662" t="inlineStr">
        <is>
          <t>Manufacturing</t>
        </is>
      </c>
      <c r="K443" s="660" t="inlineStr">
        <is>
          <t>Manufacturing Group Projects</t>
        </is>
      </c>
      <c r="L443" s="662" t="n"/>
      <c r="M443" s="688" t="inlineStr">
        <is>
          <t>Australia</t>
        </is>
      </c>
      <c r="N443" s="664" t="inlineStr">
        <is>
          <t>CIB</t>
        </is>
      </c>
      <c r="O443" s="664" t="n">
        <v>1</v>
      </c>
      <c r="P443" s="664" t="n"/>
      <c r="Q443" s="664" t="inlineStr">
        <is>
          <t>Permanent - Full Time</t>
        </is>
      </c>
      <c r="R443" s="666" t="n"/>
      <c r="S443" s="666" t="n"/>
      <c r="T443" s="666" t="n">
        <v>159820</v>
      </c>
      <c r="U443" s="679" t="n">
        <v>159820</v>
      </c>
      <c r="V443" s="670" t="n">
        <v>0.12</v>
      </c>
      <c r="W443" s="921" t="n">
        <v>0.055</v>
      </c>
      <c r="X443" s="921" t="n">
        <v>0.12</v>
      </c>
      <c r="Y443" s="922" t="n"/>
      <c r="Z443" s="921" t="n">
        <v>0.04</v>
      </c>
      <c r="AA443" s="919" t="n">
        <v>213359.7</v>
      </c>
      <c r="AB443" s="744" t="n"/>
      <c r="AC443" s="744" t="n"/>
      <c r="AD443" s="744" t="n"/>
      <c r="AE443" s="744" t="n"/>
      <c r="AF443" s="744" t="n"/>
      <c r="AG443" s="744" t="n"/>
      <c r="AH443" s="744" t="n"/>
      <c r="AJ443" t="str">
        <f>IFERROR(INDEX(Lists!$U$1:$U$18,MATCH($I443,Lists!$T$1:$T$18,0)),"?")</f>
        <v>Infrastructure</v>
      </c>
      <c r="AK443" t="str">
        <f>IF(LOWER($Q443)="v","Vacant",IF(LOWER($Q443)="pause","Paused",IF(LOWER($Q443)="cxc","Contractor",IF($Q443="Contractor","Contractor","Filled"))))</f>
        <v>Filled</v>
      </c>
      <c r="AL443" t="str">
        <f>IF($M443="NZ","NZ","AU")</f>
        <v>AU</v>
      </c>
      <c r="AM443">
        <f>COUNTIF($AJ$2:$AJ443,$AJ443)</f>
        <v>36.0</v>
      </c>
      <c r="AN443" t="str">
        <f>$AJ443&amp;"|"&amp;$AM443</f>
        <v>Infrastructure|36</v>
      </c>
    </row>
    <row r="444" ht="18" customHeight="1" s="849">
      <c r="A444" s="659" t="n">
        <v>96270</v>
      </c>
      <c r="B444" s="660" t="inlineStr">
        <is>
          <t>Zhan Liu</t>
        </is>
      </c>
      <c r="C444" s="660" t="inlineStr">
        <is>
          <t>Engineer Applications</t>
        </is>
      </c>
      <c r="D444" s="660" t="inlineStr">
        <is>
          <t>Allan Francia</t>
        </is>
      </c>
      <c r="E444" s="660" t="inlineStr">
        <is>
          <t>Technology Manager, T&amp;S</t>
        </is>
      </c>
      <c r="F444" s="661" t="inlineStr">
        <is>
          <t>TDD CFE&amp;I</t>
        </is>
      </c>
      <c r="G444" s="662" t="inlineStr">
        <is>
          <t>Commercial Fuels</t>
        </is>
      </c>
      <c r="H444" s="662" t="inlineStr">
        <is>
          <t>Technology, Trading &amp; Shipping</t>
        </is>
      </c>
      <c r="I444" s="662" t="inlineStr">
        <is>
          <t>Commercial Fuels</t>
        </is>
      </c>
      <c r="J444" s="660" t="inlineStr">
        <is>
          <t>CTRM</t>
        </is>
      </c>
      <c r="K444" s="660" t="inlineStr">
        <is>
          <t>CTRM</t>
        </is>
      </c>
      <c r="L444" s="662" t="n"/>
      <c r="M444" s="688" t="inlineStr">
        <is>
          <t>Australia</t>
        </is>
      </c>
      <c r="N444" s="664" t="inlineStr">
        <is>
          <t>CIC</t>
        </is>
      </c>
      <c r="O444" s="664" t="n">
        <v>1</v>
      </c>
      <c r="P444" s="664" t="n"/>
      <c r="Q444" s="664" t="inlineStr">
        <is>
          <t>Permanent - Full Time</t>
        </is>
      </c>
      <c r="R444" s="666" t="n"/>
      <c r="S444" s="666" t="n"/>
      <c r="T444" s="666" t="n">
        <v>165730</v>
      </c>
      <c r="U444" s="679" t="n">
        <v>165730</v>
      </c>
      <c r="V444" s="670" t="n">
        <v>0.12</v>
      </c>
      <c r="W444" s="921" t="n">
        <v>0.055</v>
      </c>
      <c r="X444" s="921" t="n">
        <v>0.12</v>
      </c>
      <c r="Y444" s="922" t="n"/>
      <c r="Z444" s="921" t="n">
        <v>0.04</v>
      </c>
      <c r="AA444" s="919" t="n">
        <v>221249.55</v>
      </c>
      <c r="AB444" s="744" t="n"/>
      <c r="AC444" s="744" t="n"/>
      <c r="AD444" s="744" t="n"/>
      <c r="AE444" s="744" t="n"/>
      <c r="AF444" s="744" t="n"/>
      <c r="AG444" s="744" t="n"/>
      <c r="AH444" s="744" t="n"/>
      <c r="AJ444" t="str">
        <f>IFERROR(INDEX(Lists!$U$1:$U$18,MATCH($I444,Lists!$T$1:$T$18,0)),"?")</f>
        <v>Commercial Fuels</v>
      </c>
      <c r="AK444" t="str">
        <f>IF(LOWER($Q444)="v","Vacant",IF(LOWER($Q444)="pause","Paused",IF(LOWER($Q444)="cxc","Contractor",IF($Q444="Contractor","Contractor","Filled"))))</f>
        <v>Filled</v>
      </c>
      <c r="AL444" t="str">
        <f>IF($M444="NZ","NZ","AU")</f>
        <v>AU</v>
      </c>
      <c r="AM444">
        <f>COUNTIF($AJ$2:$AJ444,$AJ444)</f>
        <v>41.0</v>
      </c>
      <c r="AN444" t="str">
        <f>$AJ444&amp;"|"&amp;$AM444</f>
        <v>Commercial Fuels|41</v>
      </c>
    </row>
    <row r="445" ht="18" customHeight="1" s="849">
      <c r="A445" s="659" t="inlineStr">
        <is>
          <t>c</t>
        </is>
      </c>
      <c r="B445" s="660" t="inlineStr">
        <is>
          <t>Zijie Zhang</t>
        </is>
      </c>
      <c r="C445" s="660" t="inlineStr">
        <is>
          <t>Senior Data Analyst</t>
        </is>
      </c>
      <c r="D445" s="662" t="inlineStr">
        <is>
          <t>Vacant</t>
        </is>
      </c>
      <c r="E445" s="660" t="inlineStr">
        <is>
          <t>Technology Manager, Data</t>
        </is>
      </c>
      <c r="F445" s="661" t="inlineStr">
        <is>
          <t>TDD CFE&amp;I</t>
        </is>
      </c>
      <c r="G445" s="662" t="inlineStr">
        <is>
          <t>Commercial Fuels</t>
        </is>
      </c>
      <c r="H445" s="662" t="inlineStr">
        <is>
          <t>Technology, T&amp;S Data</t>
        </is>
      </c>
      <c r="I445" s="662" t="inlineStr">
        <is>
          <t>Commercial Fuels</t>
        </is>
      </c>
      <c r="J445" s="662" t="inlineStr">
        <is>
          <t>Trading &amp; Shipping</t>
        </is>
      </c>
      <c r="K445" s="662" t="inlineStr">
        <is>
          <t>Trading &amp; Shipping Data</t>
        </is>
      </c>
      <c r="L445" s="662" t="n"/>
      <c r="M445" s="688" t="inlineStr">
        <is>
          <t>Singapore</t>
        </is>
      </c>
      <c r="N445" s="666" t="n">
        <v>0</v>
      </c>
      <c r="O445" s="666" t="n">
        <v>1</v>
      </c>
      <c r="P445" s="666" t="n"/>
      <c r="Q445" s="666" t="inlineStr">
        <is>
          <t>cant find this person</t>
        </is>
      </c>
      <c r="R445" s="677" t="n"/>
      <c r="S445" s="666" t="n">
        <v>1200</v>
      </c>
      <c r="T445" s="666" t="n">
        <v>0</v>
      </c>
      <c r="U445" s="666" t="n"/>
      <c r="V445" s="662" t="n"/>
      <c r="W445" s="662" t="n"/>
      <c r="X445" s="662" t="n"/>
      <c r="Y445" s="662" t="n"/>
      <c r="Z445" s="662" t="n"/>
      <c r="AA445" s="678" t="n">
        <v>266400</v>
      </c>
      <c r="AB445" s="744" t="n"/>
      <c r="AC445" s="744" t="n"/>
      <c r="AD445" s="744" t="n"/>
      <c r="AE445" s="744" t="n"/>
      <c r="AF445" s="744" t="n"/>
      <c r="AG445" s="744" t="n"/>
      <c r="AH445" s="744" t="n"/>
      <c r="AJ445" t="str">
        <f>IFERROR(INDEX(Lists!$U$1:$U$18,MATCH($I445,Lists!$T$1:$T$18,0)),"?")</f>
        <v>Commercial Fuels</v>
      </c>
      <c r="AK445" t="str">
        <f>IF(LOWER($Q445)="v","Vacant",IF(LOWER($Q445)="pause","Paused",IF(LOWER($Q445)="cxc","Contractor",IF($Q445="Contractor","Contractor","Filled"))))</f>
        <v>Filled</v>
      </c>
      <c r="AL445" t="str">
        <f>IF($M445="NZ","NZ","AU")</f>
        <v>AU</v>
      </c>
      <c r="AM445">
        <f>COUNTIF($AJ$2:$AJ445,$AJ445)</f>
        <v>42.0</v>
      </c>
      <c r="AN445" t="str">
        <f>$AJ445&amp;"|"&amp;$AM445</f>
        <v>Commercial Fuels|42</v>
      </c>
    </row>
    <row r="446" ht="18" customHeight="1" s="849">
      <c r="A446" s="659" t="inlineStr">
        <is>
          <t>C</t>
        </is>
      </c>
      <c r="B446" s="660" t="inlineStr">
        <is>
          <t>Ashish Gupte</t>
        </is>
      </c>
      <c r="C446" s="660" t="inlineStr">
        <is>
          <t>DeveloperSAP ECC</t>
        </is>
      </c>
      <c r="D446" s="662" t="inlineStr">
        <is>
          <t>Vasso Vucovic</t>
        </is>
      </c>
      <c r="E446" s="660" t="inlineStr">
        <is>
          <t>Head of Technology Finance, P&amp;C Legal</t>
        </is>
      </c>
      <c r="F446" s="661" t="inlineStr">
        <is>
          <t>TDD Group Functions</t>
        </is>
      </c>
      <c r="G446" s="662" t="inlineStr">
        <is>
          <t>EGI</t>
        </is>
      </c>
      <c r="H446" s="662" t="inlineStr">
        <is>
          <t>EGI</t>
        </is>
      </c>
      <c r="I446" s="662" t="inlineStr">
        <is>
          <t>EGI</t>
        </is>
      </c>
      <c r="J446" s="662" t="inlineStr">
        <is>
          <t>EGI</t>
        </is>
      </c>
      <c r="K446" s="662" t="inlineStr">
        <is>
          <t>EGI</t>
        </is>
      </c>
      <c r="L446" s="662" t="n"/>
      <c r="M446" s="688" t="inlineStr">
        <is>
          <t>australia</t>
        </is>
      </c>
      <c r="N446" s="664" t="inlineStr">
        <is>
          <t>na</t>
        </is>
      </c>
      <c r="O446" s="665" t="n">
        <v>1</v>
      </c>
      <c r="P446" s="664" t="n"/>
      <c r="Q446" s="666" t="inlineStr">
        <is>
          <t>cxc</t>
        </is>
      </c>
      <c r="R446" s="666" t="inlineStr">
        <is>
          <t>Daily</t>
        </is>
      </c>
      <c r="S446" s="666" t="n">
        <v>1250</v>
      </c>
      <c r="T446" s="666" t="n">
        <v>0</v>
      </c>
      <c r="U446" s="679" t="n"/>
      <c r="V446" s="669" t="n"/>
      <c r="W446" s="665" t="n"/>
      <c r="X446" s="670" t="n"/>
      <c r="Y446" s="918" t="n"/>
      <c r="Z446" s="670" t="n"/>
      <c r="AA446" s="678">
        <f>S446*222</f>
        <v>277500.0</v>
      </c>
      <c r="AB446" s="742" t="n"/>
      <c r="AC446" s="744" t="n"/>
      <c r="AD446" s="744" t="n"/>
      <c r="AE446" s="744" t="n"/>
      <c r="AF446" s="744" t="n"/>
      <c r="AG446" s="744" t="n"/>
      <c r="AH446" s="744" t="n"/>
      <c r="AJ446" t="str">
        <f>IFERROR(INDEX(Lists!$U$1:$U$18,MATCH($I446,Lists!$T$1:$T$18,0)),"?")</f>
        <v>EGI &amp; Central</v>
      </c>
      <c r="AK446" t="str">
        <f>IF(LOWER($Q446)="v","Vacant",IF(LOWER($Q446)="pause","Paused",IF(LOWER($Q446)="cxc","Contractor",IF($Q446="Contractor","Contractor","Filled"))))</f>
        <v>Contractor</v>
      </c>
      <c r="AL446" t="str">
        <f>IF($M446="NZ","NZ","AU")</f>
        <v>AU</v>
      </c>
      <c r="AM446">
        <f>COUNTIF($AJ$2:$AJ446,$AJ446)</f>
        <v>17.0</v>
      </c>
      <c r="AN446" t="str">
        <f>$AJ446&amp;"|"&amp;$AM446</f>
        <v>EGI &amp; Central|17</v>
      </c>
    </row>
    <row r="447" ht="18" customHeight="1" s="849">
      <c r="A447" s="659" t="n">
        <v>14148</v>
      </c>
      <c r="B447" s="705" t="inlineStr">
        <is>
          <t>Ee Lynn Yap</t>
        </is>
      </c>
      <c r="C447" s="705" t="inlineStr">
        <is>
          <t>SAP ERP Application Lead</t>
        </is>
      </c>
      <c r="D447" s="662" t="inlineStr">
        <is>
          <t>Shane Ker</t>
        </is>
      </c>
      <c r="E447" s="705" t="inlineStr">
        <is>
          <t>Technology Manager Finance Platforms</t>
        </is>
      </c>
      <c r="F447" s="661" t="inlineStr">
        <is>
          <t>TDD Group Functions</t>
        </is>
      </c>
      <c r="G447" s="705" t="inlineStr">
        <is>
          <t>P&amp;C, Finance &amp; Legal</t>
        </is>
      </c>
      <c r="H447" s="662" t="inlineStr">
        <is>
          <t>Tech, Finance Platforms</t>
        </is>
      </c>
      <c r="I447" s="884" t="inlineStr">
        <is>
          <t>Finance</t>
        </is>
      </c>
      <c r="J447" s="662" t="inlineStr">
        <is>
          <t>EGI</t>
        </is>
      </c>
      <c r="K447" s="662" t="inlineStr">
        <is>
          <t>EGI Finance</t>
        </is>
      </c>
      <c r="L447" s="662" t="n"/>
      <c r="M447" s="688" t="inlineStr">
        <is>
          <t>Australia</t>
        </is>
      </c>
      <c r="N447" s="666" t="inlineStr">
        <is>
          <t>CIC</t>
        </is>
      </c>
      <c r="O447" s="666" t="n">
        <v>1</v>
      </c>
      <c r="P447" s="666" t="n"/>
      <c r="Q447" s="666" t="inlineStr">
        <is>
          <t>Permanent - Full Time</t>
        </is>
      </c>
      <c r="R447" s="666" t="n"/>
      <c r="S447" s="666" t="n"/>
      <c r="T447" s="666" t="n">
        <v>181070</v>
      </c>
      <c r="U447" s="679" t="n">
        <v>181070</v>
      </c>
      <c r="V447" s="670" t="n">
        <v>0.12</v>
      </c>
      <c r="W447" s="921" t="n">
        <v>0.055</v>
      </c>
      <c r="X447" s="921" t="n">
        <v>0.12</v>
      </c>
      <c r="Y447" s="922" t="n"/>
      <c r="Z447" s="921" t="n">
        <v>0.04</v>
      </c>
      <c r="AA447" s="946" t="n">
        <v>241728.45</v>
      </c>
      <c r="AB447" s="744" t="n"/>
      <c r="AC447" s="744" t="n"/>
      <c r="AD447" s="744" t="n"/>
      <c r="AE447" s="744" t="n"/>
      <c r="AF447" s="744" t="n"/>
      <c r="AG447" s="744" t="n"/>
      <c r="AH447" s="744" t="n"/>
      <c r="AJ447" t="str">
        <f>IFERROR(INDEX(Lists!$U$1:$U$18,MATCH($I447,Lists!$T$1:$T$18,0)),"?")</f>
        <v>Finance</v>
      </c>
      <c r="AK447" t="str">
        <f>IF(LOWER($Q447)="v","Vacant",IF(LOWER($Q447)="pause","Paused",IF(LOWER($Q447)="cxc","Contractor",IF($Q447="Contractor","Contractor","Filled"))))</f>
        <v>Filled</v>
      </c>
      <c r="AL447" t="str">
        <f>IF($M447="NZ","NZ","AU")</f>
        <v>AU</v>
      </c>
      <c r="AM447">
        <f>COUNTIF($AJ$2:$AJ447,$AJ447)</f>
        <v>1.0</v>
      </c>
      <c r="AN447" t="str">
        <f>$AJ447&amp;"|"&amp;$AM447</f>
        <v>Finance|1</v>
      </c>
    </row>
    <row r="448" ht="18" customHeight="1" s="849">
      <c r="A448" s="659" t="n">
        <v>113067</v>
      </c>
      <c r="B448" s="798" t="inlineStr">
        <is>
          <t>Vikram Chhahira</t>
        </is>
      </c>
      <c r="C448" s="705" t="inlineStr">
        <is>
          <t>Delivery Lead, EGI</t>
        </is>
      </c>
      <c r="D448" s="662" t="inlineStr">
        <is>
          <t>Vacant</t>
        </is>
      </c>
      <c r="E448" s="705" t="inlineStr">
        <is>
          <t>Delivery Manager, P&amp;C, Finance &amp; Legal</t>
        </is>
      </c>
      <c r="F448" s="661" t="inlineStr">
        <is>
          <t>TDD Group Functions</t>
        </is>
      </c>
      <c r="G448" s="662" t="inlineStr">
        <is>
          <t>EGI</t>
        </is>
      </c>
      <c r="H448" s="662" t="n"/>
      <c r="I448" s="884" t="inlineStr">
        <is>
          <t>P&amp;C</t>
        </is>
      </c>
      <c r="J448" s="662" t="inlineStr">
        <is>
          <t>EGI</t>
        </is>
      </c>
      <c r="K448" s="662" t="inlineStr">
        <is>
          <t>EGI P&amp;C</t>
        </is>
      </c>
      <c r="L448" s="662" t="n"/>
      <c r="M448" s="688" t="inlineStr">
        <is>
          <t>Australia</t>
        </is>
      </c>
      <c r="N448" s="664" t="inlineStr">
        <is>
          <t>CIC</t>
        </is>
      </c>
      <c r="O448" s="664" t="n">
        <v>1</v>
      </c>
      <c r="P448" s="664" t="n"/>
      <c r="Q448" s="664" t="inlineStr">
        <is>
          <t>Permanent - Full Time</t>
        </is>
      </c>
      <c r="R448" s="666" t="n"/>
      <c r="S448" s="666" t="n"/>
      <c r="T448" s="666" t="n">
        <v>179000</v>
      </c>
      <c r="U448" s="679" t="n">
        <v>179000</v>
      </c>
      <c r="V448" s="670" t="n">
        <v>0.12</v>
      </c>
      <c r="W448" s="921" t="n">
        <v>0.055</v>
      </c>
      <c r="X448" s="921" t="n">
        <v>0.12</v>
      </c>
      <c r="Y448" s="922" t="n"/>
      <c r="Z448" s="921" t="n">
        <v>0.04</v>
      </c>
      <c r="AA448" s="919" t="n">
        <v>238965</v>
      </c>
      <c r="AB448" s="744" t="n"/>
      <c r="AC448" s="744" t="n"/>
      <c r="AD448" s="744" t="n"/>
      <c r="AE448" s="744" t="n"/>
      <c r="AF448" s="744" t="n"/>
      <c r="AG448" s="744" t="n"/>
      <c r="AH448" s="744" t="n"/>
      <c r="AJ448" t="str">
        <f>IFERROR(INDEX(Lists!$U$1:$U$18,MATCH($I448,Lists!$T$1:$T$18,0)),"?")</f>
        <v>P&amp;C</v>
      </c>
      <c r="AK448" t="str">
        <f>IF(LOWER($Q448)="v","Vacant",IF(LOWER($Q448)="pause","Paused",IF(LOWER($Q448)="cxc","Contractor",IF($Q448="Contractor","Contractor","Filled"))))</f>
        <v>Filled</v>
      </c>
      <c r="AL448" t="str">
        <f>IF($M448="NZ","NZ","AU")</f>
        <v>AU</v>
      </c>
      <c r="AM448">
        <f>COUNTIF($AJ$2:$AJ448,$AJ448)</f>
        <v>1.0</v>
      </c>
      <c r="AN448" t="str">
        <f>$AJ448&amp;"|"&amp;$AM448</f>
        <v>P&amp;C|1</v>
      </c>
    </row>
    <row r="449" ht="18" customHeight="1" s="849">
      <c r="A449" s="659" t="n">
        <v>109092</v>
      </c>
      <c r="B449" s="660" t="inlineStr">
        <is>
          <t>Anjali Patra</t>
        </is>
      </c>
      <c r="C449" s="660" t="inlineStr">
        <is>
          <t>Delivery Lead - EGI</t>
        </is>
      </c>
      <c r="D449" s="662" t="inlineStr">
        <is>
          <t>Vacant</t>
        </is>
      </c>
      <c r="E449" s="705" t="inlineStr">
        <is>
          <t xml:space="preserve">Delivery Manager </t>
        </is>
      </c>
      <c r="F449" s="661" t="inlineStr">
        <is>
          <t>TDD Group Functions</t>
        </is>
      </c>
      <c r="G449" s="662" t="inlineStr">
        <is>
          <t>TDD &amp; Engineering</t>
        </is>
      </c>
      <c r="H449" s="660" t="inlineStr">
        <is>
          <t>Delivery, TDD &amp; Engineering</t>
        </is>
      </c>
      <c r="I449" s="660" t="inlineStr">
        <is>
          <t>TDD</t>
        </is>
      </c>
      <c r="J449" s="662" t="inlineStr">
        <is>
          <t>EGI</t>
        </is>
      </c>
      <c r="K449" s="662" t="inlineStr">
        <is>
          <t>EGI TDD</t>
        </is>
      </c>
      <c r="L449" s="662" t="n"/>
      <c r="M449" s="688" t="inlineStr">
        <is>
          <t>Australia</t>
        </is>
      </c>
      <c r="N449" s="664" t="inlineStr">
        <is>
          <t>CIB</t>
        </is>
      </c>
      <c r="O449" s="664" t="n">
        <v>1</v>
      </c>
      <c r="P449" s="664" t="n"/>
      <c r="Q449" s="664" t="inlineStr">
        <is>
          <t>Permanent - Full Time</t>
        </is>
      </c>
      <c r="R449" s="666" t="n"/>
      <c r="S449" s="666" t="n"/>
      <c r="T449" s="666" t="n">
        <v>158050</v>
      </c>
      <c r="U449" s="679" t="n">
        <v>158050</v>
      </c>
      <c r="V449" s="670" t="n">
        <v>0.12</v>
      </c>
      <c r="W449" s="921" t="n">
        <v>0.055</v>
      </c>
      <c r="X449" s="921" t="n">
        <v>0.12</v>
      </c>
      <c r="Y449" s="922" t="n"/>
      <c r="Z449" s="921" t="n">
        <v>0.04</v>
      </c>
      <c r="AA449" s="919" t="n">
        <v>210996.75</v>
      </c>
      <c r="AB449" s="744" t="n"/>
      <c r="AC449" s="744" t="n"/>
      <c r="AD449" s="744" t="n"/>
      <c r="AE449" s="744" t="n"/>
      <c r="AF449" s="744" t="n"/>
      <c r="AG449" s="744" t="n"/>
      <c r="AH449" s="744" t="n"/>
      <c r="AJ449" t="str">
        <f>IFERROR(INDEX(Lists!$U$1:$U$18,MATCH($I449,Lists!$T$1:$T$18,0)),"?")</f>
        <v>TDD Group Functions</v>
      </c>
      <c r="AK449" t="str">
        <f>IF(LOWER($Q449)="v","Vacant",IF(LOWER($Q449)="pause","Paused",IF(LOWER($Q449)="cxc","Contractor",IF($Q449="Contractor","Contractor","Filled"))))</f>
        <v>Filled</v>
      </c>
      <c r="AL449" t="str">
        <f>IF($M449="NZ","NZ","AU")</f>
        <v>AU</v>
      </c>
      <c r="AM449">
        <f>COUNTIF($AJ$2:$AJ449,$AJ449)</f>
        <v>1.0</v>
      </c>
      <c r="AN449" t="str">
        <f>$AJ449&amp;"|"&amp;$AM449</f>
        <v>TDD Group Functions|1</v>
      </c>
    </row>
    <row r="450" ht="18" customHeight="1" s="849">
      <c r="A450" s="659" t="inlineStr">
        <is>
          <t>C</t>
        </is>
      </c>
      <c r="B450" s="799" t="inlineStr">
        <is>
          <t>Arun Tahlan</t>
        </is>
      </c>
      <c r="C450" s="705" t="inlineStr">
        <is>
          <t>Integration Architect (C) - Boomi</t>
        </is>
      </c>
      <c r="D450" s="660" t="inlineStr">
        <is>
          <t>Mike Seales</t>
        </is>
      </c>
      <c r="E450" s="660" t="inlineStr">
        <is>
          <t>Technology Manager Integration &amp; Process Managemetn</t>
        </is>
      </c>
      <c r="F450" s="661" t="inlineStr">
        <is>
          <t>TDD Group Functions</t>
        </is>
      </c>
      <c r="G450" s="662" t="inlineStr">
        <is>
          <t xml:space="preserve">TDD &amp; Engineering </t>
        </is>
      </c>
      <c r="H450" s="660" t="inlineStr">
        <is>
          <t>Integration &amp; Process Management</t>
        </is>
      </c>
      <c r="I450" s="660" t="inlineStr">
        <is>
          <t>TDD</t>
        </is>
      </c>
      <c r="J450" s="662" t="inlineStr">
        <is>
          <t>EGI</t>
        </is>
      </c>
      <c r="K450" s="662" t="inlineStr">
        <is>
          <t>EGI TDD</t>
        </is>
      </c>
      <c r="L450" s="662" t="n"/>
      <c r="M450" s="688" t="inlineStr">
        <is>
          <t>Australia</t>
        </is>
      </c>
      <c r="N450" s="666" t="inlineStr">
        <is>
          <t>NA</t>
        </is>
      </c>
      <c r="O450" s="664" t="n">
        <v>1</v>
      </c>
      <c r="P450" s="666" t="n"/>
      <c r="Q450" s="666" t="inlineStr">
        <is>
          <t>cxc</t>
        </is>
      </c>
      <c r="R450" s="677" t="inlineStr">
        <is>
          <t>Daily</t>
        </is>
      </c>
      <c r="S450" s="666" t="n">
        <v>1568</v>
      </c>
      <c r="T450" s="666" t="n">
        <v>0</v>
      </c>
      <c r="U450" s="666" t="n"/>
      <c r="V450" s="662" t="n"/>
      <c r="W450" s="662" t="n"/>
      <c r="X450" s="662" t="n"/>
      <c r="Y450" s="662" t="n"/>
      <c r="Z450" s="662" t="n"/>
      <c r="AA450" s="678" t="n">
        <v>348096</v>
      </c>
      <c r="AB450" s="744" t="n"/>
      <c r="AC450" s="744" t="n"/>
      <c r="AD450" s="744" t="n"/>
      <c r="AE450" s="744" t="n"/>
      <c r="AF450" s="744" t="n"/>
      <c r="AG450" s="744" t="n"/>
      <c r="AH450" s="744" t="n"/>
      <c r="AJ450" t="str">
        <f>IFERROR(INDEX(Lists!$U$1:$U$18,MATCH($I450,Lists!$T$1:$T$18,0)),"?")</f>
        <v>TDD Group Functions</v>
      </c>
      <c r="AK450" t="str">
        <f>IF(LOWER($Q450)="v","Vacant",IF(LOWER($Q450)="pause","Paused",IF(LOWER($Q450)="cxc","Contractor",IF($Q450="Contractor","Contractor","Filled"))))</f>
        <v>Contractor</v>
      </c>
      <c r="AL450" t="str">
        <f>IF($M450="NZ","NZ","AU")</f>
        <v>AU</v>
      </c>
      <c r="AM450">
        <f>COUNTIF($AJ$2:$AJ450,$AJ450)</f>
        <v>2.0</v>
      </c>
      <c r="AN450" t="str">
        <f>$AJ450&amp;"|"&amp;$AM450</f>
        <v>TDD Group Functions|2</v>
      </c>
    </row>
    <row r="451" ht="18" customHeight="1" s="849">
      <c r="A451" s="659" t="n">
        <v>99999101466</v>
      </c>
      <c r="B451" s="660" t="inlineStr">
        <is>
          <t>Shobhit Mittal</t>
        </is>
      </c>
      <c r="C451" s="660" t="inlineStr">
        <is>
          <t>Lead Engineer - Automation Test</t>
        </is>
      </c>
      <c r="D451" s="799" t="inlineStr">
        <is>
          <t>Vacant</t>
        </is>
      </c>
      <c r="E451" s="705" t="inlineStr">
        <is>
          <t>Technology Manager – DevOps and Quality Engineering</t>
        </is>
      </c>
      <c r="F451" s="800" t="inlineStr">
        <is>
          <t>TDD Group Functions</t>
        </is>
      </c>
      <c r="G451" s="662" t="inlineStr">
        <is>
          <t>TDD &amp; Engineering</t>
        </is>
      </c>
      <c r="H451" s="662" t="inlineStr">
        <is>
          <t>Dev Ops  &amp; QE</t>
        </is>
      </c>
      <c r="I451" s="884" t="inlineStr">
        <is>
          <t>TDD</t>
        </is>
      </c>
      <c r="J451" s="662" t="inlineStr">
        <is>
          <t>EGI</t>
        </is>
      </c>
      <c r="K451" s="662" t="inlineStr">
        <is>
          <t>EGI TDD</t>
        </is>
      </c>
      <c r="L451" s="662" t="n"/>
      <c r="M451" s="688" t="inlineStr">
        <is>
          <t>NZ</t>
        </is>
      </c>
      <c r="N451" s="664" t="inlineStr">
        <is>
          <t>CIC</t>
        </is>
      </c>
      <c r="O451" s="665" t="n">
        <v>1</v>
      </c>
      <c r="P451" s="664" t="n"/>
      <c r="Q451" s="665" t="inlineStr">
        <is>
          <t>Permanent - Full Time</t>
        </is>
      </c>
      <c r="R451" s="666" t="n"/>
      <c r="S451" s="666" t="n"/>
      <c r="T451" s="666" t="n">
        <v>173600</v>
      </c>
      <c r="U451" s="679" t="n">
        <v>159712</v>
      </c>
      <c r="V451" s="669" t="n">
        <v>0.15</v>
      </c>
      <c r="W451" s="666" t="n"/>
      <c r="X451" s="670" t="n">
        <v>0.05</v>
      </c>
      <c r="Y451" s="918" t="n">
        <v>2910</v>
      </c>
      <c r="Z451" s="670" t="n">
        <v>0.03</v>
      </c>
      <c r="AA451" s="919" t="n">
        <v>199355.76</v>
      </c>
      <c r="AB451" s="744" t="n"/>
      <c r="AC451" s="744" t="n"/>
      <c r="AD451" s="744" t="n"/>
      <c r="AE451" s="744" t="n"/>
      <c r="AF451" s="744" t="n"/>
      <c r="AG451" s="744" t="n"/>
      <c r="AH451" s="744" t="n"/>
      <c r="AJ451" t="str">
        <f>IFERROR(INDEX(Lists!$U$1:$U$18,MATCH($I451,Lists!$T$1:$T$18,0)),"?")</f>
        <v>TDD Group Functions</v>
      </c>
      <c r="AK451" t="str">
        <f>IF(LOWER($Q451)="v","Vacant",IF(LOWER($Q451)="pause","Paused",IF(LOWER($Q451)="cxc","Contractor",IF($Q451="Contractor","Contractor","Filled"))))</f>
        <v>Filled</v>
      </c>
      <c r="AL451" t="str">
        <f>IF($M451="NZ","NZ","AU")</f>
        <v>NZ</v>
      </c>
      <c r="AM451">
        <f>COUNTIF($AJ$2:$AJ451,$AJ451)</f>
        <v>3.0</v>
      </c>
      <c r="AN451" t="str">
        <f>$AJ451&amp;"|"&amp;$AM451</f>
        <v>TDD Group Functions|3</v>
      </c>
    </row>
    <row r="452" ht="18" customHeight="1" s="849">
      <c r="A452" s="659" t="n">
        <v>99999102153</v>
      </c>
      <c r="B452" s="799" t="inlineStr">
        <is>
          <t>Kris Thornley</t>
        </is>
      </c>
      <c r="C452" s="705" t="inlineStr">
        <is>
          <t>Integration Architect (C)</t>
        </is>
      </c>
      <c r="D452" s="660" t="inlineStr">
        <is>
          <t>Mike Seales</t>
        </is>
      </c>
      <c r="E452" s="660" t="inlineStr">
        <is>
          <t>Technology Manager Integration &amp; Process Managemetn</t>
        </is>
      </c>
      <c r="F452" s="661" t="inlineStr">
        <is>
          <t>TDD Group Functions</t>
        </is>
      </c>
      <c r="G452" s="662" t="inlineStr">
        <is>
          <t xml:space="preserve">TDD &amp; Engineering </t>
        </is>
      </c>
      <c r="H452" s="660" t="inlineStr">
        <is>
          <t>Integration &amp; Process Management</t>
        </is>
      </c>
      <c r="I452" s="660" t="inlineStr">
        <is>
          <t>TDD</t>
        </is>
      </c>
      <c r="J452" s="662" t="inlineStr">
        <is>
          <t xml:space="preserve">EGI </t>
        </is>
      </c>
      <c r="K452" s="662" t="inlineStr">
        <is>
          <t>EGI TDD</t>
        </is>
      </c>
      <c r="L452" s="662" t="n"/>
      <c r="M452" s="688" t="inlineStr">
        <is>
          <t>NZ</t>
        </is>
      </c>
      <c r="N452" s="664" t="inlineStr">
        <is>
          <t>NA</t>
        </is>
      </c>
      <c r="O452" s="664" t="n">
        <v>1</v>
      </c>
      <c r="P452" s="664" t="n"/>
      <c r="Q452" s="665" t="inlineStr">
        <is>
          <t>Contractor</t>
        </is>
      </c>
      <c r="R452" s="666" t="inlineStr">
        <is>
          <t>cant find this person</t>
        </is>
      </c>
      <c r="S452" s="666" t="n">
        <v>1200</v>
      </c>
      <c r="T452" s="666" t="n">
        <v>0</v>
      </c>
      <c r="U452" s="666" t="n"/>
      <c r="V452" s="662" t="n"/>
      <c r="W452" s="662" t="n"/>
      <c r="X452" s="662" t="n"/>
      <c r="Y452" s="662" t="n"/>
      <c r="Z452" s="662" t="n"/>
      <c r="AA452" s="678" t="n">
        <v>266400</v>
      </c>
      <c r="AB452" s="744" t="n"/>
      <c r="AC452" s="744" t="n"/>
      <c r="AD452" s="744" t="n"/>
      <c r="AE452" s="744" t="n"/>
      <c r="AF452" s="744" t="n"/>
      <c r="AG452" s="744" t="n"/>
      <c r="AH452" s="744" t="n"/>
      <c r="AJ452" t="str">
        <f>IFERROR(INDEX(Lists!$U$1:$U$18,MATCH($I452,Lists!$T$1:$T$18,0)),"?")</f>
        <v>TDD Group Functions</v>
      </c>
      <c r="AK452" t="str">
        <f>IF(LOWER($Q452)="v","Vacant",IF(LOWER($Q452)="pause","Paused",IF(LOWER($Q452)="cxc","Contractor",IF($Q452="Contractor","Contractor","Filled"))))</f>
        <v>Contractor</v>
      </c>
      <c r="AL452" t="str">
        <f>IF($M452="NZ","NZ","AU")</f>
        <v>NZ</v>
      </c>
      <c r="AM452">
        <f>COUNTIF($AJ$2:$AJ452,$AJ452)</f>
        <v>4.0</v>
      </c>
      <c r="AN452" t="str">
        <f>$AJ452&amp;"|"&amp;$AM452</f>
        <v>TDD Group Functions|4</v>
      </c>
    </row>
    <row r="453" ht="18" customHeight="1" s="849">
      <c r="A453" s="659" t="n">
        <v>11241</v>
      </c>
      <c r="B453" s="705" t="inlineStr">
        <is>
          <t>Julma Bhagwani</t>
        </is>
      </c>
      <c r="C453" s="705" t="inlineStr">
        <is>
          <t>SAP ERP Application Lead</t>
        </is>
      </c>
      <c r="D453" s="662" t="inlineStr">
        <is>
          <t>Shane Ker</t>
        </is>
      </c>
      <c r="E453" s="705" t="inlineStr">
        <is>
          <t>Technology Manager Finance Platforms</t>
        </is>
      </c>
      <c r="F453" s="661" t="inlineStr">
        <is>
          <t>TDD Group Functions</t>
        </is>
      </c>
      <c r="G453" s="705" t="inlineStr">
        <is>
          <t>P&amp;C, Finance &amp; Legal</t>
        </is>
      </c>
      <c r="H453" s="662" t="inlineStr">
        <is>
          <t>Tech, Finance Platforms</t>
        </is>
      </c>
      <c r="I453" s="662" t="inlineStr">
        <is>
          <t>Finance</t>
        </is>
      </c>
      <c r="J453" s="662" t="inlineStr">
        <is>
          <t>AU Finance</t>
        </is>
      </c>
      <c r="K453" s="662" t="inlineStr">
        <is>
          <t>SAP ERP</t>
        </is>
      </c>
      <c r="L453" s="662" t="n"/>
      <c r="M453" s="688" t="inlineStr">
        <is>
          <t>Australia</t>
        </is>
      </c>
      <c r="N453" s="666" t="inlineStr">
        <is>
          <t>CIC</t>
        </is>
      </c>
      <c r="O453" s="666" t="n">
        <v>1</v>
      </c>
      <c r="P453" s="666" t="n"/>
      <c r="Q453" s="666" t="inlineStr">
        <is>
          <t>Permanent - Full Time</t>
        </is>
      </c>
      <c r="R453" s="666" t="n"/>
      <c r="S453" s="666" t="n"/>
      <c r="T453" s="666" t="n">
        <v>179700</v>
      </c>
      <c r="U453" s="679" t="n">
        <v>179700</v>
      </c>
      <c r="V453" s="670" t="n">
        <v>0.12</v>
      </c>
      <c r="W453" s="921" t="n">
        <v>0.055</v>
      </c>
      <c r="X453" s="921" t="n">
        <v>0.12</v>
      </c>
      <c r="Y453" s="922" t="n"/>
      <c r="Z453" s="921" t="n">
        <v>0.04</v>
      </c>
      <c r="AA453" s="919" t="n">
        <v>239899.5</v>
      </c>
      <c r="AB453" s="744" t="n"/>
      <c r="AC453" s="744" t="n"/>
      <c r="AD453" s="744" t="n"/>
      <c r="AE453" s="744" t="n"/>
      <c r="AF453" s="744" t="n"/>
      <c r="AG453" s="744" t="n"/>
      <c r="AH453" s="744" t="n"/>
      <c r="AJ453" t="str">
        <f>IFERROR(INDEX(Lists!$U$1:$U$18,MATCH($I453,Lists!$T$1:$T$18,0)),"?")</f>
        <v>Finance</v>
      </c>
      <c r="AK453" t="str">
        <f>IF(LOWER($Q453)="v","Vacant",IF(LOWER($Q453)="pause","Paused",IF(LOWER($Q453)="cxc","Contractor",IF($Q453="Contractor","Contractor","Filled"))))</f>
        <v>Filled</v>
      </c>
      <c r="AL453" t="str">
        <f>IF($M453="NZ","NZ","AU")</f>
        <v>AU</v>
      </c>
      <c r="AM453">
        <f>COUNTIF($AJ$2:$AJ453,$AJ453)</f>
        <v>2.0</v>
      </c>
      <c r="AN453" t="str">
        <f>$AJ453&amp;"|"&amp;$AM453</f>
        <v>Finance|2</v>
      </c>
    </row>
    <row r="454" ht="18" customHeight="1" s="849">
      <c r="A454" s="659" t="n">
        <v>4251</v>
      </c>
      <c r="B454" s="705" t="inlineStr">
        <is>
          <t>Maudud Chaudhury</t>
        </is>
      </c>
      <c r="C454" s="705" t="inlineStr">
        <is>
          <t>SAP ERP Application Lead</t>
        </is>
      </c>
      <c r="D454" s="662" t="inlineStr">
        <is>
          <t>Shane Ker</t>
        </is>
      </c>
      <c r="E454" s="705" t="inlineStr">
        <is>
          <t>Technology Manager Finance Platforms</t>
        </is>
      </c>
      <c r="F454" s="661" t="inlineStr">
        <is>
          <t>TDD Group Functions</t>
        </is>
      </c>
      <c r="G454" s="705" t="inlineStr">
        <is>
          <t>P&amp;C, Finance &amp; Legal</t>
        </is>
      </c>
      <c r="H454" s="662" t="inlineStr">
        <is>
          <t>Tech, Finance Platforms</t>
        </is>
      </c>
      <c r="I454" s="662" t="inlineStr">
        <is>
          <t>Finance</t>
        </is>
      </c>
      <c r="J454" s="662" t="inlineStr">
        <is>
          <t>AU Finance</t>
        </is>
      </c>
      <c r="K454" s="662" t="inlineStr">
        <is>
          <t>SAP ERP</t>
        </is>
      </c>
      <c r="L454" s="662" t="n"/>
      <c r="M454" s="688" t="inlineStr">
        <is>
          <t>Australia</t>
        </is>
      </c>
      <c r="N454" s="666" t="inlineStr">
        <is>
          <t>CIC</t>
        </is>
      </c>
      <c r="O454" s="666" t="n">
        <v>1</v>
      </c>
      <c r="P454" s="666" t="n"/>
      <c r="Q454" s="666" t="inlineStr">
        <is>
          <t>Permanent - Full Time</t>
        </is>
      </c>
      <c r="R454" s="666" t="n"/>
      <c r="S454" s="666" t="n"/>
      <c r="T454" s="666" t="n">
        <v>160370</v>
      </c>
      <c r="U454" s="679" t="n">
        <v>160370</v>
      </c>
      <c r="V454" s="670" t="n">
        <v>0.12</v>
      </c>
      <c r="W454" s="921" t="n">
        <v>0.055</v>
      </c>
      <c r="X454" s="921" t="n">
        <v>0.12</v>
      </c>
      <c r="Y454" s="922" t="n"/>
      <c r="Z454" s="921" t="n">
        <v>0.04</v>
      </c>
      <c r="AA454" s="919" t="n">
        <v>214093.95</v>
      </c>
      <c r="AB454" s="744" t="n"/>
      <c r="AC454" s="744" t="n"/>
      <c r="AD454" s="744" t="n"/>
      <c r="AE454" s="744" t="n"/>
      <c r="AF454" s="744" t="n"/>
      <c r="AG454" s="744" t="n"/>
      <c r="AH454" s="744" t="n"/>
      <c r="AJ454" t="str">
        <f>IFERROR(INDEX(Lists!$U$1:$U$18,MATCH($I454,Lists!$T$1:$T$18,0)),"?")</f>
        <v>Finance</v>
      </c>
      <c r="AK454" t="str">
        <f>IF(LOWER($Q454)="v","Vacant",IF(LOWER($Q454)="pause","Paused",IF(LOWER($Q454)="cxc","Contractor",IF($Q454="Contractor","Contractor","Filled"))))</f>
        <v>Filled</v>
      </c>
      <c r="AL454" t="str">
        <f>IF($M454="NZ","NZ","AU")</f>
        <v>AU</v>
      </c>
      <c r="AM454">
        <f>COUNTIF($AJ$2:$AJ454,$AJ454)</f>
        <v>3.0</v>
      </c>
      <c r="AN454" t="str">
        <f>$AJ454&amp;"|"&amp;$AM454</f>
        <v>Finance|3</v>
      </c>
    </row>
    <row r="455" ht="18" customHeight="1" s="849">
      <c r="A455" s="659" t="n">
        <v>109863</v>
      </c>
      <c r="B455" s="660" t="inlineStr">
        <is>
          <t>Shane Ker</t>
        </is>
      </c>
      <c r="C455" s="660" t="inlineStr">
        <is>
          <t>Technology Manger - Finance Platfoms</t>
        </is>
      </c>
      <c r="D455" s="660" t="inlineStr">
        <is>
          <t>Vaso Vukovic</t>
        </is>
      </c>
      <c r="E455" s="660" t="inlineStr">
        <is>
          <t>Head of Technology - P&amp;C, Finance &amp; Legal</t>
        </is>
      </c>
      <c r="F455" s="661" t="inlineStr">
        <is>
          <t>TDD Group Functions</t>
        </is>
      </c>
      <c r="G455" s="705" t="inlineStr">
        <is>
          <t>P&amp;C, Finance &amp; Legal</t>
        </is>
      </c>
      <c r="H455" s="662" t="inlineStr">
        <is>
          <t>Tech, Finance Platforms</t>
        </is>
      </c>
      <c r="I455" s="662" t="inlineStr">
        <is>
          <t>Finance</t>
        </is>
      </c>
      <c r="J455" s="662" t="inlineStr">
        <is>
          <t>Finance</t>
        </is>
      </c>
      <c r="K455" s="662" t="inlineStr">
        <is>
          <t>Leadership</t>
        </is>
      </c>
      <c r="L455" s="662" t="n"/>
      <c r="M455" s="688" t="inlineStr">
        <is>
          <t>Australia</t>
        </is>
      </c>
      <c r="N455" s="664" t="inlineStr">
        <is>
          <t>CSB</t>
        </is>
      </c>
      <c r="O455" s="664" t="n">
        <v>1</v>
      </c>
      <c r="P455" s="664" t="n"/>
      <c r="Q455" s="664" t="inlineStr">
        <is>
          <t>Permanent - Full Time</t>
        </is>
      </c>
      <c r="R455" s="666" t="n"/>
      <c r="S455" s="666" t="n"/>
      <c r="T455" s="666" t="n">
        <v>238790</v>
      </c>
      <c r="U455" s="679" t="n">
        <v>238790</v>
      </c>
      <c r="V455" s="670" t="n">
        <v>0.14</v>
      </c>
      <c r="W455" s="921" t="n">
        <v>0.055</v>
      </c>
      <c r="X455" s="921" t="n">
        <v>0.12</v>
      </c>
      <c r="Y455" s="922" t="n"/>
      <c r="Z455" s="921" t="n">
        <v>0.04</v>
      </c>
      <c r="AA455" s="919" t="n">
        <v>323560.45</v>
      </c>
      <c r="AB455" s="744" t="n"/>
      <c r="AC455" s="744" t="n"/>
      <c r="AD455" s="744" t="n"/>
      <c r="AE455" s="744" t="n"/>
      <c r="AF455" s="744" t="n"/>
      <c r="AG455" s="744" t="n"/>
      <c r="AH455" s="744" t="n"/>
      <c r="AJ455" t="str">
        <f>IFERROR(INDEX(Lists!$U$1:$U$18,MATCH($I455,Lists!$T$1:$T$18,0)),"?")</f>
        <v>Finance</v>
      </c>
      <c r="AK455" t="str">
        <f>IF(LOWER($Q455)="v","Vacant",IF(LOWER($Q455)="pause","Paused",IF(LOWER($Q455)="cxc","Contractor",IF($Q455="Contractor","Contractor","Filled"))))</f>
        <v>Filled</v>
      </c>
      <c r="AL455" t="str">
        <f>IF($M455="NZ","NZ","AU")</f>
        <v>AU</v>
      </c>
      <c r="AM455">
        <f>COUNTIF($AJ$2:$AJ455,$AJ455)</f>
        <v>4.0</v>
      </c>
      <c r="AN455" t="str">
        <f>$AJ455&amp;"|"&amp;$AM455</f>
        <v>Finance|4</v>
      </c>
    </row>
    <row r="456" ht="18" customHeight="1" s="849">
      <c r="A456" s="659" t="n">
        <v>99999170438</v>
      </c>
      <c r="B456" s="799" t="inlineStr">
        <is>
          <t>Leilanie Avilla</t>
        </is>
      </c>
      <c r="C456" s="705" t="inlineStr">
        <is>
          <t>JDE Systems Specialist</t>
        </is>
      </c>
      <c r="D456" s="662" t="inlineStr">
        <is>
          <t>Lydia Pritchard</t>
        </is>
      </c>
      <c r="E456" s="705" t="inlineStr">
        <is>
          <t>Lead JDE System Specialist</t>
        </is>
      </c>
      <c r="F456" s="661" t="inlineStr">
        <is>
          <t>TDD Group Functions</t>
        </is>
      </c>
      <c r="G456" s="705" t="inlineStr">
        <is>
          <t>P&amp;C, Finance &amp; Legal</t>
        </is>
      </c>
      <c r="H456" s="662" t="inlineStr">
        <is>
          <t>Tech, Finance Platforms</t>
        </is>
      </c>
      <c r="I456" s="662" t="inlineStr">
        <is>
          <t>Finance</t>
        </is>
      </c>
      <c r="J456" s="662" t="inlineStr">
        <is>
          <t>NZ Finance</t>
        </is>
      </c>
      <c r="K456" s="662" t="inlineStr">
        <is>
          <t>NZ Finance</t>
        </is>
      </c>
      <c r="L456" s="662" t="n"/>
      <c r="M456" s="688" t="inlineStr">
        <is>
          <t>NZ</t>
        </is>
      </c>
      <c r="N456" s="664" t="inlineStr">
        <is>
          <t>CDB</t>
        </is>
      </c>
      <c r="O456" s="665" t="n">
        <v>1</v>
      </c>
      <c r="P456" s="664" t="n"/>
      <c r="Q456" s="665" t="inlineStr">
        <is>
          <t>Permanent - Full Time</t>
        </is>
      </c>
      <c r="R456" s="666" t="n"/>
      <c r="S456" s="666" t="n"/>
      <c r="T456" s="666" t="n">
        <v>96270</v>
      </c>
      <c r="U456" s="679" t="n">
        <v>88568.40000000001</v>
      </c>
      <c r="V456" s="669" t="n">
        <v>0.1</v>
      </c>
      <c r="W456" s="666" t="n"/>
      <c r="X456" s="670" t="n">
        <v>0.05</v>
      </c>
      <c r="Y456" s="918" t="n">
        <v>2910</v>
      </c>
      <c r="Z456" s="670" t="n">
        <v>0.03</v>
      </c>
      <c r="AA456" s="919" t="n">
        <v>107420.712</v>
      </c>
      <c r="AB456" s="744" t="n"/>
      <c r="AC456" s="744" t="n"/>
      <c r="AD456" s="744" t="n"/>
      <c r="AE456" s="744" t="n"/>
      <c r="AF456" s="744" t="n"/>
      <c r="AG456" s="744" t="n"/>
      <c r="AH456" s="744" t="n"/>
      <c r="AJ456" t="str">
        <f>IFERROR(INDEX(Lists!$U$1:$U$18,MATCH($I456,Lists!$T$1:$T$18,0)),"?")</f>
        <v>Finance</v>
      </c>
      <c r="AK456" t="str">
        <f>IF(LOWER($Q456)="v","Vacant",IF(LOWER($Q456)="pause","Paused",IF(LOWER($Q456)="cxc","Contractor",IF($Q456="Contractor","Contractor","Filled"))))</f>
        <v>Filled</v>
      </c>
      <c r="AL456" t="str">
        <f>IF($M456="NZ","NZ","AU")</f>
        <v>NZ</v>
      </c>
      <c r="AM456">
        <f>COUNTIF($AJ$2:$AJ456,$AJ456)</f>
        <v>5.0</v>
      </c>
      <c r="AN456" t="str">
        <f>$AJ456&amp;"|"&amp;$AM456</f>
        <v>Finance|5</v>
      </c>
    </row>
    <row r="457" ht="18" customHeight="1" s="849">
      <c r="A457" s="659" t="n">
        <v>99999100336</v>
      </c>
      <c r="B457" s="660" t="inlineStr">
        <is>
          <t>Lydia Pritchard</t>
        </is>
      </c>
      <c r="C457" s="660" t="inlineStr">
        <is>
          <t>Lead JDE Systems Specialist</t>
        </is>
      </c>
      <c r="D457" s="660" t="inlineStr">
        <is>
          <t>Shane Ker</t>
        </is>
      </c>
      <c r="E457" s="660" t="inlineStr">
        <is>
          <t>Technology Manager Finance Platforms</t>
        </is>
      </c>
      <c r="F457" s="661" t="inlineStr">
        <is>
          <t>TDD Group Functions</t>
        </is>
      </c>
      <c r="G457" s="705" t="inlineStr">
        <is>
          <t>P&amp;C, Finance &amp; Legal</t>
        </is>
      </c>
      <c r="H457" s="662" t="inlineStr">
        <is>
          <t>Tech, Finance Platforms</t>
        </is>
      </c>
      <c r="I457" s="662" t="inlineStr">
        <is>
          <t>Finance</t>
        </is>
      </c>
      <c r="J457" s="662" t="inlineStr">
        <is>
          <t>NZ Finance</t>
        </is>
      </c>
      <c r="K457" s="662" t="inlineStr">
        <is>
          <t>NZ Finance</t>
        </is>
      </c>
      <c r="L457" s="662" t="n"/>
      <c r="M457" s="688" t="inlineStr">
        <is>
          <t>NZ</t>
        </is>
      </c>
      <c r="N457" s="664" t="inlineStr">
        <is>
          <t>CIC</t>
        </is>
      </c>
      <c r="O457" s="665" t="n">
        <v>1</v>
      </c>
      <c r="P457" s="664" t="n"/>
      <c r="Q457" s="665" t="inlineStr">
        <is>
          <t>Permanent - Full Time</t>
        </is>
      </c>
      <c r="R457" s="666" t="n"/>
      <c r="S457" s="666" t="n"/>
      <c r="T457" s="666" t="n">
        <v>172490</v>
      </c>
      <c r="U457" s="679" t="n">
        <v>158690.8</v>
      </c>
      <c r="V457" s="669" t="n">
        <v>0.15</v>
      </c>
      <c r="W457" s="666" t="n"/>
      <c r="X457" s="670" t="n">
        <v>0.05</v>
      </c>
      <c r="Y457" s="918" t="n">
        <v>2910</v>
      </c>
      <c r="Z457" s="670" t="n">
        <v>0.03</v>
      </c>
      <c r="AA457" s="919" t="n">
        <v>198099.684</v>
      </c>
      <c r="AB457" s="744" t="n"/>
      <c r="AC457" s="744" t="n"/>
      <c r="AD457" s="744" t="n"/>
      <c r="AE457" s="744" t="n"/>
      <c r="AF457" s="744" t="n"/>
      <c r="AG457" s="744" t="n"/>
      <c r="AH457" s="744" t="n"/>
      <c r="AJ457" t="str">
        <f>IFERROR(INDEX(Lists!$U$1:$U$18,MATCH($I457,Lists!$T$1:$T$18,0)),"?")</f>
        <v>Finance</v>
      </c>
      <c r="AK457" t="str">
        <f>IF(LOWER($Q457)="v","Vacant",IF(LOWER($Q457)="pause","Paused",IF(LOWER($Q457)="cxc","Contractor",IF($Q457="Contractor","Contractor","Filled"))))</f>
        <v>Filled</v>
      </c>
      <c r="AL457" t="str">
        <f>IF($M457="NZ","NZ","AU")</f>
        <v>NZ</v>
      </c>
      <c r="AM457">
        <f>COUNTIF($AJ$2:$AJ457,$AJ457)</f>
        <v>6.0</v>
      </c>
      <c r="AN457" t="str">
        <f>$AJ457&amp;"|"&amp;$AM457</f>
        <v>Finance|6</v>
      </c>
    </row>
    <row r="458" ht="18" customHeight="1" s="849">
      <c r="A458" s="659" t="n"/>
      <c r="B458" s="799" t="inlineStr">
        <is>
          <t>Ring fenced</t>
        </is>
      </c>
      <c r="C458" s="705" t="inlineStr">
        <is>
          <t>JDE Senior Systems Specialist</t>
        </is>
      </c>
      <c r="D458" s="662" t="inlineStr">
        <is>
          <t>Lydia Pritchard</t>
        </is>
      </c>
      <c r="E458" s="705" t="inlineStr">
        <is>
          <t>Lead JDE System Specialist</t>
        </is>
      </c>
      <c r="F458" s="661" t="inlineStr">
        <is>
          <t>TDD Group Functions</t>
        </is>
      </c>
      <c r="G458" s="705" t="inlineStr">
        <is>
          <t>P&amp;C, Finance &amp; Legal</t>
        </is>
      </c>
      <c r="H458" s="662" t="inlineStr">
        <is>
          <t>Tech, Finance Platforms</t>
        </is>
      </c>
      <c r="I458" s="662" t="inlineStr">
        <is>
          <t>Finance</t>
        </is>
      </c>
      <c r="J458" s="662" t="inlineStr">
        <is>
          <t>NZ Finance</t>
        </is>
      </c>
      <c r="K458" s="662" t="inlineStr">
        <is>
          <t>NZ Finance</t>
        </is>
      </c>
      <c r="L458" s="662" t="n"/>
      <c r="M458" s="688" t="inlineStr">
        <is>
          <t>NZ</t>
        </is>
      </c>
      <c r="N458" s="664" t="inlineStr">
        <is>
          <t>CIC</t>
        </is>
      </c>
      <c r="O458" s="664" t="n">
        <v>1</v>
      </c>
      <c r="P458" s="664" t="n"/>
      <c r="Q458" s="664" t="inlineStr">
        <is>
          <t>v</t>
        </is>
      </c>
      <c r="R458" s="677" t="n"/>
      <c r="S458" s="666" t="n"/>
      <c r="T458" s="666" t="n">
        <v>160000</v>
      </c>
      <c r="U458" s="679" t="n">
        <v>147200</v>
      </c>
      <c r="V458" s="670" t="n">
        <v>0.15</v>
      </c>
      <c r="W458" s="666" t="n"/>
      <c r="X458" s="670" t="n">
        <v>0.05</v>
      </c>
      <c r="Y458" s="918" t="n">
        <v>2910</v>
      </c>
      <c r="Z458" s="670" t="n">
        <v>0.03</v>
      </c>
      <c r="AA458" s="919" t="n">
        <v>183966</v>
      </c>
      <c r="AB458" s="744" t="n"/>
      <c r="AC458" s="744" t="n"/>
      <c r="AD458" s="744" t="n"/>
      <c r="AE458" s="744" t="n"/>
      <c r="AF458" s="744" t="n"/>
      <c r="AG458" s="744" t="n"/>
      <c r="AH458" s="744" t="n"/>
      <c r="AJ458" t="str">
        <f>IFERROR(INDEX(Lists!$U$1:$U$18,MATCH($I458,Lists!$T$1:$T$18,0)),"?")</f>
        <v>Finance</v>
      </c>
      <c r="AK458" t="str">
        <f>IF(LOWER($Q458)="v","Vacant",IF(LOWER($Q458)="pause","Paused",IF(LOWER($Q458)="cxc","Contractor",IF($Q458="Contractor","Contractor","Filled"))))</f>
        <v>Vacant</v>
      </c>
      <c r="AL458" t="str">
        <f>IF($M458="NZ","NZ","AU")</f>
        <v>NZ</v>
      </c>
      <c r="AM458">
        <f>COUNTIF($AJ$2:$AJ458,$AJ458)</f>
        <v>7.0</v>
      </c>
      <c r="AN458" t="str">
        <f>$AJ458&amp;"|"&amp;$AM458</f>
        <v>Finance|7</v>
      </c>
    </row>
    <row r="459" ht="18" customHeight="1" s="849">
      <c r="A459" s="659" t="n"/>
      <c r="B459" s="799" t="inlineStr">
        <is>
          <t>Ring fenced</t>
        </is>
      </c>
      <c r="C459" s="705" t="inlineStr">
        <is>
          <t>JDE Senior Systems Specialist</t>
        </is>
      </c>
      <c r="D459" s="662" t="inlineStr">
        <is>
          <t>Lydia Pritchard</t>
        </is>
      </c>
      <c r="E459" s="705" t="inlineStr">
        <is>
          <t>Lead JDE System Specialist</t>
        </is>
      </c>
      <c r="F459" s="661" t="inlineStr">
        <is>
          <t>TDD Group Functions</t>
        </is>
      </c>
      <c r="G459" s="705" t="inlineStr">
        <is>
          <t>P&amp;C, Finance &amp; Legal</t>
        </is>
      </c>
      <c r="H459" s="662" t="inlineStr">
        <is>
          <t>Tech, Finance Platforms</t>
        </is>
      </c>
      <c r="I459" s="662" t="inlineStr">
        <is>
          <t>Finance</t>
        </is>
      </c>
      <c r="J459" s="662" t="inlineStr">
        <is>
          <t>NZ Finance</t>
        </is>
      </c>
      <c r="K459" s="662" t="inlineStr">
        <is>
          <t>NZ Finance</t>
        </is>
      </c>
      <c r="L459" s="662" t="n"/>
      <c r="M459" s="688" t="inlineStr">
        <is>
          <t>NZ</t>
        </is>
      </c>
      <c r="N459" s="664" t="inlineStr">
        <is>
          <t>CIC</t>
        </is>
      </c>
      <c r="O459" s="664" t="n">
        <v>1</v>
      </c>
      <c r="P459" s="664" t="n"/>
      <c r="Q459" s="664" t="inlineStr">
        <is>
          <t>v</t>
        </is>
      </c>
      <c r="R459" s="677" t="n"/>
      <c r="S459" s="666" t="n"/>
      <c r="T459" s="666" t="n">
        <v>160000</v>
      </c>
      <c r="U459" s="679" t="n">
        <v>147200</v>
      </c>
      <c r="V459" s="669" t="n">
        <v>0.15</v>
      </c>
      <c r="W459" s="666" t="n"/>
      <c r="X459" s="670" t="n">
        <v>0.05</v>
      </c>
      <c r="Y459" s="918" t="n">
        <v>2910</v>
      </c>
      <c r="Z459" s="670" t="n">
        <v>0.03</v>
      </c>
      <c r="AA459" s="919" t="n">
        <v>183966</v>
      </c>
      <c r="AB459" s="744" t="n"/>
      <c r="AC459" s="744" t="n"/>
      <c r="AD459" s="744" t="n"/>
      <c r="AE459" s="744" t="n"/>
      <c r="AF459" s="744" t="n"/>
      <c r="AG459" s="744" t="n"/>
      <c r="AH459" s="744" t="n"/>
      <c r="AJ459" t="str">
        <f>IFERROR(INDEX(Lists!$U$1:$U$18,MATCH($I459,Lists!$T$1:$T$18,0)),"?")</f>
        <v>Finance</v>
      </c>
      <c r="AK459" t="str">
        <f>IF(LOWER($Q459)="v","Vacant",IF(LOWER($Q459)="pause","Paused",IF(LOWER($Q459)="cxc","Contractor",IF($Q459="Contractor","Contractor","Filled"))))</f>
        <v>Vacant</v>
      </c>
      <c r="AL459" t="str">
        <f>IF($M459="NZ","NZ","AU")</f>
        <v>NZ</v>
      </c>
      <c r="AM459">
        <f>COUNTIF($AJ$2:$AJ459,$AJ459)</f>
        <v>8.0</v>
      </c>
      <c r="AN459" t="str">
        <f>$AJ459&amp;"|"&amp;$AM459</f>
        <v>Finance|8</v>
      </c>
    </row>
    <row r="460" ht="18" customHeight="1" s="849">
      <c r="A460" s="659" t="n">
        <v>83003</v>
      </c>
      <c r="B460" s="660" t="inlineStr">
        <is>
          <t>Grace Hadiwijaya</t>
        </is>
      </c>
      <c r="C460" s="660" t="inlineStr">
        <is>
          <t>Lead P&amp;C Platforms</t>
        </is>
      </c>
      <c r="D460" s="662" t="inlineStr">
        <is>
          <t>Vacant</t>
        </is>
      </c>
      <c r="E460" s="660" t="inlineStr">
        <is>
          <t>Technology Manager P&amp;C Platforms</t>
        </is>
      </c>
      <c r="F460" s="661" t="inlineStr">
        <is>
          <t>TDD Group Functions</t>
        </is>
      </c>
      <c r="G460" s="705" t="inlineStr">
        <is>
          <t>P&amp;C, Finance &amp; Legal</t>
        </is>
      </c>
      <c r="H460" s="662" t="inlineStr">
        <is>
          <t>Tech, P&amp;C Platforms</t>
        </is>
      </c>
      <c r="I460" s="662" t="inlineStr">
        <is>
          <t>P&amp;C</t>
        </is>
      </c>
      <c r="J460" s="662" t="inlineStr">
        <is>
          <t>P&amp;C</t>
        </is>
      </c>
      <c r="K460" s="662" t="inlineStr">
        <is>
          <t>P&amp;C</t>
        </is>
      </c>
      <c r="L460" s="662" t="n"/>
      <c r="M460" s="688" t="inlineStr">
        <is>
          <t>Australia</t>
        </is>
      </c>
      <c r="N460" s="666" t="inlineStr">
        <is>
          <t>CIC</t>
        </is>
      </c>
      <c r="O460" s="666" t="n">
        <v>1</v>
      </c>
      <c r="P460" s="666" t="n"/>
      <c r="Q460" s="666" t="inlineStr">
        <is>
          <t>Permanent - Full Time</t>
        </is>
      </c>
      <c r="R460" s="666" t="n"/>
      <c r="S460" s="666" t="n"/>
      <c r="T460" s="666" t="n">
        <v>178250</v>
      </c>
      <c r="U460" s="679" t="n">
        <v>178250</v>
      </c>
      <c r="V460" s="670" t="n">
        <v>0.12</v>
      </c>
      <c r="W460" s="921" t="n">
        <v>0.055</v>
      </c>
      <c r="X460" s="921" t="n">
        <v>0.12</v>
      </c>
      <c r="Y460" s="922" t="n"/>
      <c r="Z460" s="921" t="n">
        <v>0.04</v>
      </c>
      <c r="AA460" s="919" t="n">
        <v>237963.75</v>
      </c>
      <c r="AB460" s="744" t="n"/>
      <c r="AC460" s="744" t="n"/>
      <c r="AD460" s="744" t="n"/>
      <c r="AE460" s="744" t="n"/>
      <c r="AF460" s="744" t="n"/>
      <c r="AG460" s="744" t="n"/>
      <c r="AH460" s="744" t="n"/>
      <c r="AJ460" t="str">
        <f>IFERROR(INDEX(Lists!$U$1:$U$18,MATCH($I460,Lists!$T$1:$T$18,0)),"?")</f>
        <v>P&amp;C</v>
      </c>
      <c r="AK460" t="str">
        <f>IF(LOWER($Q460)="v","Vacant",IF(LOWER($Q460)="pause","Paused",IF(LOWER($Q460)="cxc","Contractor",IF($Q460="Contractor","Contractor","Filled"))))</f>
        <v>Filled</v>
      </c>
      <c r="AL460" t="str">
        <f>IF($M460="NZ","NZ","AU")</f>
        <v>AU</v>
      </c>
      <c r="AM460">
        <f>COUNTIF($AJ$2:$AJ460,$AJ460)</f>
        <v>2.0</v>
      </c>
      <c r="AN460" t="str">
        <f>$AJ460&amp;"|"&amp;$AM460</f>
        <v>P&amp;C|2</v>
      </c>
    </row>
    <row r="461" ht="18" customHeight="1" s="849">
      <c r="A461" s="659" t="n">
        <v>108123</v>
      </c>
      <c r="B461" s="660" t="inlineStr">
        <is>
          <t>Maadhu Suresh</t>
        </is>
      </c>
      <c r="C461" s="660" t="inlineStr">
        <is>
          <t>Solution Architect</t>
        </is>
      </c>
      <c r="D461" s="662" t="inlineStr">
        <is>
          <t>Vacant</t>
        </is>
      </c>
      <c r="E461" s="660" t="inlineStr">
        <is>
          <t>Technology Manager P&amp;C Platforms</t>
        </is>
      </c>
      <c r="F461" s="661" t="inlineStr">
        <is>
          <t>TDD Group Functions</t>
        </is>
      </c>
      <c r="G461" s="705" t="inlineStr">
        <is>
          <t>P&amp;C, Finance &amp; Legal</t>
        </is>
      </c>
      <c r="H461" s="662" t="inlineStr">
        <is>
          <t>Tech, P&amp;C Platforms</t>
        </is>
      </c>
      <c r="I461" s="662" t="inlineStr">
        <is>
          <t>P&amp;C</t>
        </is>
      </c>
      <c r="J461" s="662" t="inlineStr">
        <is>
          <t>P&amp;C</t>
        </is>
      </c>
      <c r="K461" s="662" t="inlineStr">
        <is>
          <t>P&amp;C</t>
        </is>
      </c>
      <c r="L461" s="662" t="n"/>
      <c r="M461" s="688" t="inlineStr">
        <is>
          <t>Australia</t>
        </is>
      </c>
      <c r="N461" s="664" t="inlineStr">
        <is>
          <t>CIC</t>
        </is>
      </c>
      <c r="O461" s="664" t="n">
        <v>1</v>
      </c>
      <c r="P461" s="664" t="n"/>
      <c r="Q461" s="664" t="inlineStr">
        <is>
          <t>Permanent - Full Time</t>
        </is>
      </c>
      <c r="R461" s="666" t="n"/>
      <c r="S461" s="666" t="n"/>
      <c r="T461" s="666" t="n">
        <v>204000</v>
      </c>
      <c r="U461" s="679" t="n">
        <v>204000</v>
      </c>
      <c r="V461" s="670" t="n">
        <v>0.12</v>
      </c>
      <c r="W461" s="921" t="n">
        <v>0.055</v>
      </c>
      <c r="X461" s="921" t="n">
        <v>0.12</v>
      </c>
      <c r="Y461" s="922" t="n"/>
      <c r="Z461" s="921" t="n">
        <v>0.04</v>
      </c>
      <c r="AA461" s="919" t="n">
        <v>272340</v>
      </c>
      <c r="AB461" s="744" t="n"/>
      <c r="AC461" s="744" t="n"/>
      <c r="AD461" s="744" t="n"/>
      <c r="AE461" s="744" t="n"/>
      <c r="AF461" s="744" t="n"/>
      <c r="AG461" s="744" t="n"/>
      <c r="AH461" s="744" t="n"/>
      <c r="AJ461" t="str">
        <f>IFERROR(INDEX(Lists!$U$1:$U$18,MATCH($I461,Lists!$T$1:$T$18,0)),"?")</f>
        <v>P&amp;C</v>
      </c>
      <c r="AK461" t="str">
        <f>IF(LOWER($Q461)="v","Vacant",IF(LOWER($Q461)="pause","Paused",IF(LOWER($Q461)="cxc","Contractor",IF($Q461="Contractor","Contractor","Filled"))))</f>
        <v>Filled</v>
      </c>
      <c r="AL461" t="str">
        <f>IF($M461="NZ","NZ","AU")</f>
        <v>AU</v>
      </c>
      <c r="AM461">
        <f>COUNTIF($AJ$2:$AJ461,$AJ461)</f>
        <v>3.0</v>
      </c>
      <c r="AN461" t="str">
        <f>$AJ461&amp;"|"&amp;$AM461</f>
        <v>P&amp;C|3</v>
      </c>
    </row>
    <row r="462" ht="18" customHeight="1" s="849">
      <c r="A462" s="659" t="n">
        <v>99999101403</v>
      </c>
      <c r="B462" s="660" t="inlineStr">
        <is>
          <t>Michael Pollock</t>
        </is>
      </c>
      <c r="C462" s="660" t="inlineStr">
        <is>
          <t>Lead Business Analyst</t>
        </is>
      </c>
      <c r="D462" s="662" t="inlineStr">
        <is>
          <t>Vacant</t>
        </is>
      </c>
      <c r="E462" s="705" t="inlineStr">
        <is>
          <t>Delivery Manager, P&amp;C, Finance &amp; Legal</t>
        </is>
      </c>
      <c r="F462" s="661" t="inlineStr">
        <is>
          <t>TDD Group Functions</t>
        </is>
      </c>
      <c r="G462" s="705" t="inlineStr">
        <is>
          <t>P&amp;C, Finance &amp; Legal</t>
        </is>
      </c>
      <c r="H462" s="662" t="inlineStr">
        <is>
          <t>Delivery, P&amp;C, Finance &amp; Legal</t>
        </is>
      </c>
      <c r="I462" s="662" t="inlineStr">
        <is>
          <t>P&amp;C</t>
        </is>
      </c>
      <c r="J462" s="662" t="inlineStr">
        <is>
          <t>P&amp;C</t>
        </is>
      </c>
      <c r="K462" s="662" t="inlineStr">
        <is>
          <t>P&amp;C</t>
        </is>
      </c>
      <c r="L462" s="662" t="n"/>
      <c r="M462" s="688" t="inlineStr">
        <is>
          <t>NZ</t>
        </is>
      </c>
      <c r="N462" s="664" t="inlineStr">
        <is>
          <t>CIC</t>
        </is>
      </c>
      <c r="O462" s="665" t="n">
        <v>1</v>
      </c>
      <c r="P462" s="664" t="n"/>
      <c r="Q462" s="665" t="inlineStr">
        <is>
          <t>Permanent - Full Time</t>
        </is>
      </c>
      <c r="R462" s="666" t="n"/>
      <c r="S462" s="666" t="n"/>
      <c r="T462" s="666" t="n">
        <v>168300</v>
      </c>
      <c r="U462" s="679" t="n">
        <v>154836</v>
      </c>
      <c r="V462" s="669" t="n">
        <v>0.15</v>
      </c>
      <c r="W462" s="666" t="n"/>
      <c r="X462" s="670" t="n">
        <v>0.05</v>
      </c>
      <c r="Y462" s="918" t="n">
        <v>2910</v>
      </c>
      <c r="Z462" s="670" t="n">
        <v>0.03</v>
      </c>
      <c r="AA462" s="919" t="n">
        <v>193358.28</v>
      </c>
      <c r="AB462" s="744" t="n"/>
      <c r="AC462" s="744" t="n"/>
      <c r="AD462" s="744" t="n"/>
      <c r="AE462" s="744" t="n"/>
      <c r="AF462" s="744" t="n"/>
      <c r="AG462" s="744" t="n"/>
      <c r="AH462" s="744" t="n"/>
      <c r="AJ462" t="str">
        <f>IFERROR(INDEX(Lists!$U$1:$U$18,MATCH($I462,Lists!$T$1:$T$18,0)),"?")</f>
        <v>P&amp;C</v>
      </c>
      <c r="AK462" t="str">
        <f>IF(LOWER($Q462)="v","Vacant",IF(LOWER($Q462)="pause","Paused",IF(LOWER($Q462)="cxc","Contractor",IF($Q462="Contractor","Contractor","Filled"))))</f>
        <v>Filled</v>
      </c>
      <c r="AL462" t="str">
        <f>IF($M462="NZ","NZ","AU")</f>
        <v>NZ</v>
      </c>
      <c r="AM462">
        <f>COUNTIF($AJ$2:$AJ462,$AJ462)</f>
        <v>4.0</v>
      </c>
      <c r="AN462" t="str">
        <f>$AJ462&amp;"|"&amp;$AM462</f>
        <v>P&amp;C|4</v>
      </c>
    </row>
    <row r="463" ht="18" customHeight="1" s="849">
      <c r="A463" s="659" t="n">
        <v>93476</v>
      </c>
      <c r="B463" s="660" t="inlineStr">
        <is>
          <t>Prerna Sharma</t>
        </is>
      </c>
      <c r="C463" s="660" t="inlineStr">
        <is>
          <t>SAP HR Specialist</t>
        </is>
      </c>
      <c r="D463" s="662" t="inlineStr">
        <is>
          <t>Vacant</t>
        </is>
      </c>
      <c r="E463" s="660" t="inlineStr">
        <is>
          <t>Technology Manager P&amp;C Platforms</t>
        </is>
      </c>
      <c r="F463" s="661" t="inlineStr">
        <is>
          <t>TDD Group Functions</t>
        </is>
      </c>
      <c r="G463" s="705" t="inlineStr">
        <is>
          <t>P&amp;C, Finance &amp; Legal</t>
        </is>
      </c>
      <c r="H463" s="662" t="inlineStr">
        <is>
          <t>Tech, P&amp;C Platforms</t>
        </is>
      </c>
      <c r="I463" s="662" t="inlineStr">
        <is>
          <t>P&amp;C</t>
        </is>
      </c>
      <c r="J463" s="662" t="inlineStr">
        <is>
          <t>P&amp;C</t>
        </is>
      </c>
      <c r="K463" s="662" t="inlineStr">
        <is>
          <t>P&amp;C</t>
        </is>
      </c>
      <c r="L463" s="662" t="n"/>
      <c r="M463" s="688" t="inlineStr">
        <is>
          <t>Australia</t>
        </is>
      </c>
      <c r="N463" s="664" t="inlineStr">
        <is>
          <t>CIC</t>
        </is>
      </c>
      <c r="O463" s="664" t="n">
        <v>1</v>
      </c>
      <c r="P463" s="664" t="n"/>
      <c r="Q463" s="664" t="inlineStr">
        <is>
          <t>Permanent - Full Time</t>
        </is>
      </c>
      <c r="R463" s="666" t="n"/>
      <c r="S463" s="666" t="n"/>
      <c r="T463" s="666" t="n">
        <v>175410</v>
      </c>
      <c r="U463" s="679" t="n">
        <v>175410</v>
      </c>
      <c r="V463" s="670" t="n">
        <v>0.12</v>
      </c>
      <c r="W463" s="921" t="n">
        <v>0.055</v>
      </c>
      <c r="X463" s="921" t="n">
        <v>0.12</v>
      </c>
      <c r="Y463" s="922" t="n"/>
      <c r="Z463" s="921" t="n">
        <v>0.04</v>
      </c>
      <c r="AA463" s="919" t="n">
        <v>234172.35</v>
      </c>
      <c r="AB463" s="744" t="n"/>
      <c r="AC463" s="744" t="n"/>
      <c r="AD463" s="744" t="n"/>
      <c r="AE463" s="744" t="n"/>
      <c r="AF463" s="744" t="n"/>
      <c r="AG463" s="744" t="n"/>
      <c r="AH463" s="744" t="n"/>
      <c r="AJ463" t="str">
        <f>IFERROR(INDEX(Lists!$U$1:$U$18,MATCH($I463,Lists!$T$1:$T$18,0)),"?")</f>
        <v>P&amp;C</v>
      </c>
      <c r="AK463" t="str">
        <f>IF(LOWER($Q463)="v","Vacant",IF(LOWER($Q463)="pause","Paused",IF(LOWER($Q463)="cxc","Contractor",IF($Q463="Contractor","Contractor","Filled"))))</f>
        <v>Filled</v>
      </c>
      <c r="AL463" t="str">
        <f>IF($M463="NZ","NZ","AU")</f>
        <v>AU</v>
      </c>
      <c r="AM463">
        <f>COUNTIF($AJ$2:$AJ463,$AJ463)</f>
        <v>5.0</v>
      </c>
      <c r="AN463" t="str">
        <f>$AJ463&amp;"|"&amp;$AM463</f>
        <v>P&amp;C|5</v>
      </c>
    </row>
    <row r="464" ht="18" customHeight="1" s="849">
      <c r="A464" s="659" t="n">
        <v>99876</v>
      </c>
      <c r="B464" s="705" t="inlineStr">
        <is>
          <t>Thai Pung</t>
        </is>
      </c>
      <c r="C464" s="705" t="inlineStr">
        <is>
          <t>Delivery Lead - (P&amp;C)</t>
        </is>
      </c>
      <c r="D464" s="705" t="inlineStr">
        <is>
          <t>Vacant</t>
        </is>
      </c>
      <c r="E464" s="705" t="inlineStr">
        <is>
          <t>Delivery Manager, P&amp;C, Finance &amp; Legal</t>
        </is>
      </c>
      <c r="F464" s="661" t="inlineStr">
        <is>
          <t>TDD Group Functions</t>
        </is>
      </c>
      <c r="G464" s="705" t="inlineStr">
        <is>
          <t>P&amp;C, Finance &amp; Legal</t>
        </is>
      </c>
      <c r="H464" s="662" t="inlineStr">
        <is>
          <t>Delivery, P&amp;C, Finance &amp; Legal</t>
        </is>
      </c>
      <c r="I464" s="662" t="inlineStr">
        <is>
          <t>P&amp;C</t>
        </is>
      </c>
      <c r="J464" s="662" t="inlineStr">
        <is>
          <t>P&amp;C</t>
        </is>
      </c>
      <c r="K464" s="662" t="inlineStr">
        <is>
          <t>P&amp;C</t>
        </is>
      </c>
      <c r="L464" s="662" t="n"/>
      <c r="M464" s="688" t="inlineStr">
        <is>
          <t>Australia</t>
        </is>
      </c>
      <c r="N464" s="664" t="inlineStr">
        <is>
          <t>CIC</t>
        </is>
      </c>
      <c r="O464" s="664" t="n">
        <v>1</v>
      </c>
      <c r="P464" s="664" t="n"/>
      <c r="Q464" s="664" t="inlineStr">
        <is>
          <t>Permanent - Full Time</t>
        </is>
      </c>
      <c r="R464" s="666" t="n"/>
      <c r="S464" s="666" t="n"/>
      <c r="T464" s="666" t="n">
        <v>188380</v>
      </c>
      <c r="U464" s="679" t="n">
        <v>188380</v>
      </c>
      <c r="V464" s="670" t="n">
        <v>0.12</v>
      </c>
      <c r="W464" s="921" t="n">
        <v>0.055</v>
      </c>
      <c r="X464" s="921" t="n">
        <v>0.12</v>
      </c>
      <c r="Y464" s="922" t="n"/>
      <c r="Z464" s="921" t="n">
        <v>0.04</v>
      </c>
      <c r="AA464" s="919" t="n">
        <v>251487.3</v>
      </c>
      <c r="AB464" s="744" t="n"/>
      <c r="AC464" s="744" t="n"/>
      <c r="AD464" s="744" t="n"/>
      <c r="AE464" s="744" t="n"/>
      <c r="AF464" s="744" t="n"/>
      <c r="AG464" s="744" t="n"/>
      <c r="AH464" s="744" t="n"/>
      <c r="AJ464" t="str">
        <f>IFERROR(INDEX(Lists!$U$1:$U$18,MATCH($I464,Lists!$T$1:$T$18,0)),"?")</f>
        <v>P&amp;C</v>
      </c>
      <c r="AK464" t="str">
        <f>IF(LOWER($Q464)="v","Vacant",IF(LOWER($Q464)="pause","Paused",IF(LOWER($Q464)="cxc","Contractor",IF($Q464="Contractor","Contractor","Filled"))))</f>
        <v>Filled</v>
      </c>
      <c r="AL464" t="str">
        <f>IF($M464="NZ","NZ","AU")</f>
        <v>AU</v>
      </c>
      <c r="AM464">
        <f>COUNTIF($AJ$2:$AJ464,$AJ464)</f>
        <v>6.0</v>
      </c>
      <c r="AN464" t="str">
        <f>$AJ464&amp;"|"&amp;$AM464</f>
        <v>P&amp;C|6</v>
      </c>
    </row>
    <row r="465" ht="18" customHeight="1" s="849">
      <c r="A465" s="659" t="inlineStr">
        <is>
          <t>C</t>
        </is>
      </c>
      <c r="B465" s="660" t="inlineStr">
        <is>
          <t>Kurniaty Widjaya</t>
        </is>
      </c>
      <c r="C465" s="660" t="inlineStr">
        <is>
          <t>ERP HR Pay Functional Lead</t>
        </is>
      </c>
      <c r="D465" s="662" t="inlineStr">
        <is>
          <t>Vacant</t>
        </is>
      </c>
      <c r="E465" s="660" t="inlineStr">
        <is>
          <t>Technology Manager P&amp;C Platforms</t>
        </is>
      </c>
      <c r="F465" s="661" t="inlineStr">
        <is>
          <t>TDD Group Functions</t>
        </is>
      </c>
      <c r="G465" s="705" t="inlineStr">
        <is>
          <t>P&amp;C, Finance &amp; Legal</t>
        </is>
      </c>
      <c r="H465" s="662" t="inlineStr">
        <is>
          <t>Tech, P&amp;C Platforms</t>
        </is>
      </c>
      <c r="I465" s="662" t="inlineStr">
        <is>
          <t>P&amp;C</t>
        </is>
      </c>
      <c r="J465" s="662" t="inlineStr">
        <is>
          <t>P&amp;C</t>
        </is>
      </c>
      <c r="K465" s="662" t="inlineStr">
        <is>
          <t>P&amp;C RTA</t>
        </is>
      </c>
      <c r="L465" s="662" t="n"/>
      <c r="M465" s="688" t="inlineStr">
        <is>
          <t>Australia</t>
        </is>
      </c>
      <c r="N465" s="666" t="inlineStr">
        <is>
          <t>NA</t>
        </is>
      </c>
      <c r="O465" s="664" t="n">
        <v>1</v>
      </c>
      <c r="P465" s="666" t="n"/>
      <c r="Q465" s="666" t="inlineStr">
        <is>
          <t>cxc</t>
        </is>
      </c>
      <c r="R465" s="677" t="inlineStr">
        <is>
          <t>Daily</t>
        </is>
      </c>
      <c r="S465" s="666" t="n">
        <v>1250</v>
      </c>
      <c r="T465" s="666" t="n">
        <v>0</v>
      </c>
      <c r="U465" s="666" t="n"/>
      <c r="V465" s="662" t="n"/>
      <c r="W465" s="662" t="n"/>
      <c r="X465" s="662" t="n"/>
      <c r="Y465" s="662" t="n"/>
      <c r="Z465" s="662" t="n"/>
      <c r="AA465" s="678" t="n">
        <v>277500</v>
      </c>
      <c r="AB465" s="744" t="n"/>
      <c r="AC465" s="744" t="n"/>
      <c r="AD465" s="744" t="n"/>
      <c r="AE465" s="744" t="n"/>
      <c r="AF465" s="744" t="n"/>
      <c r="AG465" s="744" t="n"/>
      <c r="AH465" s="744" t="n"/>
      <c r="AJ465" t="str">
        <f>IFERROR(INDEX(Lists!$U$1:$U$18,MATCH($I465,Lists!$T$1:$T$18,0)),"?")</f>
        <v>P&amp;C</v>
      </c>
      <c r="AK465" t="str">
        <f>IF(LOWER($Q465)="v","Vacant",IF(LOWER($Q465)="pause","Paused",IF(LOWER($Q465)="cxc","Contractor",IF($Q465="Contractor","Contractor","Filled"))))</f>
        <v>Contractor</v>
      </c>
      <c r="AL465" t="str">
        <f>IF($M465="NZ","NZ","AU")</f>
        <v>AU</v>
      </c>
      <c r="AM465">
        <f>COUNTIF($AJ$2:$AJ465,$AJ465)</f>
        <v>7.0</v>
      </c>
      <c r="AN465" t="str">
        <f>$AJ465&amp;"|"&amp;$AM465</f>
        <v>P&amp;C|7</v>
      </c>
    </row>
    <row r="466" ht="18" customHeight="1" s="849">
      <c r="A466" s="659" t="n">
        <v>4818</v>
      </c>
      <c r="B466" s="660" t="inlineStr">
        <is>
          <t>Vaso Vukovic</t>
        </is>
      </c>
      <c r="C466" s="660" t="inlineStr">
        <is>
          <t>Head of Technology - P&amp;C, Finance &amp; Legal</t>
        </is>
      </c>
      <c r="D466" s="705" t="inlineStr">
        <is>
          <t>Emily Mogic</t>
        </is>
      </c>
      <c r="E466" s="660" t="inlineStr">
        <is>
          <t>GM TDD, Group Function</t>
        </is>
      </c>
      <c r="F466" s="661" t="inlineStr">
        <is>
          <t>TDD Group Functions</t>
        </is>
      </c>
      <c r="G466" s="705" t="inlineStr">
        <is>
          <t>P&amp;C, Finance &amp; Legal</t>
        </is>
      </c>
      <c r="H466" s="662" t="inlineStr">
        <is>
          <t>na</t>
        </is>
      </c>
      <c r="I466" s="662" t="inlineStr">
        <is>
          <t>P&amp;C, Finance &amp; Legal</t>
        </is>
      </c>
      <c r="J466" s="662" t="inlineStr">
        <is>
          <t>P&amp;C, Finance &amp; Legal</t>
        </is>
      </c>
      <c r="K466" s="662" t="inlineStr">
        <is>
          <t>Leadership</t>
        </is>
      </c>
      <c r="L466" s="662" t="n"/>
      <c r="M466" s="688" t="inlineStr">
        <is>
          <t>Australia</t>
        </is>
      </c>
      <c r="N466" s="664" t="inlineStr">
        <is>
          <t>CSC</t>
        </is>
      </c>
      <c r="O466" s="666" t="n">
        <v>1</v>
      </c>
      <c r="P466" s="666" t="n"/>
      <c r="Q466" s="666" t="inlineStr">
        <is>
          <t>Permanent - Full Time</t>
        </is>
      </c>
      <c r="R466" s="666" t="n"/>
      <c r="S466" s="666" t="n"/>
      <c r="T466" s="666" t="n">
        <v>257420</v>
      </c>
      <c r="U466" s="679" t="n">
        <v>257420</v>
      </c>
      <c r="V466" s="670" t="n">
        <v>0.2</v>
      </c>
      <c r="W466" s="921" t="n">
        <v>0.055</v>
      </c>
      <c r="X466" s="921" t="n">
        <v>0.12</v>
      </c>
      <c r="Y466" s="922" t="n"/>
      <c r="Z466" s="921" t="n">
        <v>0.04</v>
      </c>
      <c r="AA466" s="919" t="n">
        <v>364249.3</v>
      </c>
      <c r="AB466" s="744" t="n"/>
      <c r="AC466" s="744" t="n"/>
      <c r="AD466" s="744" t="n"/>
      <c r="AE466" s="744" t="n"/>
      <c r="AF466" s="744" t="n"/>
      <c r="AG466" s="744" t="n"/>
      <c r="AH466" s="744" t="n"/>
      <c r="AJ466" t="str">
        <f>IFERROR(INDEX(Lists!$U$1:$U$18,MATCH($I466,Lists!$T$1:$T$18,0)),"?")</f>
        <v>P&amp;C</v>
      </c>
      <c r="AK466" t="str">
        <f>IF(LOWER($Q466)="v","Vacant",IF(LOWER($Q466)="pause","Paused",IF(LOWER($Q466)="cxc","Contractor",IF($Q466="Contractor","Contractor","Filled"))))</f>
        <v>Filled</v>
      </c>
      <c r="AL466" t="str">
        <f>IF($M466="NZ","NZ","AU")</f>
        <v>AU</v>
      </c>
      <c r="AM466">
        <f>COUNTIF($AJ$2:$AJ466,$AJ466)</f>
        <v>8.0</v>
      </c>
      <c r="AN466" t="str">
        <f>$AJ466&amp;"|"&amp;$AM466</f>
        <v>P&amp;C|8</v>
      </c>
    </row>
    <row r="467" ht="18" customHeight="1" s="849">
      <c r="A467" s="659" t="n">
        <v>105823</v>
      </c>
      <c r="B467" s="705" t="inlineStr">
        <is>
          <t>Hardik Trivedi</t>
        </is>
      </c>
      <c r="C467" s="705" t="inlineStr">
        <is>
          <t>Snr Business Analyst</t>
        </is>
      </c>
      <c r="D467" s="662" t="inlineStr">
        <is>
          <t>Vacant</t>
        </is>
      </c>
      <c r="E467" s="705" t="inlineStr">
        <is>
          <t xml:space="preserve">Delivery Manager </t>
        </is>
      </c>
      <c r="F467" s="661" t="inlineStr">
        <is>
          <t>TDD Group Functions</t>
        </is>
      </c>
      <c r="G467" s="662" t="inlineStr">
        <is>
          <t>TDD &amp; Engineering</t>
        </is>
      </c>
      <c r="H467" s="660" t="inlineStr">
        <is>
          <t>Delivery, TDD &amp; Engineering</t>
        </is>
      </c>
      <c r="I467" s="660" t="inlineStr">
        <is>
          <t>Retail</t>
        </is>
      </c>
      <c r="J467" s="662" t="inlineStr">
        <is>
          <t>AmPOS</t>
        </is>
      </c>
      <c r="K467" s="662" t="inlineStr">
        <is>
          <t>AmPOS</t>
        </is>
      </c>
      <c r="L467" s="662" t="n"/>
      <c r="M467" s="688" t="inlineStr">
        <is>
          <t>Australia</t>
        </is>
      </c>
      <c r="N467" s="664" t="inlineStr">
        <is>
          <t>CIB</t>
        </is>
      </c>
      <c r="O467" s="664" t="n">
        <v>1</v>
      </c>
      <c r="P467" s="664" t="n"/>
      <c r="Q467" s="664" t="inlineStr">
        <is>
          <t>Permanent - Full Time</t>
        </is>
      </c>
      <c r="R467" s="666" t="n"/>
      <c r="S467" s="666" t="n"/>
      <c r="T467" s="666" t="n">
        <v>157560</v>
      </c>
      <c r="U467" s="679" t="n">
        <v>157560</v>
      </c>
      <c r="V467" s="670" t="n">
        <v>0.12</v>
      </c>
      <c r="W467" s="921" t="n">
        <v>0.055</v>
      </c>
      <c r="X467" s="921" t="n">
        <v>0.12</v>
      </c>
      <c r="Y467" s="922" t="n"/>
      <c r="Z467" s="921" t="n">
        <v>0.04</v>
      </c>
      <c r="AA467" s="919" t="n">
        <v>210342.6</v>
      </c>
      <c r="AB467" s="744" t="n"/>
      <c r="AC467" s="744" t="n"/>
      <c r="AD467" s="744" t="n"/>
      <c r="AE467" s="744" t="n"/>
      <c r="AF467" s="744" t="n"/>
      <c r="AG467" s="744" t="n"/>
      <c r="AH467" s="744" t="n"/>
      <c r="AJ467" t="str">
        <f>IFERROR(INDEX(Lists!$U$1:$U$18,MATCH($I467,Lists!$T$1:$T$18,0)),"?")</f>
        <v>Ampol Retail</v>
      </c>
      <c r="AK467" t="str">
        <f>IF(LOWER($Q467)="v","Vacant",IF(LOWER($Q467)="pause","Paused",IF(LOWER($Q467)="cxc","Contractor",IF($Q467="Contractor","Contractor","Filled"))))</f>
        <v>Filled</v>
      </c>
      <c r="AL467" t="str">
        <f>IF($M467="NZ","NZ","AU")</f>
        <v>AU</v>
      </c>
      <c r="AM467">
        <f>COUNTIF($AJ$2:$AJ467,$AJ467)</f>
        <v>70.0</v>
      </c>
      <c r="AN467" t="str">
        <f>$AJ467&amp;"|"&amp;$AM467</f>
        <v>Ampol Retail|70</v>
      </c>
    </row>
    <row r="468" ht="18" customHeight="1" s="849">
      <c r="A468" s="659" t="n">
        <v>106829</v>
      </c>
      <c r="B468" s="660" t="inlineStr">
        <is>
          <t>C K Lau</t>
        </is>
      </c>
      <c r="C468" s="660" t="inlineStr">
        <is>
          <t>Delivery Lead (Cloud &amp; Network)</t>
        </is>
      </c>
      <c r="D468" s="660" t="inlineStr">
        <is>
          <t>Vacant</t>
        </is>
      </c>
      <c r="E468" s="660" t="inlineStr">
        <is>
          <t>Delivery Manager</t>
        </is>
      </c>
      <c r="F468" s="661" t="inlineStr">
        <is>
          <t>TDD Group Functions</t>
        </is>
      </c>
      <c r="G468" s="662" t="inlineStr">
        <is>
          <t xml:space="preserve">TDD &amp; Engineering </t>
        </is>
      </c>
      <c r="H468" s="660" t="inlineStr">
        <is>
          <t>Delivery, TDD &amp; Engineering</t>
        </is>
      </c>
      <c r="I468" s="660" t="inlineStr">
        <is>
          <t>TDD</t>
        </is>
      </c>
      <c r="J468" s="662" t="inlineStr">
        <is>
          <t>TDD</t>
        </is>
      </c>
      <c r="K468" s="662" t="inlineStr">
        <is>
          <t>Cloud, Network &amp; Infra Ops</t>
        </is>
      </c>
      <c r="L468" s="662" t="n"/>
      <c r="M468" s="688" t="inlineStr">
        <is>
          <t>Australia</t>
        </is>
      </c>
      <c r="N468" s="664" t="inlineStr">
        <is>
          <t>CIC</t>
        </is>
      </c>
      <c r="O468" s="664" t="n">
        <v>1</v>
      </c>
      <c r="P468" s="664" t="n"/>
      <c r="Q468" s="664" t="inlineStr">
        <is>
          <t>Permanent - Full Time</t>
        </is>
      </c>
      <c r="R468" s="666" t="n"/>
      <c r="S468" s="666" t="n"/>
      <c r="T468" s="666" t="n">
        <v>186640</v>
      </c>
      <c r="U468" s="679" t="n">
        <v>186640</v>
      </c>
      <c r="V468" s="670" t="n">
        <v>0.12</v>
      </c>
      <c r="W468" s="921" t="n">
        <v>0.055</v>
      </c>
      <c r="X468" s="921" t="n">
        <v>0.12</v>
      </c>
      <c r="Y468" s="922" t="n"/>
      <c r="Z468" s="921" t="n">
        <v>0.04</v>
      </c>
      <c r="AA468" s="919" t="n">
        <v>249164.4</v>
      </c>
      <c r="AB468" s="744" t="n"/>
      <c r="AC468" s="744" t="n"/>
      <c r="AD468" s="744" t="n"/>
      <c r="AE468" s="744" t="n"/>
      <c r="AF468" s="744" t="n"/>
      <c r="AG468" s="744" t="n"/>
      <c r="AH468" s="744" t="n"/>
      <c r="AJ468" t="str">
        <f>IFERROR(INDEX(Lists!$U$1:$U$18,MATCH($I468,Lists!$T$1:$T$18,0)),"?")</f>
        <v>TDD Group Functions</v>
      </c>
      <c r="AK468" t="str">
        <f>IF(LOWER($Q468)="v","Vacant",IF(LOWER($Q468)="pause","Paused",IF(LOWER($Q468)="cxc","Contractor",IF($Q468="Contractor","Contractor","Filled"))))</f>
        <v>Filled</v>
      </c>
      <c r="AL468" t="str">
        <f>IF($M468="NZ","NZ","AU")</f>
        <v>AU</v>
      </c>
      <c r="AM468">
        <f>COUNTIF($AJ$2:$AJ468,$AJ468)</f>
        <v>5.0</v>
      </c>
      <c r="AN468" t="str">
        <f>$AJ468&amp;"|"&amp;$AM468</f>
        <v>TDD Group Functions|5</v>
      </c>
    </row>
    <row r="469" ht="18" customHeight="1" s="849">
      <c r="A469" s="659" t="n">
        <v>99999101516</v>
      </c>
      <c r="B469" s="660" t="inlineStr">
        <is>
          <t>Fan Zhang</t>
        </is>
      </c>
      <c r="C469" s="660" t="inlineStr">
        <is>
          <t>Infrastructure Engineer</t>
        </is>
      </c>
      <c r="D469" s="662" t="inlineStr">
        <is>
          <t>John McCormack</t>
        </is>
      </c>
      <c r="E469" s="705" t="inlineStr">
        <is>
          <t>Manager - Infrastructure Operations</t>
        </is>
      </c>
      <c r="F469" s="661" t="inlineStr">
        <is>
          <t>TDD Group Functions</t>
        </is>
      </c>
      <c r="G469" s="662" t="inlineStr">
        <is>
          <t>TDD &amp; Engineering</t>
        </is>
      </c>
      <c r="H469" s="662" t="inlineStr">
        <is>
          <t>Cloud, Network &amp; Infra</t>
        </is>
      </c>
      <c r="I469" s="660" t="inlineStr">
        <is>
          <t>TDD</t>
        </is>
      </c>
      <c r="J469" s="662" t="inlineStr">
        <is>
          <t>TDD</t>
        </is>
      </c>
      <c r="K469" s="662" t="inlineStr">
        <is>
          <t>Cloud, Network &amp; Infra Ops</t>
        </is>
      </c>
      <c r="L469" s="662" t="n"/>
      <c r="M469" s="688" t="inlineStr">
        <is>
          <t>NZ</t>
        </is>
      </c>
      <c r="N469" s="664" t="inlineStr">
        <is>
          <t>CIA</t>
        </is>
      </c>
      <c r="O469" s="665" t="n">
        <v>1</v>
      </c>
      <c r="P469" s="664" t="n"/>
      <c r="Q469" s="665" t="inlineStr">
        <is>
          <t>Permanent - Full Time</t>
        </is>
      </c>
      <c r="R469" s="666" t="n"/>
      <c r="S469" s="666" t="n"/>
      <c r="T469" s="666" t="n">
        <v>115679</v>
      </c>
      <c r="U469" s="679" t="n">
        <v>106424.68</v>
      </c>
      <c r="V469" s="669" t="n">
        <v>0.15</v>
      </c>
      <c r="W469" s="665" t="n"/>
      <c r="X469" s="670" t="n">
        <v>0.05</v>
      </c>
      <c r="Y469" s="918" t="n">
        <v>2910</v>
      </c>
      <c r="Z469" s="670" t="n">
        <v>0.03</v>
      </c>
      <c r="AA469" s="919" t="n">
        <v>133812.3564</v>
      </c>
      <c r="AB469" s="744" t="n"/>
      <c r="AC469" s="744" t="n"/>
      <c r="AD469" s="744" t="n"/>
      <c r="AE469" s="744" t="n"/>
      <c r="AF469" s="744" t="n"/>
      <c r="AG469" s="744" t="n"/>
      <c r="AH469" s="744" t="n"/>
      <c r="AJ469" t="str">
        <f>IFERROR(INDEX(Lists!$U$1:$U$18,MATCH($I469,Lists!$T$1:$T$18,0)),"?")</f>
        <v>TDD Group Functions</v>
      </c>
      <c r="AK469" t="str">
        <f>IF(LOWER($Q469)="v","Vacant",IF(LOWER($Q469)="pause","Paused",IF(LOWER($Q469)="cxc","Contractor",IF($Q469="Contractor","Contractor","Filled"))))</f>
        <v>Filled</v>
      </c>
      <c r="AL469" t="str">
        <f>IF($M469="NZ","NZ","AU")</f>
        <v>NZ</v>
      </c>
      <c r="AM469">
        <f>COUNTIF($AJ$2:$AJ469,$AJ469)</f>
        <v>6.0</v>
      </c>
      <c r="AN469" t="str">
        <f>$AJ469&amp;"|"&amp;$AM469</f>
        <v>TDD Group Functions|6</v>
      </c>
    </row>
    <row r="470" ht="18" customHeight="1" s="849">
      <c r="A470" s="659" t="n">
        <v>110830</v>
      </c>
      <c r="B470" s="660" t="inlineStr">
        <is>
          <t>Jason Satoso</t>
        </is>
      </c>
      <c r="C470" s="660" t="inlineStr">
        <is>
          <t>Cloud Operations Engineer</t>
        </is>
      </c>
      <c r="D470" s="662" t="inlineStr">
        <is>
          <t>John McCormack</t>
        </is>
      </c>
      <c r="E470" s="705" t="inlineStr">
        <is>
          <t>Manager - Infrastructure Operations</t>
        </is>
      </c>
      <c r="F470" s="661" t="inlineStr">
        <is>
          <t>TDD Group Functions</t>
        </is>
      </c>
      <c r="G470" s="662" t="inlineStr">
        <is>
          <t>TDD &amp; Engineering</t>
        </is>
      </c>
      <c r="H470" s="662" t="inlineStr">
        <is>
          <t>Cloud, Network &amp; Infra</t>
        </is>
      </c>
      <c r="I470" s="660" t="inlineStr">
        <is>
          <t>TDD</t>
        </is>
      </c>
      <c r="J470" s="662" t="inlineStr">
        <is>
          <t>TDD</t>
        </is>
      </c>
      <c r="K470" s="662" t="inlineStr">
        <is>
          <t>Cloud, Network &amp; Infra Ops</t>
        </is>
      </c>
      <c r="L470" s="662" t="n"/>
      <c r="M470" s="688" t="inlineStr">
        <is>
          <t>Australia</t>
        </is>
      </c>
      <c r="N470" s="664" t="inlineStr">
        <is>
          <t>CIB</t>
        </is>
      </c>
      <c r="O470" s="664" t="n">
        <v>1</v>
      </c>
      <c r="P470" s="664" t="n"/>
      <c r="Q470" s="664" t="inlineStr">
        <is>
          <t>Permanent - Full Time</t>
        </is>
      </c>
      <c r="R470" s="666" t="n"/>
      <c r="S470" s="666" t="n"/>
      <c r="T470" s="666" t="n">
        <v>154450</v>
      </c>
      <c r="U470" s="679" t="n">
        <v>154450</v>
      </c>
      <c r="V470" s="670" t="n">
        <v>0.12</v>
      </c>
      <c r="W470" s="921" t="n">
        <v>0.055</v>
      </c>
      <c r="X470" s="921" t="n">
        <v>0.12</v>
      </c>
      <c r="Y470" s="922" t="n"/>
      <c r="Z470" s="921" t="n">
        <v>0.04</v>
      </c>
      <c r="AA470" s="919" t="n">
        <v>206190.75</v>
      </c>
      <c r="AB470" s="744" t="n"/>
      <c r="AC470" s="744" t="n"/>
      <c r="AD470" s="744" t="n"/>
      <c r="AE470" s="744" t="n"/>
      <c r="AF470" s="744" t="n"/>
      <c r="AG470" s="744" t="n"/>
      <c r="AH470" s="744" t="n"/>
      <c r="AJ470" t="str">
        <f>IFERROR(INDEX(Lists!$U$1:$U$18,MATCH($I470,Lists!$T$1:$T$18,0)),"?")</f>
        <v>TDD Group Functions</v>
      </c>
      <c r="AK470" t="str">
        <f>IF(LOWER($Q470)="v","Vacant",IF(LOWER($Q470)="pause","Paused",IF(LOWER($Q470)="cxc","Contractor",IF($Q470="Contractor","Contractor","Filled"))))</f>
        <v>Filled</v>
      </c>
      <c r="AL470" t="str">
        <f>IF($M470="NZ","NZ","AU")</f>
        <v>AU</v>
      </c>
      <c r="AM470">
        <f>COUNTIF($AJ$2:$AJ470,$AJ470)</f>
        <v>7.0</v>
      </c>
      <c r="AN470" t="str">
        <f>$AJ470&amp;"|"&amp;$AM470</f>
        <v>TDD Group Functions|7</v>
      </c>
    </row>
    <row r="471" ht="18" customHeight="1" s="849">
      <c r="A471" s="659" t="n">
        <v>97800</v>
      </c>
      <c r="B471" s="660" t="inlineStr">
        <is>
          <t>John McCormack</t>
        </is>
      </c>
      <c r="C471" s="660" t="inlineStr">
        <is>
          <t>Manager - Infrastructure Operations</t>
        </is>
      </c>
      <c r="D471" s="662" t="inlineStr">
        <is>
          <t>Vacant</t>
        </is>
      </c>
      <c r="E471" s="705" t="inlineStr">
        <is>
          <t>Technology Manager - Cloud, Network &amp; Infrastructure Operations</t>
        </is>
      </c>
      <c r="F471" s="661" t="inlineStr">
        <is>
          <t>TDD Group Functions</t>
        </is>
      </c>
      <c r="G471" s="662" t="inlineStr">
        <is>
          <t>TDD &amp; Engineering</t>
        </is>
      </c>
      <c r="H471" s="662" t="inlineStr">
        <is>
          <t>Cloud, Network &amp; Infra</t>
        </is>
      </c>
      <c r="I471" s="660" t="inlineStr">
        <is>
          <t>TDD</t>
        </is>
      </c>
      <c r="J471" s="662" t="inlineStr">
        <is>
          <t>TDD</t>
        </is>
      </c>
      <c r="K471" s="662" t="inlineStr">
        <is>
          <t>Cloud, Network &amp; Infra Ops</t>
        </is>
      </c>
      <c r="L471" s="662" t="n"/>
      <c r="M471" s="688" t="inlineStr">
        <is>
          <t>Australia</t>
        </is>
      </c>
      <c r="N471" s="664" t="inlineStr">
        <is>
          <t>CIC</t>
        </is>
      </c>
      <c r="O471" s="664" t="n">
        <v>1</v>
      </c>
      <c r="P471" s="664" t="n"/>
      <c r="Q471" s="664" t="inlineStr">
        <is>
          <t>Permanent - Full Time</t>
        </is>
      </c>
      <c r="R471" s="666" t="n"/>
      <c r="S471" s="666" t="n"/>
      <c r="T471" s="666" t="n">
        <v>184640</v>
      </c>
      <c r="U471" s="679" t="n">
        <v>184640</v>
      </c>
      <c r="V471" s="670" t="n">
        <v>0.12</v>
      </c>
      <c r="W471" s="921" t="n">
        <v>0.055</v>
      </c>
      <c r="X471" s="921" t="n">
        <v>0.12</v>
      </c>
      <c r="Y471" s="922" t="n"/>
      <c r="Z471" s="921" t="n">
        <v>0.04</v>
      </c>
      <c r="AA471" s="919" t="n">
        <v>246494.4</v>
      </c>
      <c r="AB471" s="744" t="n"/>
      <c r="AC471" s="744" t="n"/>
      <c r="AD471" s="744" t="n"/>
      <c r="AE471" s="744" t="n"/>
      <c r="AF471" s="744" t="n"/>
      <c r="AG471" s="744" t="n"/>
      <c r="AH471" s="744" t="n"/>
      <c r="AJ471" t="str">
        <f>IFERROR(INDEX(Lists!$U$1:$U$18,MATCH($I471,Lists!$T$1:$T$18,0)),"?")</f>
        <v>TDD Group Functions</v>
      </c>
      <c r="AK471" t="str">
        <f>IF(LOWER($Q471)="v","Vacant",IF(LOWER($Q471)="pause","Paused",IF(LOWER($Q471)="cxc","Contractor",IF($Q471="Contractor","Contractor","Filled"))))</f>
        <v>Filled</v>
      </c>
      <c r="AL471" t="str">
        <f>IF($M471="NZ","NZ","AU")</f>
        <v>AU</v>
      </c>
      <c r="AM471">
        <f>COUNTIF($AJ$2:$AJ471,$AJ471)</f>
        <v>8.0</v>
      </c>
      <c r="AN471" t="str">
        <f>$AJ471&amp;"|"&amp;$AM471</f>
        <v>TDD Group Functions|8</v>
      </c>
    </row>
    <row r="472" ht="18" customHeight="1" s="849">
      <c r="A472" s="659" t="n">
        <v>106117</v>
      </c>
      <c r="B472" s="660" t="inlineStr">
        <is>
          <t>Muhammad Abubaker</t>
        </is>
      </c>
      <c r="C472" s="660" t="inlineStr">
        <is>
          <t>Network Operations Engineer</t>
        </is>
      </c>
      <c r="D472" s="662" t="inlineStr">
        <is>
          <t>John McCormack</t>
        </is>
      </c>
      <c r="E472" s="705" t="inlineStr">
        <is>
          <t>Manager - Infrastructure Operations</t>
        </is>
      </c>
      <c r="F472" s="661" t="inlineStr">
        <is>
          <t>TDD Group Functions</t>
        </is>
      </c>
      <c r="G472" s="662" t="inlineStr">
        <is>
          <t>TDD &amp; Engineering</t>
        </is>
      </c>
      <c r="H472" s="662" t="inlineStr">
        <is>
          <t>Cloud, Network &amp; Infra</t>
        </is>
      </c>
      <c r="I472" s="660" t="inlineStr">
        <is>
          <t>TDD</t>
        </is>
      </c>
      <c r="J472" s="662" t="inlineStr">
        <is>
          <t>TDD</t>
        </is>
      </c>
      <c r="K472" s="662" t="inlineStr">
        <is>
          <t>Cloud, Network &amp; Infra Ops</t>
        </is>
      </c>
      <c r="L472" s="662" t="n"/>
      <c r="M472" s="688" t="inlineStr">
        <is>
          <t>Australia</t>
        </is>
      </c>
      <c r="N472" s="664" t="inlineStr">
        <is>
          <t>CIB</t>
        </is>
      </c>
      <c r="O472" s="664" t="n">
        <v>1</v>
      </c>
      <c r="P472" s="664" t="n"/>
      <c r="Q472" s="664" t="inlineStr">
        <is>
          <t>Permanent - Full Time</t>
        </is>
      </c>
      <c r="R472" s="666" t="n"/>
      <c r="S472" s="666" t="n"/>
      <c r="T472" s="666" t="n">
        <v>163040</v>
      </c>
      <c r="U472" s="679" t="n">
        <v>163040</v>
      </c>
      <c r="V472" s="670" t="n">
        <v>0.12</v>
      </c>
      <c r="W472" s="921" t="n">
        <v>0.055</v>
      </c>
      <c r="X472" s="921" t="n">
        <v>0.12</v>
      </c>
      <c r="Y472" s="922" t="n"/>
      <c r="Z472" s="921" t="n">
        <v>0.04</v>
      </c>
      <c r="AA472" s="919" t="n">
        <v>217658.4</v>
      </c>
      <c r="AB472" s="744" t="n"/>
      <c r="AC472" s="744" t="n"/>
      <c r="AD472" s="744" t="n"/>
      <c r="AE472" s="744" t="n"/>
      <c r="AF472" s="744" t="n"/>
      <c r="AG472" s="744" t="n"/>
      <c r="AH472" s="744" t="n"/>
      <c r="AJ472" t="str">
        <f>IFERROR(INDEX(Lists!$U$1:$U$18,MATCH($I472,Lists!$T$1:$T$18,0)),"?")</f>
        <v>TDD Group Functions</v>
      </c>
      <c r="AK472" t="str">
        <f>IF(LOWER($Q472)="v","Vacant",IF(LOWER($Q472)="pause","Paused",IF(LOWER($Q472)="cxc","Contractor",IF($Q472="Contractor","Contractor","Filled"))))</f>
        <v>Filled</v>
      </c>
      <c r="AL472" t="str">
        <f>IF($M472="NZ","NZ","AU")</f>
        <v>AU</v>
      </c>
      <c r="AM472">
        <f>COUNTIF($AJ$2:$AJ472,$AJ472)</f>
        <v>9.0</v>
      </c>
      <c r="AN472" t="str">
        <f>$AJ472&amp;"|"&amp;$AM472</f>
        <v>TDD Group Functions|9</v>
      </c>
    </row>
    <row r="473" ht="18" customHeight="1" s="849">
      <c r="A473" s="659" t="n"/>
      <c r="B473" s="799" t="inlineStr">
        <is>
          <t>Ring fenced selection</t>
        </is>
      </c>
      <c r="C473" s="705" t="inlineStr">
        <is>
          <t>Cloud Solutions Architect</t>
        </is>
      </c>
      <c r="D473" s="662" t="inlineStr">
        <is>
          <t>Vacant</t>
        </is>
      </c>
      <c r="E473" s="705" t="inlineStr">
        <is>
          <t>Technology Manager - Cloud, Network &amp; Infrastructure Operations</t>
        </is>
      </c>
      <c r="F473" s="661" t="inlineStr">
        <is>
          <t>TDD Group Functions</t>
        </is>
      </c>
      <c r="G473" s="662" t="inlineStr">
        <is>
          <t>TDD &amp; Engineering</t>
        </is>
      </c>
      <c r="H473" s="662" t="inlineStr">
        <is>
          <t>Cloud, Network &amp; Infra</t>
        </is>
      </c>
      <c r="I473" s="660" t="inlineStr">
        <is>
          <t>TDD</t>
        </is>
      </c>
      <c r="J473" s="662" t="inlineStr">
        <is>
          <t>TDD</t>
        </is>
      </c>
      <c r="K473" s="662" t="inlineStr">
        <is>
          <t>Cloud, Network &amp; Infra Ops</t>
        </is>
      </c>
      <c r="L473" s="662" t="n"/>
      <c r="M473" s="688" t="inlineStr">
        <is>
          <t>Australia</t>
        </is>
      </c>
      <c r="N473" s="664" t="inlineStr">
        <is>
          <t>CIC</t>
        </is>
      </c>
      <c r="O473" s="664" t="n">
        <v>1</v>
      </c>
      <c r="P473" s="664" t="n"/>
      <c r="Q473" s="664" t="inlineStr">
        <is>
          <t>v</t>
        </is>
      </c>
      <c r="R473" s="677" t="n"/>
      <c r="S473" s="666" t="n"/>
      <c r="T473" s="666" t="n">
        <v>200000</v>
      </c>
      <c r="U473" s="679" t="n">
        <v>200000</v>
      </c>
      <c r="V473" s="670" t="n">
        <v>0.12</v>
      </c>
      <c r="W473" s="921" t="n">
        <v>0.055</v>
      </c>
      <c r="X473" s="921" t="n">
        <v>0.12</v>
      </c>
      <c r="Y473" s="922" t="n"/>
      <c r="Z473" s="921" t="n">
        <v>0.04</v>
      </c>
      <c r="AA473" s="919" t="n">
        <v>267000</v>
      </c>
      <c r="AB473" s="744" t="n"/>
      <c r="AC473" s="744" t="n"/>
      <c r="AD473" s="744" t="n"/>
      <c r="AE473" s="744" t="n"/>
      <c r="AF473" s="744" t="n"/>
      <c r="AG473" s="744" t="n"/>
      <c r="AH473" s="744" t="n"/>
      <c r="AJ473" t="str">
        <f>IFERROR(INDEX(Lists!$U$1:$U$18,MATCH($I473,Lists!$T$1:$T$18,0)),"?")</f>
        <v>TDD Group Functions</v>
      </c>
      <c r="AK473" t="str">
        <f>IF(LOWER($Q473)="v","Vacant",IF(LOWER($Q473)="pause","Paused",IF(LOWER($Q473)="cxc","Contractor",IF($Q473="Contractor","Contractor","Filled"))))</f>
        <v>Vacant</v>
      </c>
      <c r="AL473" t="str">
        <f>IF($M473="NZ","NZ","AU")</f>
        <v>AU</v>
      </c>
      <c r="AM473">
        <f>COUNTIF($AJ$2:$AJ473,$AJ473)</f>
        <v>10.0</v>
      </c>
      <c r="AN473" t="str">
        <f>$AJ473&amp;"|"&amp;$AM473</f>
        <v>TDD Group Functions|10</v>
      </c>
    </row>
    <row r="474" ht="18" customHeight="1" s="849">
      <c r="A474" s="659" t="n"/>
      <c r="B474" s="799" t="inlineStr">
        <is>
          <t>Ring fenced selection</t>
        </is>
      </c>
      <c r="C474" s="705" t="inlineStr">
        <is>
          <t>Cloud Solutions Architect</t>
        </is>
      </c>
      <c r="D474" s="662" t="inlineStr">
        <is>
          <t>Vacant</t>
        </is>
      </c>
      <c r="E474" s="705" t="inlineStr">
        <is>
          <t>Technology Manager - Cloud, Network &amp; Infrastructure Operations</t>
        </is>
      </c>
      <c r="F474" s="661" t="inlineStr">
        <is>
          <t>TDD Group Functions</t>
        </is>
      </c>
      <c r="G474" s="662" t="inlineStr">
        <is>
          <t>TDD &amp; Engineering</t>
        </is>
      </c>
      <c r="H474" s="662" t="inlineStr">
        <is>
          <t>Cloud, Network &amp; Infra</t>
        </is>
      </c>
      <c r="I474" s="660" t="inlineStr">
        <is>
          <t>TDD</t>
        </is>
      </c>
      <c r="J474" s="662" t="inlineStr">
        <is>
          <t>TDD</t>
        </is>
      </c>
      <c r="K474" s="662" t="inlineStr">
        <is>
          <t>Cloud, Network &amp; Infra Ops</t>
        </is>
      </c>
      <c r="L474" s="662" t="n"/>
      <c r="M474" s="688" t="inlineStr">
        <is>
          <t>Australia</t>
        </is>
      </c>
      <c r="N474" s="664" t="inlineStr">
        <is>
          <t>CIC</t>
        </is>
      </c>
      <c r="O474" s="664" t="n">
        <v>1</v>
      </c>
      <c r="P474" s="664" t="n"/>
      <c r="Q474" s="664" t="inlineStr">
        <is>
          <t>v</t>
        </is>
      </c>
      <c r="R474" s="677" t="n"/>
      <c r="S474" s="666" t="n"/>
      <c r="T474" s="666" t="n">
        <v>200000</v>
      </c>
      <c r="U474" s="679" t="n">
        <v>200000</v>
      </c>
      <c r="V474" s="670" t="n">
        <v>0.12</v>
      </c>
      <c r="W474" s="921" t="n">
        <v>0.055</v>
      </c>
      <c r="X474" s="921" t="n">
        <v>0.12</v>
      </c>
      <c r="Y474" s="922" t="n"/>
      <c r="Z474" s="921" t="n">
        <v>0.04</v>
      </c>
      <c r="AA474" s="919" t="n">
        <v>267000</v>
      </c>
      <c r="AB474" s="744" t="n"/>
      <c r="AC474" s="744" t="n"/>
      <c r="AD474" s="744" t="n"/>
      <c r="AE474" s="744" t="n"/>
      <c r="AF474" s="744" t="n"/>
      <c r="AG474" s="744" t="n"/>
      <c r="AH474" s="744" t="n"/>
      <c r="AJ474" t="str">
        <f>IFERROR(INDEX(Lists!$U$1:$U$18,MATCH($I474,Lists!$T$1:$T$18,0)),"?")</f>
        <v>TDD Group Functions</v>
      </c>
      <c r="AK474" t="str">
        <f>IF(LOWER($Q474)="v","Vacant",IF(LOWER($Q474)="pause","Paused",IF(LOWER($Q474)="cxc","Contractor",IF($Q474="Contractor","Contractor","Filled"))))</f>
        <v>Vacant</v>
      </c>
      <c r="AL474" t="str">
        <f>IF($M474="NZ","NZ","AU")</f>
        <v>AU</v>
      </c>
      <c r="AM474">
        <f>COUNTIF($AJ$2:$AJ474,$AJ474)</f>
        <v>11.0</v>
      </c>
      <c r="AN474" t="str">
        <f>$AJ474&amp;"|"&amp;$AM474</f>
        <v>TDD Group Functions|11</v>
      </c>
    </row>
    <row r="475" ht="18" customHeight="1" s="849">
      <c r="A475" s="659" t="n"/>
      <c r="B475" s="799" t="inlineStr">
        <is>
          <t>Ring fenced selection</t>
        </is>
      </c>
      <c r="C475" s="705" t="inlineStr">
        <is>
          <t>Cloud Solutions Architect</t>
        </is>
      </c>
      <c r="D475" s="662" t="inlineStr">
        <is>
          <t>Vacant</t>
        </is>
      </c>
      <c r="E475" s="705" t="inlineStr">
        <is>
          <t>Technology Manager - Cloud, Network &amp; Infrastructure Operations</t>
        </is>
      </c>
      <c r="F475" s="661" t="inlineStr">
        <is>
          <t>TDD Group Functions</t>
        </is>
      </c>
      <c r="G475" s="662" t="inlineStr">
        <is>
          <t>TDD &amp; Engineering</t>
        </is>
      </c>
      <c r="H475" s="662" t="inlineStr">
        <is>
          <t>Cloud, Network &amp; Infra</t>
        </is>
      </c>
      <c r="I475" s="660" t="inlineStr">
        <is>
          <t>TDD</t>
        </is>
      </c>
      <c r="J475" s="662" t="inlineStr">
        <is>
          <t>TDD</t>
        </is>
      </c>
      <c r="K475" s="662" t="inlineStr">
        <is>
          <t>Cloud, Network &amp; Infra Ops</t>
        </is>
      </c>
      <c r="L475" s="662" t="n"/>
      <c r="M475" s="688" t="inlineStr">
        <is>
          <t>Australia</t>
        </is>
      </c>
      <c r="N475" s="664" t="inlineStr">
        <is>
          <t>CIC</t>
        </is>
      </c>
      <c r="O475" s="664" t="n">
        <v>1</v>
      </c>
      <c r="P475" s="664" t="n"/>
      <c r="Q475" s="664" t="inlineStr">
        <is>
          <t>v</t>
        </is>
      </c>
      <c r="R475" s="677" t="n"/>
      <c r="S475" s="666" t="n"/>
      <c r="T475" s="666" t="n">
        <v>200000</v>
      </c>
      <c r="U475" s="679" t="n">
        <v>200000</v>
      </c>
      <c r="V475" s="670" t="n">
        <v>0.12</v>
      </c>
      <c r="W475" s="921" t="n">
        <v>0.055</v>
      </c>
      <c r="X475" s="921" t="n">
        <v>0.12</v>
      </c>
      <c r="Y475" s="922" t="n"/>
      <c r="Z475" s="921" t="n">
        <v>0.04</v>
      </c>
      <c r="AA475" s="919" t="n">
        <v>267000</v>
      </c>
      <c r="AB475" s="744" t="n"/>
      <c r="AC475" s="744" t="n"/>
      <c r="AD475" s="744" t="n"/>
      <c r="AE475" s="744" t="n"/>
      <c r="AF475" s="744" t="n"/>
      <c r="AG475" s="744" t="n"/>
      <c r="AH475" s="744" t="n"/>
      <c r="AJ475" t="str">
        <f>IFERROR(INDEX(Lists!$U$1:$U$18,MATCH($I475,Lists!$T$1:$T$18,0)),"?")</f>
        <v>TDD Group Functions</v>
      </c>
      <c r="AK475" t="str">
        <f>IF(LOWER($Q475)="v","Vacant",IF(LOWER($Q475)="pause","Paused",IF(LOWER($Q475)="cxc","Contractor",IF($Q475="Contractor","Contractor","Filled"))))</f>
        <v>Vacant</v>
      </c>
      <c r="AL475" t="str">
        <f>IF($M475="NZ","NZ","AU")</f>
        <v>AU</v>
      </c>
      <c r="AM475">
        <f>COUNTIF($AJ$2:$AJ475,$AJ475)</f>
        <v>12.0</v>
      </c>
      <c r="AN475" t="str">
        <f>$AJ475&amp;"|"&amp;$AM475</f>
        <v>TDD Group Functions|12</v>
      </c>
    </row>
    <row r="476" ht="18" customHeight="1" s="849">
      <c r="A476" s="659" t="n"/>
      <c r="B476" s="799" t="inlineStr">
        <is>
          <t>Ring fenced selection</t>
        </is>
      </c>
      <c r="C476" s="705" t="inlineStr">
        <is>
          <t>Cloud Solutions Architect</t>
        </is>
      </c>
      <c r="D476" s="662" t="inlineStr">
        <is>
          <t>Vacant</t>
        </is>
      </c>
      <c r="E476" s="705" t="inlineStr">
        <is>
          <t>Technology Manager - Cloud, Network &amp; Infrastructure Operations</t>
        </is>
      </c>
      <c r="F476" s="661" t="inlineStr">
        <is>
          <t>TDD Group Functions</t>
        </is>
      </c>
      <c r="G476" s="662" t="inlineStr">
        <is>
          <t>TDD &amp; Engineering</t>
        </is>
      </c>
      <c r="H476" s="662" t="inlineStr">
        <is>
          <t>Cloud, Network &amp; Infra</t>
        </is>
      </c>
      <c r="I476" s="660" t="inlineStr">
        <is>
          <t>TDD</t>
        </is>
      </c>
      <c r="J476" s="662" t="inlineStr">
        <is>
          <t>TDD</t>
        </is>
      </c>
      <c r="K476" s="662" t="inlineStr">
        <is>
          <t>Cloud, Network &amp; Infra Ops</t>
        </is>
      </c>
      <c r="L476" s="662" t="n"/>
      <c r="M476" s="663" t="inlineStr">
        <is>
          <t>Australia</t>
        </is>
      </c>
      <c r="N476" s="664" t="inlineStr">
        <is>
          <t>CIC</t>
        </is>
      </c>
      <c r="O476" s="664" t="n">
        <v>1</v>
      </c>
      <c r="P476" s="664" t="n"/>
      <c r="Q476" s="664" t="inlineStr">
        <is>
          <t>v</t>
        </is>
      </c>
      <c r="R476" s="677" t="n"/>
      <c r="S476" s="666" t="n"/>
      <c r="T476" s="667" t="n">
        <v>200000</v>
      </c>
      <c r="U476" s="668" t="n">
        <v>200000</v>
      </c>
      <c r="V476" s="670" t="n">
        <v>0.12</v>
      </c>
      <c r="W476" s="921" t="n">
        <v>0.055</v>
      </c>
      <c r="X476" s="921" t="n">
        <v>0.12</v>
      </c>
      <c r="Y476" s="922" t="n"/>
      <c r="Z476" s="921" t="n">
        <v>0.04</v>
      </c>
      <c r="AA476" s="919" t="n">
        <v>267000</v>
      </c>
      <c r="AB476" s="744" t="n"/>
      <c r="AC476" s="744" t="n"/>
      <c r="AH476" s="744" t="n"/>
      <c r="AJ476" t="str">
        <f>IFERROR(INDEX(Lists!$U$1:$U$18,MATCH($I476,Lists!$T$1:$T$18,0)),"?")</f>
        <v>TDD Group Functions</v>
      </c>
      <c r="AK476" t="str">
        <f>IF(LOWER($Q476)="v","Vacant",IF(LOWER($Q476)="pause","Paused",IF(LOWER($Q476)="cxc","Contractor",IF($Q476="Contractor","Contractor","Filled"))))</f>
        <v>Vacant</v>
      </c>
      <c r="AL476" t="str">
        <f>IF($M476="NZ","NZ","AU")</f>
        <v>AU</v>
      </c>
      <c r="AM476">
        <f>COUNTIF($AJ$2:$AJ476,$AJ476)</f>
        <v>13.0</v>
      </c>
      <c r="AN476" t="str">
        <f>$AJ476&amp;"|"&amp;$AM476</f>
        <v>TDD Group Functions|13</v>
      </c>
    </row>
    <row r="477" ht="18" customHeight="1" s="849">
      <c r="A477" s="659" t="n">
        <v>97625</v>
      </c>
      <c r="B477" s="660" t="inlineStr">
        <is>
          <t>Satish Chowdhary</t>
        </is>
      </c>
      <c r="C477" s="660" t="inlineStr">
        <is>
          <t>Nework Architect</t>
        </is>
      </c>
      <c r="D477" s="662" t="inlineStr">
        <is>
          <t>Vacant</t>
        </is>
      </c>
      <c r="E477" s="705" t="inlineStr">
        <is>
          <t>Technology Manager - Cloud, Network &amp; Infrastructure Operations</t>
        </is>
      </c>
      <c r="F477" s="661" t="inlineStr">
        <is>
          <t>TDD Group Functions</t>
        </is>
      </c>
      <c r="G477" s="662" t="inlineStr">
        <is>
          <t>TDD &amp; Engineering</t>
        </is>
      </c>
      <c r="H477" s="662" t="inlineStr">
        <is>
          <t>Cloud, Network &amp; Infra</t>
        </is>
      </c>
      <c r="I477" s="660" t="inlineStr">
        <is>
          <t>TDD</t>
        </is>
      </c>
      <c r="J477" s="662" t="inlineStr">
        <is>
          <t>TDD</t>
        </is>
      </c>
      <c r="K477" s="662" t="inlineStr">
        <is>
          <t>Cloud, Network &amp; Infra Ops</t>
        </is>
      </c>
      <c r="L477" s="662" t="n"/>
      <c r="M477" s="663" t="inlineStr">
        <is>
          <t>Australia</t>
        </is>
      </c>
      <c r="N477" s="664" t="inlineStr">
        <is>
          <t>CIC</t>
        </is>
      </c>
      <c r="O477" s="664" t="n">
        <v>1</v>
      </c>
      <c r="P477" s="664" t="n"/>
      <c r="Q477" s="664" t="inlineStr">
        <is>
          <t>Permanent - Full Time</t>
        </is>
      </c>
      <c r="R477" s="666" t="n"/>
      <c r="S477" s="666" t="n"/>
      <c r="T477" s="667" t="n">
        <v>194100</v>
      </c>
      <c r="U477" s="668" t="n">
        <v>194100</v>
      </c>
      <c r="V477" s="670" t="n">
        <v>0.12</v>
      </c>
      <c r="W477" s="921" t="n">
        <v>0.055</v>
      </c>
      <c r="X477" s="921" t="n">
        <v>0.12</v>
      </c>
      <c r="Y477" s="922" t="n"/>
      <c r="Z477" s="921" t="n">
        <v>0.04</v>
      </c>
      <c r="AA477" s="919" t="n">
        <v>259123.5</v>
      </c>
      <c r="AB477" s="744" t="n"/>
      <c r="AC477" s="744" t="n"/>
      <c r="AH477" s="744" t="n"/>
      <c r="AJ477" t="str">
        <f>IFERROR(INDEX(Lists!$U$1:$U$18,MATCH($I477,Lists!$T$1:$T$18,0)),"?")</f>
        <v>TDD Group Functions</v>
      </c>
      <c r="AK477" t="str">
        <f>IF(LOWER($Q477)="v","Vacant",IF(LOWER($Q477)="pause","Paused",IF(LOWER($Q477)="cxc","Contractor",IF($Q477="Contractor","Contractor","Filled"))))</f>
        <v>Filled</v>
      </c>
      <c r="AL477" t="str">
        <f>IF($M477="NZ","NZ","AU")</f>
        <v>AU</v>
      </c>
      <c r="AM477">
        <f>COUNTIF($AJ$2:$AJ477,$AJ477)</f>
        <v>14.0</v>
      </c>
      <c r="AN477" t="str">
        <f>$AJ477&amp;"|"&amp;$AM477</f>
        <v>TDD Group Functions|14</v>
      </c>
    </row>
    <row r="478" ht="18" customHeight="1" s="849">
      <c r="A478" s="659" t="n">
        <v>6591</v>
      </c>
      <c r="B478" s="660" t="inlineStr">
        <is>
          <t>Steven Yong</t>
        </is>
      </c>
      <c r="C478" s="660" t="inlineStr">
        <is>
          <t>Nework Architect</t>
        </is>
      </c>
      <c r="D478" s="662" t="inlineStr">
        <is>
          <t>Vacant</t>
        </is>
      </c>
      <c r="E478" s="705" t="inlineStr">
        <is>
          <t>Technology Manager - Cloud, Network &amp; Infrastructure Operations</t>
        </is>
      </c>
      <c r="F478" s="661" t="inlineStr">
        <is>
          <t>TDD Group Functions</t>
        </is>
      </c>
      <c r="G478" s="662" t="inlineStr">
        <is>
          <t>TDD &amp; Engineering</t>
        </is>
      </c>
      <c r="H478" s="662" t="inlineStr">
        <is>
          <t>Cloud, Network &amp; Infra</t>
        </is>
      </c>
      <c r="I478" s="660" t="inlineStr">
        <is>
          <t>TDD</t>
        </is>
      </c>
      <c r="J478" s="662" t="inlineStr">
        <is>
          <t>TDD</t>
        </is>
      </c>
      <c r="K478" s="662" t="inlineStr">
        <is>
          <t>Cloud, Network &amp; Infra Ops</t>
        </is>
      </c>
      <c r="L478" s="662" t="n"/>
      <c r="M478" s="663" t="inlineStr">
        <is>
          <t>Australia</t>
        </is>
      </c>
      <c r="N478" s="666" t="inlineStr">
        <is>
          <t>CIC</t>
        </is>
      </c>
      <c r="O478" s="666" t="n">
        <v>1</v>
      </c>
      <c r="P478" s="666" t="n"/>
      <c r="Q478" s="666" t="inlineStr">
        <is>
          <t>Permanent - Full Time</t>
        </is>
      </c>
      <c r="R478" s="666" t="n"/>
      <c r="S478" s="666" t="n"/>
      <c r="T478" s="667" t="n">
        <v>182340</v>
      </c>
      <c r="U478" s="668" t="n">
        <v>182340</v>
      </c>
      <c r="V478" s="670" t="n">
        <v>0.12</v>
      </c>
      <c r="W478" s="921" t="n">
        <v>0.055</v>
      </c>
      <c r="X478" s="921" t="n">
        <v>0.12</v>
      </c>
      <c r="Y478" s="922" t="n"/>
      <c r="Z478" s="921" t="n">
        <v>0.04</v>
      </c>
      <c r="AA478" s="919" t="n">
        <v>243423.9</v>
      </c>
      <c r="AB478" s="744" t="n"/>
      <c r="AC478" s="744" t="n"/>
      <c r="AH478" s="744" t="n"/>
      <c r="AJ478" t="str">
        <f>IFERROR(INDEX(Lists!$U$1:$U$18,MATCH($I478,Lists!$T$1:$T$18,0)),"?")</f>
        <v>TDD Group Functions</v>
      </c>
      <c r="AK478" t="str">
        <f>IF(LOWER($Q478)="v","Vacant",IF(LOWER($Q478)="pause","Paused",IF(LOWER($Q478)="cxc","Contractor",IF($Q478="Contractor","Contractor","Filled"))))</f>
        <v>Filled</v>
      </c>
      <c r="AL478" t="str">
        <f>IF($M478="NZ","NZ","AU")</f>
        <v>AU</v>
      </c>
      <c r="AM478">
        <f>COUNTIF($AJ$2:$AJ478,$AJ478)</f>
        <v>15.0</v>
      </c>
      <c r="AN478" t="str">
        <f>$AJ478&amp;"|"&amp;$AM478</f>
        <v>TDD Group Functions|15</v>
      </c>
    </row>
    <row r="479" ht="18" customHeight="1" s="849">
      <c r="A479" s="659" t="n">
        <v>116057</v>
      </c>
      <c r="B479" s="705" t="inlineStr">
        <is>
          <t>Lucas Wang</t>
        </is>
      </c>
      <c r="C479" s="705" t="inlineStr">
        <is>
          <t>Senior Engineer (Automation Test)</t>
        </is>
      </c>
      <c r="D479" s="799" t="inlineStr">
        <is>
          <t>Shobhit Mittal</t>
        </is>
      </c>
      <c r="E479" s="705" t="inlineStr">
        <is>
          <t>Lead Engineer (Automation Test)</t>
        </is>
      </c>
      <c r="F479" s="800" t="inlineStr">
        <is>
          <t>TDD Group Functions</t>
        </is>
      </c>
      <c r="G479" s="662" t="inlineStr">
        <is>
          <t>TDD &amp; Engineering</t>
        </is>
      </c>
      <c r="H479" s="662" t="inlineStr">
        <is>
          <t>DevOps &amp; QE</t>
        </is>
      </c>
      <c r="I479" s="660" t="inlineStr">
        <is>
          <t>TDD</t>
        </is>
      </c>
      <c r="J479" s="662" t="inlineStr">
        <is>
          <t>TDD</t>
        </is>
      </c>
      <c r="K479" s="662" t="inlineStr">
        <is>
          <t>DevOps &amp; QE</t>
        </is>
      </c>
      <c r="L479" s="662" t="n"/>
      <c r="M479" s="663" t="inlineStr">
        <is>
          <t>Australia</t>
        </is>
      </c>
      <c r="N479" s="664" t="inlineStr">
        <is>
          <t>CIB</t>
        </is>
      </c>
      <c r="O479" s="664" t="n">
        <v>1</v>
      </c>
      <c r="P479" s="664" t="n"/>
      <c r="Q479" s="664" t="inlineStr">
        <is>
          <t>Permanent - Full Time</t>
        </is>
      </c>
      <c r="R479" s="666" t="n"/>
      <c r="S479" s="666" t="n"/>
      <c r="T479" s="667" t="n">
        <v>145710</v>
      </c>
      <c r="U479" s="668" t="n">
        <v>145710</v>
      </c>
      <c r="V479" s="670" t="n">
        <v>0.12</v>
      </c>
      <c r="W479" s="921" t="n">
        <v>0.055</v>
      </c>
      <c r="X479" s="921" t="n">
        <v>0.12</v>
      </c>
      <c r="Y479" s="922" t="n"/>
      <c r="Z479" s="921" t="n">
        <v>0.04</v>
      </c>
      <c r="AA479" s="919" t="n">
        <v>194522.85</v>
      </c>
      <c r="AB479" s="744" t="n"/>
      <c r="AC479" s="744" t="n"/>
      <c r="AH479" s="744" t="n"/>
      <c r="AJ479" t="str">
        <f>IFERROR(INDEX(Lists!$U$1:$U$18,MATCH($I479,Lists!$T$1:$T$18,0)),"?")</f>
        <v>TDD Group Functions</v>
      </c>
      <c r="AK479" t="str">
        <f>IF(LOWER($Q479)="v","Vacant",IF(LOWER($Q479)="pause","Paused",IF(LOWER($Q479)="cxc","Contractor",IF($Q479="Contractor","Contractor","Filled"))))</f>
        <v>Filled</v>
      </c>
      <c r="AL479" t="str">
        <f>IF($M479="NZ","NZ","AU")</f>
        <v>AU</v>
      </c>
      <c r="AM479">
        <f>COUNTIF($AJ$2:$AJ479,$AJ479)</f>
        <v>16.0</v>
      </c>
      <c r="AN479" t="str">
        <f>$AJ479&amp;"|"&amp;$AM479</f>
        <v>TDD Group Functions|16</v>
      </c>
    </row>
    <row r="480" ht="18" customHeight="1" s="849">
      <c r="A480" s="659" t="n">
        <v>99999101441</v>
      </c>
      <c r="B480" s="660" t="inlineStr">
        <is>
          <t>Luke Hamer</t>
        </is>
      </c>
      <c r="C480" s="660" t="inlineStr">
        <is>
          <t>Lead Engineer - Devops</t>
        </is>
      </c>
      <c r="D480" s="799" t="inlineStr">
        <is>
          <t>Vacant</t>
        </is>
      </c>
      <c r="E480" s="705" t="inlineStr">
        <is>
          <t>Technology Manager – DevOps and Quality Engineering</t>
        </is>
      </c>
      <c r="F480" s="800" t="inlineStr">
        <is>
          <t>TDD Group Functions</t>
        </is>
      </c>
      <c r="G480" s="662" t="inlineStr">
        <is>
          <t>TDD &amp; Engineering</t>
        </is>
      </c>
      <c r="H480" s="662" t="inlineStr">
        <is>
          <t>DevOps &amp; QE</t>
        </is>
      </c>
      <c r="I480" s="660" t="inlineStr">
        <is>
          <t>TDD</t>
        </is>
      </c>
      <c r="J480" s="662" t="inlineStr">
        <is>
          <t>TDD</t>
        </is>
      </c>
      <c r="K480" s="662" t="inlineStr">
        <is>
          <t>DevOps &amp; QE</t>
        </is>
      </c>
      <c r="L480" s="662" t="n"/>
      <c r="M480" s="663" t="inlineStr">
        <is>
          <t>NZ</t>
        </is>
      </c>
      <c r="N480" s="664" t="inlineStr">
        <is>
          <t>CIC</t>
        </is>
      </c>
      <c r="O480" s="665" t="n">
        <v>1</v>
      </c>
      <c r="P480" s="664" t="n"/>
      <c r="Q480" s="665" t="inlineStr">
        <is>
          <t>Permanent - Full Time</t>
        </is>
      </c>
      <c r="R480" s="666" t="n"/>
      <c r="S480" s="666" t="n"/>
      <c r="T480" s="667" t="n">
        <v>159200</v>
      </c>
      <c r="U480" s="668" t="n">
        <v>146464</v>
      </c>
      <c r="V480" s="669" t="n">
        <v>0.15</v>
      </c>
      <c r="W480" s="666" t="n"/>
      <c r="X480" s="670" t="n">
        <v>0.05</v>
      </c>
      <c r="Y480" s="918" t="n">
        <v>2910</v>
      </c>
      <c r="Z480" s="670" t="n">
        <v>0.03</v>
      </c>
      <c r="AA480" s="919" t="n">
        <v>183060.72</v>
      </c>
      <c r="AB480" s="744" t="n"/>
      <c r="AC480" s="744" t="n"/>
      <c r="AH480" s="744" t="n"/>
      <c r="AJ480" t="str">
        <f>IFERROR(INDEX(Lists!$U$1:$U$18,MATCH($I480,Lists!$T$1:$T$18,0)),"?")</f>
        <v>TDD Group Functions</v>
      </c>
      <c r="AK480" t="str">
        <f>IF(LOWER($Q480)="v","Vacant",IF(LOWER($Q480)="pause","Paused",IF(LOWER($Q480)="cxc","Contractor",IF($Q480="Contractor","Contractor","Filled"))))</f>
        <v>Filled</v>
      </c>
      <c r="AL480" t="str">
        <f>IF($M480="NZ","NZ","AU")</f>
        <v>NZ</v>
      </c>
      <c r="AM480">
        <f>COUNTIF($AJ$2:$AJ480,$AJ480)</f>
        <v>17.0</v>
      </c>
      <c r="AN480" t="str">
        <f>$AJ480&amp;"|"&amp;$AM480</f>
        <v>TDD Group Functions|17</v>
      </c>
    </row>
    <row r="481" ht="18" customHeight="1" s="849">
      <c r="A481" s="659" t="n">
        <v>99999101958</v>
      </c>
      <c r="B481" s="660" t="inlineStr">
        <is>
          <t>Mike Lealamanu</t>
        </is>
      </c>
      <c r="C481" s="660" t="inlineStr">
        <is>
          <t>Quality Assurance</t>
        </is>
      </c>
      <c r="D481" s="799" t="inlineStr">
        <is>
          <t>Vacant</t>
        </is>
      </c>
      <c r="E481" s="705" t="inlineStr">
        <is>
          <t>Technology Manager – DevOps and Quality Engineering</t>
        </is>
      </c>
      <c r="F481" s="800" t="inlineStr">
        <is>
          <t>TDD Group Functions</t>
        </is>
      </c>
      <c r="G481" s="662" t="inlineStr">
        <is>
          <t>TDD &amp; Engineering</t>
        </is>
      </c>
      <c r="H481" s="662" t="inlineStr">
        <is>
          <t>DevOps &amp; QE</t>
        </is>
      </c>
      <c r="I481" s="660" t="inlineStr">
        <is>
          <t>TDD</t>
        </is>
      </c>
      <c r="J481" s="662" t="inlineStr">
        <is>
          <t>TDD</t>
        </is>
      </c>
      <c r="K481" s="662" t="inlineStr">
        <is>
          <t>DevOps &amp; QE</t>
        </is>
      </c>
      <c r="L481" s="662" t="n"/>
      <c r="M481" s="663" t="inlineStr">
        <is>
          <t>NZ</t>
        </is>
      </c>
      <c r="N481" s="664" t="inlineStr">
        <is>
          <t>CIA</t>
        </is>
      </c>
      <c r="O481" s="665" t="n">
        <v>1</v>
      </c>
      <c r="P481" s="664" t="n"/>
      <c r="Q481" s="665" t="inlineStr">
        <is>
          <t>Permanent - Full Time</t>
        </is>
      </c>
      <c r="R481" s="666" t="n"/>
      <c r="S481" s="666" t="n"/>
      <c r="T481" s="667" t="n">
        <v>115830</v>
      </c>
      <c r="U481" s="668" t="n">
        <v>106563.6</v>
      </c>
      <c r="V481" s="669" t="n">
        <v>0.15</v>
      </c>
      <c r="W481" s="666" t="n"/>
      <c r="X481" s="670" t="n">
        <v>0.05</v>
      </c>
      <c r="Y481" s="918" t="n">
        <v>2910</v>
      </c>
      <c r="Z481" s="670" t="n">
        <v>0.03</v>
      </c>
      <c r="AA481" s="919" t="n">
        <v>133983.228</v>
      </c>
      <c r="AB481" s="744" t="n"/>
      <c r="AC481" s="744" t="n"/>
      <c r="AH481" s="744" t="n"/>
      <c r="AJ481" t="str">
        <f>IFERROR(INDEX(Lists!$U$1:$U$18,MATCH($I481,Lists!$T$1:$T$18,0)),"?")</f>
        <v>TDD Group Functions</v>
      </c>
      <c r="AK481" t="str">
        <f>IF(LOWER($Q481)="v","Vacant",IF(LOWER($Q481)="pause","Paused",IF(LOWER($Q481)="cxc","Contractor",IF($Q481="Contractor","Contractor","Filled"))))</f>
        <v>Filled</v>
      </c>
      <c r="AL481" t="str">
        <f>IF($M481="NZ","NZ","AU")</f>
        <v>NZ</v>
      </c>
      <c r="AM481">
        <f>COUNTIF($AJ$2:$AJ481,$AJ481)</f>
        <v>18.0</v>
      </c>
      <c r="AN481" t="str">
        <f>$AJ481&amp;"|"&amp;$AM481</f>
        <v>TDD Group Functions|18</v>
      </c>
    </row>
    <row r="482" ht="18" customHeight="1" s="849">
      <c r="A482" s="659" t="n">
        <v>99999102120</v>
      </c>
      <c r="B482" s="660" t="inlineStr">
        <is>
          <t>Sunny Arya</t>
        </is>
      </c>
      <c r="C482" s="660" t="inlineStr">
        <is>
          <t>Lead Engineer, Devops</t>
        </is>
      </c>
      <c r="D482" s="799" t="inlineStr">
        <is>
          <t>Vacant</t>
        </is>
      </c>
      <c r="E482" s="705" t="inlineStr">
        <is>
          <t>Technology Manager – DevOps and Quality Engineering</t>
        </is>
      </c>
      <c r="F482" s="800" t="inlineStr">
        <is>
          <t>TDD Group Functions</t>
        </is>
      </c>
      <c r="G482" s="662" t="inlineStr">
        <is>
          <t>TDD &amp; Engineering</t>
        </is>
      </c>
      <c r="H482" s="662" t="inlineStr">
        <is>
          <t>DevOps &amp; QE</t>
        </is>
      </c>
      <c r="I482" s="660" t="inlineStr">
        <is>
          <t>TDD</t>
        </is>
      </c>
      <c r="J482" s="662" t="inlineStr">
        <is>
          <t>TDD</t>
        </is>
      </c>
      <c r="K482" s="662" t="inlineStr">
        <is>
          <t>DevOps &amp; QE</t>
        </is>
      </c>
      <c r="L482" s="662" t="n"/>
      <c r="M482" s="663" t="inlineStr">
        <is>
          <t>NZ</t>
        </is>
      </c>
      <c r="N482" s="664" t="inlineStr">
        <is>
          <t>CIC</t>
        </is>
      </c>
      <c r="O482" s="665" t="n">
        <v>1</v>
      </c>
      <c r="P482" s="664" t="n"/>
      <c r="Q482" s="665" t="inlineStr">
        <is>
          <t>Permanent - Full Time</t>
        </is>
      </c>
      <c r="R482" s="666" t="n"/>
      <c r="S482" s="666" t="n"/>
      <c r="T482" s="667" t="n">
        <v>175000</v>
      </c>
      <c r="U482" s="668" t="n">
        <v>161000</v>
      </c>
      <c r="V482" s="669" t="n">
        <v>0.15</v>
      </c>
      <c r="W482" s="666" t="n"/>
      <c r="X482" s="670" t="n">
        <v>0.05</v>
      </c>
      <c r="Y482" s="918" t="n">
        <v>2910</v>
      </c>
      <c r="Z482" s="670" t="n">
        <v>0.03</v>
      </c>
      <c r="AA482" s="919" t="n">
        <v>200940</v>
      </c>
      <c r="AB482" s="744" t="n"/>
      <c r="AC482" s="744" t="n"/>
      <c r="AJ482" t="str">
        <f>IFERROR(INDEX(Lists!$U$1:$U$18,MATCH($I482,Lists!$T$1:$T$18,0)),"?")</f>
        <v>TDD Group Functions</v>
      </c>
      <c r="AK482" t="str">
        <f>IF(LOWER($Q482)="v","Vacant",IF(LOWER($Q482)="pause","Paused",IF(LOWER($Q482)="cxc","Contractor",IF($Q482="Contractor","Contractor","Filled"))))</f>
        <v>Filled</v>
      </c>
      <c r="AL482" t="str">
        <f>IF($M482="NZ","NZ","AU")</f>
        <v>NZ</v>
      </c>
      <c r="AM482">
        <f>COUNTIF($AJ$2:$AJ482,$AJ482)</f>
        <v>19.0</v>
      </c>
      <c r="AN482" t="str">
        <f>$AJ482&amp;"|"&amp;$AM482</f>
        <v>TDD Group Functions|19</v>
      </c>
    </row>
    <row r="483" ht="18" customHeight="1" s="849">
      <c r="A483" s="659" t="n">
        <v>114573</v>
      </c>
      <c r="B483" s="705" t="inlineStr">
        <is>
          <t>Archana Chetiwal</t>
        </is>
      </c>
      <c r="C483" s="705" t="inlineStr">
        <is>
          <t>Snr Engineer</t>
        </is>
      </c>
      <c r="D483" s="662" t="inlineStr">
        <is>
          <t>Vacant</t>
        </is>
      </c>
      <c r="E483" s="705" t="inlineStr">
        <is>
          <t>RPA Lead</t>
        </is>
      </c>
      <c r="F483" s="661" t="inlineStr">
        <is>
          <t>TDD Group Functions</t>
        </is>
      </c>
      <c r="G483" s="662" t="inlineStr">
        <is>
          <t xml:space="preserve">TDD &amp; Engineering </t>
        </is>
      </c>
      <c r="H483" s="685" t="inlineStr">
        <is>
          <t>Integration &amp; Process automation</t>
        </is>
      </c>
      <c r="I483" s="660" t="inlineStr">
        <is>
          <t>TDD</t>
        </is>
      </c>
      <c r="J483" s="662" t="inlineStr">
        <is>
          <t>TDD</t>
        </is>
      </c>
      <c r="K483" s="662" t="inlineStr">
        <is>
          <t>Integration &amp; Process automation</t>
        </is>
      </c>
      <c r="L483" s="662" t="n"/>
      <c r="M483" s="663" t="inlineStr">
        <is>
          <t>Australia</t>
        </is>
      </c>
      <c r="N483" s="664" t="inlineStr">
        <is>
          <t>CIB</t>
        </is>
      </c>
      <c r="O483" s="664" t="n">
        <v>1</v>
      </c>
      <c r="P483" s="664" t="n"/>
      <c r="Q483" s="664" t="inlineStr">
        <is>
          <t>Permanent - Full Time</t>
        </is>
      </c>
      <c r="R483" s="666" t="n"/>
      <c r="S483" s="666" t="n"/>
      <c r="T483" s="667" t="n">
        <v>140000</v>
      </c>
      <c r="U483" s="668" t="n">
        <v>140000</v>
      </c>
      <c r="V483" s="670" t="n">
        <v>0.12</v>
      </c>
      <c r="W483" s="921" t="n">
        <v>0.055</v>
      </c>
      <c r="X483" s="921" t="n">
        <v>0.12</v>
      </c>
      <c r="Y483" s="922" t="n"/>
      <c r="Z483" s="921" t="n">
        <v>0.04</v>
      </c>
      <c r="AA483" s="919" t="n">
        <v>186900</v>
      </c>
      <c r="AB483" s="744" t="n"/>
      <c r="AC483" s="744" t="n"/>
      <c r="AJ483" t="str">
        <f>IFERROR(INDEX(Lists!$U$1:$U$18,MATCH($I483,Lists!$T$1:$T$18,0)),"?")</f>
        <v>TDD Group Functions</v>
      </c>
      <c r="AK483" t="str">
        <f>IF(LOWER($Q483)="v","Vacant",IF(LOWER($Q483)="pause","Paused",IF(LOWER($Q483)="cxc","Contractor",IF($Q483="Contractor","Contractor","Filled"))))</f>
        <v>Filled</v>
      </c>
      <c r="AL483" t="str">
        <f>IF($M483="NZ","NZ","AU")</f>
        <v>AU</v>
      </c>
      <c r="AM483">
        <f>COUNTIF($AJ$2:$AJ483,$AJ483)</f>
        <v>20.0</v>
      </c>
      <c r="AN483" t="str">
        <f>$AJ483&amp;"|"&amp;$AM483</f>
        <v>TDD Group Functions|20</v>
      </c>
    </row>
    <row r="484" ht="18" customHeight="1" s="849">
      <c r="A484" s="659" t="n">
        <v>91635</v>
      </c>
      <c r="B484" s="660" t="inlineStr">
        <is>
          <t>Bala Thiruvadi</t>
        </is>
      </c>
      <c r="C484" s="660" t="inlineStr">
        <is>
          <t>Integration Architect - Boomi</t>
        </is>
      </c>
      <c r="D484" s="660" t="inlineStr">
        <is>
          <t>Mike Seales</t>
        </is>
      </c>
      <c r="E484" s="660" t="inlineStr">
        <is>
          <t>Technology Manager Integration &amp; Process Managemetn</t>
        </is>
      </c>
      <c r="F484" s="661" t="inlineStr">
        <is>
          <t>TDD Group Functions</t>
        </is>
      </c>
      <c r="G484" s="662" t="inlineStr">
        <is>
          <t xml:space="preserve">TDD &amp; Engineering </t>
        </is>
      </c>
      <c r="H484" s="707" t="inlineStr">
        <is>
          <t>Integration &amp; Process Management</t>
        </is>
      </c>
      <c r="I484" s="660" t="inlineStr">
        <is>
          <t>TDD</t>
        </is>
      </c>
      <c r="J484" s="662" t="inlineStr">
        <is>
          <t>TDD</t>
        </is>
      </c>
      <c r="K484" s="662" t="inlineStr">
        <is>
          <t>Integration &amp; Process automation</t>
        </is>
      </c>
      <c r="L484" s="662" t="n"/>
      <c r="M484" s="663" t="inlineStr">
        <is>
          <t>Australia</t>
        </is>
      </c>
      <c r="N484" s="664" t="inlineStr">
        <is>
          <t>CIC</t>
        </is>
      </c>
      <c r="O484" s="664" t="n">
        <v>1</v>
      </c>
      <c r="P484" s="664" t="n"/>
      <c r="Q484" s="664" t="inlineStr">
        <is>
          <t>Permanent - Full Time</t>
        </is>
      </c>
      <c r="R484" s="666" t="n"/>
      <c r="S484" s="666" t="n"/>
      <c r="T484" s="667" t="n">
        <v>203672</v>
      </c>
      <c r="U484" s="668" t="n">
        <v>203672</v>
      </c>
      <c r="V484" s="670" t="n">
        <v>0.12</v>
      </c>
      <c r="W484" s="921" t="n">
        <v>0.055</v>
      </c>
      <c r="X484" s="921" t="n">
        <v>0.12</v>
      </c>
      <c r="Y484" s="922" t="n"/>
      <c r="Z484" s="921" t="n">
        <v>0.04</v>
      </c>
      <c r="AA484" s="919" t="n">
        <v>271902.12</v>
      </c>
      <c r="AB484" s="744" t="n"/>
      <c r="AC484" s="744" t="n"/>
      <c r="AJ484" t="str">
        <f>IFERROR(INDEX(Lists!$U$1:$U$18,MATCH($I484,Lists!$T$1:$T$18,0)),"?")</f>
        <v>TDD Group Functions</v>
      </c>
      <c r="AK484" t="str">
        <f>IF(LOWER($Q484)="v","Vacant",IF(LOWER($Q484)="pause","Paused",IF(LOWER($Q484)="cxc","Contractor",IF($Q484="Contractor","Contractor","Filled"))))</f>
        <v>Filled</v>
      </c>
      <c r="AL484" t="str">
        <f>IF($M484="NZ","NZ","AU")</f>
        <v>AU</v>
      </c>
      <c r="AM484">
        <f>COUNTIF($AJ$2:$AJ484,$AJ484)</f>
        <v>21.0</v>
      </c>
      <c r="AN484" t="str">
        <f>$AJ484&amp;"|"&amp;$AM484</f>
        <v>TDD Group Functions|21</v>
      </c>
    </row>
    <row r="485" ht="18" customHeight="1" s="849">
      <c r="A485" s="659" t="n">
        <v>99999100381</v>
      </c>
      <c r="B485" s="660" t="inlineStr">
        <is>
          <t>Joel Krijnen</t>
        </is>
      </c>
      <c r="C485" s="660" t="inlineStr">
        <is>
          <t>Lead Engineer Software</t>
        </is>
      </c>
      <c r="D485" s="660" t="inlineStr">
        <is>
          <t>Mike Seales</t>
        </is>
      </c>
      <c r="E485" s="660" t="inlineStr">
        <is>
          <t>Technology Manager Integration &amp; Process Managemetn</t>
        </is>
      </c>
      <c r="F485" s="661" t="inlineStr">
        <is>
          <t>TDD Group Functions</t>
        </is>
      </c>
      <c r="G485" s="662" t="inlineStr">
        <is>
          <t xml:space="preserve">TDD &amp; Engineering </t>
        </is>
      </c>
      <c r="H485" s="660" t="inlineStr">
        <is>
          <t>Integration &amp; Process Management</t>
        </is>
      </c>
      <c r="I485" s="660" t="inlineStr">
        <is>
          <t>TDD</t>
        </is>
      </c>
      <c r="J485" s="662" t="inlineStr">
        <is>
          <t>TDD</t>
        </is>
      </c>
      <c r="K485" s="662" t="inlineStr">
        <is>
          <t>Integration &amp; Process automation</t>
        </is>
      </c>
      <c r="L485" s="662" t="n"/>
      <c r="M485" s="663" t="inlineStr">
        <is>
          <t>NZ</t>
        </is>
      </c>
      <c r="N485" s="664" t="inlineStr">
        <is>
          <t>CIC</t>
        </is>
      </c>
      <c r="O485" s="665" t="n">
        <v>1</v>
      </c>
      <c r="P485" s="664" t="n"/>
      <c r="Q485" s="665" t="inlineStr">
        <is>
          <t>Permanent - Full Time</t>
        </is>
      </c>
      <c r="R485" s="666" t="n"/>
      <c r="S485" s="666" t="n"/>
      <c r="T485" s="667" t="n">
        <v>154830</v>
      </c>
      <c r="U485" s="668" t="n">
        <v>142443.6</v>
      </c>
      <c r="V485" s="669" t="n">
        <v>0.15</v>
      </c>
      <c r="W485" s="665" t="n"/>
      <c r="X485" s="670" t="n">
        <v>0.05</v>
      </c>
      <c r="Y485" s="918" t="n">
        <v>2910</v>
      </c>
      <c r="Z485" s="670" t="n">
        <v>0.03</v>
      </c>
      <c r="AA485" s="919" t="n">
        <v>178115.628</v>
      </c>
      <c r="AB485" s="744" t="n"/>
      <c r="AC485" s="744" t="n"/>
      <c r="AJ485" t="str">
        <f>IFERROR(INDEX(Lists!$U$1:$U$18,MATCH($I485,Lists!$T$1:$T$18,0)),"?")</f>
        <v>TDD Group Functions</v>
      </c>
      <c r="AK485" t="str">
        <f>IF(LOWER($Q485)="v","Vacant",IF(LOWER($Q485)="pause","Paused",IF(LOWER($Q485)="cxc","Contractor",IF($Q485="Contractor","Contractor","Filled"))))</f>
        <v>Filled</v>
      </c>
      <c r="AL485" t="str">
        <f>IF($M485="NZ","NZ","AU")</f>
        <v>NZ</v>
      </c>
      <c r="AM485">
        <f>COUNTIF($AJ$2:$AJ485,$AJ485)</f>
        <v>22.0</v>
      </c>
      <c r="AN485" t="str">
        <f>$AJ485&amp;"|"&amp;$AM485</f>
        <v>TDD Group Functions|22</v>
      </c>
    </row>
    <row r="486" ht="18" customHeight="1" s="849">
      <c r="A486" s="659" t="n">
        <v>99999101879</v>
      </c>
      <c r="B486" s="705" t="inlineStr">
        <is>
          <t>Lisa Rademakers</t>
        </is>
      </c>
      <c r="C486" s="705" t="inlineStr">
        <is>
          <t>Delivery Lead (Integrations)</t>
        </is>
      </c>
      <c r="D486" s="660" t="inlineStr">
        <is>
          <t>Vacant</t>
        </is>
      </c>
      <c r="E486" s="660" t="inlineStr">
        <is>
          <t>Delivery Manager</t>
        </is>
      </c>
      <c r="F486" s="661" t="inlineStr">
        <is>
          <t>TDD Group Functions</t>
        </is>
      </c>
      <c r="G486" s="662" t="inlineStr">
        <is>
          <t xml:space="preserve">TDD &amp; Engineering </t>
        </is>
      </c>
      <c r="H486" s="660" t="inlineStr">
        <is>
          <t>Delivery, TDD &amp; Engineering</t>
        </is>
      </c>
      <c r="I486" s="660" t="inlineStr">
        <is>
          <t>TDD</t>
        </is>
      </c>
      <c r="J486" s="662" t="inlineStr">
        <is>
          <t>TDD</t>
        </is>
      </c>
      <c r="K486" s="662" t="inlineStr">
        <is>
          <t>Integration &amp; Process Automation</t>
        </is>
      </c>
      <c r="L486" s="662" t="n"/>
      <c r="M486" s="663" t="inlineStr">
        <is>
          <t>NZ</t>
        </is>
      </c>
      <c r="N486" s="664" t="inlineStr">
        <is>
          <t>CIC</t>
        </is>
      </c>
      <c r="O486" s="665" t="n">
        <v>1</v>
      </c>
      <c r="P486" s="664" t="n"/>
      <c r="Q486" s="665" t="inlineStr">
        <is>
          <t>Permanent - Full Time</t>
        </is>
      </c>
      <c r="R486" s="666" t="n"/>
      <c r="S486" s="666" t="n"/>
      <c r="T486" s="667" t="n">
        <v>176220</v>
      </c>
      <c r="U486" s="668" t="n">
        <v>162122.4</v>
      </c>
      <c r="V486" s="669" t="n">
        <v>0.15</v>
      </c>
      <c r="W486" s="666" t="n"/>
      <c r="X486" s="670" t="n">
        <v>0.05</v>
      </c>
      <c r="Y486" s="918" t="n">
        <v>2910</v>
      </c>
      <c r="Z486" s="670" t="n">
        <v>0.03</v>
      </c>
      <c r="AA486" s="919" t="n">
        <v>202320.552</v>
      </c>
      <c r="AB486" s="744" t="n"/>
      <c r="AC486" s="744" t="n"/>
      <c r="AJ486" t="str">
        <f>IFERROR(INDEX(Lists!$U$1:$U$18,MATCH($I486,Lists!$T$1:$T$18,0)),"?")</f>
        <v>TDD Group Functions</v>
      </c>
      <c r="AK486" t="str">
        <f>IF(LOWER($Q486)="v","Vacant",IF(LOWER($Q486)="pause","Paused",IF(LOWER($Q486)="cxc","Contractor",IF($Q486="Contractor","Contractor","Filled"))))</f>
        <v>Filled</v>
      </c>
      <c r="AL486" t="str">
        <f>IF($M486="NZ","NZ","AU")</f>
        <v>NZ</v>
      </c>
      <c r="AM486">
        <f>COUNTIF($AJ$2:$AJ486,$AJ486)</f>
        <v>23.0</v>
      </c>
      <c r="AN486" t="str">
        <f>$AJ486&amp;"|"&amp;$AM486</f>
        <v>TDD Group Functions|23</v>
      </c>
    </row>
    <row r="487" ht="18" customHeight="1" s="849">
      <c r="A487" s="659" t="n">
        <v>99999101273</v>
      </c>
      <c r="B487" s="660" t="inlineStr">
        <is>
          <t>Michael Weng</t>
        </is>
      </c>
      <c r="C487" s="660" t="inlineStr">
        <is>
          <t>Solution Architect</t>
        </is>
      </c>
      <c r="D487" s="660" t="inlineStr">
        <is>
          <t>Mike Seales</t>
        </is>
      </c>
      <c r="E487" s="660" t="inlineStr">
        <is>
          <t>Technology Manager Integration &amp; Process Managemetn</t>
        </is>
      </c>
      <c r="F487" s="661" t="inlineStr">
        <is>
          <t>TDD Group Functions</t>
        </is>
      </c>
      <c r="G487" s="662" t="inlineStr">
        <is>
          <t xml:space="preserve">TDD &amp; Engineering </t>
        </is>
      </c>
      <c r="H487" s="660" t="inlineStr">
        <is>
          <t>Integration &amp; Process Management</t>
        </is>
      </c>
      <c r="I487" s="660" t="inlineStr">
        <is>
          <t>TDD</t>
        </is>
      </c>
      <c r="J487" s="662" t="inlineStr">
        <is>
          <t>TDD</t>
        </is>
      </c>
      <c r="K487" s="662" t="inlineStr">
        <is>
          <t>Integration &amp; Process automation</t>
        </is>
      </c>
      <c r="L487" s="662" t="n"/>
      <c r="M487" s="663" t="inlineStr">
        <is>
          <t>NZ</t>
        </is>
      </c>
      <c r="N487" s="664" t="inlineStr">
        <is>
          <t>CIC</t>
        </is>
      </c>
      <c r="O487" s="665" t="n">
        <v>1</v>
      </c>
      <c r="P487" s="664" t="n"/>
      <c r="Q487" s="665" t="inlineStr">
        <is>
          <t>Permanent - Full Time</t>
        </is>
      </c>
      <c r="R487" s="666" t="n"/>
      <c r="S487" s="666" t="n"/>
      <c r="T487" s="667" t="n">
        <v>188510</v>
      </c>
      <c r="U487" s="679" t="n">
        <v>173429.2</v>
      </c>
      <c r="V487" s="801" t="n">
        <v>0.15</v>
      </c>
      <c r="W487" s="782" t="n"/>
      <c r="X487" s="709" t="n">
        <v>0.05</v>
      </c>
      <c r="Y487" s="947" t="n">
        <v>2910</v>
      </c>
      <c r="Z487" s="709" t="n">
        <v>0.03</v>
      </c>
      <c r="AA487" s="927" t="n">
        <v>216227.916</v>
      </c>
      <c r="AB487" s="744" t="n"/>
      <c r="AC487" s="744" t="n"/>
      <c r="AJ487" t="str">
        <f>IFERROR(INDEX(Lists!$U$1:$U$18,MATCH($I487,Lists!$T$1:$T$18,0)),"?")</f>
        <v>TDD Group Functions</v>
      </c>
      <c r="AK487" t="str">
        <f>IF(LOWER($Q487)="v","Vacant",IF(LOWER($Q487)="pause","Paused",IF(LOWER($Q487)="cxc","Contractor",IF($Q487="Contractor","Contractor","Filled"))))</f>
        <v>Filled</v>
      </c>
      <c r="AL487" t="str">
        <f>IF($M487="NZ","NZ","AU")</f>
        <v>NZ</v>
      </c>
      <c r="AM487">
        <f>COUNTIF($AJ$2:$AJ487,$AJ487)</f>
        <v>24.0</v>
      </c>
      <c r="AN487" t="str">
        <f>$AJ487&amp;"|"&amp;$AM487</f>
        <v>TDD Group Functions|24</v>
      </c>
    </row>
    <row r="488" ht="18" customHeight="1" s="849">
      <c r="A488" s="659" t="n">
        <v>99999101058</v>
      </c>
      <c r="B488" s="803" t="inlineStr">
        <is>
          <t>Mike Seales</t>
        </is>
      </c>
      <c r="C488" s="660" t="inlineStr">
        <is>
          <t>Technology Manager, Integration &amp; Process Automation</t>
        </is>
      </c>
      <c r="D488" s="662" t="inlineStr">
        <is>
          <t>Vacant</t>
        </is>
      </c>
      <c r="E488" s="660" t="inlineStr">
        <is>
          <t>Head of Technology - TDD &amp; Engineering Capability Lead</t>
        </is>
      </c>
      <c r="F488" s="661" t="inlineStr">
        <is>
          <t>TDD Group Functions</t>
        </is>
      </c>
      <c r="G488" s="662" t="inlineStr">
        <is>
          <t xml:space="preserve">TDD &amp; Engineering </t>
        </is>
      </c>
      <c r="H488" s="660" t="inlineStr">
        <is>
          <t>Integration &amp; Process Management</t>
        </is>
      </c>
      <c r="I488" s="660" t="inlineStr">
        <is>
          <t>TDD</t>
        </is>
      </c>
      <c r="J488" s="662" t="inlineStr">
        <is>
          <t>TDD</t>
        </is>
      </c>
      <c r="K488" s="662" t="inlineStr">
        <is>
          <t>Integration &amp; Process automation</t>
        </is>
      </c>
      <c r="L488" s="662" t="n"/>
      <c r="M488" s="663" t="inlineStr">
        <is>
          <t>NZ</t>
        </is>
      </c>
      <c r="N488" s="664" t="inlineStr">
        <is>
          <t>CSB</t>
        </is>
      </c>
      <c r="O488" s="665" t="n">
        <v>1</v>
      </c>
      <c r="P488" s="664" t="n"/>
      <c r="Q488" s="665" t="inlineStr">
        <is>
          <t>Permanent - Full Time</t>
        </is>
      </c>
      <c r="R488" s="666" t="n"/>
      <c r="S488" s="666" t="n"/>
      <c r="T488" s="667" t="n">
        <v>200000</v>
      </c>
      <c r="U488" s="679" t="n">
        <v>184000</v>
      </c>
      <c r="V488" s="801" t="n">
        <v>0.15</v>
      </c>
      <c r="W488" s="782" t="n"/>
      <c r="X488" s="709" t="n">
        <v>0.05</v>
      </c>
      <c r="Y488" s="947" t="n">
        <v>2910</v>
      </c>
      <c r="Z488" s="709" t="n">
        <v>0.03</v>
      </c>
      <c r="AA488" s="927" t="n">
        <v>229230</v>
      </c>
      <c r="AB488" s="744" t="n"/>
      <c r="AC488" s="744" t="n"/>
      <c r="AJ488" t="str">
        <f>IFERROR(INDEX(Lists!$U$1:$U$18,MATCH($I488,Lists!$T$1:$T$18,0)),"?")</f>
        <v>TDD Group Functions</v>
      </c>
      <c r="AK488" t="str">
        <f>IF(LOWER($Q488)="v","Vacant",IF(LOWER($Q488)="pause","Paused",IF(LOWER($Q488)="cxc","Contractor",IF($Q488="Contractor","Contractor","Filled"))))</f>
        <v>Filled</v>
      </c>
      <c r="AL488" t="str">
        <f>IF($M488="NZ","NZ","AU")</f>
        <v>NZ</v>
      </c>
      <c r="AM488">
        <f>COUNTIF($AJ$2:$AJ488,$AJ488)</f>
        <v>25.0</v>
      </c>
      <c r="AN488" t="str">
        <f>$AJ488&amp;"|"&amp;$AM488</f>
        <v>TDD Group Functions|25</v>
      </c>
    </row>
    <row r="489" ht="18" customHeight="1" s="849">
      <c r="A489" s="659" t="n">
        <v>99999101069</v>
      </c>
      <c r="B489" s="705" t="inlineStr">
        <is>
          <t>Noel Morris</t>
        </is>
      </c>
      <c r="C489" s="705" t="inlineStr">
        <is>
          <t>Snr Engineer</t>
        </is>
      </c>
      <c r="D489" s="662" t="inlineStr">
        <is>
          <t>Vacant</t>
        </is>
      </c>
      <c r="E489" s="705" t="inlineStr">
        <is>
          <t>RPA Lead</t>
        </is>
      </c>
      <c r="F489" s="661" t="inlineStr">
        <is>
          <t>TDD Group Functions</t>
        </is>
      </c>
      <c r="G489" s="662" t="inlineStr">
        <is>
          <t xml:space="preserve">TDD &amp; Engineering </t>
        </is>
      </c>
      <c r="H489" s="662" t="inlineStr">
        <is>
          <t>Integration &amp; Process automation</t>
        </is>
      </c>
      <c r="I489" s="660" t="inlineStr">
        <is>
          <t>TDD</t>
        </is>
      </c>
      <c r="J489" s="662" t="inlineStr">
        <is>
          <t>TDD</t>
        </is>
      </c>
      <c r="K489" s="662" t="inlineStr">
        <is>
          <t>Integration &amp; Process automation</t>
        </is>
      </c>
      <c r="L489" s="662" t="n"/>
      <c r="M489" s="663" t="inlineStr">
        <is>
          <t>NZ</t>
        </is>
      </c>
      <c r="N489" s="664" t="inlineStr">
        <is>
          <t>CIA</t>
        </is>
      </c>
      <c r="O489" s="665" t="n">
        <v>1</v>
      </c>
      <c r="P489" s="664" t="n"/>
      <c r="Q489" s="665" t="inlineStr">
        <is>
          <t>Permanent - Full Time</t>
        </is>
      </c>
      <c r="R489" s="666" t="n"/>
      <c r="S489" s="666" t="n"/>
      <c r="T489" s="667" t="n">
        <v>120800</v>
      </c>
      <c r="U489" s="679" t="n">
        <v>111136</v>
      </c>
      <c r="V489" s="801" t="n">
        <v>0.15</v>
      </c>
      <c r="W489" s="782" t="n"/>
      <c r="X489" s="709" t="n">
        <v>0.05</v>
      </c>
      <c r="Y489" s="947" t="n">
        <v>2910</v>
      </c>
      <c r="Z489" s="709" t="n">
        <v>0.03</v>
      </c>
      <c r="AA489" s="927" t="n">
        <v>139607.28</v>
      </c>
      <c r="AB489" s="744" t="n"/>
      <c r="AC489" s="744" t="n"/>
      <c r="AJ489" t="str">
        <f>IFERROR(INDEX(Lists!$U$1:$U$18,MATCH($I489,Lists!$T$1:$T$18,0)),"?")</f>
        <v>TDD Group Functions</v>
      </c>
      <c r="AK489" t="str">
        <f>IF(LOWER($Q489)="v","Vacant",IF(LOWER($Q489)="pause","Paused",IF(LOWER($Q489)="cxc","Contractor",IF($Q489="Contractor","Contractor","Filled"))))</f>
        <v>Filled</v>
      </c>
      <c r="AL489" t="str">
        <f>IF($M489="NZ","NZ","AU")</f>
        <v>NZ</v>
      </c>
      <c r="AM489">
        <f>COUNTIF($AJ$2:$AJ489,$AJ489)</f>
        <v>26.0</v>
      </c>
      <c r="AN489" t="str">
        <f>$AJ489&amp;"|"&amp;$AM489</f>
        <v>TDD Group Functions|26</v>
      </c>
    </row>
    <row r="490" ht="18" customHeight="1" s="849">
      <c r="A490" s="659" t="n">
        <v>114367</v>
      </c>
      <c r="B490" s="705" t="inlineStr">
        <is>
          <t>Thandava Krishna Kakarala</t>
        </is>
      </c>
      <c r="C490" s="705" t="inlineStr">
        <is>
          <t>Snr Engineer - Boomi</t>
        </is>
      </c>
      <c r="D490" s="660" t="inlineStr">
        <is>
          <t>Mike Seales</t>
        </is>
      </c>
      <c r="E490" s="660" t="inlineStr">
        <is>
          <t>Technology Manager Integration &amp; Process Managemetn</t>
        </is>
      </c>
      <c r="F490" s="661" t="inlineStr">
        <is>
          <t>TDD Group Functions</t>
        </is>
      </c>
      <c r="G490" s="662" t="inlineStr">
        <is>
          <t xml:space="preserve">TDD &amp; Engineering </t>
        </is>
      </c>
      <c r="H490" s="660" t="inlineStr">
        <is>
          <t>Integration &amp; Process Management</t>
        </is>
      </c>
      <c r="I490" s="660" t="inlineStr">
        <is>
          <t>TDD</t>
        </is>
      </c>
      <c r="J490" s="662" t="inlineStr">
        <is>
          <t>TDD</t>
        </is>
      </c>
      <c r="K490" s="662" t="inlineStr">
        <is>
          <t>Integration &amp; Process automation</t>
        </is>
      </c>
      <c r="L490" s="662" t="n"/>
      <c r="M490" s="663" t="inlineStr">
        <is>
          <t>Australia</t>
        </is>
      </c>
      <c r="N490" s="664" t="inlineStr">
        <is>
          <t>CIB</t>
        </is>
      </c>
      <c r="O490" s="664" t="n">
        <v>1</v>
      </c>
      <c r="P490" s="664" t="n"/>
      <c r="Q490" s="664" t="inlineStr">
        <is>
          <t>Permanent - Full Time</t>
        </is>
      </c>
      <c r="R490" s="666" t="n"/>
      <c r="S490" s="666" t="n"/>
      <c r="T490" s="667" t="n">
        <v>140000</v>
      </c>
      <c r="U490" s="668" t="n">
        <v>140000</v>
      </c>
      <c r="V490" s="670" t="n">
        <v>0.12</v>
      </c>
      <c r="W490" s="921" t="n">
        <v>0.055</v>
      </c>
      <c r="X490" s="921" t="n">
        <v>0.12</v>
      </c>
      <c r="Y490" s="922" t="n"/>
      <c r="Z490" s="921" t="n">
        <v>0.04</v>
      </c>
      <c r="AA490" s="919" t="n">
        <v>186900</v>
      </c>
      <c r="AB490" s="744" t="n"/>
      <c r="AC490" s="744" t="n"/>
      <c r="AJ490" t="str">
        <f>IFERROR(INDEX(Lists!$U$1:$U$18,MATCH($I490,Lists!$T$1:$T$18,0)),"?")</f>
        <v>TDD Group Functions</v>
      </c>
      <c r="AK490" t="str">
        <f>IF(LOWER($Q490)="v","Vacant",IF(LOWER($Q490)="pause","Paused",IF(LOWER($Q490)="cxc","Contractor",IF($Q490="Contractor","Contractor","Filled"))))</f>
        <v>Filled</v>
      </c>
      <c r="AL490" t="str">
        <f>IF($M490="NZ","NZ","AU")</f>
        <v>AU</v>
      </c>
      <c r="AM490">
        <f>COUNTIF($AJ$2:$AJ490,$AJ490)</f>
        <v>27.0</v>
      </c>
      <c r="AN490" t="str">
        <f>$AJ490&amp;"|"&amp;$AM490</f>
        <v>TDD Group Functions|27</v>
      </c>
    </row>
    <row r="491" ht="18" customFormat="1" customHeight="1" s="817">
      <c r="A491" s="804" t="n">
        <v>116027</v>
      </c>
      <c r="B491" s="805" t="inlineStr">
        <is>
          <t>Nidhi Aggarwal</t>
        </is>
      </c>
      <c r="C491" s="805" t="inlineStr">
        <is>
          <t>Snr Engineer - Boomi</t>
        </is>
      </c>
      <c r="D491" s="806" t="inlineStr">
        <is>
          <t>Mike Seales</t>
        </is>
      </c>
      <c r="E491" s="806" t="inlineStr">
        <is>
          <t>Technology Manager Integration &amp; Process Managemetn</t>
        </is>
      </c>
      <c r="F491" s="807" t="inlineStr">
        <is>
          <t>TDD Group Functions</t>
        </is>
      </c>
      <c r="G491" s="796" t="inlineStr">
        <is>
          <t>TDD &amp; Engineering</t>
        </is>
      </c>
      <c r="H491" s="806" t="inlineStr">
        <is>
          <t>Integration &amp; Process Management</t>
        </is>
      </c>
      <c r="I491" s="806" t="inlineStr">
        <is>
          <t>TDD</t>
        </is>
      </c>
      <c r="J491" s="796" t="inlineStr">
        <is>
          <t>TDD</t>
        </is>
      </c>
      <c r="K491" s="796" t="inlineStr">
        <is>
          <t>Integration &amp; Process automation</t>
        </is>
      </c>
      <c r="L491" s="796" t="n"/>
      <c r="M491" s="808" t="inlineStr">
        <is>
          <t>NZ</t>
        </is>
      </c>
      <c r="N491" s="768" t="n"/>
      <c r="O491" s="768" t="n">
        <v>1</v>
      </c>
      <c r="P491" s="768" t="n"/>
      <c r="Q491" s="768" t="inlineStr">
        <is>
          <t>Permanent - Full Time</t>
        </is>
      </c>
      <c r="R491" s="809" t="n"/>
      <c r="S491" s="809" t="n"/>
      <c r="T491" s="810" t="n">
        <v>150000</v>
      </c>
      <c r="U491" s="811" t="n"/>
      <c r="V491" s="812" t="n"/>
      <c r="W491" s="948" t="n"/>
      <c r="X491" s="948" t="n"/>
      <c r="Y491" s="949" t="n"/>
      <c r="Z491" s="948" t="n"/>
      <c r="AA491" s="950" t="n"/>
      <c r="AB491" s="816" t="n"/>
      <c r="AC491" s="816" t="n"/>
      <c r="AJ491" t="str">
        <f>IFERROR(INDEX(Lists!$U$1:$U$18,MATCH($I491,Lists!$T$1:$T$18,0)),"?")</f>
        <v>TDD Group Functions</v>
      </c>
      <c r="AK491" t="str">
        <f>IF(LOWER($Q491)="v","Vacant",IF(LOWER($Q491)="pause","Paused",IF(LOWER($Q491)="cxc","Contractor",IF($Q491="Contractor","Contractor","Filled"))))</f>
        <v>Filled</v>
      </c>
      <c r="AL491" t="str">
        <f>IF($M491="NZ","NZ","AU")</f>
        <v>NZ</v>
      </c>
      <c r="AM491">
        <f>COUNTIF($AJ$2:$AJ491,$AJ491)</f>
        <v>28.0</v>
      </c>
      <c r="AN491" t="str">
        <f>$AJ491&amp;"|"&amp;$AM491</f>
        <v>TDD Group Functions|28</v>
      </c>
    </row>
    <row r="492" ht="18" customHeight="1" s="849">
      <c r="A492" s="659" t="n">
        <v>99999101229</v>
      </c>
      <c r="B492" s="660" t="inlineStr">
        <is>
          <t>Billie Connolly</t>
        </is>
      </c>
      <c r="C492" s="660" t="inlineStr">
        <is>
          <t>Engineer - Modern Workplaces</t>
        </is>
      </c>
      <c r="D492" s="662" t="inlineStr">
        <is>
          <t>Vacant</t>
        </is>
      </c>
      <c r="E492" s="660" t="inlineStr">
        <is>
          <t>Technology Manager, Enterprise Tooling</t>
        </is>
      </c>
      <c r="F492" s="661" t="inlineStr">
        <is>
          <t>TDD Group Functions</t>
        </is>
      </c>
      <c r="G492" s="662" t="inlineStr">
        <is>
          <t xml:space="preserve">TDD &amp; Engineering </t>
        </is>
      </c>
      <c r="H492" s="660" t="inlineStr">
        <is>
          <t>Workplace &amp; Enterprise Tooling</t>
        </is>
      </c>
      <c r="I492" s="660" t="inlineStr">
        <is>
          <t>TDD</t>
        </is>
      </c>
      <c r="J492" s="662" t="inlineStr">
        <is>
          <t>TDD</t>
        </is>
      </c>
      <c r="K492" s="662" t="inlineStr">
        <is>
          <t>Workplace &amp; Enterprise Tooling</t>
        </is>
      </c>
      <c r="L492" s="662" t="n"/>
      <c r="M492" s="663" t="inlineStr">
        <is>
          <t>NZ</t>
        </is>
      </c>
      <c r="N492" s="664" t="inlineStr">
        <is>
          <t>CIA</t>
        </is>
      </c>
      <c r="O492" s="665" t="n">
        <v>1</v>
      </c>
      <c r="P492" s="664" t="n"/>
      <c r="Q492" s="665" t="inlineStr">
        <is>
          <t>Permanent - Full Time</t>
        </is>
      </c>
      <c r="R492" s="666" t="n"/>
      <c r="S492" s="666" t="n"/>
      <c r="T492" s="667" t="n">
        <v>117530</v>
      </c>
      <c r="U492" s="668" t="n">
        <v>108127.6</v>
      </c>
      <c r="V492" s="669" t="n">
        <v>0.15</v>
      </c>
      <c r="W492" s="665" t="n"/>
      <c r="X492" s="670" t="n">
        <v>0.05</v>
      </c>
      <c r="Y492" s="918" t="n">
        <v>2910</v>
      </c>
      <c r="Z492" s="670" t="n">
        <v>0.03</v>
      </c>
      <c r="AA492" s="919" t="n">
        <v>135906.948</v>
      </c>
      <c r="AB492" s="744" t="n"/>
      <c r="AC492" s="744" t="n"/>
      <c r="AJ492" t="str">
        <f>IFERROR(INDEX(Lists!$U$1:$U$18,MATCH($I492,Lists!$T$1:$T$18,0)),"?")</f>
        <v>TDD Group Functions</v>
      </c>
      <c r="AK492" t="str">
        <f>IF(LOWER($Q492)="v","Vacant",IF(LOWER($Q492)="pause","Paused",IF(LOWER($Q492)="cxc","Contractor",IF($Q492="Contractor","Contractor","Filled"))))</f>
        <v>Filled</v>
      </c>
      <c r="AL492" t="str">
        <f>IF($M492="NZ","NZ","AU")</f>
        <v>NZ</v>
      </c>
      <c r="AM492">
        <f>COUNTIF($AJ$2:$AJ492,$AJ492)</f>
        <v>29.0</v>
      </c>
      <c r="AN492" t="str">
        <f>$AJ492&amp;"|"&amp;$AM492</f>
        <v>TDD Group Functions|29</v>
      </c>
    </row>
    <row r="493" ht="18" customHeight="1" s="849">
      <c r="A493" s="659" t="n">
        <v>95018</v>
      </c>
      <c r="B493" s="660" t="inlineStr">
        <is>
          <t>Ken Thomson</t>
        </is>
      </c>
      <c r="C493" s="660" t="inlineStr">
        <is>
          <t>Servicenow Platform Specialist</t>
        </is>
      </c>
      <c r="D493" s="662" t="inlineStr">
        <is>
          <t>Vacant</t>
        </is>
      </c>
      <c r="E493" s="660" t="inlineStr">
        <is>
          <t>Technology Manager, Enterprise Tooling</t>
        </is>
      </c>
      <c r="F493" s="661" t="inlineStr">
        <is>
          <t>TDD Group Functions</t>
        </is>
      </c>
      <c r="G493" s="662" t="inlineStr">
        <is>
          <t xml:space="preserve">TDD &amp; Engineering </t>
        </is>
      </c>
      <c r="H493" s="660" t="inlineStr">
        <is>
          <t>Workplace &amp; Enterprise Tooling</t>
        </is>
      </c>
      <c r="I493" s="660" t="inlineStr">
        <is>
          <t>TDD</t>
        </is>
      </c>
      <c r="J493" s="662" t="inlineStr">
        <is>
          <t>TDD</t>
        </is>
      </c>
      <c r="K493" s="662" t="inlineStr">
        <is>
          <t>Workplace &amp; Enterprise Tooling</t>
        </is>
      </c>
      <c r="L493" s="662" t="n"/>
      <c r="M493" s="663" t="inlineStr">
        <is>
          <t>Australia</t>
        </is>
      </c>
      <c r="N493" s="664" t="inlineStr">
        <is>
          <t>CIC</t>
        </is>
      </c>
      <c r="O493" s="664" t="n">
        <v>1</v>
      </c>
      <c r="P493" s="664" t="n"/>
      <c r="Q493" s="664" t="inlineStr">
        <is>
          <t>Permanent - Full Time</t>
        </is>
      </c>
      <c r="R493" s="666" t="n"/>
      <c r="S493" s="666" t="n"/>
      <c r="T493" s="667" t="n">
        <v>165450</v>
      </c>
      <c r="U493" s="668" t="n">
        <v>165450</v>
      </c>
      <c r="V493" s="670" t="n">
        <v>0.12</v>
      </c>
      <c r="W493" s="921" t="n">
        <v>0.055</v>
      </c>
      <c r="X493" s="921" t="n">
        <v>0.12</v>
      </c>
      <c r="Y493" s="922" t="n"/>
      <c r="Z493" s="921" t="n">
        <v>0.04</v>
      </c>
      <c r="AA493" s="919" t="n">
        <v>220875.75</v>
      </c>
      <c r="AB493" s="744" t="n"/>
      <c r="AC493" s="744" t="n"/>
      <c r="AJ493" t="str">
        <f>IFERROR(INDEX(Lists!$U$1:$U$18,MATCH($I493,Lists!$T$1:$T$18,0)),"?")</f>
        <v>TDD Group Functions</v>
      </c>
      <c r="AK493" t="str">
        <f>IF(LOWER($Q493)="v","Vacant",IF(LOWER($Q493)="pause","Paused",IF(LOWER($Q493)="cxc","Contractor",IF($Q493="Contractor","Contractor","Filled"))))</f>
        <v>Filled</v>
      </c>
      <c r="AL493" t="str">
        <f>IF($M493="NZ","NZ","AU")</f>
        <v>AU</v>
      </c>
      <c r="AM493">
        <f>COUNTIF($AJ$2:$AJ493,$AJ493)</f>
        <v>30.0</v>
      </c>
      <c r="AN493" t="str">
        <f>$AJ493&amp;"|"&amp;$AM493</f>
        <v>TDD Group Functions|30</v>
      </c>
    </row>
    <row r="494" ht="18" customHeight="1" s="849">
      <c r="A494" s="659" t="n">
        <v>106024</v>
      </c>
      <c r="B494" s="660" t="inlineStr">
        <is>
          <t>Nicholas McKay</t>
        </is>
      </c>
      <c r="C494" s="660" t="inlineStr">
        <is>
          <t>Workplace Tooling Specialist</t>
        </is>
      </c>
      <c r="D494" s="662" t="inlineStr">
        <is>
          <t>Vacant</t>
        </is>
      </c>
      <c r="E494" s="660" t="inlineStr">
        <is>
          <t>Technology Manager, Enterprise Tooling</t>
        </is>
      </c>
      <c r="F494" s="661" t="inlineStr">
        <is>
          <t>TDD Group Functions</t>
        </is>
      </c>
      <c r="G494" s="662" t="inlineStr">
        <is>
          <t xml:space="preserve">TDD &amp; Engineering </t>
        </is>
      </c>
      <c r="H494" s="660" t="inlineStr">
        <is>
          <t>Workplace &amp; Enterprise Tooling</t>
        </is>
      </c>
      <c r="I494" s="660" t="inlineStr">
        <is>
          <t>TDD</t>
        </is>
      </c>
      <c r="J494" s="662" t="inlineStr">
        <is>
          <t>TDD</t>
        </is>
      </c>
      <c r="K494" s="662" t="inlineStr">
        <is>
          <t>Workplace &amp; Enterprise Tooling</t>
        </is>
      </c>
      <c r="L494" s="662" t="n"/>
      <c r="M494" s="663" t="inlineStr">
        <is>
          <t>Australia</t>
        </is>
      </c>
      <c r="N494" s="664" t="inlineStr">
        <is>
          <t>CIB</t>
        </is>
      </c>
      <c r="O494" s="664" t="n">
        <v>1</v>
      </c>
      <c r="P494" s="664" t="n"/>
      <c r="Q494" s="664" t="inlineStr">
        <is>
          <t>Permanent - Full Time</t>
        </is>
      </c>
      <c r="R494" s="666" t="n"/>
      <c r="S494" s="666" t="n"/>
      <c r="T494" s="667" t="n">
        <v>159130</v>
      </c>
      <c r="U494" s="668" t="n">
        <v>159130</v>
      </c>
      <c r="V494" s="670" t="n">
        <v>0.12</v>
      </c>
      <c r="W494" s="921" t="n">
        <v>0.055</v>
      </c>
      <c r="X494" s="921" t="n">
        <v>0.12</v>
      </c>
      <c r="Y494" s="922" t="n"/>
      <c r="Z494" s="921" t="n">
        <v>0.04</v>
      </c>
      <c r="AA494" s="919" t="n">
        <v>212438.55</v>
      </c>
      <c r="AB494" s="744" t="n"/>
      <c r="AC494" s="744" t="n"/>
      <c r="AJ494" t="str">
        <f>IFERROR(INDEX(Lists!$U$1:$U$18,MATCH($I494,Lists!$T$1:$T$18,0)),"?")</f>
        <v>TDD Group Functions</v>
      </c>
      <c r="AK494" t="str">
        <f>IF(LOWER($Q494)="v","Vacant",IF(LOWER($Q494)="pause","Paused",IF(LOWER($Q494)="cxc","Contractor",IF($Q494="Contractor","Contractor","Filled"))))</f>
        <v>Filled</v>
      </c>
      <c r="AL494" t="str">
        <f>IF($M494="NZ","NZ","AU")</f>
        <v>AU</v>
      </c>
      <c r="AM494">
        <f>COUNTIF($AJ$2:$AJ494,$AJ494)</f>
        <v>31.0</v>
      </c>
      <c r="AN494" t="str">
        <f>$AJ494&amp;"|"&amp;$AM494</f>
        <v>TDD Group Functions|31</v>
      </c>
    </row>
    <row r="495" ht="18" customHeight="1" s="849">
      <c r="A495" s="659" t="inlineStr">
        <is>
          <t>V</t>
        </is>
      </c>
      <c r="B495" s="799" t="inlineStr">
        <is>
          <t>Vacant</t>
        </is>
      </c>
      <c r="C495" s="705" t="inlineStr">
        <is>
          <t>SAP Functional Specialist</t>
        </is>
      </c>
      <c r="D495" s="662" t="inlineStr">
        <is>
          <t>EE Lynn Yap</t>
        </is>
      </c>
      <c r="E495" s="705" t="inlineStr">
        <is>
          <t>SAP ERP Application Lead</t>
        </is>
      </c>
      <c r="F495" s="661" t="inlineStr">
        <is>
          <t>TDD Group Functions</t>
        </is>
      </c>
      <c r="G495" s="705" t="inlineStr">
        <is>
          <t>P&amp;C, Finance &amp; Legal</t>
        </is>
      </c>
      <c r="H495" s="662" t="inlineStr">
        <is>
          <t>Tech, Finance Platforms</t>
        </is>
      </c>
      <c r="I495" s="662" t="inlineStr">
        <is>
          <t>Finance</t>
        </is>
      </c>
      <c r="J495" s="662" t="inlineStr">
        <is>
          <t>AU Finance</t>
        </is>
      </c>
      <c r="K495" s="662" t="inlineStr">
        <is>
          <t>SAP ERP</t>
        </is>
      </c>
      <c r="L495" s="662" t="n"/>
      <c r="M495" s="663" t="inlineStr">
        <is>
          <t>Australia</t>
        </is>
      </c>
      <c r="N495" s="666" t="inlineStr">
        <is>
          <t>CIC</t>
        </is>
      </c>
      <c r="O495" s="664" t="n">
        <v>1</v>
      </c>
      <c r="P495" s="664" t="n"/>
      <c r="Q495" s="664" t="inlineStr">
        <is>
          <t>v</t>
        </is>
      </c>
      <c r="R495" s="666" t="n"/>
      <c r="S495" s="666" t="n"/>
      <c r="T495" s="667" t="n">
        <v>173550</v>
      </c>
      <c r="U495" s="668" t="n">
        <v>173550</v>
      </c>
      <c r="V495" s="670" t="n">
        <v>0.12</v>
      </c>
      <c r="W495" s="921" t="n">
        <v>0.055</v>
      </c>
      <c r="X495" s="921" t="n">
        <v>0.12</v>
      </c>
      <c r="Y495" s="922" t="n"/>
      <c r="Z495" s="921" t="n">
        <v>0.04</v>
      </c>
      <c r="AA495" s="919" t="n">
        <v>231689.25</v>
      </c>
      <c r="AB495" s="744" t="n"/>
      <c r="AC495" s="744" t="n"/>
      <c r="AJ495" t="str">
        <f>IFERROR(INDEX(Lists!$U$1:$U$18,MATCH($I495,Lists!$T$1:$T$18,0)),"?")</f>
        <v>Finance</v>
      </c>
      <c r="AK495" t="str">
        <f>IF(LOWER($Q495)="v","Vacant",IF(LOWER($Q495)="pause","Paused",IF(LOWER($Q495)="cxc","Contractor",IF($Q495="Contractor","Contractor","Filled"))))</f>
        <v>Vacant</v>
      </c>
      <c r="AL495" t="str">
        <f>IF($M495="NZ","NZ","AU")</f>
        <v>AU</v>
      </c>
      <c r="AM495">
        <f>COUNTIF($AJ$2:$AJ495,$AJ495)</f>
        <v>9.0</v>
      </c>
      <c r="AN495" t="str">
        <f>$AJ495&amp;"|"&amp;$AM495</f>
        <v>Finance|9</v>
      </c>
    </row>
    <row r="496" ht="18" customHeight="1" s="849">
      <c r="A496" s="659" t="inlineStr">
        <is>
          <t>V</t>
        </is>
      </c>
      <c r="B496" s="799" t="inlineStr">
        <is>
          <t>Vacant</t>
        </is>
      </c>
      <c r="C496" s="705" t="inlineStr">
        <is>
          <t>SAP Functional Specialist</t>
        </is>
      </c>
      <c r="D496" s="662" t="inlineStr">
        <is>
          <t>Julma Bhagwani</t>
        </is>
      </c>
      <c r="E496" s="705" t="inlineStr">
        <is>
          <t>SAP ERP Application Lead</t>
        </is>
      </c>
      <c r="F496" s="661" t="inlineStr">
        <is>
          <t>TDD Group Functions</t>
        </is>
      </c>
      <c r="G496" s="705" t="inlineStr">
        <is>
          <t>P&amp;C, Finance &amp; Legal</t>
        </is>
      </c>
      <c r="H496" s="662" t="inlineStr">
        <is>
          <t>Tech, Finance Platforms</t>
        </is>
      </c>
      <c r="I496" s="662" t="inlineStr">
        <is>
          <t>Finance</t>
        </is>
      </c>
      <c r="J496" s="662" t="inlineStr">
        <is>
          <t>AU Finance</t>
        </is>
      </c>
      <c r="K496" s="662" t="inlineStr">
        <is>
          <t>SAP ERP</t>
        </is>
      </c>
      <c r="L496" s="662" t="n"/>
      <c r="M496" s="663" t="inlineStr">
        <is>
          <t>Australia</t>
        </is>
      </c>
      <c r="N496" s="666" t="inlineStr">
        <is>
          <t>CIC</t>
        </is>
      </c>
      <c r="O496" s="664" t="n">
        <v>1</v>
      </c>
      <c r="P496" s="664" t="n"/>
      <c r="Q496" s="664" t="inlineStr">
        <is>
          <t>v</t>
        </is>
      </c>
      <c r="R496" s="666" t="n"/>
      <c r="S496" s="666" t="n"/>
      <c r="T496" s="667" t="n">
        <v>173550</v>
      </c>
      <c r="U496" s="668" t="n">
        <v>173550</v>
      </c>
      <c r="V496" s="670" t="n">
        <v>0.12</v>
      </c>
      <c r="W496" s="921" t="n">
        <v>0.055</v>
      </c>
      <c r="X496" s="921" t="n">
        <v>0.12</v>
      </c>
      <c r="Y496" s="922" t="n"/>
      <c r="Z496" s="921" t="n">
        <v>0.04</v>
      </c>
      <c r="AA496" s="919" t="n">
        <v>231689.25</v>
      </c>
      <c r="AB496" s="744" t="n"/>
      <c r="AC496" s="744" t="n"/>
      <c r="AJ496" t="str">
        <f>IFERROR(INDEX(Lists!$U$1:$U$18,MATCH($I496,Lists!$T$1:$T$18,0)),"?")</f>
        <v>Finance</v>
      </c>
      <c r="AK496" t="str">
        <f>IF(LOWER($Q496)="v","Vacant",IF(LOWER($Q496)="pause","Paused",IF(LOWER($Q496)="cxc","Contractor",IF($Q496="Contractor","Contractor","Filled"))))</f>
        <v>Vacant</v>
      </c>
      <c r="AL496" t="str">
        <f>IF($M496="NZ","NZ","AU")</f>
        <v>AU</v>
      </c>
      <c r="AM496">
        <f>COUNTIF($AJ$2:$AJ496,$AJ496)</f>
        <v>10.0</v>
      </c>
      <c r="AN496" t="str">
        <f>$AJ496&amp;"|"&amp;$AM496</f>
        <v>Finance|10</v>
      </c>
    </row>
    <row r="497" ht="18" customHeight="1" s="849">
      <c r="A497" s="659" t="inlineStr">
        <is>
          <t>V</t>
        </is>
      </c>
      <c r="B497" s="799" t="inlineStr">
        <is>
          <t>Vacant</t>
        </is>
      </c>
      <c r="C497" s="705" t="inlineStr">
        <is>
          <t>SAP Functional Specialist</t>
        </is>
      </c>
      <c r="D497" s="662" t="inlineStr">
        <is>
          <t>Maudud Chaudhury</t>
        </is>
      </c>
      <c r="E497" s="705" t="inlineStr">
        <is>
          <t>SAP ERP Application Lead</t>
        </is>
      </c>
      <c r="F497" s="661" t="inlineStr">
        <is>
          <t>TDD Group Functions</t>
        </is>
      </c>
      <c r="G497" s="705" t="inlineStr">
        <is>
          <t>P&amp;C, Finance &amp; Legal</t>
        </is>
      </c>
      <c r="H497" s="662" t="inlineStr">
        <is>
          <t>Tech, Finance Platforms</t>
        </is>
      </c>
      <c r="I497" s="662" t="inlineStr">
        <is>
          <t>Finance</t>
        </is>
      </c>
      <c r="J497" s="662" t="inlineStr">
        <is>
          <t>AU Finance</t>
        </is>
      </c>
      <c r="K497" s="662" t="inlineStr">
        <is>
          <t>SAP ERP</t>
        </is>
      </c>
      <c r="L497" s="662" t="n"/>
      <c r="M497" s="663" t="inlineStr">
        <is>
          <t>Australia</t>
        </is>
      </c>
      <c r="N497" s="666" t="inlineStr">
        <is>
          <t>CIC</t>
        </is>
      </c>
      <c r="O497" s="664" t="n">
        <v>1</v>
      </c>
      <c r="P497" s="664" t="n"/>
      <c r="Q497" s="664" t="inlineStr">
        <is>
          <t>v</t>
        </is>
      </c>
      <c r="R497" s="666" t="n"/>
      <c r="S497" s="666" t="n"/>
      <c r="T497" s="667" t="n">
        <v>173550</v>
      </c>
      <c r="U497" s="668" t="n">
        <v>173550</v>
      </c>
      <c r="V497" s="670" t="n">
        <v>0.12</v>
      </c>
      <c r="W497" s="921" t="n">
        <v>0.055</v>
      </c>
      <c r="X497" s="921" t="n">
        <v>0.12</v>
      </c>
      <c r="Y497" s="922" t="n"/>
      <c r="Z497" s="921" t="n">
        <v>0.04</v>
      </c>
      <c r="AA497" s="919" t="n">
        <v>231689.25</v>
      </c>
      <c r="AB497" s="744" t="n"/>
      <c r="AC497" s="744" t="n"/>
      <c r="AJ497" t="str">
        <f>IFERROR(INDEX(Lists!$U$1:$U$18,MATCH($I497,Lists!$T$1:$T$18,0)),"?")</f>
        <v>Finance</v>
      </c>
      <c r="AK497" t="str">
        <f>IF(LOWER($Q497)="v","Vacant",IF(LOWER($Q497)="pause","Paused",IF(LOWER($Q497)="cxc","Contractor",IF($Q497="Contractor","Contractor","Filled"))))</f>
        <v>Vacant</v>
      </c>
      <c r="AL497" t="str">
        <f>IF($M497="NZ","NZ","AU")</f>
        <v>AU</v>
      </c>
      <c r="AM497">
        <f>COUNTIF($AJ$2:$AJ497,$AJ497)</f>
        <v>11.0</v>
      </c>
      <c r="AN497" t="str">
        <f>$AJ497&amp;"|"&amp;$AM497</f>
        <v>Finance|11</v>
      </c>
    </row>
    <row r="498" ht="18" customHeight="1" s="849">
      <c r="A498" s="659" t="inlineStr">
        <is>
          <t>V</t>
        </is>
      </c>
      <c r="B498" s="799" t="inlineStr">
        <is>
          <t>Vacant</t>
        </is>
      </c>
      <c r="C498" s="705" t="inlineStr">
        <is>
          <t>SAP Functional Specialist</t>
        </is>
      </c>
      <c r="D498" s="662" t="inlineStr">
        <is>
          <t>Shane Ker</t>
        </is>
      </c>
      <c r="E498" s="705" t="inlineStr">
        <is>
          <t>Technology Manager Finance Platforms</t>
        </is>
      </c>
      <c r="F498" s="661" t="inlineStr">
        <is>
          <t>TDD Group Functions</t>
        </is>
      </c>
      <c r="G498" s="705" t="inlineStr">
        <is>
          <t>P&amp;C, Finance &amp; Legal</t>
        </is>
      </c>
      <c r="H498" s="662" t="inlineStr">
        <is>
          <t>Tech, Finance Platforms</t>
        </is>
      </c>
      <c r="I498" s="662" t="inlineStr">
        <is>
          <t>Finance</t>
        </is>
      </c>
      <c r="J498" s="662" t="inlineStr">
        <is>
          <t>AU Finance</t>
        </is>
      </c>
      <c r="K498" s="662" t="inlineStr">
        <is>
          <t>SAP ERP</t>
        </is>
      </c>
      <c r="L498" s="662" t="n"/>
      <c r="M498" s="663" t="inlineStr">
        <is>
          <t>Australia</t>
        </is>
      </c>
      <c r="N498" s="666" t="inlineStr">
        <is>
          <t>CIC</t>
        </is>
      </c>
      <c r="O498" s="664" t="n">
        <v>1</v>
      </c>
      <c r="P498" s="664" t="n"/>
      <c r="Q498" s="664" t="inlineStr">
        <is>
          <t>v</t>
        </is>
      </c>
      <c r="R498" s="666" t="n"/>
      <c r="S498" s="666" t="n"/>
      <c r="T498" s="667" t="n">
        <v>173550</v>
      </c>
      <c r="U498" s="668" t="n">
        <v>173550</v>
      </c>
      <c r="V498" s="670" t="n">
        <v>0.12</v>
      </c>
      <c r="W498" s="921" t="n">
        <v>0.055</v>
      </c>
      <c r="X498" s="921" t="n">
        <v>0.12</v>
      </c>
      <c r="Y498" s="922" t="n"/>
      <c r="Z498" s="921" t="n">
        <v>0.04</v>
      </c>
      <c r="AA498" s="919" t="n">
        <v>231689.25</v>
      </c>
      <c r="AB498" s="744" t="n"/>
      <c r="AC498" s="744" t="n"/>
      <c r="AJ498" t="str">
        <f>IFERROR(INDEX(Lists!$U$1:$U$18,MATCH($I498,Lists!$T$1:$T$18,0)),"?")</f>
        <v>Finance</v>
      </c>
      <c r="AK498" t="str">
        <f>IF(LOWER($Q498)="v","Vacant",IF(LOWER($Q498)="pause","Paused",IF(LOWER($Q498)="cxc","Contractor",IF($Q498="Contractor","Contractor","Filled"))))</f>
        <v>Vacant</v>
      </c>
      <c r="AL498" t="str">
        <f>IF($M498="NZ","NZ","AU")</f>
        <v>AU</v>
      </c>
      <c r="AM498">
        <f>COUNTIF($AJ$2:$AJ498,$AJ498)</f>
        <v>12.0</v>
      </c>
      <c r="AN498" t="str">
        <f>$AJ498&amp;"|"&amp;$AM498</f>
        <v>Finance|12</v>
      </c>
    </row>
    <row r="499" ht="18" customHeight="1" s="849">
      <c r="A499" s="659" t="inlineStr">
        <is>
          <t>V</t>
        </is>
      </c>
      <c r="B499" s="799" t="inlineStr">
        <is>
          <t>Vacant</t>
        </is>
      </c>
      <c r="C499" s="705" t="inlineStr">
        <is>
          <t>Solution Architect - Finance</t>
        </is>
      </c>
      <c r="D499" s="662" t="inlineStr">
        <is>
          <t>Shane Ker</t>
        </is>
      </c>
      <c r="E499" s="705" t="inlineStr">
        <is>
          <t>Technology Manager Finance Platforms</t>
        </is>
      </c>
      <c r="F499" s="661" t="inlineStr">
        <is>
          <t>TDD Group Functions</t>
        </is>
      </c>
      <c r="G499" s="705" t="inlineStr">
        <is>
          <t>P&amp;C, Finance &amp; Legal</t>
        </is>
      </c>
      <c r="H499" s="662" t="inlineStr">
        <is>
          <t>Tech, Finance Platforms</t>
        </is>
      </c>
      <c r="I499" s="662" t="inlineStr">
        <is>
          <t>Finance</t>
        </is>
      </c>
      <c r="J499" s="662" t="inlineStr">
        <is>
          <t>AU Finance</t>
        </is>
      </c>
      <c r="K499" s="662" t="inlineStr">
        <is>
          <t>SAP ERP</t>
        </is>
      </c>
      <c r="L499" s="662" t="n"/>
      <c r="M499" s="663" t="inlineStr">
        <is>
          <t>australia</t>
        </is>
      </c>
      <c r="N499" s="664" t="inlineStr">
        <is>
          <t>CIC</t>
        </is>
      </c>
      <c r="O499" s="664" t="n">
        <v>1</v>
      </c>
      <c r="P499" s="664" t="n"/>
      <c r="Q499" s="664" t="inlineStr">
        <is>
          <t>v</t>
        </is>
      </c>
      <c r="R499" s="666" t="n"/>
      <c r="S499" s="666" t="n"/>
      <c r="T499" s="667" t="n">
        <v>173550</v>
      </c>
      <c r="U499" s="668" t="n">
        <v>173550</v>
      </c>
      <c r="V499" s="670" t="n">
        <v>0.12</v>
      </c>
      <c r="W499" s="921" t="n">
        <v>0.055</v>
      </c>
      <c r="X499" s="921" t="n">
        <v>0.12</v>
      </c>
      <c r="Y499" s="922" t="n"/>
      <c r="Z499" s="921" t="n">
        <v>0.04</v>
      </c>
      <c r="AA499" s="919" t="n">
        <v>231689.25</v>
      </c>
      <c r="AB499" s="744" t="n"/>
      <c r="AC499" s="744" t="n"/>
      <c r="AJ499" t="str">
        <f>IFERROR(INDEX(Lists!$U$1:$U$18,MATCH($I499,Lists!$T$1:$T$18,0)),"?")</f>
        <v>Finance</v>
      </c>
      <c r="AK499" t="str">
        <f>IF(LOWER($Q499)="v","Vacant",IF(LOWER($Q499)="pause","Paused",IF(LOWER($Q499)="cxc","Contractor",IF($Q499="Contractor","Contractor","Filled"))))</f>
        <v>Vacant</v>
      </c>
      <c r="AL499" t="str">
        <f>IF($M499="NZ","NZ","AU")</f>
        <v>AU</v>
      </c>
      <c r="AM499">
        <f>COUNTIF($AJ$2:$AJ499,$AJ499)</f>
        <v>13.0</v>
      </c>
      <c r="AN499" t="str">
        <f>$AJ499&amp;"|"&amp;$AM499</f>
        <v>Finance|13</v>
      </c>
    </row>
    <row r="500" ht="18" customHeight="1" s="849">
      <c r="A500" s="659" t="inlineStr">
        <is>
          <t>V</t>
        </is>
      </c>
      <c r="B500" s="799" t="inlineStr">
        <is>
          <t>Vacant</t>
        </is>
      </c>
      <c r="C500" s="705" t="inlineStr">
        <is>
          <t>Delivery Lead (JDE)</t>
        </is>
      </c>
      <c r="D500" s="662" t="inlineStr">
        <is>
          <t>Vacant</t>
        </is>
      </c>
      <c r="E500" s="705" t="inlineStr">
        <is>
          <t>Delivery Manager, P&amp;C, Finance &amp; Legal</t>
        </is>
      </c>
      <c r="F500" s="661" t="inlineStr">
        <is>
          <t>TDD Group Functions</t>
        </is>
      </c>
      <c r="G500" s="705" t="inlineStr">
        <is>
          <t>P&amp;C, Finance &amp; Legal</t>
        </is>
      </c>
      <c r="H500" s="662" t="inlineStr">
        <is>
          <t>Delivery, P&amp;C, Finance &amp; Legal</t>
        </is>
      </c>
      <c r="I500" s="662" t="inlineStr">
        <is>
          <t>Finance</t>
        </is>
      </c>
      <c r="J500" s="662" t="inlineStr">
        <is>
          <t>NZ Finance</t>
        </is>
      </c>
      <c r="K500" s="662" t="inlineStr">
        <is>
          <t>NZ Finance</t>
        </is>
      </c>
      <c r="L500" s="662" t="n"/>
      <c r="M500" s="663" t="inlineStr">
        <is>
          <t>Australia</t>
        </is>
      </c>
      <c r="N500" s="664" t="inlineStr">
        <is>
          <t>CIC</t>
        </is>
      </c>
      <c r="O500" s="664" t="n">
        <v>1</v>
      </c>
      <c r="P500" s="664" t="n"/>
      <c r="Q500" s="664" t="inlineStr">
        <is>
          <t>V</t>
        </is>
      </c>
      <c r="R500" s="666" t="n"/>
      <c r="S500" s="666" t="n"/>
      <c r="T500" s="667" t="n">
        <v>173550</v>
      </c>
      <c r="U500" s="668" t="n">
        <v>173550</v>
      </c>
      <c r="V500" s="670" t="n">
        <v>0.12</v>
      </c>
      <c r="W500" s="921" t="n">
        <v>0.055</v>
      </c>
      <c r="X500" s="921" t="n">
        <v>0.12</v>
      </c>
      <c r="Y500" s="922" t="n"/>
      <c r="Z500" s="921" t="n">
        <v>0.04</v>
      </c>
      <c r="AA500" s="919" t="n">
        <v>231689.25</v>
      </c>
      <c r="AB500" s="744" t="n"/>
      <c r="AC500" s="744" t="n"/>
      <c r="AJ500" t="str">
        <f>IFERROR(INDEX(Lists!$U$1:$U$18,MATCH($I500,Lists!$T$1:$T$18,0)),"?")</f>
        <v>Finance</v>
      </c>
      <c r="AK500" t="str">
        <f>IF(LOWER($Q500)="v","Vacant",IF(LOWER($Q500)="pause","Paused",IF(LOWER($Q500)="cxc","Contractor",IF($Q500="Contractor","Contractor","Filled"))))</f>
        <v>Vacant</v>
      </c>
      <c r="AL500" t="str">
        <f>IF($M500="NZ","NZ","AU")</f>
        <v>AU</v>
      </c>
      <c r="AM500">
        <f>COUNTIF($AJ$2:$AJ500,$AJ500)</f>
        <v>14.0</v>
      </c>
      <c r="AN500" t="str">
        <f>$AJ500&amp;"|"&amp;$AM500</f>
        <v>Finance|14</v>
      </c>
    </row>
    <row r="501" ht="18" customHeight="1" s="849">
      <c r="A501" s="659" t="inlineStr">
        <is>
          <t>V</t>
        </is>
      </c>
      <c r="B501" s="799" t="inlineStr">
        <is>
          <t>Vacant</t>
        </is>
      </c>
      <c r="C501" s="705" t="inlineStr">
        <is>
          <t>Delivery Lead (SAP)</t>
        </is>
      </c>
      <c r="D501" s="662" t="inlineStr">
        <is>
          <t>Vacant</t>
        </is>
      </c>
      <c r="E501" s="705" t="inlineStr">
        <is>
          <t>Delivery Manager, P&amp;C, Finance &amp; Legal</t>
        </is>
      </c>
      <c r="F501" s="661" t="inlineStr">
        <is>
          <t>TDD Group Functions</t>
        </is>
      </c>
      <c r="G501" s="705" t="inlineStr">
        <is>
          <t>P&amp;C, Finance &amp; Legal</t>
        </is>
      </c>
      <c r="H501" s="662" t="inlineStr">
        <is>
          <t>Delivery, P&amp;C, Finance &amp; Legal</t>
        </is>
      </c>
      <c r="I501" s="662" t="inlineStr">
        <is>
          <t>Finance</t>
        </is>
      </c>
      <c r="J501" s="662" t="inlineStr">
        <is>
          <t>AU Finance</t>
        </is>
      </c>
      <c r="K501" s="662" t="inlineStr">
        <is>
          <t>SAP ERP</t>
        </is>
      </c>
      <c r="L501" s="662" t="n"/>
      <c r="M501" s="663" t="inlineStr">
        <is>
          <t>Australia</t>
        </is>
      </c>
      <c r="N501" s="664" t="inlineStr">
        <is>
          <t>CIC</t>
        </is>
      </c>
      <c r="O501" s="664" t="n">
        <v>1</v>
      </c>
      <c r="P501" s="664" t="n"/>
      <c r="Q501" s="664" t="inlineStr">
        <is>
          <t>V</t>
        </is>
      </c>
      <c r="R501" s="666" t="n"/>
      <c r="S501" s="666" t="n"/>
      <c r="T501" s="667" t="n">
        <v>173550</v>
      </c>
      <c r="U501" s="668" t="n">
        <v>173550</v>
      </c>
      <c r="V501" s="670" t="n">
        <v>0.12</v>
      </c>
      <c r="W501" s="921" t="n">
        <v>0.055</v>
      </c>
      <c r="X501" s="921" t="n">
        <v>0.12</v>
      </c>
      <c r="Y501" s="922" t="n"/>
      <c r="Z501" s="921" t="n">
        <v>0.04</v>
      </c>
      <c r="AA501" s="919" t="n">
        <v>231689.25</v>
      </c>
      <c r="AB501" s="744" t="n"/>
      <c r="AC501" s="744" t="n"/>
      <c r="AJ501" t="str">
        <f>IFERROR(INDEX(Lists!$U$1:$U$18,MATCH($I501,Lists!$T$1:$T$18,0)),"?")</f>
        <v>Finance</v>
      </c>
      <c r="AK501" t="str">
        <f>IF(LOWER($Q501)="v","Vacant",IF(LOWER($Q501)="pause","Paused",IF(LOWER($Q501)="cxc","Contractor",IF($Q501="Contractor","Contractor","Filled"))))</f>
        <v>Vacant</v>
      </c>
      <c r="AL501" t="str">
        <f>IF($M501="NZ","NZ","AU")</f>
        <v>AU</v>
      </c>
      <c r="AM501">
        <f>COUNTIF($AJ$2:$AJ501,$AJ501)</f>
        <v>15.0</v>
      </c>
      <c r="AN501" t="str">
        <f>$AJ501&amp;"|"&amp;$AM501</f>
        <v>Finance|15</v>
      </c>
    </row>
    <row r="502" ht="18" customHeight="1" s="849">
      <c r="A502" s="659" t="inlineStr">
        <is>
          <t>V</t>
        </is>
      </c>
      <c r="B502" s="799" t="inlineStr">
        <is>
          <t>Vacant</t>
        </is>
      </c>
      <c r="C502" s="705" t="inlineStr">
        <is>
          <t>Business Analyst (P&amp;C RTA)</t>
        </is>
      </c>
      <c r="D502" s="662" t="inlineStr">
        <is>
          <t>Vacant</t>
        </is>
      </c>
      <c r="E502" s="705" t="inlineStr">
        <is>
          <t>Delivery Manager, P&amp;C, Finance &amp; Legal</t>
        </is>
      </c>
      <c r="F502" s="661" t="inlineStr">
        <is>
          <t>TDD Group Functions</t>
        </is>
      </c>
      <c r="G502" s="705" t="inlineStr">
        <is>
          <t>P&amp;C, Finance &amp; Legal</t>
        </is>
      </c>
      <c r="H502" s="662" t="inlineStr">
        <is>
          <t>Delivery, P&amp;C, Finance &amp; Legal</t>
        </is>
      </c>
      <c r="I502" s="662" t="inlineStr">
        <is>
          <t>P&amp;C</t>
        </is>
      </c>
      <c r="J502" s="662" t="inlineStr">
        <is>
          <t>P&amp;C</t>
        </is>
      </c>
      <c r="K502" s="662" t="inlineStr">
        <is>
          <t>P&amp;C RTA</t>
        </is>
      </c>
      <c r="L502" s="662" t="n"/>
      <c r="M502" s="663" t="inlineStr">
        <is>
          <t>Australia</t>
        </is>
      </c>
      <c r="N502" s="664" t="inlineStr">
        <is>
          <t>CIB</t>
        </is>
      </c>
      <c r="O502" s="664" t="n">
        <v>1</v>
      </c>
      <c r="P502" s="664" t="n"/>
      <c r="Q502" s="664" t="inlineStr">
        <is>
          <t>V</t>
        </is>
      </c>
      <c r="R502" s="666" t="n"/>
      <c r="S502" s="666" t="n"/>
      <c r="T502" s="667" t="n">
        <v>151000</v>
      </c>
      <c r="U502" s="668" t="n">
        <v>151000</v>
      </c>
      <c r="V502" s="670" t="n">
        <v>0.12</v>
      </c>
      <c r="W502" s="921" t="n">
        <v>0.055</v>
      </c>
      <c r="X502" s="921" t="n">
        <v>0.12</v>
      </c>
      <c r="Y502" s="922" t="n"/>
      <c r="Z502" s="921" t="n">
        <v>0.04</v>
      </c>
      <c r="AA502" s="919" t="n">
        <v>201585</v>
      </c>
      <c r="AB502" s="744" t="n"/>
      <c r="AC502" s="744" t="n"/>
      <c r="AJ502" t="str">
        <f>IFERROR(INDEX(Lists!$U$1:$U$18,MATCH($I502,Lists!$T$1:$T$18,0)),"?")</f>
        <v>P&amp;C</v>
      </c>
      <c r="AK502" t="str">
        <f>IF(LOWER($Q502)="v","Vacant",IF(LOWER($Q502)="pause","Paused",IF(LOWER($Q502)="cxc","Contractor",IF($Q502="Contractor","Contractor","Filled"))))</f>
        <v>Vacant</v>
      </c>
      <c r="AL502" t="str">
        <f>IF($M502="NZ","NZ","AU")</f>
        <v>AU</v>
      </c>
      <c r="AM502">
        <f>COUNTIF($AJ$2:$AJ502,$AJ502)</f>
        <v>9.0</v>
      </c>
      <c r="AN502" t="str">
        <f>$AJ502&amp;"|"&amp;$AM502</f>
        <v>P&amp;C|9</v>
      </c>
    </row>
    <row r="503" ht="18" customHeight="1" s="849">
      <c r="A503" s="659" t="inlineStr">
        <is>
          <t>V</t>
        </is>
      </c>
      <c r="B503" s="799" t="inlineStr">
        <is>
          <t>Vacant</t>
        </is>
      </c>
      <c r="C503" s="705" t="inlineStr">
        <is>
          <t>Delivery Lead (RTA)</t>
        </is>
      </c>
      <c r="D503" s="662" t="inlineStr">
        <is>
          <t>Vacant</t>
        </is>
      </c>
      <c r="E503" s="705" t="inlineStr">
        <is>
          <t>Delivery Manager, P&amp;C, Finance &amp; Legal</t>
        </is>
      </c>
      <c r="F503" s="661" t="inlineStr">
        <is>
          <t>TDD Group Functions</t>
        </is>
      </c>
      <c r="G503" s="705" t="inlineStr">
        <is>
          <t>P&amp;C, Finance &amp; Legal</t>
        </is>
      </c>
      <c r="H503" s="662" t="inlineStr">
        <is>
          <t>Delivery, P&amp;C, Finance &amp; Legal</t>
        </is>
      </c>
      <c r="I503" s="662" t="inlineStr">
        <is>
          <t>P&amp;C</t>
        </is>
      </c>
      <c r="J503" s="662" t="inlineStr">
        <is>
          <t>P&amp;C</t>
        </is>
      </c>
      <c r="K503" s="662" t="inlineStr">
        <is>
          <t>P&amp;C RTA</t>
        </is>
      </c>
      <c r="L503" s="662" t="n"/>
      <c r="M503" s="663" t="inlineStr">
        <is>
          <t>Australia</t>
        </is>
      </c>
      <c r="N503" s="664" t="inlineStr">
        <is>
          <t>CIC</t>
        </is>
      </c>
      <c r="O503" s="664" t="n">
        <v>1</v>
      </c>
      <c r="P503" s="664" t="n"/>
      <c r="Q503" s="664" t="inlineStr">
        <is>
          <t>V</t>
        </is>
      </c>
      <c r="R503" s="666" t="n"/>
      <c r="S503" s="666" t="n"/>
      <c r="T503" s="667" t="n">
        <v>173550</v>
      </c>
      <c r="U503" s="668" t="n">
        <v>173550</v>
      </c>
      <c r="V503" s="670" t="n">
        <v>0.12</v>
      </c>
      <c r="W503" s="921" t="n">
        <v>0.055</v>
      </c>
      <c r="X503" s="921" t="n">
        <v>0.12</v>
      </c>
      <c r="Y503" s="922" t="n"/>
      <c r="Z503" s="921" t="n">
        <v>0.04</v>
      </c>
      <c r="AA503" s="919" t="n">
        <v>231689.25</v>
      </c>
      <c r="AB503" s="744" t="n"/>
      <c r="AC503" s="744" t="n"/>
      <c r="AJ503" t="str">
        <f>IFERROR(INDEX(Lists!$U$1:$U$18,MATCH($I503,Lists!$T$1:$T$18,0)),"?")</f>
        <v>P&amp;C</v>
      </c>
      <c r="AK503" t="str">
        <f>IF(LOWER($Q503)="v","Vacant",IF(LOWER($Q503)="pause","Paused",IF(LOWER($Q503)="cxc","Contractor",IF($Q503="Contractor","Contractor","Filled"))))</f>
        <v>Vacant</v>
      </c>
      <c r="AL503" t="str">
        <f>IF($M503="NZ","NZ","AU")</f>
        <v>AU</v>
      </c>
      <c r="AM503">
        <f>COUNTIF($AJ$2:$AJ503,$AJ503)</f>
        <v>10.0</v>
      </c>
      <c r="AN503" t="str">
        <f>$AJ503&amp;"|"&amp;$AM503</f>
        <v>P&amp;C|10</v>
      </c>
    </row>
    <row r="504" ht="18" customHeight="1" s="849">
      <c r="A504" s="659" t="inlineStr">
        <is>
          <t>V</t>
        </is>
      </c>
      <c r="B504" s="799" t="inlineStr">
        <is>
          <t>Vacant</t>
        </is>
      </c>
      <c r="C504" s="705" t="inlineStr">
        <is>
          <t>Engineer</t>
        </is>
      </c>
      <c r="D504" s="662" t="inlineStr">
        <is>
          <t>Vacant</t>
        </is>
      </c>
      <c r="E504" s="660" t="inlineStr">
        <is>
          <t>Technology Manager P&amp;C Platforms</t>
        </is>
      </c>
      <c r="F504" s="661" t="inlineStr">
        <is>
          <t>TDD Group Functions</t>
        </is>
      </c>
      <c r="G504" s="705" t="inlineStr">
        <is>
          <t>P&amp;C, Finance &amp; Legal</t>
        </is>
      </c>
      <c r="H504" s="662" t="inlineStr">
        <is>
          <t>Tech, P&amp;C Platforms</t>
        </is>
      </c>
      <c r="I504" s="662" t="inlineStr">
        <is>
          <t>P&amp;C</t>
        </is>
      </c>
      <c r="J504" s="662" t="inlineStr">
        <is>
          <t>P&amp;C</t>
        </is>
      </c>
      <c r="K504" s="662" t="inlineStr">
        <is>
          <t>P&amp;C</t>
        </is>
      </c>
      <c r="L504" s="662" t="n"/>
      <c r="M504" s="663" t="inlineStr">
        <is>
          <t>Australia</t>
        </is>
      </c>
      <c r="N504" s="666" t="inlineStr">
        <is>
          <t>cib</t>
        </is>
      </c>
      <c r="O504" s="664" t="n">
        <v>1</v>
      </c>
      <c r="P504" s="664" t="n"/>
      <c r="Q504" s="664" t="inlineStr">
        <is>
          <t>V</t>
        </is>
      </c>
      <c r="R504" s="666" t="n"/>
      <c r="S504" s="666" t="n"/>
      <c r="T504" s="667" t="n">
        <v>151950</v>
      </c>
      <c r="U504" s="668" t="n">
        <v>151950</v>
      </c>
      <c r="V504" s="670" t="n">
        <v>0.12</v>
      </c>
      <c r="W504" s="921" t="n">
        <v>0.055</v>
      </c>
      <c r="X504" s="921" t="n">
        <v>0.12</v>
      </c>
      <c r="Y504" s="922" t="n"/>
      <c r="Z504" s="921" t="n">
        <v>0.04</v>
      </c>
      <c r="AA504" s="919" t="n">
        <v>202853.25</v>
      </c>
      <c r="AB504" s="744" t="n"/>
      <c r="AC504" s="744" t="n"/>
      <c r="AJ504" t="str">
        <f>IFERROR(INDEX(Lists!$U$1:$U$18,MATCH($I504,Lists!$T$1:$T$18,0)),"?")</f>
        <v>P&amp;C</v>
      </c>
      <c r="AK504" t="str">
        <f>IF(LOWER($Q504)="v","Vacant",IF(LOWER($Q504)="pause","Paused",IF(LOWER($Q504)="cxc","Contractor",IF($Q504="Contractor","Contractor","Filled"))))</f>
        <v>Vacant</v>
      </c>
      <c r="AL504" t="str">
        <f>IF($M504="NZ","NZ","AU")</f>
        <v>AU</v>
      </c>
      <c r="AM504">
        <f>COUNTIF($AJ$2:$AJ504,$AJ504)</f>
        <v>11.0</v>
      </c>
      <c r="AN504" t="str">
        <f>$AJ504&amp;"|"&amp;$AM504</f>
        <v>P&amp;C|11</v>
      </c>
    </row>
    <row r="505" ht="18" customHeight="1" s="849">
      <c r="A505" s="659" t="inlineStr">
        <is>
          <t>V</t>
        </is>
      </c>
      <c r="B505" s="799" t="inlineStr">
        <is>
          <t>Vacant</t>
        </is>
      </c>
      <c r="C505" s="705" t="inlineStr">
        <is>
          <t>Engineer</t>
        </is>
      </c>
      <c r="D505" s="662" t="inlineStr">
        <is>
          <t>Vacant</t>
        </is>
      </c>
      <c r="E505" s="660" t="inlineStr">
        <is>
          <t>Technology Manager P&amp;C Platforms</t>
        </is>
      </c>
      <c r="F505" s="661" t="inlineStr">
        <is>
          <t>TDD Group Functions</t>
        </is>
      </c>
      <c r="G505" s="705" t="inlineStr">
        <is>
          <t>P&amp;C, Finance &amp; Legal</t>
        </is>
      </c>
      <c r="H505" s="662" t="inlineStr">
        <is>
          <t>Tech, P&amp;C Platforms</t>
        </is>
      </c>
      <c r="I505" s="662" t="inlineStr">
        <is>
          <t>P&amp;C</t>
        </is>
      </c>
      <c r="J505" s="662" t="inlineStr">
        <is>
          <t>P&amp;C</t>
        </is>
      </c>
      <c r="K505" s="662" t="inlineStr">
        <is>
          <t>P&amp;C</t>
        </is>
      </c>
      <c r="L505" s="662" t="n"/>
      <c r="M505" s="663" t="inlineStr">
        <is>
          <t>Australia</t>
        </is>
      </c>
      <c r="N505" s="666" t="inlineStr">
        <is>
          <t>cib</t>
        </is>
      </c>
      <c r="O505" s="664" t="n">
        <v>1</v>
      </c>
      <c r="P505" s="664" t="n"/>
      <c r="Q505" s="664" t="inlineStr">
        <is>
          <t>V</t>
        </is>
      </c>
      <c r="R505" s="666" t="n"/>
      <c r="S505" s="666" t="n"/>
      <c r="T505" s="667" t="n">
        <v>151950</v>
      </c>
      <c r="U505" s="668" t="n">
        <v>151950</v>
      </c>
      <c r="V505" s="670" t="n">
        <v>0.12</v>
      </c>
      <c r="W505" s="921" t="n">
        <v>0.055</v>
      </c>
      <c r="X505" s="921" t="n">
        <v>0.12</v>
      </c>
      <c r="Y505" s="922" t="n"/>
      <c r="Z505" s="921" t="n">
        <v>0.04</v>
      </c>
      <c r="AA505" s="919" t="n">
        <v>202853.25</v>
      </c>
      <c r="AB505" s="744" t="n"/>
      <c r="AC505" s="744" t="n"/>
      <c r="AJ505" t="str">
        <f>IFERROR(INDEX(Lists!$U$1:$U$18,MATCH($I505,Lists!$T$1:$T$18,0)),"?")</f>
        <v>P&amp;C</v>
      </c>
      <c r="AK505" t="str">
        <f>IF(LOWER($Q505)="v","Vacant",IF(LOWER($Q505)="pause","Paused",IF(LOWER($Q505)="cxc","Contractor",IF($Q505="Contractor","Contractor","Filled"))))</f>
        <v>Vacant</v>
      </c>
      <c r="AL505" t="str">
        <f>IF($M505="NZ","NZ","AU")</f>
        <v>AU</v>
      </c>
      <c r="AM505">
        <f>COUNTIF($AJ$2:$AJ505,$AJ505)</f>
        <v>12.0</v>
      </c>
      <c r="AN505" t="str">
        <f>$AJ505&amp;"|"&amp;$AM505</f>
        <v>P&amp;C|12</v>
      </c>
    </row>
    <row r="506" ht="18" customHeight="1" s="849">
      <c r="A506" s="659" t="inlineStr">
        <is>
          <t>V</t>
        </is>
      </c>
      <c r="B506" s="799" t="inlineStr">
        <is>
          <t>Vacant</t>
        </is>
      </c>
      <c r="C506" s="705" t="inlineStr">
        <is>
          <t>Engineer</t>
        </is>
      </c>
      <c r="D506" s="662" t="inlineStr">
        <is>
          <t>Vacant</t>
        </is>
      </c>
      <c r="E506" s="660" t="inlineStr">
        <is>
          <t>Technology Manager P&amp;C Platforms</t>
        </is>
      </c>
      <c r="F506" s="661" t="inlineStr">
        <is>
          <t>TDD Group Functions</t>
        </is>
      </c>
      <c r="G506" s="705" t="inlineStr">
        <is>
          <t>P&amp;C, Finance &amp; Legal</t>
        </is>
      </c>
      <c r="H506" s="662" t="inlineStr">
        <is>
          <t>Tech, P&amp;C Platforms</t>
        </is>
      </c>
      <c r="I506" s="662" t="inlineStr">
        <is>
          <t>P&amp;C</t>
        </is>
      </c>
      <c r="J506" s="662" t="inlineStr">
        <is>
          <t>P&amp;C</t>
        </is>
      </c>
      <c r="K506" s="662" t="inlineStr">
        <is>
          <t>P&amp;C RTA</t>
        </is>
      </c>
      <c r="L506" s="662" t="n"/>
      <c r="M506" s="663" t="inlineStr">
        <is>
          <t>Australia</t>
        </is>
      </c>
      <c r="N506" s="666" t="inlineStr">
        <is>
          <t>cib</t>
        </is>
      </c>
      <c r="O506" s="664" t="n">
        <v>1</v>
      </c>
      <c r="P506" s="664" t="n"/>
      <c r="Q506" s="664" t="inlineStr">
        <is>
          <t>V</t>
        </is>
      </c>
      <c r="R506" s="666" t="n"/>
      <c r="S506" s="666" t="n"/>
      <c r="T506" s="667" t="n">
        <v>151950</v>
      </c>
      <c r="U506" s="668" t="n">
        <v>151950</v>
      </c>
      <c r="V506" s="670" t="n">
        <v>0.12</v>
      </c>
      <c r="W506" s="921" t="n">
        <v>0.055</v>
      </c>
      <c r="X506" s="921" t="n">
        <v>0.12</v>
      </c>
      <c r="Y506" s="922" t="n"/>
      <c r="Z506" s="921" t="n">
        <v>0.04</v>
      </c>
      <c r="AA506" s="919" t="n">
        <v>202853.25</v>
      </c>
      <c r="AB506" s="744" t="n"/>
      <c r="AC506" s="744" t="n"/>
      <c r="AJ506" t="str">
        <f>IFERROR(INDEX(Lists!$U$1:$U$18,MATCH($I506,Lists!$T$1:$T$18,0)),"?")</f>
        <v>P&amp;C</v>
      </c>
      <c r="AK506" t="str">
        <f>IF(LOWER($Q506)="v","Vacant",IF(LOWER($Q506)="pause","Paused",IF(LOWER($Q506)="cxc","Contractor",IF($Q506="Contractor","Contractor","Filled"))))</f>
        <v>Vacant</v>
      </c>
      <c r="AL506" t="str">
        <f>IF($M506="NZ","NZ","AU")</f>
        <v>AU</v>
      </c>
      <c r="AM506">
        <f>COUNTIF($AJ$2:$AJ506,$AJ506)</f>
        <v>13.0</v>
      </c>
      <c r="AN506" t="str">
        <f>$AJ506&amp;"|"&amp;$AM506</f>
        <v>P&amp;C|13</v>
      </c>
    </row>
    <row r="507" ht="18" customHeight="1" s="849">
      <c r="A507" s="659" t="inlineStr">
        <is>
          <t>V</t>
        </is>
      </c>
      <c r="B507" s="799" t="inlineStr">
        <is>
          <t>Vacant</t>
        </is>
      </c>
      <c r="C507" s="705" t="inlineStr">
        <is>
          <t>Quality Assurance</t>
        </is>
      </c>
      <c r="D507" s="662" t="inlineStr">
        <is>
          <t>Vacant</t>
        </is>
      </c>
      <c r="E507" s="660" t="inlineStr">
        <is>
          <t>Technology Manager P&amp;C Platforms</t>
        </is>
      </c>
      <c r="F507" s="661" t="inlineStr">
        <is>
          <t>TDD Group Functions</t>
        </is>
      </c>
      <c r="G507" s="705" t="inlineStr">
        <is>
          <t>P&amp;C, Finance &amp; Legal</t>
        </is>
      </c>
      <c r="H507" s="662" t="inlineStr">
        <is>
          <t>Tech, P&amp;C Platforms</t>
        </is>
      </c>
      <c r="I507" s="662" t="inlineStr">
        <is>
          <t>P&amp;C</t>
        </is>
      </c>
      <c r="J507" s="662" t="inlineStr">
        <is>
          <t>P&amp;C</t>
        </is>
      </c>
      <c r="K507" s="662" t="inlineStr">
        <is>
          <t>P&amp;C</t>
        </is>
      </c>
      <c r="L507" s="662" t="n"/>
      <c r="M507" s="663" t="inlineStr">
        <is>
          <t>Australia</t>
        </is>
      </c>
      <c r="N507" s="664" t="inlineStr">
        <is>
          <t>CIA</t>
        </is>
      </c>
      <c r="O507" s="664" t="n">
        <v>1</v>
      </c>
      <c r="P507" s="664" t="n"/>
      <c r="Q507" s="664" t="inlineStr">
        <is>
          <t>v</t>
        </is>
      </c>
      <c r="R507" s="666" t="n"/>
      <c r="S507" s="666" t="n"/>
      <c r="T507" s="667" t="n">
        <v>129650</v>
      </c>
      <c r="U507" s="668" t="n">
        <v>129650</v>
      </c>
      <c r="V507" s="670" t="n">
        <v>0.1</v>
      </c>
      <c r="W507" s="921" t="n">
        <v>0.055</v>
      </c>
      <c r="X507" s="921" t="n">
        <v>0.12</v>
      </c>
      <c r="Y507" s="922" t="n"/>
      <c r="Z507" s="921" t="n">
        <v>0.04</v>
      </c>
      <c r="AA507" s="919" t="n">
        <v>170489.75</v>
      </c>
      <c r="AB507" s="744" t="n"/>
      <c r="AC507" s="744" t="n"/>
      <c r="AJ507" t="str">
        <f>IFERROR(INDEX(Lists!$U$1:$U$18,MATCH($I507,Lists!$T$1:$T$18,0)),"?")</f>
        <v>P&amp;C</v>
      </c>
      <c r="AK507" t="str">
        <f>IF(LOWER($Q507)="v","Vacant",IF(LOWER($Q507)="pause","Paused",IF(LOWER($Q507)="cxc","Contractor",IF($Q507="Contractor","Contractor","Filled"))))</f>
        <v>Vacant</v>
      </c>
      <c r="AL507" t="str">
        <f>IF($M507="NZ","NZ","AU")</f>
        <v>AU</v>
      </c>
      <c r="AM507">
        <f>COUNTIF($AJ$2:$AJ507,$AJ507)</f>
        <v>14.0</v>
      </c>
      <c r="AN507" t="str">
        <f>$AJ507&amp;"|"&amp;$AM507</f>
        <v>P&amp;C|14</v>
      </c>
    </row>
    <row r="508" ht="18" customHeight="1" s="849">
      <c r="A508" s="659" t="inlineStr">
        <is>
          <t>V</t>
        </is>
      </c>
      <c r="B508" s="799" t="inlineStr">
        <is>
          <t>Vacant</t>
        </is>
      </c>
      <c r="C508" s="705" t="inlineStr">
        <is>
          <t>Quality Assurance</t>
        </is>
      </c>
      <c r="D508" s="662" t="inlineStr">
        <is>
          <t>Vacant</t>
        </is>
      </c>
      <c r="E508" s="660" t="inlineStr">
        <is>
          <t>Technology Manager P&amp;C Platforms</t>
        </is>
      </c>
      <c r="F508" s="661" t="inlineStr">
        <is>
          <t>TDD Group Functions</t>
        </is>
      </c>
      <c r="G508" s="705" t="inlineStr">
        <is>
          <t>P&amp;C, Finance &amp; Legal</t>
        </is>
      </c>
      <c r="H508" s="662" t="inlineStr">
        <is>
          <t>Tech, P&amp;C Platforms</t>
        </is>
      </c>
      <c r="I508" s="662" t="inlineStr">
        <is>
          <t>P&amp;C</t>
        </is>
      </c>
      <c r="J508" s="662" t="inlineStr">
        <is>
          <t>P&amp;C</t>
        </is>
      </c>
      <c r="K508" s="662" t="inlineStr">
        <is>
          <t>P&amp;C RTA</t>
        </is>
      </c>
      <c r="L508" s="662" t="n"/>
      <c r="M508" s="663" t="inlineStr">
        <is>
          <t>Australia</t>
        </is>
      </c>
      <c r="N508" s="664" t="inlineStr">
        <is>
          <t>CIA</t>
        </is>
      </c>
      <c r="O508" s="664" t="n">
        <v>1</v>
      </c>
      <c r="P508" s="664" t="n"/>
      <c r="Q508" s="664" t="inlineStr">
        <is>
          <t>v</t>
        </is>
      </c>
      <c r="R508" s="666" t="n"/>
      <c r="S508" s="666" t="n"/>
      <c r="T508" s="667" t="n">
        <v>129650</v>
      </c>
      <c r="U508" s="668" t="n">
        <v>129650</v>
      </c>
      <c r="V508" s="670" t="n">
        <v>0.1</v>
      </c>
      <c r="W508" s="921" t="n">
        <v>0.055</v>
      </c>
      <c r="X508" s="921" t="n">
        <v>0.12</v>
      </c>
      <c r="Y508" s="922" t="n"/>
      <c r="Z508" s="921" t="n">
        <v>0.04</v>
      </c>
      <c r="AA508" s="919" t="n">
        <v>170489.75</v>
      </c>
      <c r="AB508" s="744" t="n"/>
      <c r="AC508" s="744" t="n"/>
      <c r="AJ508" t="str">
        <f>IFERROR(INDEX(Lists!$U$1:$U$18,MATCH($I508,Lists!$T$1:$T$18,0)),"?")</f>
        <v>P&amp;C</v>
      </c>
      <c r="AK508" t="str">
        <f>IF(LOWER($Q508)="v","Vacant",IF(LOWER($Q508)="pause","Paused",IF(LOWER($Q508)="cxc","Contractor",IF($Q508="Contractor","Contractor","Filled"))))</f>
        <v>Vacant</v>
      </c>
      <c r="AL508" t="str">
        <f>IF($M508="NZ","NZ","AU")</f>
        <v>AU</v>
      </c>
      <c r="AM508">
        <f>COUNTIF($AJ$2:$AJ508,$AJ508)</f>
        <v>15.0</v>
      </c>
      <c r="AN508" t="str">
        <f>$AJ508&amp;"|"&amp;$AM508</f>
        <v>P&amp;C|15</v>
      </c>
    </row>
    <row r="509" ht="18" customHeight="1" s="849">
      <c r="A509" s="659" t="inlineStr">
        <is>
          <t>V</t>
        </is>
      </c>
      <c r="B509" s="799" t="inlineStr">
        <is>
          <t>Vacant</t>
        </is>
      </c>
      <c r="C509" s="705" t="inlineStr">
        <is>
          <t>Systems Specialist</t>
        </is>
      </c>
      <c r="D509" s="662" t="inlineStr">
        <is>
          <t>Vacant</t>
        </is>
      </c>
      <c r="E509" s="660" t="inlineStr">
        <is>
          <t>Technology Manager P&amp;C Platforms</t>
        </is>
      </c>
      <c r="F509" s="661" t="inlineStr">
        <is>
          <t>TDD Group Functions</t>
        </is>
      </c>
      <c r="G509" s="705" t="inlineStr">
        <is>
          <t>P&amp;C, Finance &amp; Legal</t>
        </is>
      </c>
      <c r="H509" s="685" t="inlineStr">
        <is>
          <t>Tech, P&amp;C Platforms</t>
        </is>
      </c>
      <c r="I509" s="662" t="inlineStr">
        <is>
          <t>P&amp;C</t>
        </is>
      </c>
      <c r="J509" s="662" t="inlineStr">
        <is>
          <t>P&amp;C</t>
        </is>
      </c>
      <c r="K509" s="662" t="inlineStr">
        <is>
          <t>P&amp;C RTA</t>
        </is>
      </c>
      <c r="L509" s="662" t="n"/>
      <c r="M509" s="663" t="inlineStr">
        <is>
          <t>Australia</t>
        </is>
      </c>
      <c r="N509" s="666" t="inlineStr">
        <is>
          <t>CIA</t>
        </is>
      </c>
      <c r="O509" s="666" t="n">
        <v>1</v>
      </c>
      <c r="P509" s="666" t="n"/>
      <c r="Q509" s="666" t="inlineStr">
        <is>
          <t>v</t>
        </is>
      </c>
      <c r="R509" s="666" t="n"/>
      <c r="S509" s="666" t="n"/>
      <c r="T509" s="667" t="n">
        <v>136860</v>
      </c>
      <c r="U509" s="668" t="n">
        <v>136860</v>
      </c>
      <c r="V509" s="670" t="n">
        <v>0.1</v>
      </c>
      <c r="W509" s="921" t="n">
        <v>0.055</v>
      </c>
      <c r="X509" s="921" t="n">
        <v>0.12</v>
      </c>
      <c r="Y509" s="922" t="n"/>
      <c r="Z509" s="921" t="n">
        <v>0.04</v>
      </c>
      <c r="AA509" s="919" t="n">
        <v>179970.9</v>
      </c>
      <c r="AB509" s="744" t="n"/>
      <c r="AC509" s="744" t="n"/>
      <c r="AJ509" t="str">
        <f>IFERROR(INDEX(Lists!$U$1:$U$18,MATCH($I509,Lists!$T$1:$T$18,0)),"?")</f>
        <v>P&amp;C</v>
      </c>
      <c r="AK509" t="str">
        <f>IF(LOWER($Q509)="v","Vacant",IF(LOWER($Q509)="pause","Paused",IF(LOWER($Q509)="cxc","Contractor",IF($Q509="Contractor","Contractor","Filled"))))</f>
        <v>Vacant</v>
      </c>
      <c r="AL509" t="str">
        <f>IF($M509="NZ","NZ","AU")</f>
        <v>AU</v>
      </c>
      <c r="AM509">
        <f>COUNTIF($AJ$2:$AJ509,$AJ509)</f>
        <v>16.0</v>
      </c>
      <c r="AN509" t="str">
        <f>$AJ509&amp;"|"&amp;$AM509</f>
        <v>P&amp;C|16</v>
      </c>
    </row>
    <row r="510" ht="18" customHeight="1" s="849">
      <c r="A510" s="659" t="inlineStr">
        <is>
          <t>V</t>
        </is>
      </c>
      <c r="B510" s="799" t="inlineStr">
        <is>
          <t>Vacant</t>
        </is>
      </c>
      <c r="C510" s="705" t="inlineStr">
        <is>
          <t>Technology Manager – P&amp;C Platforms</t>
        </is>
      </c>
      <c r="D510" s="662" t="inlineStr">
        <is>
          <t>Vaso Vukovic</t>
        </is>
      </c>
      <c r="E510" s="705" t="inlineStr">
        <is>
          <t>Head of Technology - P&amp;C, Finance &amp; Legal</t>
        </is>
      </c>
      <c r="F510" s="661" t="inlineStr">
        <is>
          <t>TDD Group Functions</t>
        </is>
      </c>
      <c r="G510" s="705" t="inlineStr">
        <is>
          <t>P&amp;C, Finance &amp; Legal</t>
        </is>
      </c>
      <c r="H510" s="662" t="inlineStr">
        <is>
          <t>Tech, P&amp;C Platforms</t>
        </is>
      </c>
      <c r="I510" s="662" t="inlineStr">
        <is>
          <t>P&amp;C</t>
        </is>
      </c>
      <c r="J510" s="662" t="inlineStr">
        <is>
          <t>P&amp;C</t>
        </is>
      </c>
      <c r="K510" s="662" t="inlineStr">
        <is>
          <t>Leadership</t>
        </is>
      </c>
      <c r="L510" s="662" t="n"/>
      <c r="M510" s="663" t="inlineStr">
        <is>
          <t>Australia</t>
        </is>
      </c>
      <c r="N510" s="664" t="inlineStr">
        <is>
          <t>CSB</t>
        </is>
      </c>
      <c r="O510" s="664" t="n">
        <v>1</v>
      </c>
      <c r="P510" s="664" t="n"/>
      <c r="Q510" s="664" t="inlineStr">
        <is>
          <t>v</t>
        </is>
      </c>
      <c r="R510" s="666" t="n"/>
      <c r="S510" s="666" t="n"/>
      <c r="T510" s="667" t="n">
        <v>203550</v>
      </c>
      <c r="U510" s="668" t="n">
        <v>203550</v>
      </c>
      <c r="V510" s="670" t="n">
        <v>0.14</v>
      </c>
      <c r="W510" s="921" t="n">
        <v>0.055</v>
      </c>
      <c r="X510" s="921" t="n">
        <v>0.12</v>
      </c>
      <c r="Y510" s="922" t="n"/>
      <c r="Z510" s="921" t="n">
        <v>0.04</v>
      </c>
      <c r="AA510" s="919" t="n">
        <v>275810.25</v>
      </c>
      <c r="AB510" s="744" t="n"/>
      <c r="AC510" s="744" t="n"/>
      <c r="AJ510" t="str">
        <f>IFERROR(INDEX(Lists!$U$1:$U$18,MATCH($I510,Lists!$T$1:$T$18,0)),"?")</f>
        <v>P&amp;C</v>
      </c>
      <c r="AK510" t="str">
        <f>IF(LOWER($Q510)="v","Vacant",IF(LOWER($Q510)="pause","Paused",IF(LOWER($Q510)="cxc","Contractor",IF($Q510="Contractor","Contractor","Filled"))))</f>
        <v>Vacant</v>
      </c>
      <c r="AL510" t="str">
        <f>IF($M510="NZ","NZ","AU")</f>
        <v>AU</v>
      </c>
      <c r="AM510">
        <f>COUNTIF($AJ$2:$AJ510,$AJ510)</f>
        <v>17.0</v>
      </c>
      <c r="AN510" t="str">
        <f>$AJ510&amp;"|"&amp;$AM510</f>
        <v>P&amp;C|17</v>
      </c>
    </row>
    <row r="511" ht="18" customHeight="1" s="849">
      <c r="A511" s="659" t="inlineStr">
        <is>
          <t>V</t>
        </is>
      </c>
      <c r="B511" s="799" t="inlineStr">
        <is>
          <t>Vacant</t>
        </is>
      </c>
      <c r="C511" s="705" t="inlineStr">
        <is>
          <t>Delivery Manager</t>
        </is>
      </c>
      <c r="D511" s="662" t="inlineStr">
        <is>
          <t>Vaso Vukovic</t>
        </is>
      </c>
      <c r="E511" s="705" t="inlineStr">
        <is>
          <t>Head of Technology - P&amp;C, Finance &amp; Legal</t>
        </is>
      </c>
      <c r="F511" s="661" t="inlineStr">
        <is>
          <t>TDD Group Functions</t>
        </is>
      </c>
      <c r="G511" s="705" t="inlineStr">
        <is>
          <t>P&amp;C, Finance &amp; Legal</t>
        </is>
      </c>
      <c r="H511" s="662" t="inlineStr">
        <is>
          <t>Delivery, P&amp;C, Finance &amp; Legal</t>
        </is>
      </c>
      <c r="I511" s="662" t="inlineStr">
        <is>
          <t>P&amp;C, Finance &amp; Legal</t>
        </is>
      </c>
      <c r="J511" s="662" t="inlineStr">
        <is>
          <t>P&amp;C, Finance &amp; Legal</t>
        </is>
      </c>
      <c r="K511" s="662" t="inlineStr">
        <is>
          <t>Leadership</t>
        </is>
      </c>
      <c r="L511" s="662" t="n"/>
      <c r="M511" s="663" t="inlineStr">
        <is>
          <t>Australia</t>
        </is>
      </c>
      <c r="N511" s="664" t="inlineStr">
        <is>
          <t>CSB</t>
        </is>
      </c>
      <c r="O511" s="664" t="n">
        <v>1</v>
      </c>
      <c r="P511" s="664" t="n"/>
      <c r="Q511" s="664" t="inlineStr">
        <is>
          <t>V</t>
        </is>
      </c>
      <c r="R511" s="666" t="n"/>
      <c r="S511" s="666" t="n"/>
      <c r="T511" s="667" t="n">
        <v>203550</v>
      </c>
      <c r="U511" s="668" t="n">
        <v>203550</v>
      </c>
      <c r="V511" s="670" t="n">
        <v>0.14</v>
      </c>
      <c r="W511" s="921" t="n">
        <v>0.055</v>
      </c>
      <c r="X511" s="921" t="n">
        <v>0.12</v>
      </c>
      <c r="Y511" s="922" t="n"/>
      <c r="Z511" s="921" t="n">
        <v>0.04</v>
      </c>
      <c r="AA511" s="919" t="n">
        <v>275810.25</v>
      </c>
      <c r="AB511" s="744" t="n"/>
      <c r="AC511" s="744" t="n"/>
      <c r="AJ511" t="str">
        <f>IFERROR(INDEX(Lists!$U$1:$U$18,MATCH($I511,Lists!$T$1:$T$18,0)),"?")</f>
        <v>P&amp;C</v>
      </c>
      <c r="AK511" t="str">
        <f>IF(LOWER($Q511)="v","Vacant",IF(LOWER($Q511)="pause","Paused",IF(LOWER($Q511)="cxc","Contractor",IF($Q511="Contractor","Contractor","Filled"))))</f>
        <v>Vacant</v>
      </c>
      <c r="AL511" t="str">
        <f>IF($M511="NZ","NZ","AU")</f>
        <v>AU</v>
      </c>
      <c r="AM511">
        <f>COUNTIF($AJ$2:$AJ511,$AJ511)</f>
        <v>18.0</v>
      </c>
      <c r="AN511" t="str">
        <f>$AJ511&amp;"|"&amp;$AM511</f>
        <v>P&amp;C|18</v>
      </c>
    </row>
    <row r="512" ht="18" customHeight="1" s="849">
      <c r="A512" s="659" t="inlineStr">
        <is>
          <t>V</t>
        </is>
      </c>
      <c r="B512" s="660" t="inlineStr">
        <is>
          <t>Vacant</t>
        </is>
      </c>
      <c r="C512" s="660" t="inlineStr">
        <is>
          <t>Head of Technology - TDD &amp; Engineering Capability Lead</t>
        </is>
      </c>
      <c r="D512" s="705" t="inlineStr">
        <is>
          <t>Emily Mogic</t>
        </is>
      </c>
      <c r="E512" s="660" t="inlineStr">
        <is>
          <t>GM TDD, Group Function</t>
        </is>
      </c>
      <c r="F512" s="661" t="inlineStr">
        <is>
          <t>TDD Group Functions</t>
        </is>
      </c>
      <c r="G512" s="662" t="inlineStr">
        <is>
          <t xml:space="preserve">TDD &amp; Engineering </t>
        </is>
      </c>
      <c r="H512" s="662" t="inlineStr">
        <is>
          <t>na</t>
        </is>
      </c>
      <c r="I512" s="662" t="inlineStr">
        <is>
          <t>TDD</t>
        </is>
      </c>
      <c r="J512" s="662" t="inlineStr">
        <is>
          <t>TDD</t>
        </is>
      </c>
      <c r="K512" s="662" t="inlineStr">
        <is>
          <t>Leadership</t>
        </is>
      </c>
      <c r="L512" s="662" t="n"/>
      <c r="M512" s="663" t="inlineStr">
        <is>
          <t>Australia</t>
        </is>
      </c>
      <c r="N512" s="664" t="inlineStr">
        <is>
          <t>CSC</t>
        </is>
      </c>
      <c r="O512" s="664" t="n">
        <v>1</v>
      </c>
      <c r="P512" s="664" t="n"/>
      <c r="Q512" s="664" t="inlineStr">
        <is>
          <t>v</t>
        </is>
      </c>
      <c r="R512" s="666" t="n"/>
      <c r="S512" s="666" t="n"/>
      <c r="T512" s="667" t="n">
        <v>235350</v>
      </c>
      <c r="U512" s="668" t="n">
        <v>235350</v>
      </c>
      <c r="V512" s="670" t="n">
        <v>0.2</v>
      </c>
      <c r="W512" s="921" t="n">
        <v>0.055</v>
      </c>
      <c r="X512" s="921" t="n">
        <v>0.12</v>
      </c>
      <c r="Y512" s="922" t="n"/>
      <c r="Z512" s="921" t="n">
        <v>0.04</v>
      </c>
      <c r="AA512" s="919" t="n">
        <v>333020.25</v>
      </c>
      <c r="AB512" s="744" t="n"/>
      <c r="AC512" s="744" t="n"/>
      <c r="AJ512" t="str">
        <f>IFERROR(INDEX(Lists!$U$1:$U$18,MATCH($I512,Lists!$T$1:$T$18,0)),"?")</f>
        <v>TDD Group Functions</v>
      </c>
      <c r="AK512" t="str">
        <f>IF(LOWER($Q512)="v","Vacant",IF(LOWER($Q512)="pause","Paused",IF(LOWER($Q512)="cxc","Contractor",IF($Q512="Contractor","Contractor","Filled"))))</f>
        <v>Vacant</v>
      </c>
      <c r="AL512" t="str">
        <f>IF($M512="NZ","NZ","AU")</f>
        <v>AU</v>
      </c>
      <c r="AM512">
        <f>COUNTIF($AJ$2:$AJ512,$AJ512)</f>
        <v>32.0</v>
      </c>
      <c r="AN512" t="str">
        <f>$AJ512&amp;"|"&amp;$AM512</f>
        <v>TDD Group Functions|32</v>
      </c>
    </row>
    <row r="513" ht="18" customHeight="1" s="849">
      <c r="A513" s="659" t="inlineStr">
        <is>
          <t>V</t>
        </is>
      </c>
      <c r="B513" s="799" t="inlineStr">
        <is>
          <t>Vacant</t>
        </is>
      </c>
      <c r="C513" s="705" t="inlineStr">
        <is>
          <t>Infrastructure Operations Lead</t>
        </is>
      </c>
      <c r="D513" s="662" t="inlineStr">
        <is>
          <t>John McCormack</t>
        </is>
      </c>
      <c r="E513" s="705" t="inlineStr">
        <is>
          <t>Manager - Infrastructure Operations</t>
        </is>
      </c>
      <c r="F513" s="661" t="inlineStr">
        <is>
          <t>TDD Group Functions</t>
        </is>
      </c>
      <c r="G513" s="662" t="inlineStr">
        <is>
          <t>TDD &amp; Engineering</t>
        </is>
      </c>
      <c r="H513" s="662" t="inlineStr">
        <is>
          <t>Cloud, Network &amp; Infra</t>
        </is>
      </c>
      <c r="I513" s="660" t="inlineStr">
        <is>
          <t>TDD</t>
        </is>
      </c>
      <c r="J513" s="662" t="inlineStr">
        <is>
          <t>TDD</t>
        </is>
      </c>
      <c r="K513" s="662" t="inlineStr">
        <is>
          <t>Cloud, Network &amp; Infra Ops</t>
        </is>
      </c>
      <c r="L513" s="662" t="n"/>
      <c r="M513" s="663" t="inlineStr">
        <is>
          <t>Australia</t>
        </is>
      </c>
      <c r="N513" s="664" t="inlineStr">
        <is>
          <t>CIB</t>
        </is>
      </c>
      <c r="O513" s="664" t="n">
        <v>1</v>
      </c>
      <c r="P513" s="664" t="n"/>
      <c r="Q513" s="664" t="inlineStr">
        <is>
          <t>v</t>
        </is>
      </c>
      <c r="R513" s="666" t="n"/>
      <c r="S513" s="666" t="n"/>
      <c r="T513" s="667" t="n">
        <v>151950</v>
      </c>
      <c r="U513" s="668" t="n">
        <v>151950</v>
      </c>
      <c r="V513" s="670" t="n">
        <v>0.12</v>
      </c>
      <c r="W513" s="921" t="n">
        <v>0.055</v>
      </c>
      <c r="X513" s="921" t="n">
        <v>0.12</v>
      </c>
      <c r="Y513" s="922" t="n"/>
      <c r="Z513" s="921" t="n">
        <v>0.04</v>
      </c>
      <c r="AA513" s="919" t="n">
        <v>202853.25</v>
      </c>
      <c r="AB513" s="744" t="n"/>
      <c r="AC513" s="744" t="n"/>
      <c r="AJ513" t="str">
        <f>IFERROR(INDEX(Lists!$U$1:$U$18,MATCH($I513,Lists!$T$1:$T$18,0)),"?")</f>
        <v>TDD Group Functions</v>
      </c>
      <c r="AK513" t="str">
        <f>IF(LOWER($Q513)="v","Vacant",IF(LOWER($Q513)="pause","Paused",IF(LOWER($Q513)="cxc","Contractor",IF($Q513="Contractor","Contractor","Filled"))))</f>
        <v>Vacant</v>
      </c>
      <c r="AL513" t="str">
        <f>IF($M513="NZ","NZ","AU")</f>
        <v>AU</v>
      </c>
      <c r="AM513">
        <f>COUNTIF($AJ$2:$AJ513,$AJ513)</f>
        <v>33.0</v>
      </c>
      <c r="AN513" t="str">
        <f>$AJ513&amp;"|"&amp;$AM513</f>
        <v>TDD Group Functions|33</v>
      </c>
    </row>
    <row r="514" ht="18" customHeight="1" s="849">
      <c r="A514" s="659" t="inlineStr">
        <is>
          <t>V</t>
        </is>
      </c>
      <c r="B514" s="799" t="inlineStr">
        <is>
          <t>Vacant</t>
        </is>
      </c>
      <c r="C514" s="705" t="inlineStr">
        <is>
          <t>RPA Lead</t>
        </is>
      </c>
      <c r="D514" s="660" t="inlineStr">
        <is>
          <t>Mike Seales</t>
        </is>
      </c>
      <c r="E514" s="660" t="inlineStr">
        <is>
          <t>Technology Manager Integration &amp; Process Managemetn</t>
        </is>
      </c>
      <c r="F514" s="661" t="inlineStr">
        <is>
          <t>TDD Group Functions</t>
        </is>
      </c>
      <c r="G514" s="662" t="inlineStr">
        <is>
          <t xml:space="preserve">TDD &amp; Engineering </t>
        </is>
      </c>
      <c r="H514" s="660" t="inlineStr">
        <is>
          <t>Integration &amp; Process Management</t>
        </is>
      </c>
      <c r="I514" s="660" t="inlineStr">
        <is>
          <t>TDD</t>
        </is>
      </c>
      <c r="J514" s="662" t="inlineStr">
        <is>
          <t>TDD</t>
        </is>
      </c>
      <c r="K514" s="662" t="inlineStr">
        <is>
          <t>Integration &amp; Process automation</t>
        </is>
      </c>
      <c r="L514" s="662" t="n"/>
      <c r="M514" s="663" t="inlineStr">
        <is>
          <t>Australia</t>
        </is>
      </c>
      <c r="N514" s="664" t="inlineStr">
        <is>
          <t>CIC</t>
        </is>
      </c>
      <c r="O514" s="664" t="n">
        <v>1</v>
      </c>
      <c r="P514" s="664" t="n"/>
      <c r="Q514" s="664" t="inlineStr">
        <is>
          <t>v</t>
        </is>
      </c>
      <c r="R514" s="666" t="n"/>
      <c r="S514" s="666" t="n"/>
      <c r="T514" s="667" t="n">
        <v>173550</v>
      </c>
      <c r="U514" s="668" t="n">
        <v>173550</v>
      </c>
      <c r="V514" s="670" t="n">
        <v>0.12</v>
      </c>
      <c r="W514" s="921" t="n">
        <v>0.055</v>
      </c>
      <c r="X514" s="921" t="n">
        <v>0.12</v>
      </c>
      <c r="Y514" s="922" t="n"/>
      <c r="Z514" s="921" t="n">
        <v>0.04</v>
      </c>
      <c r="AA514" s="919" t="n">
        <v>231689.25</v>
      </c>
      <c r="AB514" s="744" t="n"/>
      <c r="AC514" s="744" t="n"/>
      <c r="AJ514" t="str">
        <f>IFERROR(INDEX(Lists!$U$1:$U$18,MATCH($I514,Lists!$T$1:$T$18,0)),"?")</f>
        <v>TDD Group Functions</v>
      </c>
      <c r="AK514" t="str">
        <f>IF(LOWER($Q514)="v","Vacant",IF(LOWER($Q514)="pause","Paused",IF(LOWER($Q514)="cxc","Contractor",IF($Q514="Contractor","Contractor","Filled"))))</f>
        <v>Vacant</v>
      </c>
      <c r="AL514" t="str">
        <f>IF($M514="NZ","NZ","AU")</f>
        <v>AU</v>
      </c>
      <c r="AM514">
        <f>COUNTIF($AJ$2:$AJ514,$AJ514)</f>
        <v>34.0</v>
      </c>
      <c r="AN514" t="str">
        <f>$AJ514&amp;"|"&amp;$AM514</f>
        <v>TDD Group Functions|34</v>
      </c>
    </row>
    <row r="515" ht="18" customHeight="1" s="849">
      <c r="A515" s="659" t="inlineStr">
        <is>
          <t>V</t>
        </is>
      </c>
      <c r="B515" s="799" t="inlineStr">
        <is>
          <t>Vacant</t>
        </is>
      </c>
      <c r="C515" s="705" t="inlineStr">
        <is>
          <t>Senior Engineer (Automation Test)</t>
        </is>
      </c>
      <c r="D515" s="799" t="inlineStr">
        <is>
          <t>Shobhit Mittal</t>
        </is>
      </c>
      <c r="E515" s="705" t="inlineStr">
        <is>
          <t>Lead Engineer (Automation Test)</t>
        </is>
      </c>
      <c r="F515" s="800" t="inlineStr">
        <is>
          <t>TDD Group Functions</t>
        </is>
      </c>
      <c r="G515" s="662" t="inlineStr">
        <is>
          <t>TDD &amp; Engineering</t>
        </is>
      </c>
      <c r="H515" s="662" t="inlineStr">
        <is>
          <t>DevOps &amp; QE</t>
        </is>
      </c>
      <c r="I515" s="660" t="inlineStr">
        <is>
          <t>TDD</t>
        </is>
      </c>
      <c r="J515" s="662" t="inlineStr">
        <is>
          <t>TDD</t>
        </is>
      </c>
      <c r="K515" s="662" t="inlineStr">
        <is>
          <t>DevOps &amp; QE</t>
        </is>
      </c>
      <c r="L515" s="662" t="n"/>
      <c r="M515" s="663" t="inlineStr">
        <is>
          <t>Australia</t>
        </is>
      </c>
      <c r="N515" s="664" t="inlineStr">
        <is>
          <t>CIB</t>
        </is>
      </c>
      <c r="O515" s="664" t="n">
        <v>1</v>
      </c>
      <c r="P515" s="664" t="n"/>
      <c r="Q515" s="664" t="inlineStr">
        <is>
          <t>v</t>
        </is>
      </c>
      <c r="R515" s="666" t="n"/>
      <c r="S515" s="666" t="n"/>
      <c r="T515" s="667" t="n">
        <v>151950</v>
      </c>
      <c r="U515" s="668" t="n">
        <v>151950</v>
      </c>
      <c r="V515" s="670" t="n">
        <v>0.12</v>
      </c>
      <c r="W515" s="921" t="n">
        <v>0.055</v>
      </c>
      <c r="X515" s="921" t="n">
        <v>0.12</v>
      </c>
      <c r="Y515" s="922" t="n"/>
      <c r="Z515" s="921" t="n">
        <v>0.04</v>
      </c>
      <c r="AA515" s="919" t="n">
        <v>202853.25</v>
      </c>
      <c r="AB515" s="744" t="n"/>
      <c r="AC515" s="744" t="n"/>
      <c r="AJ515" t="str">
        <f>IFERROR(INDEX(Lists!$U$1:$U$18,MATCH($I515,Lists!$T$1:$T$18,0)),"?")</f>
        <v>TDD Group Functions</v>
      </c>
      <c r="AK515" t="str">
        <f>IF(LOWER($Q515)="v","Vacant",IF(LOWER($Q515)="pause","Paused",IF(LOWER($Q515)="cxc","Contractor",IF($Q515="Contractor","Contractor","Filled"))))</f>
        <v>Vacant</v>
      </c>
      <c r="AL515" t="str">
        <f>IF($M515="NZ","NZ","AU")</f>
        <v>AU</v>
      </c>
      <c r="AM515">
        <f>COUNTIF($AJ$2:$AJ515,$AJ515)</f>
        <v>35.0</v>
      </c>
      <c r="AN515" t="str">
        <f>$AJ515&amp;"|"&amp;$AM515</f>
        <v>TDD Group Functions|35</v>
      </c>
    </row>
    <row r="516" ht="18" customHeight="1" s="849">
      <c r="A516" s="659" t="inlineStr">
        <is>
          <t>V</t>
        </is>
      </c>
      <c r="B516" s="799" t="inlineStr">
        <is>
          <t>Vacant</t>
        </is>
      </c>
      <c r="C516" s="705" t="inlineStr">
        <is>
          <t>Business Analyst (Integrations)</t>
        </is>
      </c>
      <c r="D516" s="660" t="inlineStr">
        <is>
          <t>Vacant</t>
        </is>
      </c>
      <c r="E516" s="660" t="inlineStr">
        <is>
          <t>Delivery Manager</t>
        </is>
      </c>
      <c r="F516" s="661" t="inlineStr">
        <is>
          <t>TDD Group Functions</t>
        </is>
      </c>
      <c r="G516" s="662" t="inlineStr">
        <is>
          <t xml:space="preserve">TDD &amp; Engineering </t>
        </is>
      </c>
      <c r="H516" s="660" t="inlineStr">
        <is>
          <t>Delivery, TDD &amp; Engineering</t>
        </is>
      </c>
      <c r="I516" s="660" t="inlineStr">
        <is>
          <t>TDD</t>
        </is>
      </c>
      <c r="J516" s="662" t="inlineStr">
        <is>
          <t>TDD</t>
        </is>
      </c>
      <c r="K516" s="662" t="inlineStr">
        <is>
          <t>Integration &amp; Process Automation</t>
        </is>
      </c>
      <c r="L516" s="662" t="n"/>
      <c r="M516" s="663" t="inlineStr">
        <is>
          <t>Australia</t>
        </is>
      </c>
      <c r="N516" s="664" t="inlineStr">
        <is>
          <t>CIB</t>
        </is>
      </c>
      <c r="O516" s="664" t="n">
        <v>1</v>
      </c>
      <c r="P516" s="664" t="n"/>
      <c r="Q516" s="664" t="inlineStr">
        <is>
          <t>V</t>
        </is>
      </c>
      <c r="R516" s="666" t="n"/>
      <c r="S516" s="666" t="n"/>
      <c r="T516" s="667" t="n">
        <v>151000</v>
      </c>
      <c r="U516" s="668" t="n">
        <v>151000</v>
      </c>
      <c r="V516" s="670" t="n">
        <v>0.12</v>
      </c>
      <c r="W516" s="921" t="n">
        <v>0.055</v>
      </c>
      <c r="X516" s="921" t="n">
        <v>0.12</v>
      </c>
      <c r="Y516" s="922" t="n"/>
      <c r="Z516" s="921" t="n">
        <v>0.04</v>
      </c>
      <c r="AA516" s="919" t="n">
        <v>201585</v>
      </c>
      <c r="AB516" s="744" t="n"/>
      <c r="AC516" s="744" t="n"/>
      <c r="AJ516" t="str">
        <f>IFERROR(INDEX(Lists!$U$1:$U$18,MATCH($I516,Lists!$T$1:$T$18,0)),"?")</f>
        <v>TDD Group Functions</v>
      </c>
      <c r="AK516" t="str">
        <f>IF(LOWER($Q516)="v","Vacant",IF(LOWER($Q516)="pause","Paused",IF(LOWER($Q516)="cxc","Contractor",IF($Q516="Contractor","Contractor","Filled"))))</f>
        <v>Vacant</v>
      </c>
      <c r="AL516" t="str">
        <f>IF($M516="NZ","NZ","AU")</f>
        <v>AU</v>
      </c>
      <c r="AM516">
        <f>COUNTIF($AJ$2:$AJ516,$AJ516)</f>
        <v>36.0</v>
      </c>
      <c r="AN516" t="str">
        <f>$AJ516&amp;"|"&amp;$AM516</f>
        <v>TDD Group Functions|36</v>
      </c>
    </row>
    <row r="517" ht="18" customHeight="1" s="849">
      <c r="A517" s="659" t="inlineStr">
        <is>
          <t>V</t>
        </is>
      </c>
      <c r="B517" s="799" t="inlineStr">
        <is>
          <t>Vacant</t>
        </is>
      </c>
      <c r="C517" s="705" t="inlineStr">
        <is>
          <t>Business Analyst (Workplace &amp; Enterprise Tooling)</t>
        </is>
      </c>
      <c r="D517" s="662" t="inlineStr">
        <is>
          <t>Vacant</t>
        </is>
      </c>
      <c r="E517" s="705" t="inlineStr">
        <is>
          <t xml:space="preserve">Delivery Manager </t>
        </is>
      </c>
      <c r="F517" s="661" t="inlineStr">
        <is>
          <t>TDD Group Functions</t>
        </is>
      </c>
      <c r="G517" s="662" t="inlineStr">
        <is>
          <t>TDD &amp; Engineering</t>
        </is>
      </c>
      <c r="H517" s="660" t="inlineStr">
        <is>
          <t>Delivery, TDD &amp; Engineering</t>
        </is>
      </c>
      <c r="I517" s="660" t="inlineStr">
        <is>
          <t>TDD</t>
        </is>
      </c>
      <c r="J517" s="662" t="inlineStr">
        <is>
          <t>TDD</t>
        </is>
      </c>
      <c r="K517" s="662" t="inlineStr">
        <is>
          <t>Workplace &amp; Enterprise Tooling</t>
        </is>
      </c>
      <c r="L517" s="662" t="n"/>
      <c r="M517" s="663" t="inlineStr">
        <is>
          <t>Australia</t>
        </is>
      </c>
      <c r="N517" s="664" t="inlineStr">
        <is>
          <t>CIB</t>
        </is>
      </c>
      <c r="O517" s="664" t="n">
        <v>1</v>
      </c>
      <c r="P517" s="664" t="n"/>
      <c r="Q517" s="664" t="inlineStr">
        <is>
          <t>V</t>
        </is>
      </c>
      <c r="R517" s="666" t="n"/>
      <c r="S517" s="666" t="n"/>
      <c r="T517" s="667" t="n">
        <v>151000</v>
      </c>
      <c r="U517" s="668" t="n">
        <v>151000</v>
      </c>
      <c r="V517" s="670" t="n">
        <v>0.12</v>
      </c>
      <c r="W517" s="921" t="n">
        <v>0.055</v>
      </c>
      <c r="X517" s="921" t="n">
        <v>0.12</v>
      </c>
      <c r="Y517" s="922" t="n"/>
      <c r="Z517" s="921" t="n">
        <v>0.04</v>
      </c>
      <c r="AA517" s="919" t="n">
        <v>201585</v>
      </c>
      <c r="AB517" s="744" t="n"/>
      <c r="AC517" s="744" t="n"/>
      <c r="AJ517" t="str">
        <f>IFERROR(INDEX(Lists!$U$1:$U$18,MATCH($I517,Lists!$T$1:$T$18,0)),"?")</f>
        <v>TDD Group Functions</v>
      </c>
      <c r="AK517" t="str">
        <f>IF(LOWER($Q517)="v","Vacant",IF(LOWER($Q517)="pause","Paused",IF(LOWER($Q517)="cxc","Contractor",IF($Q517="Contractor","Contractor","Filled"))))</f>
        <v>Vacant</v>
      </c>
      <c r="AL517" t="str">
        <f>IF($M517="NZ","NZ","AU")</f>
        <v>AU</v>
      </c>
      <c r="AM517">
        <f>COUNTIF($AJ$2:$AJ517,$AJ517)</f>
        <v>37.0</v>
      </c>
      <c r="AN517" t="str">
        <f>$AJ517&amp;"|"&amp;$AM517</f>
        <v>TDD Group Functions|37</v>
      </c>
    </row>
    <row r="518" ht="18" customHeight="1" s="849">
      <c r="A518" s="659" t="inlineStr">
        <is>
          <t>V</t>
        </is>
      </c>
      <c r="B518" s="799" t="inlineStr">
        <is>
          <t>Vacant</t>
        </is>
      </c>
      <c r="C518" s="705" t="inlineStr">
        <is>
          <t>Delivery Manager</t>
        </is>
      </c>
      <c r="D518" s="662" t="inlineStr">
        <is>
          <t>Vacant</t>
        </is>
      </c>
      <c r="E518" s="705" t="inlineStr">
        <is>
          <t>Head of Technology - TDD &amp; Engineering Capability Lead</t>
        </is>
      </c>
      <c r="F518" s="661" t="inlineStr">
        <is>
          <t>TDD Group Functions</t>
        </is>
      </c>
      <c r="G518" s="662" t="inlineStr">
        <is>
          <t xml:space="preserve">TDD &amp; Engineering </t>
        </is>
      </c>
      <c r="H518" s="662" t="n"/>
      <c r="I518" s="662" t="inlineStr">
        <is>
          <t>TDD</t>
        </is>
      </c>
      <c r="J518" s="662" t="inlineStr">
        <is>
          <t>TDD</t>
        </is>
      </c>
      <c r="K518" s="662" t="inlineStr">
        <is>
          <t>Leadership</t>
        </is>
      </c>
      <c r="L518" s="662" t="n"/>
      <c r="M518" s="663" t="inlineStr">
        <is>
          <t>Australia</t>
        </is>
      </c>
      <c r="N518" s="664" t="inlineStr">
        <is>
          <t>CSB</t>
        </is>
      </c>
      <c r="O518" s="664" t="n">
        <v>1</v>
      </c>
      <c r="P518" s="664" t="n"/>
      <c r="Q518" s="664" t="inlineStr">
        <is>
          <t>V</t>
        </is>
      </c>
      <c r="R518" s="666" t="n"/>
      <c r="S518" s="666" t="n"/>
      <c r="T518" s="667" t="n">
        <v>203550</v>
      </c>
      <c r="U518" s="668" t="n">
        <v>203550</v>
      </c>
      <c r="V518" s="670" t="n">
        <v>0.14</v>
      </c>
      <c r="W518" s="921" t="n">
        <v>0.055</v>
      </c>
      <c r="X518" s="921" t="n">
        <v>0.12</v>
      </c>
      <c r="Y518" s="922" t="n"/>
      <c r="Z518" s="921" t="n">
        <v>0.04</v>
      </c>
      <c r="AA518" s="919" t="n">
        <v>275810.25</v>
      </c>
      <c r="AB518" s="744" t="n"/>
      <c r="AC518" s="744" t="n"/>
      <c r="AJ518" t="str">
        <f>IFERROR(INDEX(Lists!$U$1:$U$18,MATCH($I518,Lists!$T$1:$T$18,0)),"?")</f>
        <v>TDD Group Functions</v>
      </c>
      <c r="AK518" t="str">
        <f>IF(LOWER($Q518)="v","Vacant",IF(LOWER($Q518)="pause","Paused",IF(LOWER($Q518)="cxc","Contractor",IF($Q518="Contractor","Contractor","Filled"))))</f>
        <v>Vacant</v>
      </c>
      <c r="AL518" t="str">
        <f>IF($M518="NZ","NZ","AU")</f>
        <v>AU</v>
      </c>
      <c r="AM518">
        <f>COUNTIF($AJ$2:$AJ518,$AJ518)</f>
        <v>38.0</v>
      </c>
      <c r="AN518" t="str">
        <f>$AJ518&amp;"|"&amp;$AM518</f>
        <v>TDD Group Functions|38</v>
      </c>
    </row>
    <row r="519" ht="18" customHeight="1" s="849">
      <c r="A519" s="659" t="inlineStr">
        <is>
          <t>V</t>
        </is>
      </c>
      <c r="B519" s="799" t="inlineStr">
        <is>
          <t>Vacant</t>
        </is>
      </c>
      <c r="C519" s="705" t="inlineStr">
        <is>
          <t>Enterprise Systems Specialist</t>
        </is>
      </c>
      <c r="D519" s="662" t="inlineStr">
        <is>
          <t>Vacant</t>
        </is>
      </c>
      <c r="E519" s="660" t="inlineStr">
        <is>
          <t>Technology Manager, Enterprise Tooling</t>
        </is>
      </c>
      <c r="F519" s="661" t="inlineStr">
        <is>
          <t>TDD Group Functions</t>
        </is>
      </c>
      <c r="G519" s="662" t="inlineStr">
        <is>
          <t xml:space="preserve">TDD &amp; Engineering </t>
        </is>
      </c>
      <c r="H519" s="660" t="inlineStr">
        <is>
          <t>Workplace &amp; Enterprise Tooling</t>
        </is>
      </c>
      <c r="I519" s="707" t="inlineStr">
        <is>
          <t>TDD</t>
        </is>
      </c>
      <c r="J519" s="662" t="inlineStr">
        <is>
          <t>TDD</t>
        </is>
      </c>
      <c r="K519" s="662" t="inlineStr">
        <is>
          <t>Workplace &amp; Enterprise Tooling</t>
        </is>
      </c>
      <c r="L519" s="662" t="n"/>
      <c r="M519" s="663" t="inlineStr">
        <is>
          <t>Australia</t>
        </is>
      </c>
      <c r="N519" s="664" t="inlineStr">
        <is>
          <t>CIB</t>
        </is>
      </c>
      <c r="O519" s="664" t="n">
        <v>1</v>
      </c>
      <c r="P519" s="664" t="n"/>
      <c r="Q519" s="664" t="inlineStr">
        <is>
          <t>V</t>
        </is>
      </c>
      <c r="R519" s="666" t="n"/>
      <c r="S519" s="666" t="n"/>
      <c r="T519" s="667" t="n">
        <v>151950</v>
      </c>
      <c r="U519" s="668" t="n">
        <v>151950</v>
      </c>
      <c r="V519" s="670" t="n">
        <v>0.12</v>
      </c>
      <c r="W519" s="921" t="n">
        <v>0.055</v>
      </c>
      <c r="X519" s="921" t="n">
        <v>0.12</v>
      </c>
      <c r="Y519" s="922" t="n"/>
      <c r="Z519" s="921" t="n">
        <v>0.04</v>
      </c>
      <c r="AA519" s="919" t="n">
        <v>202853.25</v>
      </c>
      <c r="AB519" s="744" t="n"/>
      <c r="AC519" s="744" t="n"/>
      <c r="AJ519" t="str">
        <f>IFERROR(INDEX(Lists!$U$1:$U$18,MATCH($I519,Lists!$T$1:$T$18,0)),"?")</f>
        <v>TDD Group Functions</v>
      </c>
      <c r="AK519" t="str">
        <f>IF(LOWER($Q519)="v","Vacant",IF(LOWER($Q519)="pause","Paused",IF(LOWER($Q519)="cxc","Contractor",IF($Q519="Contractor","Contractor","Filled"))))</f>
        <v>Vacant</v>
      </c>
      <c r="AL519" t="str">
        <f>IF($M519="NZ","NZ","AU")</f>
        <v>AU</v>
      </c>
      <c r="AM519">
        <f>COUNTIF($AJ$2:$AJ519,$AJ519)</f>
        <v>39.0</v>
      </c>
      <c r="AN519" t="str">
        <f>$AJ519&amp;"|"&amp;$AM519</f>
        <v>TDD Group Functions|39</v>
      </c>
    </row>
    <row r="520" ht="18" customHeight="1" s="849">
      <c r="A520" s="659" t="inlineStr">
        <is>
          <t>V</t>
        </is>
      </c>
      <c r="B520" s="799" t="inlineStr">
        <is>
          <t>vacant</t>
        </is>
      </c>
      <c r="C520" s="705" t="inlineStr">
        <is>
          <t>Environments and Test Data Manager</t>
        </is>
      </c>
      <c r="D520" s="799" t="inlineStr">
        <is>
          <t>Vacant</t>
        </is>
      </c>
      <c r="E520" s="705" t="inlineStr">
        <is>
          <t>Technology Manager – DevOps and Quality Engineering</t>
        </is>
      </c>
      <c r="F520" s="800" t="inlineStr">
        <is>
          <t>TDD Group Functions</t>
        </is>
      </c>
      <c r="G520" s="662" t="inlineStr">
        <is>
          <t>TDD &amp; Engineering</t>
        </is>
      </c>
      <c r="H520" s="662" t="inlineStr">
        <is>
          <t>DevOps &amp; QE</t>
        </is>
      </c>
      <c r="I520" s="660" t="inlineStr">
        <is>
          <t>TDD</t>
        </is>
      </c>
      <c r="J520" s="662" t="inlineStr">
        <is>
          <t>TDD</t>
        </is>
      </c>
      <c r="K520" s="662" t="inlineStr">
        <is>
          <t>DevOps &amp; QE</t>
        </is>
      </c>
      <c r="L520" s="662" t="n"/>
      <c r="M520" s="663" t="inlineStr">
        <is>
          <t>Australia</t>
        </is>
      </c>
      <c r="N520" s="664" t="inlineStr">
        <is>
          <t>CIB</t>
        </is>
      </c>
      <c r="O520" s="664" t="n">
        <v>1</v>
      </c>
      <c r="P520" s="664" t="n"/>
      <c r="Q520" s="664" t="inlineStr">
        <is>
          <t>V</t>
        </is>
      </c>
      <c r="R520" s="666" t="n"/>
      <c r="S520" s="666" t="n"/>
      <c r="T520" s="667" t="n">
        <v>151950</v>
      </c>
      <c r="U520" s="668" t="n">
        <v>151950</v>
      </c>
      <c r="V520" s="670" t="n">
        <v>0.12</v>
      </c>
      <c r="W520" s="921" t="n">
        <v>0.055</v>
      </c>
      <c r="X520" s="921" t="n">
        <v>0.12</v>
      </c>
      <c r="Y520" s="922" t="n"/>
      <c r="Z520" s="921" t="n">
        <v>0.04</v>
      </c>
      <c r="AA520" s="919" t="n">
        <v>202853.25</v>
      </c>
      <c r="AB520" s="744" t="n"/>
      <c r="AC520" s="744" t="n"/>
      <c r="AJ520" t="str">
        <f>IFERROR(INDEX(Lists!$U$1:$U$18,MATCH($I520,Lists!$T$1:$T$18,0)),"?")</f>
        <v>TDD Group Functions</v>
      </c>
      <c r="AK520" t="str">
        <f>IF(LOWER($Q520)="v","Vacant",IF(LOWER($Q520)="pause","Paused",IF(LOWER($Q520)="cxc","Contractor",IF($Q520="Contractor","Contractor","Filled"))))</f>
        <v>Vacant</v>
      </c>
      <c r="AL520" t="str">
        <f>IF($M520="NZ","NZ","AU")</f>
        <v>AU</v>
      </c>
      <c r="AM520">
        <f>COUNTIF($AJ$2:$AJ520,$AJ520)</f>
        <v>40.0</v>
      </c>
      <c r="AN520" t="str">
        <f>$AJ520&amp;"|"&amp;$AM520</f>
        <v>TDD Group Functions|40</v>
      </c>
    </row>
    <row r="521" ht="18" customHeight="1" s="849">
      <c r="A521" s="659" t="inlineStr">
        <is>
          <t>V</t>
        </is>
      </c>
      <c r="B521" s="799" t="inlineStr">
        <is>
          <t>Vacant</t>
        </is>
      </c>
      <c r="C521" s="705" t="inlineStr">
        <is>
          <t>Lead Engineer (Automation Test)</t>
        </is>
      </c>
      <c r="D521" s="799" t="inlineStr">
        <is>
          <t>Vacant</t>
        </is>
      </c>
      <c r="E521" s="705" t="inlineStr">
        <is>
          <t>Technology Manager – DevOps and Quality Engineering</t>
        </is>
      </c>
      <c r="F521" s="800" t="inlineStr">
        <is>
          <t>TDD Group Functions</t>
        </is>
      </c>
      <c r="G521" s="662" t="inlineStr">
        <is>
          <t>TDD &amp; Engineering</t>
        </is>
      </c>
      <c r="H521" s="662" t="inlineStr">
        <is>
          <t>DevOps &amp; QE</t>
        </is>
      </c>
      <c r="I521" s="660" t="inlineStr">
        <is>
          <t>TDD</t>
        </is>
      </c>
      <c r="J521" s="662" t="inlineStr">
        <is>
          <t>TDD</t>
        </is>
      </c>
      <c r="K521" s="662" t="inlineStr">
        <is>
          <t>DevOps &amp; QE</t>
        </is>
      </c>
      <c r="L521" s="662" t="n"/>
      <c r="M521" s="663" t="inlineStr">
        <is>
          <t>Australia</t>
        </is>
      </c>
      <c r="N521" s="664" t="inlineStr">
        <is>
          <t>CIC</t>
        </is>
      </c>
      <c r="O521" s="664" t="n">
        <v>1</v>
      </c>
      <c r="P521" s="664" t="n"/>
      <c r="Q521" s="664" t="inlineStr">
        <is>
          <t>v</t>
        </is>
      </c>
      <c r="R521" s="666" t="n"/>
      <c r="S521" s="666" t="n"/>
      <c r="T521" s="667" t="n">
        <v>173550</v>
      </c>
      <c r="U521" s="668" t="n">
        <v>173550</v>
      </c>
      <c r="V521" s="670" t="n">
        <v>0.12</v>
      </c>
      <c r="W521" s="921" t="n">
        <v>0.055</v>
      </c>
      <c r="X521" s="921" t="n">
        <v>0.12</v>
      </c>
      <c r="Y521" s="922" t="n"/>
      <c r="Z521" s="921" t="n">
        <v>0.04</v>
      </c>
      <c r="AA521" s="919" t="n">
        <v>231689.25</v>
      </c>
      <c r="AB521" s="744" t="n"/>
      <c r="AC521" s="744" t="n"/>
      <c r="AJ521" t="str">
        <f>IFERROR(INDEX(Lists!$U$1:$U$18,MATCH($I521,Lists!$T$1:$T$18,0)),"?")</f>
        <v>TDD Group Functions</v>
      </c>
      <c r="AK521" t="str">
        <f>IF(LOWER($Q521)="v","Vacant",IF(LOWER($Q521)="pause","Paused",IF(LOWER($Q521)="cxc","Contractor",IF($Q521="Contractor","Contractor","Filled"))))</f>
        <v>Vacant</v>
      </c>
      <c r="AL521" t="str">
        <f>IF($M521="NZ","NZ","AU")</f>
        <v>AU</v>
      </c>
      <c r="AM521">
        <f>COUNTIF($AJ$2:$AJ521,$AJ521)</f>
        <v>41.0</v>
      </c>
      <c r="AN521" t="str">
        <f>$AJ521&amp;"|"&amp;$AM521</f>
        <v>TDD Group Functions|41</v>
      </c>
    </row>
    <row r="522" ht="18" customHeight="1" s="849">
      <c r="A522" s="659" t="inlineStr">
        <is>
          <t>V</t>
        </is>
      </c>
      <c r="B522" s="799" t="inlineStr">
        <is>
          <t>vacant</t>
        </is>
      </c>
      <c r="C522" s="705" t="inlineStr">
        <is>
          <t>Lead Engineer Software</t>
        </is>
      </c>
      <c r="D522" s="799" t="inlineStr">
        <is>
          <t>Vacant</t>
        </is>
      </c>
      <c r="E522" s="705" t="inlineStr">
        <is>
          <t>Technology Manager – DevOps and Quality Engineering</t>
        </is>
      </c>
      <c r="F522" s="800" t="inlineStr">
        <is>
          <t>TDD Group Functions</t>
        </is>
      </c>
      <c r="G522" s="662" t="inlineStr">
        <is>
          <t>TDD &amp; Engineering</t>
        </is>
      </c>
      <c r="H522" s="662" t="inlineStr">
        <is>
          <t>DevOps &amp; QE</t>
        </is>
      </c>
      <c r="I522" s="660" t="inlineStr">
        <is>
          <t>TDD</t>
        </is>
      </c>
      <c r="J522" s="662" t="inlineStr">
        <is>
          <t>TDD</t>
        </is>
      </c>
      <c r="K522" s="662" t="inlineStr">
        <is>
          <t>DevOps &amp; QE</t>
        </is>
      </c>
      <c r="L522" s="662" t="n"/>
      <c r="M522" s="663" t="inlineStr">
        <is>
          <t>Australia</t>
        </is>
      </c>
      <c r="N522" s="664" t="inlineStr">
        <is>
          <t>CIC</t>
        </is>
      </c>
      <c r="O522" s="664" t="n">
        <v>1</v>
      </c>
      <c r="P522" s="664" t="n"/>
      <c r="Q522" s="664" t="inlineStr">
        <is>
          <t>v</t>
        </is>
      </c>
      <c r="R522" s="666" t="n"/>
      <c r="S522" s="666" t="n"/>
      <c r="T522" s="667" t="n">
        <v>173550</v>
      </c>
      <c r="U522" s="668" t="n">
        <v>173550</v>
      </c>
      <c r="V522" s="670" t="n">
        <v>0.12</v>
      </c>
      <c r="W522" s="921" t="n">
        <v>0.055</v>
      </c>
      <c r="X522" s="921" t="n">
        <v>0.12</v>
      </c>
      <c r="Y522" s="922" t="n"/>
      <c r="Z522" s="921" t="n">
        <v>0.04</v>
      </c>
      <c r="AA522" s="919" t="n">
        <v>231689.25</v>
      </c>
      <c r="AB522" s="744" t="n"/>
      <c r="AC522" s="744" t="n"/>
      <c r="AJ522" t="str">
        <f>IFERROR(INDEX(Lists!$U$1:$U$18,MATCH($I522,Lists!$T$1:$T$18,0)),"?")</f>
        <v>TDD Group Functions</v>
      </c>
      <c r="AK522" t="str">
        <f>IF(LOWER($Q522)="v","Vacant",IF(LOWER($Q522)="pause","Paused",IF(LOWER($Q522)="cxc","Contractor",IF($Q522="Contractor","Contractor","Filled"))))</f>
        <v>Vacant</v>
      </c>
      <c r="AL522" t="str">
        <f>IF($M522="NZ","NZ","AU")</f>
        <v>AU</v>
      </c>
      <c r="AM522">
        <f>COUNTIF($AJ$2:$AJ522,$AJ522)</f>
        <v>42.0</v>
      </c>
      <c r="AN522" t="str">
        <f>$AJ522&amp;"|"&amp;$AM522</f>
        <v>TDD Group Functions|42</v>
      </c>
    </row>
    <row r="523" ht="18" customHeight="1" s="849">
      <c r="A523" s="659" t="inlineStr">
        <is>
          <t>V</t>
        </is>
      </c>
      <c r="B523" s="799" t="inlineStr">
        <is>
          <t>Vacant</t>
        </is>
      </c>
      <c r="C523" s="705" t="inlineStr">
        <is>
          <t>Technology Manager – Cloud, Network and Infrastructure Operations</t>
        </is>
      </c>
      <c r="D523" s="705" t="inlineStr">
        <is>
          <t>Vacant</t>
        </is>
      </c>
      <c r="E523" s="662" t="inlineStr">
        <is>
          <t>Head of Technology - TDD &amp; Engineering Capability Lead</t>
        </is>
      </c>
      <c r="F523" s="661" t="inlineStr">
        <is>
          <t>TDD Group Functions</t>
        </is>
      </c>
      <c r="G523" s="662" t="inlineStr">
        <is>
          <t>TDD &amp; Engineering</t>
        </is>
      </c>
      <c r="H523" s="662" t="inlineStr">
        <is>
          <t>Cloud Network &amp; Infra Ops</t>
        </is>
      </c>
      <c r="I523" s="662" t="inlineStr">
        <is>
          <t>TDD</t>
        </is>
      </c>
      <c r="J523" s="662" t="inlineStr">
        <is>
          <t>TDD</t>
        </is>
      </c>
      <c r="K523" s="662" t="inlineStr">
        <is>
          <t>Leadership</t>
        </is>
      </c>
      <c r="L523" s="662" t="n"/>
      <c r="M523" s="663" t="inlineStr">
        <is>
          <t>Australia</t>
        </is>
      </c>
      <c r="N523" s="664" t="inlineStr">
        <is>
          <t>CSB</t>
        </is>
      </c>
      <c r="O523" s="664" t="n">
        <v>1</v>
      </c>
      <c r="P523" s="664" t="n"/>
      <c r="Q523" s="664" t="inlineStr">
        <is>
          <t>v</t>
        </is>
      </c>
      <c r="R523" s="666" t="n"/>
      <c r="S523" s="666" t="n"/>
      <c r="T523" s="667" t="n">
        <v>203550</v>
      </c>
      <c r="U523" s="668" t="n">
        <v>203550</v>
      </c>
      <c r="V523" s="670" t="n">
        <v>0.14</v>
      </c>
      <c r="W523" s="921" t="n">
        <v>0.055</v>
      </c>
      <c r="X523" s="921" t="n">
        <v>0.12</v>
      </c>
      <c r="Y523" s="922" t="n"/>
      <c r="Z523" s="921" t="n">
        <v>0.04</v>
      </c>
      <c r="AA523" s="919" t="n">
        <v>275810.25</v>
      </c>
      <c r="AB523" s="744" t="n"/>
      <c r="AC523" s="744" t="n"/>
      <c r="AJ523" t="str">
        <f>IFERROR(INDEX(Lists!$U$1:$U$18,MATCH($I523,Lists!$T$1:$T$18,0)),"?")</f>
        <v>TDD Group Functions</v>
      </c>
      <c r="AK523" t="str">
        <f>IF(LOWER($Q523)="v","Vacant",IF(LOWER($Q523)="pause","Paused",IF(LOWER($Q523)="cxc","Contractor",IF($Q523="Contractor","Contractor","Filled"))))</f>
        <v>Vacant</v>
      </c>
      <c r="AL523" t="str">
        <f>IF($M523="NZ","NZ","AU")</f>
        <v>AU</v>
      </c>
      <c r="AM523">
        <f>COUNTIF($AJ$2:$AJ523,$AJ523)</f>
        <v>43.0</v>
      </c>
      <c r="AN523" t="str">
        <f>$AJ523&amp;"|"&amp;$AM523</f>
        <v>TDD Group Functions|43</v>
      </c>
    </row>
    <row r="524" ht="18" customHeight="1" s="849">
      <c r="A524" s="659" t="inlineStr">
        <is>
          <t>V</t>
        </is>
      </c>
      <c r="B524" s="799" t="inlineStr">
        <is>
          <t>Vacant</t>
        </is>
      </c>
      <c r="C524" s="705" t="inlineStr">
        <is>
          <t>Technology Manager – DevOps and Quality Engineering</t>
        </is>
      </c>
      <c r="D524" s="705" t="inlineStr">
        <is>
          <t>Vacant</t>
        </is>
      </c>
      <c r="E524" s="662" t="inlineStr">
        <is>
          <t>Head of Technology- TDD &amp; Engineering Capability</t>
        </is>
      </c>
      <c r="F524" s="661" t="inlineStr">
        <is>
          <t>TDD Group Functions</t>
        </is>
      </c>
      <c r="G524" s="662" t="inlineStr">
        <is>
          <t>TDD &amp; Engineering</t>
        </is>
      </c>
      <c r="H524" s="662" t="n"/>
      <c r="I524" s="662" t="inlineStr">
        <is>
          <t>TDD</t>
        </is>
      </c>
      <c r="J524" s="662" t="inlineStr">
        <is>
          <t>TDD</t>
        </is>
      </c>
      <c r="K524" s="662" t="inlineStr">
        <is>
          <t>Leadership</t>
        </is>
      </c>
      <c r="L524" s="662" t="n"/>
      <c r="M524" s="663" t="inlineStr">
        <is>
          <t>Australia</t>
        </is>
      </c>
      <c r="N524" s="664" t="inlineStr">
        <is>
          <t>CSB</t>
        </is>
      </c>
      <c r="O524" s="664" t="n">
        <v>1</v>
      </c>
      <c r="P524" s="664" t="n"/>
      <c r="Q524" s="664" t="inlineStr">
        <is>
          <t>v</t>
        </is>
      </c>
      <c r="R524" s="666" t="n"/>
      <c r="S524" s="666" t="n"/>
      <c r="T524" s="667" t="n">
        <v>203550</v>
      </c>
      <c r="U524" s="668" t="n">
        <v>203550</v>
      </c>
      <c r="V524" s="670" t="n">
        <v>0.14</v>
      </c>
      <c r="W524" s="921" t="n">
        <v>0.055</v>
      </c>
      <c r="X524" s="921" t="n">
        <v>0.12</v>
      </c>
      <c r="Y524" s="922" t="n"/>
      <c r="Z524" s="921" t="n">
        <v>0.04</v>
      </c>
      <c r="AA524" s="919" t="n">
        <v>275810.25</v>
      </c>
      <c r="AB524" s="744" t="n"/>
      <c r="AC524" s="744" t="n"/>
      <c r="AJ524" t="str">
        <f>IFERROR(INDEX(Lists!$U$1:$U$18,MATCH($I524,Lists!$T$1:$T$18,0)),"?")</f>
        <v>TDD Group Functions</v>
      </c>
      <c r="AK524" t="str">
        <f>IF(LOWER($Q524)="v","Vacant",IF(LOWER($Q524)="pause","Paused",IF(LOWER($Q524)="cxc","Contractor",IF($Q524="Contractor","Contractor","Filled"))))</f>
        <v>Vacant</v>
      </c>
      <c r="AL524" t="str">
        <f>IF($M524="NZ","NZ","AU")</f>
        <v>AU</v>
      </c>
      <c r="AM524">
        <f>COUNTIF($AJ$2:$AJ524,$AJ524)</f>
        <v>44.0</v>
      </c>
      <c r="AN524" t="str">
        <f>$AJ524&amp;"|"&amp;$AM524</f>
        <v>TDD Group Functions|44</v>
      </c>
    </row>
    <row r="525" ht="18" customHeight="1" s="849">
      <c r="A525" s="659" t="inlineStr">
        <is>
          <t>V</t>
        </is>
      </c>
      <c r="B525" s="799" t="inlineStr">
        <is>
          <t>Vacant</t>
        </is>
      </c>
      <c r="C525" s="705" t="inlineStr">
        <is>
          <t>Technology Manager, Enterprise Tooling</t>
        </is>
      </c>
      <c r="D525" s="662" t="inlineStr">
        <is>
          <t>Vacant</t>
        </is>
      </c>
      <c r="E525" s="705" t="inlineStr">
        <is>
          <t>Head of Technology - TDD &amp; Engineering Capability Lead</t>
        </is>
      </c>
      <c r="F525" s="661" t="inlineStr">
        <is>
          <t>TDD Group Functions</t>
        </is>
      </c>
      <c r="G525" s="662" t="inlineStr">
        <is>
          <t xml:space="preserve">TDD &amp; Engineering </t>
        </is>
      </c>
      <c r="H525" s="662" t="n"/>
      <c r="I525" s="662" t="inlineStr">
        <is>
          <t>TDD</t>
        </is>
      </c>
      <c r="J525" s="662" t="inlineStr">
        <is>
          <t>TDD</t>
        </is>
      </c>
      <c r="K525" s="662" t="inlineStr">
        <is>
          <t>Leadership</t>
        </is>
      </c>
      <c r="L525" s="662" t="n"/>
      <c r="M525" s="663" t="inlineStr">
        <is>
          <t>Australia</t>
        </is>
      </c>
      <c r="N525" s="664" t="inlineStr">
        <is>
          <t>CSB</t>
        </is>
      </c>
      <c r="O525" s="664" t="n">
        <v>1</v>
      </c>
      <c r="P525" s="664" t="n"/>
      <c r="Q525" s="664" t="inlineStr">
        <is>
          <t>v</t>
        </is>
      </c>
      <c r="R525" s="666" t="n"/>
      <c r="S525" s="666" t="n"/>
      <c r="T525" s="667" t="n">
        <v>203550</v>
      </c>
      <c r="U525" s="668" t="n">
        <v>203550</v>
      </c>
      <c r="V525" s="670" t="n">
        <v>0.14</v>
      </c>
      <c r="W525" s="921" t="n">
        <v>0.055</v>
      </c>
      <c r="X525" s="921" t="n">
        <v>0.12</v>
      </c>
      <c r="Y525" s="922" t="n"/>
      <c r="Z525" s="921" t="n">
        <v>0.04</v>
      </c>
      <c r="AA525" s="919" t="n">
        <v>275810.25</v>
      </c>
      <c r="AB525" s="744" t="n"/>
      <c r="AC525" s="744" t="n"/>
      <c r="AJ525" t="str">
        <f>IFERROR(INDEX(Lists!$U$1:$U$18,MATCH($I525,Lists!$T$1:$T$18,0)),"?")</f>
        <v>TDD Group Functions</v>
      </c>
      <c r="AK525" t="str">
        <f>IF(LOWER($Q525)="v","Vacant",IF(LOWER($Q525)="pause","Paused",IF(LOWER($Q525)="cxc","Contractor",IF($Q525="Contractor","Contractor","Filled"))))</f>
        <v>Vacant</v>
      </c>
      <c r="AL525" t="str">
        <f>IF($M525="NZ","NZ","AU")</f>
        <v>AU</v>
      </c>
      <c r="AM525">
        <f>COUNTIF($AJ$2:$AJ525,$AJ525)</f>
        <v>45.0</v>
      </c>
      <c r="AN525" t="str">
        <f>$AJ525&amp;"|"&amp;$AM525</f>
        <v>TDD Group Functions|45</v>
      </c>
    </row>
    <row r="526" ht="18" customHeight="1" s="849">
      <c r="A526" s="659" t="inlineStr">
        <is>
          <t>V</t>
        </is>
      </c>
      <c r="B526" s="799" t="inlineStr">
        <is>
          <t xml:space="preserve">Vacant </t>
        </is>
      </c>
      <c r="C526" s="705" t="inlineStr">
        <is>
          <t>Integration Specialist (ASAPIO CTRM)</t>
        </is>
      </c>
      <c r="D526" s="662" t="inlineStr">
        <is>
          <t>Shane Ker</t>
        </is>
      </c>
      <c r="E526" s="705" t="inlineStr">
        <is>
          <t>Technology Manager Finance Platforms</t>
        </is>
      </c>
      <c r="F526" s="661" t="inlineStr">
        <is>
          <t>TDD Group Functions</t>
        </is>
      </c>
      <c r="G526" s="705" t="inlineStr">
        <is>
          <t>P&amp;C, Finance &amp; Legal</t>
        </is>
      </c>
      <c r="H526" s="662" t="inlineStr">
        <is>
          <t>Tech, Finance Platforms</t>
        </is>
      </c>
      <c r="I526" s="662" t="inlineStr">
        <is>
          <t>Finance</t>
        </is>
      </c>
      <c r="J526" s="662" t="inlineStr">
        <is>
          <t>AU Finance</t>
        </is>
      </c>
      <c r="K526" s="662" t="inlineStr">
        <is>
          <t>SAP ERP</t>
        </is>
      </c>
      <c r="L526" s="662" t="n"/>
      <c r="M526" s="663" t="inlineStr">
        <is>
          <t>NZ</t>
        </is>
      </c>
      <c r="N526" s="664" t="inlineStr">
        <is>
          <t>CIB</t>
        </is>
      </c>
      <c r="O526" s="664" t="n">
        <v>1</v>
      </c>
      <c r="P526" s="664" t="n"/>
      <c r="Q526" s="664" t="inlineStr">
        <is>
          <t>v</t>
        </is>
      </c>
      <c r="R526" s="666" t="n"/>
      <c r="S526" s="666" t="n"/>
      <c r="T526" s="667" t="n">
        <v>151950</v>
      </c>
      <c r="U526" s="668" t="n">
        <v>139794</v>
      </c>
      <c r="V526" s="669" t="n">
        <v>0.15</v>
      </c>
      <c r="W526" s="666" t="n"/>
      <c r="X526" s="670" t="n">
        <v>0.05</v>
      </c>
      <c r="Y526" s="918" t="n">
        <v>2910</v>
      </c>
      <c r="Z526" s="670" t="n">
        <v>0.03</v>
      </c>
      <c r="AA526" s="919" t="n">
        <v>174856.62</v>
      </c>
      <c r="AB526" s="744" t="n"/>
      <c r="AC526" s="744" t="n"/>
      <c r="AJ526" t="str">
        <f>IFERROR(INDEX(Lists!$U$1:$U$18,MATCH($I526,Lists!$T$1:$T$18,0)),"?")</f>
        <v>Finance</v>
      </c>
      <c r="AK526" t="str">
        <f>IF(LOWER($Q526)="v","Vacant",IF(LOWER($Q526)="pause","Paused",IF(LOWER($Q526)="cxc","Contractor",IF($Q526="Contractor","Contractor","Filled"))))</f>
        <v>Vacant</v>
      </c>
      <c r="AL526" t="str">
        <f>IF($M526="NZ","NZ","AU")</f>
        <v>NZ</v>
      </c>
      <c r="AM526">
        <f>COUNTIF($AJ$2:$AJ526,$AJ526)</f>
        <v>16.0</v>
      </c>
      <c r="AN526" t="str">
        <f>$AJ526&amp;"|"&amp;$AM526</f>
        <v>Finance|16</v>
      </c>
    </row>
    <row r="527" ht="18" customHeight="1" s="849">
      <c r="A527" s="659" t="n">
        <v>99999101446</v>
      </c>
      <c r="B527" s="660" t="inlineStr">
        <is>
          <t>Rob Struthers</t>
        </is>
      </c>
      <c r="C527" s="660" t="inlineStr">
        <is>
          <t>Engineer - Modern Workplaces</t>
        </is>
      </c>
      <c r="D527" s="662" t="inlineStr">
        <is>
          <t>Vacant</t>
        </is>
      </c>
      <c r="E527" s="660" t="inlineStr">
        <is>
          <t>Technology Manager, Enterprise Tooling</t>
        </is>
      </c>
      <c r="F527" s="661" t="inlineStr">
        <is>
          <t>TDD Group Functions</t>
        </is>
      </c>
      <c r="G527" s="662" t="inlineStr">
        <is>
          <t xml:space="preserve">TDD &amp; Engineering </t>
        </is>
      </c>
      <c r="H527" s="660" t="inlineStr">
        <is>
          <t>Workplace &amp; Enterprise Tooling</t>
        </is>
      </c>
      <c r="I527" s="660" t="inlineStr">
        <is>
          <t>TDD</t>
        </is>
      </c>
      <c r="J527" s="662" t="inlineStr">
        <is>
          <t>TDD</t>
        </is>
      </c>
      <c r="K527" s="662" t="inlineStr">
        <is>
          <t>Workplace &amp; Enterprise Tooling</t>
        </is>
      </c>
      <c r="L527" s="662" t="n"/>
      <c r="M527" s="663" t="inlineStr">
        <is>
          <t>NZ</t>
        </is>
      </c>
      <c r="N527" s="664" t="inlineStr">
        <is>
          <t>CIA</t>
        </is>
      </c>
      <c r="O527" s="665" t="n">
        <v>1</v>
      </c>
      <c r="P527" s="664" t="n"/>
      <c r="Q527" s="665" t="inlineStr">
        <is>
          <t>Permanent - Full Time</t>
        </is>
      </c>
      <c r="R527" s="666" t="n"/>
      <c r="S527" s="666" t="n"/>
      <c r="T527" s="667" t="n">
        <v>124390</v>
      </c>
      <c r="U527" s="668" t="n">
        <v>114438.8</v>
      </c>
      <c r="V527" s="669" t="n">
        <v>0.15</v>
      </c>
      <c r="W527" s="666" t="n"/>
      <c r="X527" s="670" t="n">
        <v>0.05</v>
      </c>
      <c r="Y527" s="918" t="n">
        <v>2910</v>
      </c>
      <c r="Z527" s="670" t="n">
        <v>0.03</v>
      </c>
      <c r="AA527" s="919" t="n">
        <v>143669.724</v>
      </c>
      <c r="AB527" s="744" t="n"/>
      <c r="AC527" s="744" t="n"/>
      <c r="AJ527" t="str">
        <f>IFERROR(INDEX(Lists!$U$1:$U$18,MATCH($I527,Lists!$T$1:$T$18,0)),"?")</f>
        <v>TDD Group Functions</v>
      </c>
      <c r="AK527" t="str">
        <f>IF(LOWER($Q527)="v","Vacant",IF(LOWER($Q527)="pause","Paused",IF(LOWER($Q527)="cxc","Contractor",IF($Q527="Contractor","Contractor","Filled"))))</f>
        <v>Filled</v>
      </c>
      <c r="AL527" t="str">
        <f>IF($M527="NZ","NZ","AU")</f>
        <v>NZ</v>
      </c>
      <c r="AM527">
        <f>COUNTIF($AJ$2:$AJ527,$AJ527)</f>
        <v>46.0</v>
      </c>
      <c r="AN527" t="str">
        <f>$AJ527&amp;"|"&amp;$AM527</f>
        <v>TDD Group Functions|46</v>
      </c>
    </row>
    <row r="528" ht="18" customHeight="1" s="849">
      <c r="A528" s="659" t="inlineStr">
        <is>
          <t>c</t>
        </is>
      </c>
      <c r="B528" s="660" t="inlineStr">
        <is>
          <t>Jens Tom</t>
        </is>
      </c>
      <c r="C528" s="660" t="inlineStr">
        <is>
          <t>SAP Solution Architect</t>
        </is>
      </c>
      <c r="D528" s="660" t="inlineStr">
        <is>
          <t>Shane Ker</t>
        </is>
      </c>
      <c r="E528" s="660" t="inlineStr">
        <is>
          <t>Solution Architect SAP</t>
        </is>
      </c>
      <c r="F528" s="661" t="inlineStr">
        <is>
          <t>TDD Group Functions</t>
        </is>
      </c>
      <c r="G528" s="662" t="n"/>
      <c r="H528" s="662" t="n"/>
      <c r="I528" s="884" t="inlineStr">
        <is>
          <t>TDD</t>
        </is>
      </c>
      <c r="J528" s="662" t="n"/>
      <c r="K528" s="660" t="n"/>
      <c r="L528" s="662" t="n"/>
      <c r="M528" s="663" t="n"/>
      <c r="N528" s="666" t="inlineStr">
        <is>
          <t>na</t>
        </is>
      </c>
      <c r="O528" s="666" t="n">
        <v>1</v>
      </c>
      <c r="P528" s="666" t="n"/>
      <c r="Q528" s="666" t="inlineStr">
        <is>
          <t>cxc</t>
        </is>
      </c>
      <c r="R528" s="666" t="inlineStr">
        <is>
          <t>daily</t>
        </is>
      </c>
      <c r="S528" s="666" t="n">
        <v>1600</v>
      </c>
      <c r="T528" s="667" t="n">
        <v>0</v>
      </c>
      <c r="U528" s="668" t="n"/>
      <c r="V528" s="670" t="n"/>
      <c r="W528" s="921" t="n"/>
      <c r="X528" s="921" t="n"/>
      <c r="Y528" s="922" t="n"/>
      <c r="Z528" s="921" t="n"/>
      <c r="AA528" s="678" t="n">
        <v>355200</v>
      </c>
      <c r="AB528" s="744" t="n"/>
      <c r="AC528" s="744" t="n"/>
      <c r="AJ528" t="str">
        <f>IFERROR(INDEX(Lists!$U$1:$U$18,MATCH($I528,Lists!$T$1:$T$18,0)),"?")</f>
        <v>TDD Group Functions</v>
      </c>
      <c r="AK528" t="str">
        <f>IF(LOWER($Q528)="v","Vacant",IF(LOWER($Q528)="pause","Paused",IF(LOWER($Q528)="cxc","Contractor",IF($Q528="Contractor","Contractor","Filled"))))</f>
        <v>Contractor</v>
      </c>
      <c r="AL528" t="str">
        <f>IF($M528="NZ","NZ","AU")</f>
        <v>AU</v>
      </c>
      <c r="AM528">
        <f>COUNTIF($AJ$2:$AJ528,$AJ528)</f>
        <v>47.0</v>
      </c>
      <c r="AN528" t="str">
        <f>$AJ528&amp;"|"&amp;$AM528</f>
        <v>TDD Group Functions|47</v>
      </c>
    </row>
  </sheetData>
  <autoFilter ref="A1:AH528">
    <sortState ref="A446:AH528">
      <sortCondition ref="I1:I528"/>
    </sortState>
  </autoFilter>
  <pageMargins left="0.75" right="0.75" top="1" bottom="1" header="0.5" footer="0.5"/>
  <pageSetup orientation="portrait"/>
  <headerFooter>
    <oddHeader>&amp;L&amp;"Aptos"&amp;1 &amp;K000000 Restricted#_x000d_</oddHeader>
    <oddFooter/>
    <evenHeader/>
    <evenFooter/>
    <firstHeader/>
    <firstFooter/>
  </headerFooter>
  <legacyDrawing r:id="anysvml"/>
</worksheet>
</file>

<file path=xl/worksheets/sheet46.xml><?xml version="1.0" encoding="utf-8"?>
<worksheet xmlns="http://schemas.openxmlformats.org/spreadsheetml/2006/main">
  <sheetPr>
    <tabColor rgb="FF375623"/>
    <outlinePr summaryBelow="1" summaryRight="1"/>
    <pageSetUpPr/>
  </sheetPr>
  <dimension ref="A1:BX538"/>
  <sheetViews>
    <sheetView showGridLines="0" zoomScale="93" zoomScaleNormal="93" workbookViewId="0">
      <selection activeCell="A1" sqref="A1"/>
    </sheetView>
  </sheetViews>
  <sheetFormatPr baseColWidth="8" defaultColWidth="8.7265625" defaultRowHeight="18" customHeight="1"/>
  <cols>
    <col width="15.1796875" bestFit="1" customWidth="1" style="293" min="1" max="1"/>
    <col width="26.08984375" bestFit="1" customWidth="1" style="253" min="2" max="2"/>
    <col width="35.6328125" customWidth="1" style="253" min="3" max="3"/>
    <col width="33.36328125" bestFit="1" customWidth="1" style="253" min="4" max="4"/>
    <col width="59.54296875" bestFit="1" customWidth="1" style="253" min="5" max="5"/>
    <col width="26.08984375" bestFit="1" customWidth="1" style="253" min="6" max="6"/>
    <col width="31.6328125" bestFit="1" customWidth="1" style="253" min="7" max="8"/>
    <col width="21" bestFit="1" customWidth="1" style="253" min="9" max="9"/>
    <col width="41.54296875" bestFit="1" customWidth="1" style="253" min="10" max="10"/>
    <col width="30.08984375" bestFit="1" customWidth="1" style="253" min="11" max="11"/>
    <col width="5.453125" bestFit="1" customWidth="1" style="253" min="12" max="12"/>
    <col width="11.1796875" bestFit="1" customWidth="1" style="253" min="13" max="13"/>
    <col width="20.81640625" customWidth="1" style="253" min="14" max="14"/>
    <col width="8.81640625" bestFit="1" customWidth="1" style="253" min="15" max="16375"/>
    <col width="8.81640625" customWidth="1" style="253" min="16376" max="16376"/>
    <col width="8.81640625" bestFit="1" customWidth="1" style="253" min="16377" max="16384"/>
  </cols>
  <sheetData>
    <row r="1" ht="41.5" customFormat="1" customHeight="1" s="249">
      <c r="A1" s="242" t="inlineStr">
        <is>
          <t>EE Number</t>
        </is>
      </c>
      <c r="B1" s="243" t="inlineStr">
        <is>
          <t>Name</t>
        </is>
      </c>
      <c r="C1" s="243" t="inlineStr">
        <is>
          <t>Position Title</t>
        </is>
      </c>
      <c r="D1" s="243" t="inlineStr">
        <is>
          <t>Reports to name</t>
        </is>
      </c>
      <c r="E1" s="243" t="inlineStr">
        <is>
          <t>Reports to Position</t>
        </is>
      </c>
      <c r="F1" s="244" t="inlineStr">
        <is>
          <t>Division (GM)</t>
        </is>
      </c>
      <c r="G1" s="245" t="inlineStr">
        <is>
          <t>Department (GM-1)</t>
        </is>
      </c>
      <c r="H1" s="245" t="inlineStr">
        <is>
          <t>Team (GM-2)</t>
        </is>
      </c>
      <c r="I1" s="246" t="inlineStr">
        <is>
          <t>Portfolio</t>
        </is>
      </c>
      <c r="J1" s="247" t="inlineStr">
        <is>
          <t>Platform</t>
        </is>
      </c>
      <c r="K1" s="246" t="inlineStr">
        <is>
          <t>Squad</t>
        </is>
      </c>
      <c r="L1" s="246" t="inlineStr">
        <is>
          <t>CC</t>
        </is>
      </c>
      <c r="M1" s="248" t="inlineStr">
        <is>
          <t>Country</t>
        </is>
      </c>
      <c r="N1" s="243" t="inlineStr">
        <is>
          <t>Model Portfolio</t>
        </is>
      </c>
      <c r="O1" s="243" t="inlineStr">
        <is>
          <t>Model Platform</t>
        </is>
      </c>
      <c r="P1" s="243" t="inlineStr">
        <is>
          <t>Model Squad</t>
        </is>
      </c>
      <c r="Q1" s="243" t="inlineStr">
        <is>
          <t>Class</t>
        </is>
      </c>
      <c r="R1" s="243" t="inlineStr">
        <is>
          <t>Status</t>
        </is>
      </c>
    </row>
    <row r="2" ht="18" customHeight="1" s="849">
      <c r="A2" s="250" t="n">
        <v>99999100977</v>
      </c>
      <c r="B2" s="220" t="inlineStr">
        <is>
          <t>Warren Grieve</t>
        </is>
      </c>
      <c r="C2" s="220" t="inlineStr">
        <is>
          <t>Senior Site Systems Analyst</t>
        </is>
      </c>
      <c r="D2" s="220" t="inlineStr">
        <is>
          <t>Callan McLaughlin</t>
        </is>
      </c>
      <c r="E2" s="220" t="inlineStr">
        <is>
          <t>Technology Manager,  Site Systems</t>
        </is>
      </c>
      <c r="F2" s="220" t="inlineStr">
        <is>
          <t>Ampol Retail &amp; Z</t>
        </is>
      </c>
      <c r="G2" s="251" t="inlineStr">
        <is>
          <t>Z &amp; Group Retail</t>
        </is>
      </c>
      <c r="H2" s="220" t="inlineStr">
        <is>
          <t>Z &amp; Group Retail, Site Systems</t>
        </is>
      </c>
      <c r="I2" s="220" t="inlineStr">
        <is>
          <t>Z</t>
        </is>
      </c>
      <c r="J2" s="251" t="inlineStr">
        <is>
          <t>Z Customer</t>
        </is>
      </c>
      <c r="K2" s="220" t="inlineStr">
        <is>
          <t>Site Systems</t>
        </is>
      </c>
      <c r="L2" s="251" t="n"/>
      <c r="M2" s="252" t="inlineStr">
        <is>
          <t>NZ</t>
        </is>
      </c>
      <c r="N2" t="inlineStr">
        <is>
          <t>Z Retail</t>
        </is>
      </c>
      <c r="O2" s="254" t="inlineStr">
        <is>
          <t>Z Customer</t>
        </is>
      </c>
      <c r="P2" s="255" t="inlineStr">
        <is>
          <t>Site Systems</t>
        </is>
      </c>
      <c r="Q2" s="256" t="inlineStr">
        <is>
          <t>Squad</t>
        </is>
      </c>
      <c r="R2" t="inlineStr">
        <is>
          <t>Filled</t>
        </is>
      </c>
    </row>
    <row r="3" ht="18" customHeight="1" s="849">
      <c r="A3" s="250" t="n">
        <v>99999100975</v>
      </c>
      <c r="B3" s="220" t="inlineStr">
        <is>
          <t>Chris Mitchell</t>
        </is>
      </c>
      <c r="C3" s="220" t="inlineStr">
        <is>
          <t>Deployment Lead</t>
        </is>
      </c>
      <c r="D3" s="220" t="inlineStr">
        <is>
          <t>Callan McLaughlin</t>
        </is>
      </c>
      <c r="E3" s="220" t="inlineStr">
        <is>
          <t>Technology Manager,  Site Systems</t>
        </is>
      </c>
      <c r="F3" s="220" t="inlineStr">
        <is>
          <t>Ampol Retail &amp; Z</t>
        </is>
      </c>
      <c r="G3" s="251" t="inlineStr">
        <is>
          <t>Z &amp; Group Retail</t>
        </is>
      </c>
      <c r="H3" s="220" t="inlineStr">
        <is>
          <t>Z &amp; Group Retail, Site Systems</t>
        </is>
      </c>
      <c r="I3" s="220" t="inlineStr">
        <is>
          <t>Z</t>
        </is>
      </c>
      <c r="J3" s="251" t="inlineStr">
        <is>
          <t>Z Customer</t>
        </is>
      </c>
      <c r="K3" s="220" t="inlineStr">
        <is>
          <t>Site Systems</t>
        </is>
      </c>
      <c r="L3" s="251" t="n"/>
      <c r="M3" s="252" t="inlineStr">
        <is>
          <t>NZ</t>
        </is>
      </c>
      <c r="N3" t="inlineStr">
        <is>
          <t>Z Retail</t>
        </is>
      </c>
      <c r="O3" s="257" t="inlineStr">
        <is>
          <t>Z Customer</t>
        </is>
      </c>
      <c r="P3" s="258" t="inlineStr">
        <is>
          <t>Site Systems</t>
        </is>
      </c>
      <c r="Q3" s="259" t="inlineStr">
        <is>
          <t>Squad</t>
        </is>
      </c>
      <c r="R3" t="inlineStr">
        <is>
          <t>Filled</t>
        </is>
      </c>
    </row>
    <row r="4" ht="18" customHeight="1" s="849">
      <c r="A4" s="250" t="n">
        <v>99999102141</v>
      </c>
      <c r="B4" s="220" t="inlineStr">
        <is>
          <t>Christian Guo</t>
        </is>
      </c>
      <c r="C4" s="220" t="inlineStr">
        <is>
          <t>Solution Architect</t>
        </is>
      </c>
      <c r="D4" s="220" t="inlineStr">
        <is>
          <t>Callan McLaughlin</t>
        </is>
      </c>
      <c r="E4" s="220" t="inlineStr">
        <is>
          <t>Technology Manager,  Site Systems</t>
        </is>
      </c>
      <c r="F4" s="220" t="inlineStr">
        <is>
          <t>Ampol Retail &amp; Z</t>
        </is>
      </c>
      <c r="G4" s="251" t="inlineStr">
        <is>
          <t>Z &amp; Group Retail</t>
        </is>
      </c>
      <c r="H4" s="220" t="inlineStr">
        <is>
          <t>Z &amp; Group Retail, Site Systems</t>
        </is>
      </c>
      <c r="I4" s="220" t="inlineStr">
        <is>
          <t>Z</t>
        </is>
      </c>
      <c r="J4" s="220" t="inlineStr">
        <is>
          <t>Z Customer</t>
        </is>
      </c>
      <c r="K4" s="220" t="inlineStr">
        <is>
          <t>Z Retail Backend &amp; Supply</t>
        </is>
      </c>
      <c r="L4" s="251" t="n"/>
      <c r="M4" s="252" t="inlineStr">
        <is>
          <t>NZ</t>
        </is>
      </c>
      <c r="N4" t="inlineStr">
        <is>
          <t>Z Retail</t>
        </is>
      </c>
      <c r="O4" s="257" t="inlineStr">
        <is>
          <t>Z Customer</t>
        </is>
      </c>
      <c r="P4" s="258" t="inlineStr">
        <is>
          <t>Z Retail Backend</t>
        </is>
      </c>
      <c r="Q4" s="259" t="inlineStr">
        <is>
          <t>Squad</t>
        </is>
      </c>
      <c r="R4" t="inlineStr">
        <is>
          <t>Filled</t>
        </is>
      </c>
    </row>
    <row r="5" ht="18" customHeight="1" s="849">
      <c r="A5" s="250" t="n">
        <v>99999100432</v>
      </c>
      <c r="B5" s="220" t="inlineStr">
        <is>
          <t>Vanessa King</t>
        </is>
      </c>
      <c r="C5" s="220" t="inlineStr">
        <is>
          <t>Lead Quality Assurance</t>
        </is>
      </c>
      <c r="D5" s="220" t="inlineStr">
        <is>
          <t>Callan McLaughlin</t>
        </is>
      </c>
      <c r="E5" s="220" t="inlineStr">
        <is>
          <t>Technology Manager,  Site Systems</t>
        </is>
      </c>
      <c r="F5" s="220" t="inlineStr">
        <is>
          <t>Ampol Retail &amp; Z</t>
        </is>
      </c>
      <c r="G5" s="251" t="inlineStr">
        <is>
          <t>Z &amp; Group Retail</t>
        </is>
      </c>
      <c r="H5" s="220" t="inlineStr">
        <is>
          <t>Z &amp; Group Retail, Site Systems</t>
        </is>
      </c>
      <c r="I5" s="220" t="inlineStr">
        <is>
          <t>Z</t>
        </is>
      </c>
      <c r="J5" s="251" t="inlineStr">
        <is>
          <t>Z Customer</t>
        </is>
      </c>
      <c r="K5" s="220" t="inlineStr">
        <is>
          <t>Site Systems</t>
        </is>
      </c>
      <c r="L5" s="251" t="n"/>
      <c r="M5" s="252" t="inlineStr">
        <is>
          <t>NZ</t>
        </is>
      </c>
      <c r="N5" t="inlineStr">
        <is>
          <t>Z Retail</t>
        </is>
      </c>
      <c r="O5" s="257" t="inlineStr">
        <is>
          <t>Z Customer</t>
        </is>
      </c>
      <c r="P5" s="258" t="inlineStr">
        <is>
          <t>Site Systems</t>
        </is>
      </c>
      <c r="Q5" s="259" t="inlineStr">
        <is>
          <t>Squad</t>
        </is>
      </c>
      <c r="R5" t="inlineStr">
        <is>
          <t>Filled</t>
        </is>
      </c>
    </row>
    <row r="6" ht="18" customHeight="1" s="849">
      <c r="A6" s="250" t="n">
        <v>99999101553</v>
      </c>
      <c r="B6" s="220" t="inlineStr">
        <is>
          <t>Bradley Cunningham</t>
        </is>
      </c>
      <c r="C6" s="220" t="inlineStr">
        <is>
          <t>Site Systems Analyst</t>
        </is>
      </c>
      <c r="D6" s="220" t="inlineStr">
        <is>
          <t>Callan McLaughlin</t>
        </is>
      </c>
      <c r="E6" s="220" t="inlineStr">
        <is>
          <t>Technology Manager,  Site Systems</t>
        </is>
      </c>
      <c r="F6" s="220" t="inlineStr">
        <is>
          <t>Ampol Retail &amp; Z</t>
        </is>
      </c>
      <c r="G6" s="251" t="inlineStr">
        <is>
          <t>Z &amp; Group Retail</t>
        </is>
      </c>
      <c r="H6" s="220" t="inlineStr">
        <is>
          <t>Z &amp; Group Retail, Site Systems</t>
        </is>
      </c>
      <c r="I6" s="220" t="inlineStr">
        <is>
          <t>Z</t>
        </is>
      </c>
      <c r="J6" s="251" t="inlineStr">
        <is>
          <t>Z Customer</t>
        </is>
      </c>
      <c r="K6" s="220" t="inlineStr">
        <is>
          <t>Site Systems</t>
        </is>
      </c>
      <c r="L6" s="251" t="n"/>
      <c r="M6" s="252" t="inlineStr">
        <is>
          <t>NZ</t>
        </is>
      </c>
      <c r="N6" t="inlineStr">
        <is>
          <t>Z Retail</t>
        </is>
      </c>
      <c r="O6" s="257" t="inlineStr">
        <is>
          <t>Z Customer</t>
        </is>
      </c>
      <c r="P6" s="258" t="inlineStr">
        <is>
          <t>Site Systems</t>
        </is>
      </c>
      <c r="Q6" s="259" t="inlineStr">
        <is>
          <t>Squad</t>
        </is>
      </c>
      <c r="R6" t="inlineStr">
        <is>
          <t>Filled</t>
        </is>
      </c>
    </row>
    <row r="7" ht="18" customHeight="1" s="849">
      <c r="A7" s="250" t="n">
        <v>99999101650</v>
      </c>
      <c r="B7" s="220" t="inlineStr">
        <is>
          <t>Sakshi Sachdeva</t>
        </is>
      </c>
      <c r="C7" s="220" t="inlineStr">
        <is>
          <t xml:space="preserve">Senior Quality Assurance </t>
        </is>
      </c>
      <c r="D7" s="220" t="inlineStr">
        <is>
          <t>Callan McLaughlin</t>
        </is>
      </c>
      <c r="E7" s="220" t="inlineStr">
        <is>
          <t>Technology Manager,  Site Systems</t>
        </is>
      </c>
      <c r="F7" s="220" t="inlineStr">
        <is>
          <t>Ampol Retail &amp; Z</t>
        </is>
      </c>
      <c r="G7" s="251" t="inlineStr">
        <is>
          <t>Z &amp; Group Retail</t>
        </is>
      </c>
      <c r="H7" s="220" t="inlineStr">
        <is>
          <t>Z &amp; Group Retail, Site Systems</t>
        </is>
      </c>
      <c r="I7" s="220" t="inlineStr">
        <is>
          <t>Z</t>
        </is>
      </c>
      <c r="J7" s="251" t="inlineStr">
        <is>
          <t>Z Customer</t>
        </is>
      </c>
      <c r="K7" s="220" t="inlineStr">
        <is>
          <t>Site Systems</t>
        </is>
      </c>
      <c r="L7" s="251" t="n"/>
      <c r="M7" s="252" t="inlineStr">
        <is>
          <t>NZ</t>
        </is>
      </c>
      <c r="N7" t="inlineStr">
        <is>
          <t>Z Retail</t>
        </is>
      </c>
      <c r="O7" s="257" t="inlineStr">
        <is>
          <t>Z Customer</t>
        </is>
      </c>
      <c r="P7" s="258" t="inlineStr">
        <is>
          <t>Site Systems</t>
        </is>
      </c>
      <c r="Q7" s="259" t="inlineStr">
        <is>
          <t>Squad</t>
        </is>
      </c>
      <c r="R7" t="inlineStr">
        <is>
          <t>Filled</t>
        </is>
      </c>
    </row>
    <row r="8" ht="18" customHeight="1" s="849">
      <c r="A8" s="250" t="n">
        <v>99999101643</v>
      </c>
      <c r="B8" s="220" t="inlineStr">
        <is>
          <t>Alex Sutherland</t>
        </is>
      </c>
      <c r="C8" s="220" t="inlineStr">
        <is>
          <t>Site Systems Analyst</t>
        </is>
      </c>
      <c r="D8" s="220" t="inlineStr">
        <is>
          <t>Callan McLaughlin</t>
        </is>
      </c>
      <c r="E8" s="220" t="inlineStr">
        <is>
          <t>Technology Manager,  Site Systems</t>
        </is>
      </c>
      <c r="F8" s="220" t="inlineStr">
        <is>
          <t>Ampol Retail &amp; Z</t>
        </is>
      </c>
      <c r="G8" s="251" t="inlineStr">
        <is>
          <t>Z &amp; Group Retail</t>
        </is>
      </c>
      <c r="H8" s="220" t="inlineStr">
        <is>
          <t>Z &amp; Group Retail, Site Systems</t>
        </is>
      </c>
      <c r="I8" s="220" t="inlineStr">
        <is>
          <t>Z</t>
        </is>
      </c>
      <c r="J8" s="251" t="inlineStr">
        <is>
          <t>Z Customer</t>
        </is>
      </c>
      <c r="K8" s="220" t="inlineStr">
        <is>
          <t>Site Systems</t>
        </is>
      </c>
      <c r="L8" s="251" t="n"/>
      <c r="M8" s="252" t="inlineStr">
        <is>
          <t>NZ</t>
        </is>
      </c>
      <c r="N8" t="inlineStr">
        <is>
          <t>Z Retail</t>
        </is>
      </c>
      <c r="O8" s="257" t="inlineStr">
        <is>
          <t>Z Customer</t>
        </is>
      </c>
      <c r="P8" s="258" t="inlineStr">
        <is>
          <t>Site Systems</t>
        </is>
      </c>
      <c r="Q8" s="259" t="inlineStr">
        <is>
          <t>Squad</t>
        </is>
      </c>
      <c r="R8" t="inlineStr">
        <is>
          <t>Filled</t>
        </is>
      </c>
    </row>
    <row r="9" ht="18" customHeight="1" s="849">
      <c r="A9" s="250" t="n">
        <v>109974</v>
      </c>
      <c r="B9" s="220" t="inlineStr">
        <is>
          <t>Gerald Aguas</t>
        </is>
      </c>
      <c r="C9" s="220" t="inlineStr">
        <is>
          <t>Field Systems Operations Lead - NSW</t>
        </is>
      </c>
      <c r="D9" s="220" t="inlineStr">
        <is>
          <t>Ephraim Adan</t>
        </is>
      </c>
      <c r="E9" s="220" t="inlineStr">
        <is>
          <t>Manager, AU Retail Operations</t>
        </is>
      </c>
      <c r="F9" s="220" t="inlineStr">
        <is>
          <t>Ampol Retail &amp; Z</t>
        </is>
      </c>
      <c r="G9" s="251" t="inlineStr">
        <is>
          <t>Ampol Retail</t>
        </is>
      </c>
      <c r="H9" s="220" t="inlineStr">
        <is>
          <t>Ampol Retail, Technology</t>
        </is>
      </c>
      <c r="I9" s="220" t="inlineStr">
        <is>
          <t>Retail</t>
        </is>
      </c>
      <c r="J9" s="251" t="inlineStr">
        <is>
          <t>Store Operations</t>
        </is>
      </c>
      <c r="K9" s="220" t="inlineStr">
        <is>
          <t>Store Operations</t>
        </is>
      </c>
      <c r="L9" s="251" t="n"/>
      <c r="M9" s="252" t="inlineStr">
        <is>
          <t>Australia</t>
        </is>
      </c>
      <c r="N9" t="inlineStr">
        <is>
          <t>Ampol Retail</t>
        </is>
      </c>
      <c r="O9" s="257" t="inlineStr">
        <is>
          <t>Store Operations</t>
        </is>
      </c>
      <c r="P9" s="258" t="inlineStr">
        <is>
          <t>Store Operations</t>
        </is>
      </c>
      <c r="Q9" s="259" t="inlineStr">
        <is>
          <t>Squad</t>
        </is>
      </c>
      <c r="R9" t="inlineStr">
        <is>
          <t>Filled</t>
        </is>
      </c>
    </row>
    <row r="10" ht="18" customHeight="1" s="849">
      <c r="A10" s="250" t="n">
        <v>85136</v>
      </c>
      <c r="B10" s="220" t="inlineStr">
        <is>
          <t>Tuan Edwards</t>
        </is>
      </c>
      <c r="C10" s="220" t="inlineStr">
        <is>
          <t>Field Systems Operations Lead - QLD</t>
        </is>
      </c>
      <c r="D10" s="220" t="inlineStr">
        <is>
          <t>Ephraim Adan</t>
        </is>
      </c>
      <c r="E10" s="220" t="inlineStr">
        <is>
          <t>Manager, AU Retail Operations</t>
        </is>
      </c>
      <c r="F10" s="220" t="inlineStr">
        <is>
          <t>Ampol Retail &amp; Z</t>
        </is>
      </c>
      <c r="G10" s="251" t="inlineStr">
        <is>
          <t>Ampol Retail</t>
        </is>
      </c>
      <c r="H10" s="220" t="inlineStr">
        <is>
          <t>Ampol Retail, Technology</t>
        </is>
      </c>
      <c r="I10" s="220" t="inlineStr">
        <is>
          <t>Retail</t>
        </is>
      </c>
      <c r="J10" s="251" t="inlineStr">
        <is>
          <t>Store Operations</t>
        </is>
      </c>
      <c r="K10" s="220" t="inlineStr">
        <is>
          <t>Store Operations</t>
        </is>
      </c>
      <c r="L10" s="251" t="n"/>
      <c r="M10" s="252" t="inlineStr">
        <is>
          <t>Australia</t>
        </is>
      </c>
      <c r="N10" t="inlineStr">
        <is>
          <t>Ampol Retail</t>
        </is>
      </c>
      <c r="O10" s="257" t="inlineStr">
        <is>
          <t>Store Operations</t>
        </is>
      </c>
      <c r="P10" s="258" t="inlineStr">
        <is>
          <t>Store Operations</t>
        </is>
      </c>
      <c r="Q10" s="259" t="inlineStr">
        <is>
          <t>Squad</t>
        </is>
      </c>
      <c r="R10" t="inlineStr">
        <is>
          <t>Filled</t>
        </is>
      </c>
    </row>
    <row r="11" ht="18" customHeight="1" s="849">
      <c r="A11" s="250" t="n">
        <v>8445</v>
      </c>
      <c r="B11" s="220" t="inlineStr">
        <is>
          <t>Geoff Goddard</t>
        </is>
      </c>
      <c r="C11" s="220" t="inlineStr">
        <is>
          <t>Field Systems Operations Lead - VIC</t>
        </is>
      </c>
      <c r="D11" s="220" t="inlineStr">
        <is>
          <t>Ephraim Adan</t>
        </is>
      </c>
      <c r="E11" s="220" t="inlineStr">
        <is>
          <t>Manager, AU Retail Operations</t>
        </is>
      </c>
      <c r="F11" s="220" t="inlineStr">
        <is>
          <t>Ampol Retail &amp; Z</t>
        </is>
      </c>
      <c r="G11" s="251" t="inlineStr">
        <is>
          <t>Ampol Retail</t>
        </is>
      </c>
      <c r="H11" s="220" t="inlineStr">
        <is>
          <t>Ampol Retail, Technology</t>
        </is>
      </c>
      <c r="I11" s="220" t="inlineStr">
        <is>
          <t>Retail</t>
        </is>
      </c>
      <c r="J11" s="251" t="inlineStr">
        <is>
          <t>Store Operations</t>
        </is>
      </c>
      <c r="K11" s="220" t="inlineStr">
        <is>
          <t>Store Operations</t>
        </is>
      </c>
      <c r="L11" s="251" t="n"/>
      <c r="M11" s="252" t="inlineStr">
        <is>
          <t>Australia</t>
        </is>
      </c>
      <c r="N11" t="inlineStr">
        <is>
          <t>Ampol Retail</t>
        </is>
      </c>
      <c r="O11" s="257" t="inlineStr">
        <is>
          <t>Store Operations</t>
        </is>
      </c>
      <c r="P11" s="258" t="inlineStr">
        <is>
          <t>Store Operations</t>
        </is>
      </c>
      <c r="Q11" s="259" t="inlineStr">
        <is>
          <t>Squad</t>
        </is>
      </c>
      <c r="R11" t="inlineStr">
        <is>
          <t>Filled</t>
        </is>
      </c>
    </row>
    <row r="12" ht="18" customHeight="1" s="849">
      <c r="A12" s="250" t="n">
        <v>90097</v>
      </c>
      <c r="B12" s="220" t="inlineStr">
        <is>
          <t>Patrick Ericson Nario</t>
        </is>
      </c>
      <c r="C12" s="220" t="inlineStr">
        <is>
          <t>Support Analyst - Field Operations</t>
        </is>
      </c>
      <c r="D12" s="220" t="inlineStr">
        <is>
          <t>Ephriam Adan</t>
        </is>
      </c>
      <c r="E12" s="220" t="inlineStr">
        <is>
          <t>Manager, AU Retail Operations</t>
        </is>
      </c>
      <c r="F12" s="220" t="inlineStr">
        <is>
          <t>Ampol Retail &amp; Z</t>
        </is>
      </c>
      <c r="G12" s="251" t="inlineStr">
        <is>
          <t>Ampol Retail</t>
        </is>
      </c>
      <c r="H12" s="220" t="inlineStr">
        <is>
          <t>Ampol Retail, Technology</t>
        </is>
      </c>
      <c r="I12" s="220" t="inlineStr">
        <is>
          <t>Retail</t>
        </is>
      </c>
      <c r="J12" s="251" t="inlineStr">
        <is>
          <t>Store Operations</t>
        </is>
      </c>
      <c r="K12" s="220" t="inlineStr">
        <is>
          <t>Store Operations</t>
        </is>
      </c>
      <c r="L12" s="251" t="n"/>
      <c r="M12" s="252" t="inlineStr">
        <is>
          <t>Australia</t>
        </is>
      </c>
      <c r="N12" t="inlineStr">
        <is>
          <t>Ampol Retail</t>
        </is>
      </c>
      <c r="O12" s="257" t="inlineStr">
        <is>
          <t>Store Operations</t>
        </is>
      </c>
      <c r="P12" s="258" t="inlineStr">
        <is>
          <t>Store Operations</t>
        </is>
      </c>
      <c r="Q12" s="259" t="inlineStr">
        <is>
          <t>Squad</t>
        </is>
      </c>
      <c r="R12" t="inlineStr">
        <is>
          <t>Filled</t>
        </is>
      </c>
    </row>
    <row r="13" ht="18" customHeight="1" s="849">
      <c r="A13" s="250" t="n">
        <v>4534</v>
      </c>
      <c r="B13" s="220" t="inlineStr">
        <is>
          <t>Andrew Whitford</t>
        </is>
      </c>
      <c r="C13" s="220" t="inlineStr">
        <is>
          <t>Field Systems Operations Lead - WA</t>
        </is>
      </c>
      <c r="D13" s="220" t="inlineStr">
        <is>
          <t>Ephriam Adan</t>
        </is>
      </c>
      <c r="E13" s="220" t="inlineStr">
        <is>
          <t>Manager, AU Retail Operations</t>
        </is>
      </c>
      <c r="F13" s="220" t="inlineStr">
        <is>
          <t>Ampol Retail &amp; Z</t>
        </is>
      </c>
      <c r="G13" s="251" t="inlineStr">
        <is>
          <t>Ampol Retail</t>
        </is>
      </c>
      <c r="H13" s="220" t="inlineStr">
        <is>
          <t>Ampol Retail, Technology</t>
        </is>
      </c>
      <c r="I13" s="220" t="inlineStr">
        <is>
          <t>Retail</t>
        </is>
      </c>
      <c r="J13" s="251" t="inlineStr">
        <is>
          <t>Store Operations</t>
        </is>
      </c>
      <c r="K13" s="220" t="inlineStr">
        <is>
          <t>Store Operations</t>
        </is>
      </c>
      <c r="L13" s="251" t="n"/>
      <c r="M13" s="252" t="inlineStr">
        <is>
          <t>Australia</t>
        </is>
      </c>
      <c r="N13" t="inlineStr">
        <is>
          <t>Ampol Retail</t>
        </is>
      </c>
      <c r="O13" s="257" t="inlineStr">
        <is>
          <t>Store Operations</t>
        </is>
      </c>
      <c r="P13" s="258" t="inlineStr">
        <is>
          <t>Store Operations</t>
        </is>
      </c>
      <c r="Q13" s="259" t="inlineStr">
        <is>
          <t>Squad</t>
        </is>
      </c>
      <c r="R13" t="inlineStr">
        <is>
          <t>Filled</t>
        </is>
      </c>
    </row>
    <row r="14" ht="18" customHeight="1" s="849">
      <c r="A14" s="250" t="n">
        <v>95017</v>
      </c>
      <c r="B14" s="260" t="inlineStr">
        <is>
          <t>Sjoerd Van Sluijs</t>
        </is>
      </c>
      <c r="C14" s="220" t="inlineStr">
        <is>
          <t>Senior PM PEP1, PEP18</t>
        </is>
      </c>
      <c r="D14" s="251" t="inlineStr">
        <is>
          <t>Greg Cassis</t>
        </is>
      </c>
      <c r="E14" s="251" t="inlineStr">
        <is>
          <t>GM TDD, EGI</t>
        </is>
      </c>
      <c r="F14" s="220" t="inlineStr">
        <is>
          <t>Ampol Retail &amp; Z</t>
        </is>
      </c>
      <c r="G14" s="251" t="inlineStr">
        <is>
          <t>EGI</t>
        </is>
      </c>
      <c r="H14" s="220" t="n"/>
      <c r="I14" s="220" t="inlineStr">
        <is>
          <t>EGI Integration</t>
        </is>
      </c>
      <c r="J14" s="251" t="inlineStr">
        <is>
          <t>EGI</t>
        </is>
      </c>
      <c r="K14" s="251" t="inlineStr">
        <is>
          <t>EGI Retail</t>
        </is>
      </c>
      <c r="L14" s="251" t="n"/>
      <c r="M14" s="252" t="inlineStr">
        <is>
          <t>Australia</t>
        </is>
      </c>
      <c r="N14" t="inlineStr">
        <is>
          <t>Ampol Retail</t>
        </is>
      </c>
      <c r="O14" s="257" t="inlineStr">
        <is>
          <t>EGI Retail</t>
        </is>
      </c>
      <c r="P14" s="258" t="inlineStr">
        <is>
          <t>EGI Retail</t>
        </is>
      </c>
      <c r="Q14" s="259" t="inlineStr">
        <is>
          <t>Strategic Program</t>
        </is>
      </c>
      <c r="R14" t="inlineStr">
        <is>
          <t>Filled</t>
        </is>
      </c>
    </row>
    <row r="15" ht="18" customHeight="1" s="849">
      <c r="A15" s="250" t="n">
        <v>86604</v>
      </c>
      <c r="B15" s="220" t="inlineStr">
        <is>
          <t>Vanessa Allen</t>
        </is>
      </c>
      <c r="C15" s="220" t="inlineStr">
        <is>
          <t>Delivery Manager</t>
        </is>
      </c>
      <c r="D15" s="251" t="inlineStr">
        <is>
          <t>Madan Murthy</t>
        </is>
      </c>
      <c r="E15" s="220" t="inlineStr">
        <is>
          <t>Head of Technology,  Ampol Retail</t>
        </is>
      </c>
      <c r="F15" s="220" t="inlineStr">
        <is>
          <t>Ampol Retail &amp; Z</t>
        </is>
      </c>
      <c r="G15" s="251" t="inlineStr">
        <is>
          <t>Ampol Retail</t>
        </is>
      </c>
      <c r="H15" s="220" t="inlineStr">
        <is>
          <t>Ampol Retail, Delivery</t>
        </is>
      </c>
      <c r="I15" s="220" t="inlineStr">
        <is>
          <t>Retail</t>
        </is>
      </c>
      <c r="J15" s="220" t="inlineStr">
        <is>
          <t>(All Retail)</t>
        </is>
      </c>
      <c r="K15" s="251" t="inlineStr">
        <is>
          <t>Leadership</t>
        </is>
      </c>
      <c r="L15" s="251" t="n"/>
      <c r="M15" s="252" t="inlineStr">
        <is>
          <t>Australia</t>
        </is>
      </c>
      <c r="N15" t="inlineStr">
        <is>
          <t>Ampol Retail</t>
        </is>
      </c>
      <c r="O15" s="257" t="inlineStr">
        <is>
          <t>Leadership</t>
        </is>
      </c>
      <c r="P15" s="258" t="inlineStr">
        <is>
          <t>Leadership</t>
        </is>
      </c>
      <c r="Q15" s="259" t="inlineStr">
        <is>
          <t>Leadership</t>
        </is>
      </c>
      <c r="R15" t="inlineStr">
        <is>
          <t>Filled</t>
        </is>
      </c>
    </row>
    <row r="16" ht="18" customHeight="1" s="849">
      <c r="A16" s="250" t="n">
        <v>98379</v>
      </c>
      <c r="B16" s="220" t="inlineStr">
        <is>
          <t>Vaishnavi Viswanathan</t>
        </is>
      </c>
      <c r="C16" s="220" t="inlineStr">
        <is>
          <t>Technology Manager, Store Platform</t>
        </is>
      </c>
      <c r="D16" s="251" t="inlineStr">
        <is>
          <t>Madan Murthy</t>
        </is>
      </c>
      <c r="E16" s="220" t="inlineStr">
        <is>
          <t>Head of Technology,  Ampol Retail</t>
        </is>
      </c>
      <c r="F16" s="220" t="inlineStr">
        <is>
          <t>Ampol Retail &amp; Z</t>
        </is>
      </c>
      <c r="G16" s="251" t="inlineStr">
        <is>
          <t>Ampol Retail</t>
        </is>
      </c>
      <c r="H16" s="220" t="inlineStr">
        <is>
          <t>Ampol Retail, Store Platforms</t>
        </is>
      </c>
      <c r="I16" s="220" t="inlineStr">
        <is>
          <t>Retail</t>
        </is>
      </c>
      <c r="J16" s="220" t="inlineStr">
        <is>
          <t>Store Operations, Payments, POS</t>
        </is>
      </c>
      <c r="K16" s="251" t="inlineStr">
        <is>
          <t>Leadership</t>
        </is>
      </c>
      <c r="L16" s="251" t="n"/>
      <c r="M16" s="252" t="inlineStr">
        <is>
          <t>Australia</t>
        </is>
      </c>
      <c r="N16" t="inlineStr">
        <is>
          <t>Ampol Retail</t>
        </is>
      </c>
      <c r="O16" s="257" t="inlineStr">
        <is>
          <t>Leadership</t>
        </is>
      </c>
      <c r="P16" s="258" t="inlineStr">
        <is>
          <t>Leadership</t>
        </is>
      </c>
      <c r="Q16" s="259" t="inlineStr">
        <is>
          <t>Leadership</t>
        </is>
      </c>
      <c r="R16" t="inlineStr">
        <is>
          <t>Filled</t>
        </is>
      </c>
    </row>
    <row r="17" ht="18" customHeight="1" s="849">
      <c r="A17" s="250" t="n">
        <v>95285</v>
      </c>
      <c r="B17" s="220" t="inlineStr">
        <is>
          <t>Tracy Lee Reaper</t>
        </is>
      </c>
      <c r="C17" s="220" t="inlineStr">
        <is>
          <t>Technology Manager, Merchandising &amp; WFM</t>
        </is>
      </c>
      <c r="D17" s="251" t="inlineStr">
        <is>
          <t>Madan Murthy</t>
        </is>
      </c>
      <c r="E17" s="220" t="inlineStr">
        <is>
          <t>Head of Technology,  Ampol Retail</t>
        </is>
      </c>
      <c r="F17" s="220" t="inlineStr">
        <is>
          <t>Ampol Retail &amp; Z</t>
        </is>
      </c>
      <c r="G17" s="251" t="inlineStr">
        <is>
          <t>Ampol Retail</t>
        </is>
      </c>
      <c r="H17" s="220" t="inlineStr">
        <is>
          <t>Ampol Retail, Merch &amp; RTA</t>
        </is>
      </c>
      <c r="I17" s="220" t="inlineStr">
        <is>
          <t>Retail</t>
        </is>
      </c>
      <c r="J17" s="220" t="inlineStr">
        <is>
          <t>Merch / Supply Chain</t>
        </is>
      </c>
      <c r="K17" s="251" t="inlineStr">
        <is>
          <t>Leadership</t>
        </is>
      </c>
      <c r="L17" s="251" t="n"/>
      <c r="M17" s="252" t="inlineStr">
        <is>
          <t>Australia</t>
        </is>
      </c>
      <c r="N17" t="inlineStr">
        <is>
          <t>Ampol Retail</t>
        </is>
      </c>
      <c r="O17" s="257" t="inlineStr">
        <is>
          <t>Leadership</t>
        </is>
      </c>
      <c r="P17" s="258" t="inlineStr">
        <is>
          <t>Leadership</t>
        </is>
      </c>
      <c r="Q17" s="259" t="inlineStr">
        <is>
          <t>Leadership</t>
        </is>
      </c>
      <c r="R17" t="inlineStr">
        <is>
          <t>Filled</t>
        </is>
      </c>
    </row>
    <row r="18" ht="18" customHeight="1" s="849">
      <c r="A18" s="250" t="n">
        <v>111451</v>
      </c>
      <c r="B18" s="220" t="inlineStr">
        <is>
          <t>Aniket Banerji</t>
        </is>
      </c>
      <c r="C18" s="220" t="inlineStr">
        <is>
          <t>Deployment Lead</t>
        </is>
      </c>
      <c r="D18" s="220" t="inlineStr">
        <is>
          <t>Matthew Patane</t>
        </is>
      </c>
      <c r="E18" s="220" t="inlineStr">
        <is>
          <t>Release &amp; Deployment Manager</t>
        </is>
      </c>
      <c r="F18" s="220" t="inlineStr">
        <is>
          <t>Ampol Retail &amp; Z</t>
        </is>
      </c>
      <c r="G18" s="251" t="inlineStr">
        <is>
          <t>Ampol Retail</t>
        </is>
      </c>
      <c r="H18" s="220" t="inlineStr">
        <is>
          <t>Ampol Retail, Technology</t>
        </is>
      </c>
      <c r="I18" s="220" t="inlineStr">
        <is>
          <t>Retail</t>
        </is>
      </c>
      <c r="J18" s="251" t="inlineStr">
        <is>
          <t>Store Operations</t>
        </is>
      </c>
      <c r="K18" s="261" t="inlineStr">
        <is>
          <t>Deployment</t>
        </is>
      </c>
      <c r="L18" s="251" t="n"/>
      <c r="M18" s="252" t="inlineStr">
        <is>
          <t>Australia</t>
        </is>
      </c>
      <c r="N18" t="inlineStr">
        <is>
          <t>Ampol Retail</t>
        </is>
      </c>
      <c r="O18" s="257" t="inlineStr">
        <is>
          <t>Store Operations</t>
        </is>
      </c>
      <c r="P18" s="258" t="inlineStr">
        <is>
          <t>Deployment</t>
        </is>
      </c>
      <c r="Q18" s="259" t="inlineStr">
        <is>
          <t>Squad</t>
        </is>
      </c>
      <c r="R18" t="inlineStr">
        <is>
          <t>Filled</t>
        </is>
      </c>
    </row>
    <row r="19" ht="18" customHeight="1" s="849">
      <c r="A19" s="250" t="n">
        <v>95128</v>
      </c>
      <c r="B19" s="220" t="inlineStr">
        <is>
          <t>Deepak Kubendran</t>
        </is>
      </c>
      <c r="C19" s="220" t="inlineStr">
        <is>
          <t>Project Manager – Deployments</t>
        </is>
      </c>
      <c r="D19" s="220" t="inlineStr">
        <is>
          <t>Matthew Patane</t>
        </is>
      </c>
      <c r="E19" s="220" t="inlineStr">
        <is>
          <t>Release &amp; Deployment Manager</t>
        </is>
      </c>
      <c r="F19" s="220" t="inlineStr">
        <is>
          <t>Ampol Retail &amp; Z</t>
        </is>
      </c>
      <c r="G19" s="251" t="inlineStr">
        <is>
          <t>Ampol Retail</t>
        </is>
      </c>
      <c r="H19" s="220" t="inlineStr">
        <is>
          <t>Ampol Retail, Technology</t>
        </is>
      </c>
      <c r="I19" s="220" t="inlineStr">
        <is>
          <t>Retail</t>
        </is>
      </c>
      <c r="J19" s="251" t="inlineStr">
        <is>
          <t>Store Operations</t>
        </is>
      </c>
      <c r="K19" s="261" t="inlineStr">
        <is>
          <t>Deployment</t>
        </is>
      </c>
      <c r="L19" s="251" t="n"/>
      <c r="M19" s="252" t="inlineStr">
        <is>
          <t>Australia</t>
        </is>
      </c>
      <c r="N19" t="inlineStr">
        <is>
          <t>Ampol Retail</t>
        </is>
      </c>
      <c r="O19" s="262" t="inlineStr">
        <is>
          <t>Store Operations</t>
        </is>
      </c>
      <c r="P19" s="263" t="inlineStr">
        <is>
          <t>Deployment</t>
        </is>
      </c>
      <c r="Q19" s="264" t="inlineStr">
        <is>
          <t>Squad</t>
        </is>
      </c>
      <c r="R19" t="inlineStr">
        <is>
          <t>Filled</t>
        </is>
      </c>
    </row>
    <row r="20" ht="18" customHeight="1" s="849">
      <c r="A20" s="250" t="n">
        <v>11424</v>
      </c>
      <c r="B20" s="220" t="inlineStr">
        <is>
          <t>Sao Keawprasit</t>
        </is>
      </c>
      <c r="C20" s="220" t="inlineStr">
        <is>
          <t>Systems Analyst</t>
        </is>
      </c>
      <c r="D20" s="220" t="inlineStr">
        <is>
          <t>Tracy Lee Reaper</t>
        </is>
      </c>
      <c r="E20" s="220" t="inlineStr">
        <is>
          <t>Tech Manager, Merchandising &amp; WFM</t>
        </is>
      </c>
      <c r="F20" s="220" t="inlineStr">
        <is>
          <t>Ampol Retail &amp; Z</t>
        </is>
      </c>
      <c r="G20" s="251" t="inlineStr">
        <is>
          <t>Ampol Retail</t>
        </is>
      </c>
      <c r="H20" s="220" t="inlineStr">
        <is>
          <t>Ampol Retail, Merch &amp; RTA</t>
        </is>
      </c>
      <c r="I20" s="220" t="inlineStr">
        <is>
          <t>Retail</t>
        </is>
      </c>
      <c r="J20" s="265" t="inlineStr">
        <is>
          <t>Above Store</t>
        </is>
      </c>
      <c r="K20" s="265" t="inlineStr">
        <is>
          <t>Above Store</t>
        </is>
      </c>
      <c r="L20" s="251" t="n"/>
      <c r="M20" s="252" t="inlineStr">
        <is>
          <t>Australia</t>
        </is>
      </c>
      <c r="N20" t="inlineStr">
        <is>
          <t>Ampol Retail</t>
        </is>
      </c>
      <c r="O20" t="inlineStr">
        <is>
          <t>Above Store</t>
        </is>
      </c>
      <c r="P20" t="inlineStr">
        <is>
          <t>Above Store</t>
        </is>
      </c>
      <c r="Q20" t="inlineStr">
        <is>
          <t>Squad</t>
        </is>
      </c>
      <c r="R20" t="inlineStr">
        <is>
          <t>Filled</t>
        </is>
      </c>
    </row>
    <row r="21" ht="18" customHeight="1" s="849">
      <c r="A21" s="250" t="n">
        <v>114829</v>
      </c>
      <c r="B21" s="220" t="inlineStr">
        <is>
          <t>Zuan Zheng</t>
        </is>
      </c>
      <c r="C21" s="220" t="inlineStr">
        <is>
          <t>Systems Analyst</t>
        </is>
      </c>
      <c r="D21" s="220" t="inlineStr">
        <is>
          <t>Tracy Lee Reaper</t>
        </is>
      </c>
      <c r="E21" s="220" t="inlineStr">
        <is>
          <t>Tech Manager, Merchandising &amp; WFM</t>
        </is>
      </c>
      <c r="F21" s="220" t="inlineStr">
        <is>
          <t>Ampol Retail &amp; Z</t>
        </is>
      </c>
      <c r="G21" s="251" t="inlineStr">
        <is>
          <t>Ampol Retail</t>
        </is>
      </c>
      <c r="H21" s="220" t="inlineStr">
        <is>
          <t>Ampol Retail, Merch &amp; RTA</t>
        </is>
      </c>
      <c r="I21" s="220" t="inlineStr">
        <is>
          <t>Retail</t>
        </is>
      </c>
      <c r="J21" s="265" t="inlineStr">
        <is>
          <t>Above Store</t>
        </is>
      </c>
      <c r="K21" s="265" t="inlineStr">
        <is>
          <t>Above Store</t>
        </is>
      </c>
      <c r="L21" s="251" t="n"/>
      <c r="M21" s="252" t="inlineStr">
        <is>
          <t>Singapore</t>
        </is>
      </c>
      <c r="N21" t="inlineStr">
        <is>
          <t>Ampol Retail</t>
        </is>
      </c>
      <c r="O21" t="inlineStr">
        <is>
          <t>Above Store</t>
        </is>
      </c>
      <c r="P21" t="inlineStr">
        <is>
          <t>Above Store</t>
        </is>
      </c>
      <c r="Q21" t="inlineStr">
        <is>
          <t>Squad</t>
        </is>
      </c>
      <c r="R21" t="inlineStr">
        <is>
          <t>Filled</t>
        </is>
      </c>
    </row>
    <row r="22" ht="18" customHeight="1" s="849">
      <c r="A22" s="250" t="n"/>
      <c r="B22" s="220" t="inlineStr">
        <is>
          <t>Vacant</t>
        </is>
      </c>
      <c r="C22" s="220" t="inlineStr">
        <is>
          <t>Systems Analyst</t>
        </is>
      </c>
      <c r="D22" s="220" t="inlineStr">
        <is>
          <t>Tracy Lee Reaper</t>
        </is>
      </c>
      <c r="E22" s="220" t="inlineStr">
        <is>
          <t>Tech Manager, Merchandising &amp; WFM</t>
        </is>
      </c>
      <c r="F22" s="220" t="inlineStr">
        <is>
          <t>Ampol Retail &amp; Z</t>
        </is>
      </c>
      <c r="G22" s="251" t="inlineStr">
        <is>
          <t>Ampol Retail</t>
        </is>
      </c>
      <c r="H22" s="220" t="inlineStr">
        <is>
          <t>Ampol Retail, Merch &amp; RTA</t>
        </is>
      </c>
      <c r="I22" s="220" t="inlineStr">
        <is>
          <t>Retail</t>
        </is>
      </c>
      <c r="J22" s="265" t="inlineStr">
        <is>
          <t>Above Store</t>
        </is>
      </c>
      <c r="K22" s="265" t="inlineStr">
        <is>
          <t>Above Store</t>
        </is>
      </c>
      <c r="L22" s="251" t="n"/>
      <c r="M22" s="252" t="n"/>
      <c r="N22" t="inlineStr">
        <is>
          <t>Ampol Retail</t>
        </is>
      </c>
      <c r="O22" t="inlineStr">
        <is>
          <t>Above Store</t>
        </is>
      </c>
      <c r="P22" t="inlineStr">
        <is>
          <t>Above Store</t>
        </is>
      </c>
      <c r="Q22" t="inlineStr">
        <is>
          <t>Squad</t>
        </is>
      </c>
      <c r="R22" t="inlineStr">
        <is>
          <t>Vacant</t>
        </is>
      </c>
    </row>
    <row r="23" ht="18" customHeight="1" s="849">
      <c r="A23" s="250" t="n">
        <v>108357</v>
      </c>
      <c r="B23" s="220" t="inlineStr">
        <is>
          <t>Pahul Oberoi</t>
        </is>
      </c>
      <c r="C23" s="220" t="inlineStr">
        <is>
          <t>Systems Analyst</t>
        </is>
      </c>
      <c r="D23" s="220" t="inlineStr">
        <is>
          <t>Tracy Lee Reaper</t>
        </is>
      </c>
      <c r="E23" s="220" t="inlineStr">
        <is>
          <t>Tech Manager, Merchandising &amp; WFM</t>
        </is>
      </c>
      <c r="F23" s="220" t="inlineStr">
        <is>
          <t>Ampol Retail &amp; Z</t>
        </is>
      </c>
      <c r="G23" s="251" t="inlineStr">
        <is>
          <t>Ampol Retail</t>
        </is>
      </c>
      <c r="H23" s="220" t="inlineStr">
        <is>
          <t>Ampol Retail, Merch &amp; RTA</t>
        </is>
      </c>
      <c r="I23" s="220" t="inlineStr">
        <is>
          <t>Retail</t>
        </is>
      </c>
      <c r="J23" s="265" t="inlineStr">
        <is>
          <t>Above Store</t>
        </is>
      </c>
      <c r="K23" s="265" t="inlineStr">
        <is>
          <t>Above Store</t>
        </is>
      </c>
      <c r="L23" s="251" t="n"/>
      <c r="M23" s="252" t="inlineStr">
        <is>
          <t>Australia</t>
        </is>
      </c>
      <c r="N23" t="inlineStr">
        <is>
          <t>Ampol Retail</t>
        </is>
      </c>
      <c r="O23" t="inlineStr">
        <is>
          <t>Above Store</t>
        </is>
      </c>
      <c r="P23" t="inlineStr">
        <is>
          <t>Above Store</t>
        </is>
      </c>
      <c r="Q23" t="inlineStr">
        <is>
          <t>Squad</t>
        </is>
      </c>
      <c r="R23" t="inlineStr">
        <is>
          <t>Filled</t>
        </is>
      </c>
    </row>
    <row r="24" ht="18" customHeight="1" s="849">
      <c r="A24" s="250" t="n"/>
      <c r="B24" s="220" t="inlineStr">
        <is>
          <t>vacant</t>
        </is>
      </c>
      <c r="C24" s="220" t="inlineStr">
        <is>
          <t>Quality Assurance</t>
        </is>
      </c>
      <c r="D24" s="220" t="inlineStr">
        <is>
          <t>Tracy Lee Reaper</t>
        </is>
      </c>
      <c r="E24" s="220" t="inlineStr">
        <is>
          <t>Tech Manager, Merchandising &amp; WFM</t>
        </is>
      </c>
      <c r="F24" s="220" t="inlineStr">
        <is>
          <t>Ampol Retail &amp; Z</t>
        </is>
      </c>
      <c r="G24" s="251" t="inlineStr">
        <is>
          <t>Ampol Retail</t>
        </is>
      </c>
      <c r="H24" s="220" t="inlineStr">
        <is>
          <t>Ampol Retail, Merch &amp; RTA</t>
        </is>
      </c>
      <c r="I24" s="220" t="inlineStr">
        <is>
          <t>Retail</t>
        </is>
      </c>
      <c r="J24" s="265" t="inlineStr">
        <is>
          <t>Above Store</t>
        </is>
      </c>
      <c r="K24" s="265" t="inlineStr">
        <is>
          <t>Above Store</t>
        </is>
      </c>
      <c r="L24" s="251" t="n"/>
      <c r="M24" s="252" t="n"/>
      <c r="N24" t="inlineStr">
        <is>
          <t>Ampol Retail</t>
        </is>
      </c>
      <c r="O24" t="inlineStr">
        <is>
          <t>Above Store</t>
        </is>
      </c>
      <c r="P24" t="inlineStr">
        <is>
          <t>Above Store</t>
        </is>
      </c>
      <c r="Q24" t="inlineStr">
        <is>
          <t>Squad</t>
        </is>
      </c>
      <c r="R24" t="inlineStr">
        <is>
          <t>Vacant</t>
        </is>
      </c>
    </row>
    <row r="25" ht="18" customHeight="1" s="849">
      <c r="A25" s="250" t="n"/>
      <c r="B25" s="220" t="inlineStr">
        <is>
          <t>Vacant</t>
        </is>
      </c>
      <c r="C25" s="220" t="inlineStr">
        <is>
          <t>Engineer - Integration</t>
        </is>
      </c>
      <c r="D25" s="220" t="inlineStr">
        <is>
          <t>Tracy Lee Reaper</t>
        </is>
      </c>
      <c r="E25" s="220" t="inlineStr">
        <is>
          <t>Tech Manager, Merchandising &amp; WFM</t>
        </is>
      </c>
      <c r="F25" s="220" t="inlineStr">
        <is>
          <t>Ampol Retail &amp; Z</t>
        </is>
      </c>
      <c r="G25" s="251" t="inlineStr">
        <is>
          <t>Ampol Retail</t>
        </is>
      </c>
      <c r="H25" s="220" t="inlineStr">
        <is>
          <t>Ampol Retail, Merch &amp; RTA</t>
        </is>
      </c>
      <c r="I25" s="220" t="inlineStr">
        <is>
          <t>Retail</t>
        </is>
      </c>
      <c r="J25" s="265" t="inlineStr">
        <is>
          <t>Above Store</t>
        </is>
      </c>
      <c r="K25" s="265" t="inlineStr">
        <is>
          <t>Above Store</t>
        </is>
      </c>
      <c r="L25" s="251" t="n"/>
      <c r="M25" s="252" t="n"/>
      <c r="N25" t="inlineStr">
        <is>
          <t>Ampol Retail</t>
        </is>
      </c>
      <c r="O25" t="inlineStr">
        <is>
          <t>Above Store</t>
        </is>
      </c>
      <c r="P25" t="inlineStr">
        <is>
          <t>Above Store</t>
        </is>
      </c>
      <c r="Q25" t="inlineStr">
        <is>
          <t>Squad</t>
        </is>
      </c>
      <c r="R25" t="inlineStr">
        <is>
          <t>Vacant</t>
        </is>
      </c>
    </row>
    <row r="26" ht="18" customHeight="1" s="849">
      <c r="A26" s="250" t="n">
        <v>7001</v>
      </c>
      <c r="B26" s="220" t="inlineStr">
        <is>
          <t>Joseph Maroun</t>
        </is>
      </c>
      <c r="C26" s="266" t="inlineStr">
        <is>
          <t>Systems Analyst</t>
        </is>
      </c>
      <c r="D26" s="220" t="inlineStr">
        <is>
          <t>Tracy Lee Reaper</t>
        </is>
      </c>
      <c r="E26" s="220" t="inlineStr">
        <is>
          <t>Tech Manager, Merchandising &amp; WFM</t>
        </is>
      </c>
      <c r="F26" s="220" t="inlineStr">
        <is>
          <t>Ampol Retail &amp; Z</t>
        </is>
      </c>
      <c r="G26" s="251" t="inlineStr">
        <is>
          <t>Ampol Retail</t>
        </is>
      </c>
      <c r="H26" s="220" t="inlineStr">
        <is>
          <t>Ampol Retail, Merch &amp; RTA</t>
        </is>
      </c>
      <c r="I26" s="220" t="inlineStr">
        <is>
          <t>Retail</t>
        </is>
      </c>
      <c r="J26" s="265" t="inlineStr">
        <is>
          <t>Above Store</t>
        </is>
      </c>
      <c r="K26" s="265" t="inlineStr">
        <is>
          <t>Above Store</t>
        </is>
      </c>
      <c r="L26" s="251" t="n"/>
      <c r="M26" s="252" t="inlineStr">
        <is>
          <t>Australia</t>
        </is>
      </c>
      <c r="N26" t="inlineStr">
        <is>
          <t>Ampol Retail</t>
        </is>
      </c>
      <c r="O26" t="inlineStr">
        <is>
          <t>Above Store</t>
        </is>
      </c>
      <c r="P26" t="inlineStr">
        <is>
          <t>Above Store</t>
        </is>
      </c>
      <c r="Q26" t="inlineStr">
        <is>
          <t>Squad</t>
        </is>
      </c>
      <c r="R26" t="inlineStr">
        <is>
          <t>Filled</t>
        </is>
      </c>
    </row>
    <row r="27" ht="18" customHeight="1" s="849">
      <c r="A27" s="250" t="n">
        <v>117167</v>
      </c>
      <c r="B27" s="220" t="inlineStr">
        <is>
          <t>Vijay Patel</t>
        </is>
      </c>
      <c r="C27" s="220" t="inlineStr">
        <is>
          <t>Systems Analyst</t>
        </is>
      </c>
      <c r="D27" s="220" t="inlineStr">
        <is>
          <t>Tracy Lee Reaper</t>
        </is>
      </c>
      <c r="E27" s="220" t="inlineStr">
        <is>
          <t>Tech Manager, Merchandising &amp; WFM</t>
        </is>
      </c>
      <c r="F27" s="220" t="inlineStr">
        <is>
          <t>Ampol Retail &amp; Z</t>
        </is>
      </c>
      <c r="G27" s="251" t="inlineStr">
        <is>
          <t>Ampol Retail</t>
        </is>
      </c>
      <c r="H27" s="220" t="inlineStr">
        <is>
          <t>Ampol Retail, Store Platforms</t>
        </is>
      </c>
      <c r="I27" s="220" t="inlineStr">
        <is>
          <t>Retail</t>
        </is>
      </c>
      <c r="J27" s="265" t="inlineStr">
        <is>
          <t>Above Store</t>
        </is>
      </c>
      <c r="K27" s="265" t="inlineStr">
        <is>
          <t>Above Store</t>
        </is>
      </c>
      <c r="L27" s="251" t="n"/>
      <c r="M27" s="252" t="inlineStr">
        <is>
          <t>Australia</t>
        </is>
      </c>
      <c r="N27" t="inlineStr">
        <is>
          <t>Ampol Retail</t>
        </is>
      </c>
      <c r="O27" t="inlineStr">
        <is>
          <t>Above Store</t>
        </is>
      </c>
      <c r="P27" t="inlineStr">
        <is>
          <t>Above Store</t>
        </is>
      </c>
      <c r="Q27" t="inlineStr">
        <is>
          <t>Squad</t>
        </is>
      </c>
      <c r="R27" t="inlineStr">
        <is>
          <t>Filled</t>
        </is>
      </c>
    </row>
    <row r="28" ht="18" customHeight="1" s="849">
      <c r="A28" s="250" t="n"/>
      <c r="B28" s="220" t="inlineStr">
        <is>
          <t>vacant</t>
        </is>
      </c>
      <c r="C28" s="220" t="inlineStr">
        <is>
          <t>Quality Assurance</t>
        </is>
      </c>
      <c r="D28" s="220" t="inlineStr">
        <is>
          <t>Tracy Lee Reaper</t>
        </is>
      </c>
      <c r="E28" s="220" t="inlineStr">
        <is>
          <t>Tech Manager, Merchandising &amp; WFM</t>
        </is>
      </c>
      <c r="F28" s="220" t="inlineStr">
        <is>
          <t>Ampol Retail &amp; Z</t>
        </is>
      </c>
      <c r="G28" s="251" t="inlineStr">
        <is>
          <t>Ampol Retail</t>
        </is>
      </c>
      <c r="H28" s="220" t="inlineStr">
        <is>
          <t>Ampol Retail, Merch &amp; RTA</t>
        </is>
      </c>
      <c r="I28" s="220" t="inlineStr">
        <is>
          <t>Retail</t>
        </is>
      </c>
      <c r="J28" s="265" t="inlineStr">
        <is>
          <t>Above Store</t>
        </is>
      </c>
      <c r="K28" s="265" t="inlineStr">
        <is>
          <t>Above Store</t>
        </is>
      </c>
      <c r="L28" s="251" t="n"/>
      <c r="M28" s="252" t="n"/>
      <c r="N28" t="inlineStr">
        <is>
          <t>Ampol Retail</t>
        </is>
      </c>
      <c r="O28" t="inlineStr">
        <is>
          <t>Above Store</t>
        </is>
      </c>
      <c r="P28" t="inlineStr">
        <is>
          <t>Above Store</t>
        </is>
      </c>
      <c r="Q28" t="inlineStr">
        <is>
          <t>Squad</t>
        </is>
      </c>
      <c r="R28" t="inlineStr">
        <is>
          <t>Vacant</t>
        </is>
      </c>
    </row>
    <row r="29" ht="18" customHeight="1" s="849">
      <c r="A29" s="250" t="n">
        <v>84413</v>
      </c>
      <c r="B29" s="220" t="inlineStr">
        <is>
          <t>Karthick Sathiyamoorthy</t>
        </is>
      </c>
      <c r="C29" s="220" t="inlineStr">
        <is>
          <t>Quality Assurance</t>
        </is>
      </c>
      <c r="D29" s="251" t="inlineStr">
        <is>
          <t>Vacant</t>
        </is>
      </c>
      <c r="E29" s="220" t="inlineStr">
        <is>
          <t>Lead Quality Assurance</t>
        </is>
      </c>
      <c r="F29" s="220" t="inlineStr">
        <is>
          <t>Ampol Retail &amp; Z</t>
        </is>
      </c>
      <c r="G29" s="251" t="inlineStr">
        <is>
          <t>Ampol Retail</t>
        </is>
      </c>
      <c r="H29" s="220" t="inlineStr">
        <is>
          <t>Ampol Retail, Store Platforms</t>
        </is>
      </c>
      <c r="I29" s="220" t="inlineStr">
        <is>
          <t>Retail</t>
        </is>
      </c>
      <c r="J29" s="251" t="inlineStr">
        <is>
          <t>AMPOS</t>
        </is>
      </c>
      <c r="K29" s="220" t="inlineStr">
        <is>
          <t>AmPos</t>
        </is>
      </c>
      <c r="L29" s="251" t="n"/>
      <c r="M29" s="252" t="inlineStr">
        <is>
          <t>Australia</t>
        </is>
      </c>
      <c r="N29" t="inlineStr">
        <is>
          <t>Ampol Retail</t>
        </is>
      </c>
      <c r="O29" t="inlineStr">
        <is>
          <t>AmPOS</t>
        </is>
      </c>
      <c r="P29" t="inlineStr">
        <is>
          <t>AmPOS</t>
        </is>
      </c>
      <c r="Q29" t="inlineStr">
        <is>
          <t>Strategic Program</t>
        </is>
      </c>
      <c r="R29" t="inlineStr">
        <is>
          <t>Filled</t>
        </is>
      </c>
    </row>
    <row r="30" ht="18" customHeight="1" s="849">
      <c r="A30" s="250" t="n">
        <v>99999102104</v>
      </c>
      <c r="B30" s="220" t="inlineStr">
        <is>
          <t>Isuru Herath</t>
        </is>
      </c>
      <c r="C30" s="220" t="inlineStr">
        <is>
          <t>Senior Engineer - Software</t>
        </is>
      </c>
      <c r="D30" s="220" t="inlineStr">
        <is>
          <t>Vacant</t>
        </is>
      </c>
      <c r="E30" s="220" t="inlineStr">
        <is>
          <t>Technology Manager, Engineering</t>
        </is>
      </c>
      <c r="F30" s="220" t="inlineStr">
        <is>
          <t>Ampol Retail &amp; Z</t>
        </is>
      </c>
      <c r="G30" s="251" t="inlineStr">
        <is>
          <t>Z &amp; Group Retail</t>
        </is>
      </c>
      <c r="H30" s="220" t="inlineStr">
        <is>
          <t>Z &amp; Group Retail, Engineering</t>
        </is>
      </c>
      <c r="I30" s="220" t="inlineStr">
        <is>
          <t>Z</t>
        </is>
      </c>
      <c r="J30" s="251" t="inlineStr">
        <is>
          <t>Z Supply</t>
        </is>
      </c>
      <c r="K30" s="220" t="inlineStr">
        <is>
          <t>Z Supply</t>
        </is>
      </c>
      <c r="L30" s="251" t="n"/>
      <c r="M30" s="252" t="inlineStr">
        <is>
          <t>NZ</t>
        </is>
      </c>
      <c r="N30" t="inlineStr">
        <is>
          <t>Z Retail</t>
        </is>
      </c>
      <c r="O30" t="inlineStr">
        <is>
          <t>Z Supply</t>
        </is>
      </c>
      <c r="P30" t="inlineStr">
        <is>
          <t>Z Supply</t>
        </is>
      </c>
      <c r="Q30" t="inlineStr">
        <is>
          <t>Squad</t>
        </is>
      </c>
      <c r="R30" t="inlineStr">
        <is>
          <t>Filled</t>
        </is>
      </c>
    </row>
    <row r="31" ht="18" customHeight="1" s="849">
      <c r="A31" s="250" t="n">
        <v>99999101222</v>
      </c>
      <c r="B31" s="220" t="inlineStr">
        <is>
          <t>Malachi Ah Hoi</t>
        </is>
      </c>
      <c r="C31" s="220" t="inlineStr">
        <is>
          <t>Senior Quality Assurance</t>
        </is>
      </c>
      <c r="D31" s="220" t="inlineStr">
        <is>
          <t>Vacant</t>
        </is>
      </c>
      <c r="E31" s="220" t="inlineStr">
        <is>
          <t>Technology Manager, Engineering</t>
        </is>
      </c>
      <c r="F31" s="220" t="inlineStr">
        <is>
          <t>Ampol Retail &amp; Z</t>
        </is>
      </c>
      <c r="G31" s="220" t="inlineStr">
        <is>
          <t>Z &amp; Group Retail</t>
        </is>
      </c>
      <c r="H31" s="220" t="inlineStr">
        <is>
          <t>Z &amp; Group Retail, Engineering</t>
        </is>
      </c>
      <c r="I31" s="220" t="inlineStr">
        <is>
          <t>Z</t>
        </is>
      </c>
      <c r="J31" s="220" t="inlineStr">
        <is>
          <t>Z Customer</t>
        </is>
      </c>
      <c r="K31" s="220" t="inlineStr">
        <is>
          <t xml:space="preserve">Z Retail Backend </t>
        </is>
      </c>
      <c r="L31" s="251" t="n"/>
      <c r="M31" s="252" t="inlineStr">
        <is>
          <t>NZ</t>
        </is>
      </c>
      <c r="N31" t="inlineStr">
        <is>
          <t>Z Retail</t>
        </is>
      </c>
      <c r="O31" t="inlineStr">
        <is>
          <t>Z Customer</t>
        </is>
      </c>
      <c r="P31" t="inlineStr">
        <is>
          <t>Z Retail Backend</t>
        </is>
      </c>
      <c r="Q31" t="inlineStr">
        <is>
          <t>Squad</t>
        </is>
      </c>
      <c r="R31" t="inlineStr">
        <is>
          <t>Filled</t>
        </is>
      </c>
    </row>
    <row r="32" ht="18" customHeight="1" s="849">
      <c r="A32" s="250" t="n"/>
      <c r="B32" s="220" t="inlineStr">
        <is>
          <t>Vacant</t>
        </is>
      </c>
      <c r="C32" s="220" t="inlineStr">
        <is>
          <t>Delivery Manager</t>
        </is>
      </c>
      <c r="D32" s="251" t="inlineStr">
        <is>
          <t>Vacant</t>
        </is>
      </c>
      <c r="E32" s="220" t="inlineStr">
        <is>
          <t>Head of Technology, Z and Group Retail Platforms</t>
        </is>
      </c>
      <c r="F32" s="220" t="inlineStr">
        <is>
          <t>Ampol Retail &amp; Z</t>
        </is>
      </c>
      <c r="G32" s="251" t="inlineStr">
        <is>
          <t>Z &amp; Group Retail</t>
        </is>
      </c>
      <c r="H32" s="251" t="inlineStr">
        <is>
          <t>Z &amp; Group Retail, Delivery</t>
        </is>
      </c>
      <c r="I32" s="251" t="inlineStr">
        <is>
          <t>Z</t>
        </is>
      </c>
      <c r="J32" s="220" t="inlineStr">
        <is>
          <t>Z Customer &amp; Z Supply</t>
        </is>
      </c>
      <c r="K32" s="251" t="inlineStr">
        <is>
          <t>Leadership</t>
        </is>
      </c>
      <c r="L32" s="251" t="n"/>
      <c r="M32" s="252" t="n"/>
      <c r="N32" t="inlineStr">
        <is>
          <t>Z Retail</t>
        </is>
      </c>
      <c r="O32" t="inlineStr">
        <is>
          <t>Leadership</t>
        </is>
      </c>
      <c r="P32" t="inlineStr">
        <is>
          <t>Leadership</t>
        </is>
      </c>
      <c r="Q32" t="inlineStr">
        <is>
          <t>Leadership</t>
        </is>
      </c>
      <c r="R32" t="inlineStr">
        <is>
          <t>Vacant</t>
        </is>
      </c>
    </row>
    <row r="33" ht="18" customHeight="1" s="849">
      <c r="A33" s="250" t="n"/>
      <c r="B33" s="220" t="inlineStr">
        <is>
          <t>Vacant</t>
        </is>
      </c>
      <c r="C33" s="220" t="inlineStr">
        <is>
          <t>Quality Assurance</t>
        </is>
      </c>
      <c r="D33" s="220" t="inlineStr">
        <is>
          <t>Vacant</t>
        </is>
      </c>
      <c r="E33" s="220" t="inlineStr">
        <is>
          <t>Technology Manager, Engineering</t>
        </is>
      </c>
      <c r="F33" s="220" t="inlineStr">
        <is>
          <t>Ampol Retail &amp; Z</t>
        </is>
      </c>
      <c r="G33" s="251" t="inlineStr">
        <is>
          <t>Z &amp; Group Retail</t>
        </is>
      </c>
      <c r="H33" s="220" t="inlineStr">
        <is>
          <t>Z &amp; Group Retail, Engineering</t>
        </is>
      </c>
      <c r="I33" s="220" t="inlineStr">
        <is>
          <t>Z</t>
        </is>
      </c>
      <c r="J33" s="251" t="inlineStr">
        <is>
          <t>Z Supply</t>
        </is>
      </c>
      <c r="K33" s="220" t="inlineStr">
        <is>
          <t>Z Supply</t>
        </is>
      </c>
      <c r="L33" s="251" t="n"/>
      <c r="M33" s="252" t="n"/>
      <c r="N33" t="inlineStr">
        <is>
          <t>Z Retail</t>
        </is>
      </c>
      <c r="O33" t="inlineStr">
        <is>
          <t>Z Supply</t>
        </is>
      </c>
      <c r="P33" t="inlineStr">
        <is>
          <t>Z Supply</t>
        </is>
      </c>
      <c r="Q33" t="inlineStr">
        <is>
          <t>Squad</t>
        </is>
      </c>
      <c r="R33" t="inlineStr">
        <is>
          <t>Vacant</t>
        </is>
      </c>
    </row>
    <row r="34" ht="18" customHeight="1" s="849">
      <c r="A34" s="250" t="n"/>
      <c r="B34" s="220" t="inlineStr">
        <is>
          <t>Vacant</t>
        </is>
      </c>
      <c r="C34" s="220" t="inlineStr">
        <is>
          <t>Systems Analyst</t>
        </is>
      </c>
      <c r="D34" s="220" t="inlineStr">
        <is>
          <t>Vacant</t>
        </is>
      </c>
      <c r="E34" s="220" t="inlineStr">
        <is>
          <t>Technology Manager, Retail</t>
        </is>
      </c>
      <c r="F34" s="220" t="inlineStr">
        <is>
          <t>Ampol Retail &amp; Z</t>
        </is>
      </c>
      <c r="G34" s="251" t="inlineStr">
        <is>
          <t>Ampol Retail</t>
        </is>
      </c>
      <c r="H34" s="220" t="inlineStr">
        <is>
          <t>Ampol Retail, Technology</t>
        </is>
      </c>
      <c r="I34" s="220" t="inlineStr">
        <is>
          <t>Retail</t>
        </is>
      </c>
      <c r="J34" s="251" t="inlineStr">
        <is>
          <t>Network/QSR</t>
        </is>
      </c>
      <c r="K34" s="220" t="inlineStr">
        <is>
          <t>Network &amp; QSR</t>
        </is>
      </c>
      <c r="L34" s="251" t="n"/>
      <c r="M34" s="252" t="n"/>
      <c r="N34" t="inlineStr">
        <is>
          <t>Ampol Retail</t>
        </is>
      </c>
      <c r="O34" t="inlineStr">
        <is>
          <t>Network / QSR</t>
        </is>
      </c>
      <c r="P34" t="inlineStr">
        <is>
          <t>Network / QSR</t>
        </is>
      </c>
      <c r="Q34" t="inlineStr">
        <is>
          <t>Squad</t>
        </is>
      </c>
      <c r="R34" t="inlineStr">
        <is>
          <t>Vacant</t>
        </is>
      </c>
    </row>
    <row r="35" ht="18" customHeight="1" s="849">
      <c r="A35" s="250" t="n">
        <v>115515</v>
      </c>
      <c r="B35" s="220" t="inlineStr">
        <is>
          <t>Emma Natoli</t>
        </is>
      </c>
      <c r="C35" s="220" t="inlineStr">
        <is>
          <t>Technology Manager, Engineering</t>
        </is>
      </c>
      <c r="D35" s="251" t="inlineStr">
        <is>
          <t>Vacant</t>
        </is>
      </c>
      <c r="E35" s="220" t="inlineStr">
        <is>
          <t>Head of Technology, Z and Group Retail Platforms</t>
        </is>
      </c>
      <c r="F35" s="220" t="inlineStr">
        <is>
          <t>Ampol Retail &amp; Z</t>
        </is>
      </c>
      <c r="G35" s="251" t="inlineStr">
        <is>
          <t>Z &amp; Group Retail</t>
        </is>
      </c>
      <c r="H35" s="220" t="inlineStr">
        <is>
          <t>Z &amp; Group Retail, Engineering</t>
        </is>
      </c>
      <c r="I35" s="220" t="inlineStr">
        <is>
          <t>Z</t>
        </is>
      </c>
      <c r="J35" s="220" t="inlineStr">
        <is>
          <t>Z Customer &amp; Z Supply</t>
        </is>
      </c>
      <c r="K35" s="251" t="inlineStr">
        <is>
          <t>Leadership</t>
        </is>
      </c>
      <c r="L35" s="251" t="n"/>
      <c r="M35" s="252" t="inlineStr">
        <is>
          <t>NZ</t>
        </is>
      </c>
      <c r="N35" t="inlineStr">
        <is>
          <t>Z Retail</t>
        </is>
      </c>
      <c r="O35" t="inlineStr">
        <is>
          <t>Leadership</t>
        </is>
      </c>
      <c r="P35" t="inlineStr">
        <is>
          <t>Leadership</t>
        </is>
      </c>
      <c r="Q35" t="inlineStr">
        <is>
          <t>Leadership</t>
        </is>
      </c>
      <c r="R35" t="inlineStr">
        <is>
          <t>Filled</t>
        </is>
      </c>
    </row>
    <row r="36" ht="18" customHeight="1" s="849">
      <c r="A36" s="250" t="n">
        <v>98007</v>
      </c>
      <c r="B36" s="220" t="inlineStr">
        <is>
          <t>Sendhil Vinayagam (75% EGI)</t>
        </is>
      </c>
      <c r="C36" s="220" t="inlineStr">
        <is>
          <t>Solution Architect</t>
        </is>
      </c>
      <c r="D36" s="220" t="inlineStr">
        <is>
          <t>Vacant</t>
        </is>
      </c>
      <c r="E36" s="220" t="inlineStr">
        <is>
          <t>Technology Manager, Retail</t>
        </is>
      </c>
      <c r="F36" s="220" t="inlineStr">
        <is>
          <t>Ampol Retail &amp; Z</t>
        </is>
      </c>
      <c r="G36" s="251" t="inlineStr">
        <is>
          <t>Ampol Retail</t>
        </is>
      </c>
      <c r="H36" s="220" t="inlineStr">
        <is>
          <t>Ampol Retail, Technology</t>
        </is>
      </c>
      <c r="I36" s="220" t="inlineStr">
        <is>
          <t>EGI Integration</t>
        </is>
      </c>
      <c r="J36" s="251" t="inlineStr">
        <is>
          <t>EGI</t>
        </is>
      </c>
      <c r="K36" s="220" t="inlineStr">
        <is>
          <t>EGI Retail</t>
        </is>
      </c>
      <c r="L36" s="251" t="n"/>
      <c r="M36" s="252" t="inlineStr">
        <is>
          <t>Australia</t>
        </is>
      </c>
      <c r="N36" t="inlineStr">
        <is>
          <t>Ampol Retail</t>
        </is>
      </c>
      <c r="O36" t="inlineStr">
        <is>
          <t>EGI Retail</t>
        </is>
      </c>
      <c r="P36" t="inlineStr">
        <is>
          <t>EGI Retail</t>
        </is>
      </c>
      <c r="Q36" t="inlineStr">
        <is>
          <t>Strategic Program</t>
        </is>
      </c>
      <c r="R36" t="inlineStr">
        <is>
          <t>Filled</t>
        </is>
      </c>
    </row>
    <row r="37" ht="18" customHeight="1" s="849">
      <c r="A37" s="250" t="n"/>
      <c r="B37" s="220" t="inlineStr">
        <is>
          <t>Vacant</t>
        </is>
      </c>
      <c r="C37" s="220" t="inlineStr">
        <is>
          <t>Delivery Lead</t>
        </is>
      </c>
      <c r="D37" s="251" t="inlineStr">
        <is>
          <t>Vacant</t>
        </is>
      </c>
      <c r="E37" s="261" t="inlineStr">
        <is>
          <t>Delivery Manager, Z and Retail Data</t>
        </is>
      </c>
      <c r="F37" s="220" t="inlineStr">
        <is>
          <t>Ampol Retail &amp; Z</t>
        </is>
      </c>
      <c r="G37" s="251" t="inlineStr">
        <is>
          <t>Z &amp; Group Retail</t>
        </is>
      </c>
      <c r="H37" s="220" t="inlineStr">
        <is>
          <t>Z &amp; Group Retail, Delivery</t>
        </is>
      </c>
      <c r="I37" s="220" t="inlineStr">
        <is>
          <t>Z</t>
        </is>
      </c>
      <c r="J37" s="251" t="inlineStr">
        <is>
          <t>Z Customer &amp; Z Supply</t>
        </is>
      </c>
      <c r="K37" s="220" t="inlineStr">
        <is>
          <t>Data - NZ</t>
        </is>
      </c>
      <c r="L37" s="251" t="n"/>
      <c r="M37" s="252" t="n"/>
      <c r="N37" t="inlineStr">
        <is>
          <t>Z Retail</t>
        </is>
      </c>
      <c r="O37" t="inlineStr">
        <is>
          <t>-</t>
        </is>
      </c>
      <c r="P37" t="inlineStr">
        <is>
          <t>Data NZ</t>
        </is>
      </c>
      <c r="Q37" t="inlineStr">
        <is>
          <t>Unmapped</t>
        </is>
      </c>
      <c r="R37" t="inlineStr">
        <is>
          <t>Vacant</t>
        </is>
      </c>
    </row>
    <row r="38" ht="18" customHeight="1" s="849">
      <c r="A38" s="250" t="n">
        <v>99999101426</v>
      </c>
      <c r="B38" s="220" t="inlineStr">
        <is>
          <t>Trevor Weaver</t>
        </is>
      </c>
      <c r="C38" s="220" t="inlineStr">
        <is>
          <t>Lead  Engineer - Software</t>
        </is>
      </c>
      <c r="D38" s="220" t="inlineStr">
        <is>
          <t>Vacant</t>
        </is>
      </c>
      <c r="E38" s="220" t="inlineStr">
        <is>
          <t>Technology Manager, Engineering</t>
        </is>
      </c>
      <c r="F38" s="220" t="inlineStr">
        <is>
          <t>Ampol Retail &amp; Z</t>
        </is>
      </c>
      <c r="G38" s="220" t="inlineStr">
        <is>
          <t>Z &amp; Group Retail</t>
        </is>
      </c>
      <c r="H38" s="220" t="inlineStr">
        <is>
          <t>Z &amp; Group Retail, Engineering</t>
        </is>
      </c>
      <c r="I38" s="220" t="inlineStr">
        <is>
          <t>Z</t>
        </is>
      </c>
      <c r="J38" s="220" t="inlineStr">
        <is>
          <t>Z Customer</t>
        </is>
      </c>
      <c r="K38" s="220" t="inlineStr">
        <is>
          <t>Z Retail Backend</t>
        </is>
      </c>
      <c r="L38" s="251" t="n"/>
      <c r="M38" s="252" t="inlineStr">
        <is>
          <t>NZ</t>
        </is>
      </c>
      <c r="N38" t="inlineStr">
        <is>
          <t>Z Retail</t>
        </is>
      </c>
      <c r="O38" t="inlineStr">
        <is>
          <t>Z Customer</t>
        </is>
      </c>
      <c r="P38" t="inlineStr">
        <is>
          <t>Z Retail Backend</t>
        </is>
      </c>
      <c r="Q38" t="inlineStr">
        <is>
          <t>Squad</t>
        </is>
      </c>
      <c r="R38" t="inlineStr">
        <is>
          <t>Filled</t>
        </is>
      </c>
    </row>
    <row r="39" ht="18" customHeight="1" s="849">
      <c r="A39" s="250" t="n">
        <v>9999970029518</v>
      </c>
      <c r="B39" s="220" t="inlineStr">
        <is>
          <t>Anne Pretorius</t>
        </is>
      </c>
      <c r="C39" s="220" t="inlineStr">
        <is>
          <t>Lead Business Analyst</t>
        </is>
      </c>
      <c r="D39" s="251" t="inlineStr">
        <is>
          <t>Vacant</t>
        </is>
      </c>
      <c r="E39" s="220" t="inlineStr">
        <is>
          <t>Delivery Manager, Z and Retail Data</t>
        </is>
      </c>
      <c r="F39" s="220" t="inlineStr">
        <is>
          <t>Ampol Retail &amp; Z</t>
        </is>
      </c>
      <c r="G39" s="251" t="inlineStr">
        <is>
          <t>Z &amp; Group Retail</t>
        </is>
      </c>
      <c r="H39" s="220" t="inlineStr">
        <is>
          <t>Z &amp; Group Retail, Delivery</t>
        </is>
      </c>
      <c r="I39" s="220" t="inlineStr">
        <is>
          <t>EGI Integration</t>
        </is>
      </c>
      <c r="J39" s="251" t="inlineStr">
        <is>
          <t>EGI</t>
        </is>
      </c>
      <c r="K39" s="220" t="inlineStr">
        <is>
          <t>EGI</t>
        </is>
      </c>
      <c r="L39" s="251" t="n"/>
      <c r="M39" s="252" t="inlineStr">
        <is>
          <t>NZ</t>
        </is>
      </c>
      <c r="N39" t="inlineStr">
        <is>
          <t>EGI</t>
        </is>
      </c>
      <c r="O39" t="inlineStr">
        <is>
          <t>EGI</t>
        </is>
      </c>
      <c r="P39" t="inlineStr">
        <is>
          <t>EGI (unassigned)</t>
        </is>
      </c>
      <c r="Q39" t="inlineStr">
        <is>
          <t>Unmapped</t>
        </is>
      </c>
      <c r="R39" t="inlineStr">
        <is>
          <t>Filled</t>
        </is>
      </c>
    </row>
    <row r="40" ht="18" customHeight="1" s="849">
      <c r="A40" s="250" t="n">
        <v>4259</v>
      </c>
      <c r="B40" s="220" t="inlineStr">
        <is>
          <t>Ephraim Adan</t>
        </is>
      </c>
      <c r="C40" s="220" t="inlineStr">
        <is>
          <t>Manager - AU Retail Operations</t>
        </is>
      </c>
      <c r="D40" s="220" t="inlineStr">
        <is>
          <t>Vacant</t>
        </is>
      </c>
      <c r="E40" s="220" t="inlineStr">
        <is>
          <t>Technology Manager, Retail</t>
        </is>
      </c>
      <c r="F40" s="220" t="inlineStr">
        <is>
          <t>Ampol Retail &amp; Z</t>
        </is>
      </c>
      <c r="G40" s="251" t="inlineStr">
        <is>
          <t>Ampol Retail</t>
        </is>
      </c>
      <c r="H40" s="220" t="inlineStr">
        <is>
          <t>Ampol Retail, Technology</t>
        </is>
      </c>
      <c r="I40" s="220" t="inlineStr">
        <is>
          <t>Retail</t>
        </is>
      </c>
      <c r="J40" s="251" t="inlineStr">
        <is>
          <t>Store Operations</t>
        </is>
      </c>
      <c r="K40" s="220" t="inlineStr">
        <is>
          <t>Store Operations</t>
        </is>
      </c>
      <c r="L40" s="251" t="n"/>
      <c r="M40" s="252" t="inlineStr">
        <is>
          <t>Australia</t>
        </is>
      </c>
      <c r="N40" t="inlineStr">
        <is>
          <t>Ampol Retail</t>
        </is>
      </c>
      <c r="O40" t="inlineStr">
        <is>
          <t>Store Operations</t>
        </is>
      </c>
      <c r="P40" t="inlineStr">
        <is>
          <t>Store Operations</t>
        </is>
      </c>
      <c r="Q40" t="inlineStr">
        <is>
          <t>Squad</t>
        </is>
      </c>
      <c r="R40" t="inlineStr">
        <is>
          <t>Filled</t>
        </is>
      </c>
    </row>
    <row r="41" ht="18" customHeight="1" s="849">
      <c r="A41" s="250" t="n">
        <v>111835</v>
      </c>
      <c r="B41" s="220" t="inlineStr">
        <is>
          <t>Matthew Patane</t>
        </is>
      </c>
      <c r="C41" s="220" t="inlineStr">
        <is>
          <t>Release &amp; Deployment Manager</t>
        </is>
      </c>
      <c r="D41" s="220" t="inlineStr">
        <is>
          <t>Vacant</t>
        </is>
      </c>
      <c r="E41" s="220" t="inlineStr">
        <is>
          <t>Technology Manager, Retail</t>
        </is>
      </c>
      <c r="F41" s="220" t="inlineStr">
        <is>
          <t>Ampol Retail &amp; Z</t>
        </is>
      </c>
      <c r="G41" s="251" t="inlineStr">
        <is>
          <t>Ampol Retail</t>
        </is>
      </c>
      <c r="H41" s="220" t="inlineStr">
        <is>
          <t>Ampol Retail, Technology</t>
        </is>
      </c>
      <c r="I41" s="220" t="inlineStr">
        <is>
          <t>Retail</t>
        </is>
      </c>
      <c r="J41" s="251" t="inlineStr">
        <is>
          <t>Store Operations</t>
        </is>
      </c>
      <c r="K41" s="220" t="inlineStr">
        <is>
          <t xml:space="preserve">Deployment </t>
        </is>
      </c>
      <c r="L41" s="251" t="n"/>
      <c r="M41" s="252" t="inlineStr">
        <is>
          <t>Australia</t>
        </is>
      </c>
      <c r="N41" t="inlineStr">
        <is>
          <t>Ampol Retail</t>
        </is>
      </c>
      <c r="O41" t="inlineStr">
        <is>
          <t>Store Operations</t>
        </is>
      </c>
      <c r="P41" t="inlineStr">
        <is>
          <t>Deployment</t>
        </is>
      </c>
      <c r="Q41" t="inlineStr">
        <is>
          <t>Squad</t>
        </is>
      </c>
      <c r="R41" t="inlineStr">
        <is>
          <t>Filled</t>
        </is>
      </c>
    </row>
    <row r="42" ht="18" customHeight="1" s="849">
      <c r="A42" s="250" t="n">
        <v>99999101647</v>
      </c>
      <c r="B42" s="220" t="inlineStr">
        <is>
          <t>Ash Muthumala</t>
        </is>
      </c>
      <c r="C42" s="220" t="inlineStr">
        <is>
          <t>Senior QA Analyst</t>
        </is>
      </c>
      <c r="D42" s="251" t="inlineStr">
        <is>
          <t>Vacant</t>
        </is>
      </c>
      <c r="E42" s="220" t="inlineStr">
        <is>
          <t>Technology Manager, Data</t>
        </is>
      </c>
      <c r="F42" s="220" t="inlineStr">
        <is>
          <t>Ampol Retail &amp; Z</t>
        </is>
      </c>
      <c r="G42" s="251" t="inlineStr">
        <is>
          <t>Z &amp; Group Retail</t>
        </is>
      </c>
      <c r="H42" s="220" t="inlineStr">
        <is>
          <t>Delivery, Commercial Fuels</t>
        </is>
      </c>
      <c r="I42" s="220" t="inlineStr">
        <is>
          <t>Z</t>
        </is>
      </c>
      <c r="J42" s="251" t="inlineStr">
        <is>
          <t>Z Customer &amp; Z Supply</t>
        </is>
      </c>
      <c r="K42" s="220" t="inlineStr">
        <is>
          <t>Data - NZ</t>
        </is>
      </c>
      <c r="L42" s="251" t="n"/>
      <c r="M42" s="252" t="inlineStr">
        <is>
          <t>NZ</t>
        </is>
      </c>
      <c r="N42" t="inlineStr">
        <is>
          <t>Z Retail</t>
        </is>
      </c>
      <c r="O42" t="inlineStr">
        <is>
          <t>-</t>
        </is>
      </c>
      <c r="P42" t="inlineStr">
        <is>
          <t>Data NZ</t>
        </is>
      </c>
      <c r="Q42" t="inlineStr">
        <is>
          <t>Unmapped</t>
        </is>
      </c>
      <c r="R42" t="inlineStr">
        <is>
          <t>Filled</t>
        </is>
      </c>
    </row>
    <row r="43" ht="18" customHeight="1" s="849">
      <c r="A43" s="250" t="n">
        <v>91356</v>
      </c>
      <c r="B43" s="220" t="inlineStr">
        <is>
          <t>Javier Aguirre Castellanos</t>
        </is>
      </c>
      <c r="C43" s="220" t="inlineStr">
        <is>
          <t>Solution Architect</t>
        </is>
      </c>
      <c r="D43" s="220" t="inlineStr">
        <is>
          <t>Vacant</t>
        </is>
      </c>
      <c r="E43" s="220" t="inlineStr">
        <is>
          <t>Technology Manager, Retail</t>
        </is>
      </c>
      <c r="F43" s="220" t="inlineStr">
        <is>
          <t>Ampol Retail &amp; Z</t>
        </is>
      </c>
      <c r="G43" s="251" t="inlineStr">
        <is>
          <t>Ampol Retail</t>
        </is>
      </c>
      <c r="H43" s="220" t="inlineStr">
        <is>
          <t>Ampol Retail, Technology</t>
        </is>
      </c>
      <c r="I43" s="220" t="inlineStr">
        <is>
          <t>Retail</t>
        </is>
      </c>
      <c r="J43" s="251" t="inlineStr">
        <is>
          <t>Network/QSR</t>
        </is>
      </c>
      <c r="K43" s="220" t="inlineStr">
        <is>
          <t>Network &amp; QSR</t>
        </is>
      </c>
      <c r="L43" s="251" t="n"/>
      <c r="M43" s="252" t="inlineStr">
        <is>
          <t>Australia</t>
        </is>
      </c>
      <c r="N43" t="inlineStr">
        <is>
          <t>Ampol Retail</t>
        </is>
      </c>
      <c r="O43" t="inlineStr">
        <is>
          <t>Network / QSR</t>
        </is>
      </c>
      <c r="P43" t="inlineStr">
        <is>
          <t>Network / QSR</t>
        </is>
      </c>
      <c r="Q43" t="inlineStr">
        <is>
          <t>Squad</t>
        </is>
      </c>
      <c r="R43" t="inlineStr">
        <is>
          <t>Filled</t>
        </is>
      </c>
    </row>
    <row r="44" ht="18" customHeight="1" s="849">
      <c r="A44" s="250" t="n"/>
      <c r="B44" s="220" t="inlineStr">
        <is>
          <t>Vacant</t>
        </is>
      </c>
      <c r="C44" s="220" t="inlineStr">
        <is>
          <t>Data Analyst</t>
        </is>
      </c>
      <c r="D44" s="251" t="inlineStr">
        <is>
          <t>Vacant</t>
        </is>
      </c>
      <c r="E44" s="220" t="inlineStr">
        <is>
          <t>Technology Manager, Data</t>
        </is>
      </c>
      <c r="F44" s="220" t="inlineStr">
        <is>
          <t>Ampol Retail &amp; Z</t>
        </is>
      </c>
      <c r="G44" s="251" t="inlineStr">
        <is>
          <t>Z &amp; Group Retail</t>
        </is>
      </c>
      <c r="H44" s="220" t="inlineStr">
        <is>
          <t>Z &amp; Group Retail, Data</t>
        </is>
      </c>
      <c r="I44" s="220" t="inlineStr">
        <is>
          <t>Retail</t>
        </is>
      </c>
      <c r="J44" s="251" t="inlineStr">
        <is>
          <t>(All Retail)</t>
        </is>
      </c>
      <c r="K44" s="220" t="inlineStr">
        <is>
          <t>Data - AU</t>
        </is>
      </c>
      <c r="L44" s="251" t="n"/>
      <c r="M44" s="252" t="n"/>
      <c r="N44" t="inlineStr">
        <is>
          <t>Ampol Retail</t>
        </is>
      </c>
      <c r="O44" t="inlineStr">
        <is>
          <t>Data AU</t>
        </is>
      </c>
      <c r="P44" t="inlineStr">
        <is>
          <t>Data AU</t>
        </is>
      </c>
      <c r="Q44" t="inlineStr">
        <is>
          <t>Squad</t>
        </is>
      </c>
      <c r="R44" t="inlineStr">
        <is>
          <t>Vacant</t>
        </is>
      </c>
    </row>
    <row r="45" ht="18" customHeight="1" s="849">
      <c r="A45" s="250" t="n">
        <v>99999101214</v>
      </c>
      <c r="B45" s="220" t="inlineStr">
        <is>
          <t>Anna Koot</t>
        </is>
      </c>
      <c r="C45" s="220" t="inlineStr">
        <is>
          <t>Senior Business Analyst</t>
        </is>
      </c>
      <c r="D45" s="251" t="inlineStr">
        <is>
          <t>Vacant</t>
        </is>
      </c>
      <c r="E45" s="220" t="inlineStr">
        <is>
          <t>Delivery Manager, Z and Retail Data</t>
        </is>
      </c>
      <c r="F45" s="220" t="inlineStr">
        <is>
          <t>Ampol Retail &amp; Z</t>
        </is>
      </c>
      <c r="G45" s="251" t="inlineStr">
        <is>
          <t>Z &amp; Group Retail</t>
        </is>
      </c>
      <c r="H45" s="220" t="inlineStr">
        <is>
          <t>Z &amp; Group Retail, Delivery</t>
        </is>
      </c>
      <c r="I45" s="220" t="inlineStr">
        <is>
          <t>Z</t>
        </is>
      </c>
      <c r="J45" s="251" t="inlineStr">
        <is>
          <t>Z Supply</t>
        </is>
      </c>
      <c r="K45" s="220" t="inlineStr">
        <is>
          <t>Z Supply</t>
        </is>
      </c>
      <c r="L45" s="251" t="n"/>
      <c r="M45" s="252" t="inlineStr">
        <is>
          <t>NZ</t>
        </is>
      </c>
      <c r="N45" t="inlineStr">
        <is>
          <t>Z Retail</t>
        </is>
      </c>
      <c r="O45" t="inlineStr">
        <is>
          <t>Z Supply</t>
        </is>
      </c>
      <c r="P45" t="inlineStr">
        <is>
          <t>Z Supply</t>
        </is>
      </c>
      <c r="Q45" t="inlineStr">
        <is>
          <t>Squad</t>
        </is>
      </c>
      <c r="R45" t="inlineStr">
        <is>
          <t>Filled</t>
        </is>
      </c>
    </row>
    <row r="46" ht="18" customHeight="1" s="849">
      <c r="A46" s="250" t="n">
        <v>113442</v>
      </c>
      <c r="B46" s="446" t="inlineStr">
        <is>
          <t xml:space="preserve">Manjot Kaur Malli </t>
        </is>
      </c>
      <c r="C46" s="220" t="inlineStr">
        <is>
          <t>Technology Manager, Data</t>
        </is>
      </c>
      <c r="D46" s="251" t="inlineStr">
        <is>
          <t>Vacant</t>
        </is>
      </c>
      <c r="E46" s="220" t="inlineStr">
        <is>
          <t>Head of Technology, Z and Group Retail Platforms</t>
        </is>
      </c>
      <c r="F46" s="220" t="inlineStr">
        <is>
          <t>Ampol Retail &amp; Z</t>
        </is>
      </c>
      <c r="G46" s="251" t="inlineStr">
        <is>
          <t>Z &amp; Group Retail</t>
        </is>
      </c>
      <c r="H46" s="220" t="inlineStr">
        <is>
          <t>Z &amp; Group Retail, Data</t>
        </is>
      </c>
      <c r="I46" s="220" t="inlineStr">
        <is>
          <t>Z</t>
        </is>
      </c>
      <c r="J46" s="220" t="inlineStr">
        <is>
          <t>Z Customer &amp; Z Supply</t>
        </is>
      </c>
      <c r="K46" s="220" t="inlineStr">
        <is>
          <t>Merchandising &amp; Supply Chain</t>
        </is>
      </c>
      <c r="L46" s="251" t="n"/>
      <c r="M46" s="252" t="inlineStr">
        <is>
          <t>Australia</t>
        </is>
      </c>
      <c r="N46" t="inlineStr">
        <is>
          <t>Ampol Retail</t>
        </is>
      </c>
      <c r="O46" t="inlineStr">
        <is>
          <t>Above Store</t>
        </is>
      </c>
      <c r="P46" t="inlineStr">
        <is>
          <t>Above Store</t>
        </is>
      </c>
      <c r="Q46" t="inlineStr">
        <is>
          <t>Squad</t>
        </is>
      </c>
      <c r="R46" t="inlineStr">
        <is>
          <t>Filled</t>
        </is>
      </c>
    </row>
    <row r="47" ht="18" customHeight="1" s="849">
      <c r="A47" s="250" t="n">
        <v>114990</v>
      </c>
      <c r="B47" s="220" t="inlineStr">
        <is>
          <t>Zhan Zhang</t>
        </is>
      </c>
      <c r="C47" s="220" t="inlineStr">
        <is>
          <t>Solution Architect</t>
        </is>
      </c>
      <c r="D47" s="220" t="inlineStr">
        <is>
          <t>Vacant</t>
        </is>
      </c>
      <c r="E47" s="220" t="inlineStr">
        <is>
          <t>Technology Manager, Retail</t>
        </is>
      </c>
      <c r="F47" s="220" t="inlineStr">
        <is>
          <t>Ampol Retail &amp; Z</t>
        </is>
      </c>
      <c r="G47" s="251" t="inlineStr">
        <is>
          <t>Ampol Retail</t>
        </is>
      </c>
      <c r="H47" s="220" t="inlineStr">
        <is>
          <t>Ampol Retail, Technology</t>
        </is>
      </c>
      <c r="I47" s="220" t="inlineStr">
        <is>
          <t>Retail</t>
        </is>
      </c>
      <c r="J47" s="265" t="inlineStr">
        <is>
          <t>Above Store</t>
        </is>
      </c>
      <c r="K47" s="265" t="inlineStr">
        <is>
          <t>Above Store</t>
        </is>
      </c>
      <c r="L47" s="251" t="n"/>
      <c r="M47" s="252" t="inlineStr">
        <is>
          <t>Australia</t>
        </is>
      </c>
      <c r="N47" t="inlineStr">
        <is>
          <t>Ampol Retail</t>
        </is>
      </c>
      <c r="O47" t="inlineStr">
        <is>
          <t>Above Store</t>
        </is>
      </c>
      <c r="P47" t="inlineStr">
        <is>
          <t>Above Store</t>
        </is>
      </c>
      <c r="Q47" t="inlineStr">
        <is>
          <t>Squad</t>
        </is>
      </c>
      <c r="R47" t="inlineStr">
        <is>
          <t>Filled</t>
        </is>
      </c>
    </row>
    <row r="48" ht="18" customHeight="1" s="849">
      <c r="A48" s="250" t="n">
        <v>99999101233</v>
      </c>
      <c r="B48" s="220" t="inlineStr">
        <is>
          <t>Chris Wilson</t>
        </is>
      </c>
      <c r="C48" s="220" t="inlineStr">
        <is>
          <t>Solution Architect</t>
        </is>
      </c>
      <c r="D48" s="220" t="inlineStr">
        <is>
          <t>Vacant</t>
        </is>
      </c>
      <c r="E48" s="220" t="inlineStr">
        <is>
          <t>Technology Manager,  Site Systems</t>
        </is>
      </c>
      <c r="F48" s="220" t="inlineStr">
        <is>
          <t>Ampol Retail &amp; Z</t>
        </is>
      </c>
      <c r="G48" s="251" t="inlineStr">
        <is>
          <t>Z &amp; Group Retail</t>
        </is>
      </c>
      <c r="H48" s="220" t="inlineStr">
        <is>
          <t>Z &amp; Group Retail, Site Systems</t>
        </is>
      </c>
      <c r="I48" s="220" t="inlineStr">
        <is>
          <t>Z</t>
        </is>
      </c>
      <c r="J48" s="251" t="inlineStr">
        <is>
          <t>Z Customer</t>
        </is>
      </c>
      <c r="K48" s="220" t="inlineStr">
        <is>
          <t>Merchandising &amp; Supply Chain</t>
        </is>
      </c>
      <c r="L48" s="251" t="n"/>
      <c r="M48" s="252" t="inlineStr">
        <is>
          <t>NZ</t>
        </is>
      </c>
      <c r="N48" t="inlineStr">
        <is>
          <t>Ampol Retail</t>
        </is>
      </c>
      <c r="O48" t="inlineStr">
        <is>
          <t>Above Store</t>
        </is>
      </c>
      <c r="P48" t="inlineStr">
        <is>
          <t>Above Store</t>
        </is>
      </c>
      <c r="Q48" t="inlineStr">
        <is>
          <t>Squad</t>
        </is>
      </c>
      <c r="R48" t="inlineStr">
        <is>
          <t>Filled</t>
        </is>
      </c>
    </row>
    <row r="49" ht="18" customHeight="1" s="849">
      <c r="A49" s="250" t="n">
        <v>99999102028</v>
      </c>
      <c r="B49" s="220" t="inlineStr">
        <is>
          <t>Lauren Lancaster</t>
        </is>
      </c>
      <c r="C49" s="220" t="inlineStr">
        <is>
          <t>Associate Engineer - Software</t>
        </is>
      </c>
      <c r="D49" s="220" t="inlineStr">
        <is>
          <t>Vacant</t>
        </is>
      </c>
      <c r="E49" s="220" t="inlineStr">
        <is>
          <t>Technology Manager, Engineering</t>
        </is>
      </c>
      <c r="F49" s="220" t="inlineStr">
        <is>
          <t>Ampol Retail &amp; Z</t>
        </is>
      </c>
      <c r="G49" s="220" t="inlineStr">
        <is>
          <t>Z &amp; Group Retail</t>
        </is>
      </c>
      <c r="H49" s="220" t="inlineStr">
        <is>
          <t>Z &amp; Group Retail, Engineering</t>
        </is>
      </c>
      <c r="I49" s="220" t="inlineStr">
        <is>
          <t>Z</t>
        </is>
      </c>
      <c r="J49" s="220" t="inlineStr">
        <is>
          <t>Z Customer</t>
        </is>
      </c>
      <c r="K49" s="220" t="inlineStr">
        <is>
          <t>Merchandising &amp; Supply Chain</t>
        </is>
      </c>
      <c r="L49" s="251" t="n"/>
      <c r="M49" s="252" t="inlineStr">
        <is>
          <t>NZ</t>
        </is>
      </c>
      <c r="N49" t="inlineStr">
        <is>
          <t>Ampol Retail</t>
        </is>
      </c>
      <c r="O49" t="inlineStr">
        <is>
          <t>Above Store</t>
        </is>
      </c>
      <c r="P49" t="inlineStr">
        <is>
          <t>Above Store</t>
        </is>
      </c>
      <c r="Q49" t="inlineStr">
        <is>
          <t>Squad</t>
        </is>
      </c>
      <c r="R49" t="inlineStr">
        <is>
          <t>Filled</t>
        </is>
      </c>
    </row>
    <row r="50" ht="18" customHeight="1" s="849">
      <c r="A50" s="250" t="n">
        <v>110388</v>
      </c>
      <c r="B50" s="220" t="inlineStr">
        <is>
          <t>Adrian Lueng</t>
        </is>
      </c>
      <c r="C50" s="220" t="inlineStr">
        <is>
          <t>Quality Assurance</t>
        </is>
      </c>
      <c r="D50" s="220" t="inlineStr">
        <is>
          <t>Vacant</t>
        </is>
      </c>
      <c r="E50" s="220" t="inlineStr">
        <is>
          <t>Technology Manager, Retail</t>
        </is>
      </c>
      <c r="F50" s="220" t="inlineStr">
        <is>
          <t>Ampol Retail &amp; Z</t>
        </is>
      </c>
      <c r="G50" s="251" t="inlineStr">
        <is>
          <t>Ampol Retail</t>
        </is>
      </c>
      <c r="H50" s="220" t="inlineStr">
        <is>
          <t>Ampol Retail, Technology</t>
        </is>
      </c>
      <c r="I50" s="220" t="inlineStr">
        <is>
          <t>Retail</t>
        </is>
      </c>
      <c r="J50" s="265" t="inlineStr">
        <is>
          <t>Network/QSR</t>
        </is>
      </c>
      <c r="K50" s="265" t="inlineStr">
        <is>
          <t>Network &amp; QSR</t>
        </is>
      </c>
      <c r="L50" s="251" t="n"/>
      <c r="M50" s="252" t="inlineStr">
        <is>
          <t>Australia</t>
        </is>
      </c>
      <c r="N50" t="inlineStr">
        <is>
          <t>Ampol Retail</t>
        </is>
      </c>
      <c r="O50" t="inlineStr">
        <is>
          <t>Network / QSR</t>
        </is>
      </c>
      <c r="P50" t="inlineStr">
        <is>
          <t>Network / QSR</t>
        </is>
      </c>
      <c r="Q50" t="inlineStr">
        <is>
          <t>Squad</t>
        </is>
      </c>
      <c r="R50" t="inlineStr">
        <is>
          <t>Filled</t>
        </is>
      </c>
    </row>
    <row r="51" ht="18" customHeight="1" s="849">
      <c r="A51" s="250" t="n">
        <v>86743</v>
      </c>
      <c r="B51" s="220" t="inlineStr">
        <is>
          <t>Majdi Abedi</t>
        </is>
      </c>
      <c r="C51" s="220" t="inlineStr">
        <is>
          <t>Systems Analyst</t>
        </is>
      </c>
      <c r="D51" s="220" t="inlineStr">
        <is>
          <t>Vacant</t>
        </is>
      </c>
      <c r="E51" s="220" t="inlineStr">
        <is>
          <t>Tech Manager, Merchandising &amp; WFM</t>
        </is>
      </c>
      <c r="F51" s="220" t="inlineStr">
        <is>
          <t>Ampol Retail &amp; Z</t>
        </is>
      </c>
      <c r="G51" s="251" t="inlineStr">
        <is>
          <t>Ampol Retail</t>
        </is>
      </c>
      <c r="H51" s="220" t="inlineStr">
        <is>
          <t>Ampol Retail, Merch &amp; RTA</t>
        </is>
      </c>
      <c r="I51" s="220" t="inlineStr">
        <is>
          <t>Retail</t>
        </is>
      </c>
      <c r="J51" s="265" t="inlineStr">
        <is>
          <t>Above Store</t>
        </is>
      </c>
      <c r="K51" s="265" t="inlineStr">
        <is>
          <t>Above Store</t>
        </is>
      </c>
      <c r="L51" s="251" t="n"/>
      <c r="M51" s="252" t="inlineStr">
        <is>
          <t>Australia</t>
        </is>
      </c>
      <c r="N51" t="inlineStr">
        <is>
          <t>Ampol Retail</t>
        </is>
      </c>
      <c r="O51" t="inlineStr">
        <is>
          <t>Above Store</t>
        </is>
      </c>
      <c r="P51" t="inlineStr">
        <is>
          <t>Above Store</t>
        </is>
      </c>
      <c r="Q51" t="inlineStr">
        <is>
          <t>Squad</t>
        </is>
      </c>
      <c r="R51" t="inlineStr">
        <is>
          <t>Filled</t>
        </is>
      </c>
    </row>
    <row r="52" ht="18" customHeight="1" s="849">
      <c r="A52" s="250" t="n">
        <v>94420</v>
      </c>
      <c r="B52" s="220" t="inlineStr">
        <is>
          <t>Peter Nicolopoulos</t>
        </is>
      </c>
      <c r="C52" s="220" t="inlineStr">
        <is>
          <t>Systems Analyst</t>
        </is>
      </c>
      <c r="D52" s="220" t="inlineStr">
        <is>
          <t>Vacant</t>
        </is>
      </c>
      <c r="E52" s="220" t="inlineStr">
        <is>
          <t>Technology Manager, Store Platform</t>
        </is>
      </c>
      <c r="F52" s="220" t="inlineStr">
        <is>
          <t>Ampol Retail &amp; Z</t>
        </is>
      </c>
      <c r="G52" s="251" t="inlineStr">
        <is>
          <t>Ampol Retail</t>
        </is>
      </c>
      <c r="H52" s="220" t="inlineStr">
        <is>
          <t>Ampol  Retail, Store Platforms</t>
        </is>
      </c>
      <c r="I52" s="220" t="inlineStr">
        <is>
          <t>Retail</t>
        </is>
      </c>
      <c r="J52" s="265" t="inlineStr">
        <is>
          <t>AMPOS</t>
        </is>
      </c>
      <c r="K52" s="265" t="inlineStr">
        <is>
          <t>AmPos</t>
        </is>
      </c>
      <c r="L52" s="251" t="n"/>
      <c r="M52" s="252" t="inlineStr">
        <is>
          <t>Australia</t>
        </is>
      </c>
      <c r="N52" t="inlineStr">
        <is>
          <t>Ampol Retail</t>
        </is>
      </c>
      <c r="O52" t="inlineStr">
        <is>
          <t>AmPOS</t>
        </is>
      </c>
      <c r="P52" t="inlineStr">
        <is>
          <t>AmPOS</t>
        </is>
      </c>
      <c r="Q52" t="inlineStr">
        <is>
          <t>Strategic Program</t>
        </is>
      </c>
      <c r="R52" t="inlineStr">
        <is>
          <t>Filled</t>
        </is>
      </c>
    </row>
    <row r="53" ht="18" customHeight="1" s="849">
      <c r="A53" s="250" t="n"/>
      <c r="B53" s="220" t="inlineStr">
        <is>
          <t>Vacant</t>
        </is>
      </c>
      <c r="C53" s="220" t="inlineStr">
        <is>
          <t>Data Analyst</t>
        </is>
      </c>
      <c r="D53" s="251" t="inlineStr">
        <is>
          <t>Vacant</t>
        </is>
      </c>
      <c r="E53" s="220" t="inlineStr">
        <is>
          <t>Technology Manager, Data</t>
        </is>
      </c>
      <c r="F53" s="220" t="inlineStr">
        <is>
          <t>Ampol Retail &amp; Z</t>
        </is>
      </c>
      <c r="G53" s="251" t="inlineStr">
        <is>
          <t>Z &amp; Group Retail</t>
        </is>
      </c>
      <c r="H53" s="220" t="inlineStr">
        <is>
          <t>Z &amp; Group Retail, Data</t>
        </is>
      </c>
      <c r="I53" s="220" t="inlineStr">
        <is>
          <t>Retail</t>
        </is>
      </c>
      <c r="J53" s="251" t="inlineStr">
        <is>
          <t>(All Retail)</t>
        </is>
      </c>
      <c r="K53" s="220" t="inlineStr">
        <is>
          <t>Merchandising &amp; Supply Chain</t>
        </is>
      </c>
      <c r="L53" s="251" t="n"/>
      <c r="M53" s="252" t="n"/>
      <c r="N53" t="inlineStr">
        <is>
          <t>Ampol Retail</t>
        </is>
      </c>
      <c r="O53" t="inlineStr">
        <is>
          <t>Above Store</t>
        </is>
      </c>
      <c r="P53" t="inlineStr">
        <is>
          <t>Above Store</t>
        </is>
      </c>
      <c r="Q53" t="inlineStr">
        <is>
          <t>Squad</t>
        </is>
      </c>
      <c r="R53" t="inlineStr">
        <is>
          <t>Vacant</t>
        </is>
      </c>
    </row>
    <row r="54" ht="18" customHeight="1" s="849">
      <c r="A54" s="250" t="n">
        <v>99999101542</v>
      </c>
      <c r="B54" s="220" t="inlineStr">
        <is>
          <t>Joe Kuttikkatt</t>
        </is>
      </c>
      <c r="C54" s="220" t="inlineStr">
        <is>
          <t>Senior Quality Assurance</t>
        </is>
      </c>
      <c r="D54" s="220" t="inlineStr">
        <is>
          <t>Vacant</t>
        </is>
      </c>
      <c r="E54" s="220" t="inlineStr">
        <is>
          <t>Technology Manager, Engineering</t>
        </is>
      </c>
      <c r="F54" s="220" t="inlineStr">
        <is>
          <t>Ampol Retail &amp; Z</t>
        </is>
      </c>
      <c r="G54" s="251" t="inlineStr">
        <is>
          <t>Z &amp; Group Retail</t>
        </is>
      </c>
      <c r="H54" s="220" t="inlineStr">
        <is>
          <t>Z &amp; Group Retail, Engineering</t>
        </is>
      </c>
      <c r="I54" s="220" t="inlineStr">
        <is>
          <t>Z</t>
        </is>
      </c>
      <c r="J54" s="251" t="inlineStr">
        <is>
          <t>Energy Solutions</t>
        </is>
      </c>
      <c r="K54" s="220" t="inlineStr">
        <is>
          <t>Merchandising &amp; Supply Chain</t>
        </is>
      </c>
      <c r="L54" s="251" t="n"/>
      <c r="M54" s="252" t="inlineStr">
        <is>
          <t>NZ</t>
        </is>
      </c>
      <c r="N54" t="inlineStr">
        <is>
          <t>Ampol Retail</t>
        </is>
      </c>
      <c r="O54" t="inlineStr">
        <is>
          <t>Above Store</t>
        </is>
      </c>
      <c r="P54" t="inlineStr">
        <is>
          <t>Above Store</t>
        </is>
      </c>
      <c r="Q54" t="inlineStr">
        <is>
          <t>Squad</t>
        </is>
      </c>
      <c r="R54" t="inlineStr">
        <is>
          <t>Filled</t>
        </is>
      </c>
    </row>
    <row r="55" ht="18" customHeight="1" s="849">
      <c r="A55" s="250" t="n"/>
      <c r="B55" s="220" t="inlineStr">
        <is>
          <t>Vacant</t>
        </is>
      </c>
      <c r="C55" s="220" t="inlineStr">
        <is>
          <t>Engineer - Data</t>
        </is>
      </c>
      <c r="D55" s="251" t="inlineStr">
        <is>
          <t>Vacant</t>
        </is>
      </c>
      <c r="E55" s="220" t="inlineStr">
        <is>
          <t>Technology Manager, Data</t>
        </is>
      </c>
      <c r="F55" s="220" t="inlineStr">
        <is>
          <t>Ampol Retail &amp; Z</t>
        </is>
      </c>
      <c r="G55" s="251" t="inlineStr">
        <is>
          <t>Z &amp; Group Retail</t>
        </is>
      </c>
      <c r="H55" s="220" t="inlineStr">
        <is>
          <t>Z &amp; Group Retail, Data</t>
        </is>
      </c>
      <c r="I55" s="220" t="inlineStr">
        <is>
          <t>Z</t>
        </is>
      </c>
      <c r="J55" s="251" t="inlineStr">
        <is>
          <t>Z Customer &amp; Z Supply</t>
        </is>
      </c>
      <c r="K55" s="220" t="inlineStr">
        <is>
          <t>Merchandising &amp; Supply Chain</t>
        </is>
      </c>
      <c r="L55" s="251" t="n"/>
      <c r="M55" s="252" t="n"/>
      <c r="N55" t="inlineStr">
        <is>
          <t>Ampol Retail</t>
        </is>
      </c>
      <c r="O55" t="inlineStr">
        <is>
          <t>Above Store</t>
        </is>
      </c>
      <c r="P55" t="inlineStr">
        <is>
          <t>Above Store</t>
        </is>
      </c>
      <c r="Q55" t="inlineStr">
        <is>
          <t>Squad</t>
        </is>
      </c>
      <c r="R55" t="inlineStr">
        <is>
          <t>Vacant</t>
        </is>
      </c>
    </row>
    <row r="56" ht="18" customHeight="1" s="849">
      <c r="A56" s="250" t="n">
        <v>113783</v>
      </c>
      <c r="B56" s="220" t="inlineStr">
        <is>
          <t>Tabitha Raharadjo</t>
        </is>
      </c>
      <c r="C56" s="220" t="inlineStr">
        <is>
          <t>Project Coordinator</t>
        </is>
      </c>
      <c r="D56" s="220" t="inlineStr">
        <is>
          <t>Vacant</t>
        </is>
      </c>
      <c r="E56" s="220" t="inlineStr">
        <is>
          <t>Delivery Manager, Ampol Retail</t>
        </is>
      </c>
      <c r="F56" s="220" t="inlineStr">
        <is>
          <t>Ampol Retail &amp; Z</t>
        </is>
      </c>
      <c r="G56" s="251" t="inlineStr">
        <is>
          <t>Z &amp; Group Retail</t>
        </is>
      </c>
      <c r="H56" s="220" t="inlineStr">
        <is>
          <t>Ampol Retail, Delivery</t>
        </is>
      </c>
      <c r="I56" s="220" t="inlineStr">
        <is>
          <t>Retail</t>
        </is>
      </c>
      <c r="J56" s="251" t="inlineStr">
        <is>
          <t>AMPOS</t>
        </is>
      </c>
      <c r="K56" s="220" t="inlineStr">
        <is>
          <t>Ampos</t>
        </is>
      </c>
      <c r="L56" s="251" t="n"/>
      <c r="M56" s="252" t="inlineStr">
        <is>
          <t>Australia</t>
        </is>
      </c>
      <c r="N56" t="inlineStr">
        <is>
          <t>Ampol Retail</t>
        </is>
      </c>
      <c r="O56" t="inlineStr">
        <is>
          <t>AmPOS</t>
        </is>
      </c>
      <c r="P56" t="inlineStr">
        <is>
          <t>AmPOS</t>
        </is>
      </c>
      <c r="Q56" t="inlineStr">
        <is>
          <t>Strategic Program</t>
        </is>
      </c>
      <c r="R56" t="inlineStr">
        <is>
          <t>Filled</t>
        </is>
      </c>
    </row>
    <row r="57" ht="18" customHeight="1" s="849">
      <c r="A57" s="250" t="n">
        <v>99999100418</v>
      </c>
      <c r="B57" s="260" t="inlineStr">
        <is>
          <t>Callan McLaughlin</t>
        </is>
      </c>
      <c r="C57" s="251" t="inlineStr">
        <is>
          <t>Technology Manager, Site Systems</t>
        </is>
      </c>
      <c r="D57" s="251" t="inlineStr">
        <is>
          <t>Vacant</t>
        </is>
      </c>
      <c r="E57" s="251" t="inlineStr">
        <is>
          <t>Head of Technology, Z and Group Retail Platforms</t>
        </is>
      </c>
      <c r="F57" s="220" t="inlineStr">
        <is>
          <t>Ampol Retail &amp; Z</t>
        </is>
      </c>
      <c r="G57" s="251" t="inlineStr">
        <is>
          <t>Z &amp; Group Retail</t>
        </is>
      </c>
      <c r="H57" s="220" t="inlineStr">
        <is>
          <t>Z &amp; Group Retail, Site Systems</t>
        </is>
      </c>
      <c r="I57" s="220" t="inlineStr">
        <is>
          <t>Z</t>
        </is>
      </c>
      <c r="J57" s="251" t="inlineStr">
        <is>
          <t>Z Customer &amp; Z Supply</t>
        </is>
      </c>
      <c r="K57" s="251" t="inlineStr">
        <is>
          <t>Leadership</t>
        </is>
      </c>
      <c r="L57" s="251" t="n"/>
      <c r="M57" s="252" t="inlineStr">
        <is>
          <t>NZ</t>
        </is>
      </c>
      <c r="N57" t="inlineStr">
        <is>
          <t>Z Retail</t>
        </is>
      </c>
      <c r="O57" t="inlineStr">
        <is>
          <t>Leadership</t>
        </is>
      </c>
      <c r="P57" t="inlineStr">
        <is>
          <t>Leadership</t>
        </is>
      </c>
      <c r="Q57" t="inlineStr">
        <is>
          <t>Leadership</t>
        </is>
      </c>
      <c r="R57" t="inlineStr">
        <is>
          <t>Filled</t>
        </is>
      </c>
    </row>
    <row r="58" ht="18" customHeight="1" s="849">
      <c r="A58" s="250" t="n"/>
      <c r="B58" s="220" t="inlineStr">
        <is>
          <t>Vacant</t>
        </is>
      </c>
      <c r="C58" s="220" t="inlineStr">
        <is>
          <t>Systems Analyst</t>
        </is>
      </c>
      <c r="D58" s="220" t="inlineStr">
        <is>
          <t>Vacant</t>
        </is>
      </c>
      <c r="E58" s="220" t="inlineStr">
        <is>
          <t>Technology Manager, Store Platform</t>
        </is>
      </c>
      <c r="F58" s="220" t="inlineStr">
        <is>
          <t>Ampol Retail &amp; Z</t>
        </is>
      </c>
      <c r="G58" s="251" t="inlineStr">
        <is>
          <t>Ampol Retail</t>
        </is>
      </c>
      <c r="H58" s="220" t="inlineStr">
        <is>
          <t>Ampol  Retail, Store Platforms</t>
        </is>
      </c>
      <c r="I58" s="220" t="inlineStr">
        <is>
          <t>Retail</t>
        </is>
      </c>
      <c r="J58" s="251" t="inlineStr">
        <is>
          <t>Store Operations</t>
        </is>
      </c>
      <c r="K58" s="220" t="inlineStr">
        <is>
          <t>Payments</t>
        </is>
      </c>
      <c r="L58" s="251" t="n"/>
      <c r="M58" s="252" t="n"/>
      <c r="N58" t="inlineStr">
        <is>
          <t>Ampol Retail</t>
        </is>
      </c>
      <c r="O58" t="inlineStr">
        <is>
          <t>Store Operations</t>
        </is>
      </c>
      <c r="P58" t="inlineStr">
        <is>
          <t>Payments</t>
        </is>
      </c>
      <c r="Q58" t="inlineStr">
        <is>
          <t>Squad</t>
        </is>
      </c>
      <c r="R58" t="inlineStr">
        <is>
          <t>Vacant</t>
        </is>
      </c>
    </row>
    <row r="59" ht="18" customHeight="1" s="849">
      <c r="A59" s="250" t="n">
        <v>99999101620</v>
      </c>
      <c r="B59" s="220" t="inlineStr">
        <is>
          <t>Johanah Gloria</t>
        </is>
      </c>
      <c r="C59" s="220" t="inlineStr">
        <is>
          <t>Engineer - Software</t>
        </is>
      </c>
      <c r="D59" s="220" t="inlineStr">
        <is>
          <t>Vacant</t>
        </is>
      </c>
      <c r="E59" s="220" t="inlineStr">
        <is>
          <t>Technology Manager, Engineering</t>
        </is>
      </c>
      <c r="F59" s="220" t="inlineStr">
        <is>
          <t>Ampol Retail &amp; Z</t>
        </is>
      </c>
      <c r="G59" s="251" t="inlineStr">
        <is>
          <t>Z &amp; Group Retail</t>
        </is>
      </c>
      <c r="H59" s="220" t="inlineStr">
        <is>
          <t>Z &amp; Group Retail, Engineering</t>
        </is>
      </c>
      <c r="I59" s="220" t="inlineStr">
        <is>
          <t>Z</t>
        </is>
      </c>
      <c r="J59" s="251" t="inlineStr">
        <is>
          <t>Z Supply</t>
        </is>
      </c>
      <c r="K59" s="220" t="inlineStr">
        <is>
          <t>Z Supply</t>
        </is>
      </c>
      <c r="L59" s="251" t="n"/>
      <c r="M59" s="252" t="inlineStr">
        <is>
          <t>NZ</t>
        </is>
      </c>
      <c r="N59" t="inlineStr">
        <is>
          <t>Z Retail</t>
        </is>
      </c>
      <c r="O59" t="inlineStr">
        <is>
          <t>Z Supply</t>
        </is>
      </c>
      <c r="P59" t="inlineStr">
        <is>
          <t>Z Supply</t>
        </is>
      </c>
      <c r="Q59" t="inlineStr">
        <is>
          <t>Squad</t>
        </is>
      </c>
      <c r="R59" t="inlineStr">
        <is>
          <t>Filled</t>
        </is>
      </c>
    </row>
    <row r="60" ht="18" customHeight="1" s="849">
      <c r="A60" s="250" t="n"/>
      <c r="B60" s="220" t="inlineStr">
        <is>
          <t>Vacant</t>
        </is>
      </c>
      <c r="C60" s="220" t="inlineStr">
        <is>
          <t>Release &amp; Environments Manager</t>
        </is>
      </c>
      <c r="D60" s="251" t="inlineStr">
        <is>
          <t>Vacant</t>
        </is>
      </c>
      <c r="E60" s="220" t="inlineStr">
        <is>
          <t>Lead Quality Assurance</t>
        </is>
      </c>
      <c r="F60" s="220" t="inlineStr">
        <is>
          <t>Ampol Retail &amp; Z</t>
        </is>
      </c>
      <c r="G60" s="251" t="inlineStr">
        <is>
          <t>Ampol Retail</t>
        </is>
      </c>
      <c r="H60" s="220" t="inlineStr">
        <is>
          <t>Ampol Retail, Store Platforms</t>
        </is>
      </c>
      <c r="I60" s="220" t="inlineStr">
        <is>
          <t>Retail</t>
        </is>
      </c>
      <c r="J60" s="267" t="inlineStr">
        <is>
          <t>Store Operations</t>
        </is>
      </c>
      <c r="K60" s="265" t="inlineStr">
        <is>
          <t>POS</t>
        </is>
      </c>
      <c r="L60" s="251" t="n"/>
      <c r="M60" s="252" t="n"/>
      <c r="N60" t="inlineStr">
        <is>
          <t>Ampol Retail</t>
        </is>
      </c>
      <c r="O60" t="inlineStr">
        <is>
          <t>Store Operations</t>
        </is>
      </c>
      <c r="P60" t="inlineStr">
        <is>
          <t>POS</t>
        </is>
      </c>
      <c r="Q60" t="inlineStr">
        <is>
          <t>Squad</t>
        </is>
      </c>
      <c r="R60" t="inlineStr">
        <is>
          <t>Vacant</t>
        </is>
      </c>
    </row>
    <row r="61" ht="18" customHeight="1" s="849">
      <c r="A61" s="250" t="n"/>
      <c r="B61" s="220" t="inlineStr">
        <is>
          <t>Vacant</t>
        </is>
      </c>
      <c r="C61" s="220" t="inlineStr">
        <is>
          <t>Lead Quality Assurance</t>
        </is>
      </c>
      <c r="D61" s="220" t="inlineStr">
        <is>
          <t>Vacant</t>
        </is>
      </c>
      <c r="E61" s="220" t="inlineStr">
        <is>
          <t>Technology Manager, Store Platform</t>
        </is>
      </c>
      <c r="F61" s="220" t="inlineStr">
        <is>
          <t>Ampol Retail &amp; Z</t>
        </is>
      </c>
      <c r="G61" s="251" t="inlineStr">
        <is>
          <t>Ampol Retail</t>
        </is>
      </c>
      <c r="H61" s="220" t="inlineStr">
        <is>
          <t>Ampol  Retail, Store Platforms</t>
        </is>
      </c>
      <c r="I61" s="220" t="inlineStr">
        <is>
          <t>Retail</t>
        </is>
      </c>
      <c r="J61" s="251" t="inlineStr">
        <is>
          <t>Store Operations</t>
        </is>
      </c>
      <c r="K61" s="220" t="inlineStr">
        <is>
          <t>POS</t>
        </is>
      </c>
      <c r="L61" s="251" t="n"/>
      <c r="M61" s="252" t="n"/>
      <c r="N61" t="inlineStr">
        <is>
          <t>Ampol Retail</t>
        </is>
      </c>
      <c r="O61" t="inlineStr">
        <is>
          <t>Store Operations</t>
        </is>
      </c>
      <c r="P61" t="inlineStr">
        <is>
          <t>POS</t>
        </is>
      </c>
      <c r="Q61" t="inlineStr">
        <is>
          <t>Squad</t>
        </is>
      </c>
      <c r="R61" t="inlineStr">
        <is>
          <t>Vacant</t>
        </is>
      </c>
    </row>
    <row r="62" ht="18" customHeight="1" s="849">
      <c r="A62" s="250" t="n"/>
      <c r="B62" s="220" t="inlineStr">
        <is>
          <t>vacant</t>
        </is>
      </c>
      <c r="C62" s="220" t="inlineStr">
        <is>
          <t>Systems Analyst</t>
        </is>
      </c>
      <c r="D62" s="220" t="inlineStr">
        <is>
          <t>Vacant</t>
        </is>
      </c>
      <c r="E62" s="220" t="inlineStr">
        <is>
          <t>Tech Manager, Merchandising &amp; WFM</t>
        </is>
      </c>
      <c r="F62" s="220" t="inlineStr">
        <is>
          <t>Ampol Retail &amp; Z</t>
        </is>
      </c>
      <c r="G62" s="251" t="inlineStr">
        <is>
          <t>Ampol Retail</t>
        </is>
      </c>
      <c r="H62" s="220" t="inlineStr">
        <is>
          <t>Ampol Retail, Merch &amp; RTA</t>
        </is>
      </c>
      <c r="I62" s="220" t="inlineStr">
        <is>
          <t>Retail</t>
        </is>
      </c>
      <c r="J62" s="265" t="inlineStr">
        <is>
          <t>Above Store</t>
        </is>
      </c>
      <c r="K62" s="265" t="inlineStr">
        <is>
          <t>Above Store</t>
        </is>
      </c>
      <c r="L62" s="251" t="n"/>
      <c r="M62" s="252" t="n"/>
      <c r="N62" s="253" t="inlineStr">
        <is>
          <t>Ampol Retail</t>
        </is>
      </c>
      <c r="O62" t="inlineStr">
        <is>
          <t>Above Store</t>
        </is>
      </c>
      <c r="P62" t="inlineStr">
        <is>
          <t>Above Store</t>
        </is>
      </c>
      <c r="Q62" t="inlineStr">
        <is>
          <t>Squad</t>
        </is>
      </c>
      <c r="R62" t="inlineStr">
        <is>
          <t>Vacant</t>
        </is>
      </c>
    </row>
    <row r="63" ht="18" customFormat="1" customHeight="1" s="268">
      <c r="A63" s="250" t="n"/>
      <c r="B63" s="220" t="inlineStr">
        <is>
          <t>Vacant</t>
        </is>
      </c>
      <c r="C63" s="220" t="inlineStr">
        <is>
          <t>Systems Analyst</t>
        </is>
      </c>
      <c r="D63" s="220" t="inlineStr">
        <is>
          <t>Vacant</t>
        </is>
      </c>
      <c r="E63" s="220" t="inlineStr">
        <is>
          <t>Technology Manager, Store Platform</t>
        </is>
      </c>
      <c r="F63" s="220" t="inlineStr">
        <is>
          <t>Ampol Retail &amp; Z</t>
        </is>
      </c>
      <c r="G63" s="251" t="inlineStr">
        <is>
          <t>Ampol Retail</t>
        </is>
      </c>
      <c r="H63" s="220" t="inlineStr">
        <is>
          <t>Ampol  Retail, Store Platforms</t>
        </is>
      </c>
      <c r="I63" s="220" t="inlineStr">
        <is>
          <t>Retail</t>
        </is>
      </c>
      <c r="J63" s="251" t="inlineStr">
        <is>
          <t>Store Operations</t>
        </is>
      </c>
      <c r="K63" s="220" t="inlineStr">
        <is>
          <t xml:space="preserve">POS   </t>
        </is>
      </c>
      <c r="L63" s="251" t="n"/>
      <c r="M63" s="252" t="n"/>
      <c r="N63" s="253" t="inlineStr">
        <is>
          <t>Ampol Retail</t>
        </is>
      </c>
      <c r="O63" s="253" t="inlineStr">
        <is>
          <t>Store Operations</t>
        </is>
      </c>
      <c r="P63" t="inlineStr">
        <is>
          <t>POS</t>
        </is>
      </c>
      <c r="Q63" t="inlineStr">
        <is>
          <t>Squad</t>
        </is>
      </c>
      <c r="R63" t="inlineStr">
        <is>
          <t>Vacant</t>
        </is>
      </c>
    </row>
    <row r="64" ht="18" customHeight="1" s="849">
      <c r="A64" s="250" t="n"/>
      <c r="B64" s="220" t="inlineStr">
        <is>
          <t>Vacant</t>
        </is>
      </c>
      <c r="C64" s="220" t="inlineStr">
        <is>
          <t>Delivery Lead</t>
        </is>
      </c>
      <c r="D64" s="251" t="inlineStr">
        <is>
          <t>Vacant</t>
        </is>
      </c>
      <c r="E64" s="220" t="inlineStr">
        <is>
          <t>Delivery Manager, Z and Retail Data</t>
        </is>
      </c>
      <c r="F64" s="220" t="inlineStr">
        <is>
          <t>Ampol Retail &amp; Z</t>
        </is>
      </c>
      <c r="G64" s="251" t="inlineStr">
        <is>
          <t>Z &amp; Group Retail</t>
        </is>
      </c>
      <c r="H64" s="220" t="inlineStr">
        <is>
          <t>Z &amp; Group Retail, Delivery</t>
        </is>
      </c>
      <c r="I64" s="220" t="inlineStr">
        <is>
          <t>Retail</t>
        </is>
      </c>
      <c r="J64" s="251" t="inlineStr">
        <is>
          <t>(All Retail)</t>
        </is>
      </c>
      <c r="K64" s="220" t="inlineStr">
        <is>
          <t>Data - AU</t>
        </is>
      </c>
      <c r="L64" s="251" t="n"/>
      <c r="M64" s="252" t="n"/>
      <c r="N64" t="inlineStr">
        <is>
          <t>Ampol Retail</t>
        </is>
      </c>
      <c r="O64" t="inlineStr">
        <is>
          <t>Data AU</t>
        </is>
      </c>
      <c r="P64" t="inlineStr">
        <is>
          <t>Data AU</t>
        </is>
      </c>
      <c r="Q64" t="inlineStr">
        <is>
          <t>Squad</t>
        </is>
      </c>
      <c r="R64" t="inlineStr">
        <is>
          <t>Vacant</t>
        </is>
      </c>
    </row>
    <row r="65" ht="18" customHeight="1" s="849">
      <c r="A65" s="250" t="n">
        <v>99999101668</v>
      </c>
      <c r="B65" s="220" t="inlineStr">
        <is>
          <t>McKenzie Tournquist</t>
        </is>
      </c>
      <c r="C65" s="220" t="inlineStr">
        <is>
          <t>Data Analyst</t>
        </is>
      </c>
      <c r="D65" s="251" t="inlineStr">
        <is>
          <t>Vacant</t>
        </is>
      </c>
      <c r="E65" s="220" t="inlineStr">
        <is>
          <t>Technology Manager, Data</t>
        </is>
      </c>
      <c r="F65" s="220" t="inlineStr">
        <is>
          <t>Ampol Retail &amp; Z</t>
        </is>
      </c>
      <c r="G65" s="251" t="inlineStr">
        <is>
          <t>Z &amp; Group Retail</t>
        </is>
      </c>
      <c r="H65" s="220" t="inlineStr">
        <is>
          <t>Z &amp; Group Retail, Data</t>
        </is>
      </c>
      <c r="I65" s="220" t="inlineStr">
        <is>
          <t>Z</t>
        </is>
      </c>
      <c r="J65" s="251" t="inlineStr">
        <is>
          <t>Z Customer &amp; Z Supply</t>
        </is>
      </c>
      <c r="K65" s="220" t="inlineStr">
        <is>
          <t>Data - NZ</t>
        </is>
      </c>
      <c r="L65" s="251" t="n"/>
      <c r="M65" s="252" t="inlineStr">
        <is>
          <t>NZ</t>
        </is>
      </c>
      <c r="N65" t="inlineStr">
        <is>
          <t>Z Retail</t>
        </is>
      </c>
      <c r="O65" t="inlineStr">
        <is>
          <t>-</t>
        </is>
      </c>
      <c r="P65" t="inlineStr">
        <is>
          <t>Data NZ</t>
        </is>
      </c>
      <c r="Q65" t="inlineStr">
        <is>
          <t>Unmapped</t>
        </is>
      </c>
      <c r="R65" t="inlineStr">
        <is>
          <t>Filled</t>
        </is>
      </c>
    </row>
    <row r="66" ht="18" customHeight="1" s="849">
      <c r="A66" s="250" t="n"/>
      <c r="B66" s="220" t="inlineStr">
        <is>
          <t>Vacant</t>
        </is>
      </c>
      <c r="C66" s="220" t="inlineStr">
        <is>
          <t>Lead Quality Assurance</t>
        </is>
      </c>
      <c r="D66" s="220" t="inlineStr">
        <is>
          <t>Vacant</t>
        </is>
      </c>
      <c r="E66" s="220" t="inlineStr">
        <is>
          <t>Technology Manager, Engineering</t>
        </is>
      </c>
      <c r="F66" s="220" t="inlineStr">
        <is>
          <t>Ampol Retail &amp; Z</t>
        </is>
      </c>
      <c r="G66" s="251" t="inlineStr">
        <is>
          <t>Z &amp; Group Retail</t>
        </is>
      </c>
      <c r="H66" s="220" t="inlineStr">
        <is>
          <t>Z &amp; Group Retail, Engineering</t>
        </is>
      </c>
      <c r="I66" s="220" t="inlineStr">
        <is>
          <t>Z</t>
        </is>
      </c>
      <c r="J66" s="220" t="inlineStr">
        <is>
          <t>Z Customer</t>
        </is>
      </c>
      <c r="K66" s="220" t="inlineStr">
        <is>
          <t xml:space="preserve">Z Retail Backend </t>
        </is>
      </c>
      <c r="L66" s="251" t="n"/>
      <c r="M66" s="252" t="n"/>
      <c r="N66" t="inlineStr">
        <is>
          <t>Z Retail</t>
        </is>
      </c>
      <c r="O66" t="inlineStr">
        <is>
          <t>Z Customer</t>
        </is>
      </c>
      <c r="P66" t="inlineStr">
        <is>
          <t>Z Retail Backend</t>
        </is>
      </c>
      <c r="Q66" t="inlineStr">
        <is>
          <t>Squad</t>
        </is>
      </c>
      <c r="R66" t="inlineStr">
        <is>
          <t>Vacant</t>
        </is>
      </c>
    </row>
    <row r="67" ht="18" customHeight="1" s="849">
      <c r="A67" s="250" t="n">
        <v>99999102123</v>
      </c>
      <c r="B67" s="220" t="inlineStr">
        <is>
          <t>Jodie Marquez</t>
        </is>
      </c>
      <c r="C67" s="220" t="inlineStr">
        <is>
          <t>Data Analyst</t>
        </is>
      </c>
      <c r="D67" s="251" t="inlineStr">
        <is>
          <t>Vacant</t>
        </is>
      </c>
      <c r="E67" s="220" t="inlineStr">
        <is>
          <t>Technology Manager, Data</t>
        </is>
      </c>
      <c r="F67" s="220" t="inlineStr">
        <is>
          <t>Ampol Retail &amp; Z</t>
        </is>
      </c>
      <c r="G67" s="251" t="inlineStr">
        <is>
          <t>Z &amp; Group Retail</t>
        </is>
      </c>
      <c r="H67" s="220" t="inlineStr">
        <is>
          <t>Z &amp; Group Retail, Data</t>
        </is>
      </c>
      <c r="I67" s="220" t="inlineStr">
        <is>
          <t>Z</t>
        </is>
      </c>
      <c r="J67" s="251" t="inlineStr">
        <is>
          <t>Z Customer &amp; Z Supply</t>
        </is>
      </c>
      <c r="K67" s="220" t="inlineStr">
        <is>
          <t>Data - NZ</t>
        </is>
      </c>
      <c r="L67" s="251" t="n"/>
      <c r="M67" s="252" t="inlineStr">
        <is>
          <t>NZ</t>
        </is>
      </c>
      <c r="N67" t="inlineStr">
        <is>
          <t>Z Retail</t>
        </is>
      </c>
      <c r="O67" t="inlineStr">
        <is>
          <t>-</t>
        </is>
      </c>
      <c r="P67" t="inlineStr">
        <is>
          <t>Data NZ</t>
        </is>
      </c>
      <c r="Q67" t="inlineStr">
        <is>
          <t>Unmapped</t>
        </is>
      </c>
      <c r="R67" t="inlineStr">
        <is>
          <t>Filled</t>
        </is>
      </c>
    </row>
    <row r="68" ht="18" customHeight="1" s="849">
      <c r="A68" s="250" t="n">
        <v>9999922690</v>
      </c>
      <c r="B68" s="220" t="inlineStr">
        <is>
          <t>Tim Gurnsey</t>
        </is>
      </c>
      <c r="C68" s="220" t="inlineStr">
        <is>
          <t>Delivery Lead</t>
        </is>
      </c>
      <c r="D68" s="251" t="inlineStr">
        <is>
          <t>Vacant</t>
        </is>
      </c>
      <c r="E68" s="220" t="inlineStr">
        <is>
          <t>Delivery Manager, Z and Retail Data</t>
        </is>
      </c>
      <c r="F68" s="220" t="inlineStr">
        <is>
          <t>Ampol Retail &amp; Z</t>
        </is>
      </c>
      <c r="G68" s="251" t="inlineStr">
        <is>
          <t>Z &amp; Group Retail</t>
        </is>
      </c>
      <c r="H68" s="220" t="inlineStr">
        <is>
          <t>Z &amp; Group Retail, Delivery</t>
        </is>
      </c>
      <c r="I68" s="220" t="inlineStr">
        <is>
          <t>Z</t>
        </is>
      </c>
      <c r="J68" s="251" t="inlineStr">
        <is>
          <t>Z Customer</t>
        </is>
      </c>
      <c r="K68" s="220" t="inlineStr">
        <is>
          <t>Site Systems</t>
        </is>
      </c>
      <c r="L68" s="251" t="n"/>
      <c r="M68" s="252" t="inlineStr">
        <is>
          <t>NZ</t>
        </is>
      </c>
      <c r="N68" t="inlineStr">
        <is>
          <t>Z Retail</t>
        </is>
      </c>
      <c r="O68" t="inlineStr">
        <is>
          <t>Z Customer</t>
        </is>
      </c>
      <c r="P68" t="inlineStr">
        <is>
          <t>Site Systems</t>
        </is>
      </c>
      <c r="Q68" t="inlineStr">
        <is>
          <t>Squad</t>
        </is>
      </c>
      <c r="R68" t="inlineStr">
        <is>
          <t>Filled</t>
        </is>
      </c>
    </row>
    <row r="69" ht="18" customHeight="1" s="849">
      <c r="A69" s="250" t="n">
        <v>97847</v>
      </c>
      <c r="B69" s="220" t="inlineStr">
        <is>
          <t>Beenu Murali</t>
        </is>
      </c>
      <c r="C69" s="220" t="inlineStr">
        <is>
          <t>Quality Assurance</t>
        </is>
      </c>
      <c r="D69" s="251" t="inlineStr">
        <is>
          <t>Vacant</t>
        </is>
      </c>
      <c r="E69" s="220" t="inlineStr">
        <is>
          <t>Lead Quality Assurance</t>
        </is>
      </c>
      <c r="F69" s="220" t="inlineStr">
        <is>
          <t>Ampol Retail &amp; Z</t>
        </is>
      </c>
      <c r="G69" s="251" t="inlineStr">
        <is>
          <t>Ampol Retail</t>
        </is>
      </c>
      <c r="H69" s="220" t="inlineStr">
        <is>
          <t>Ampol Retail, Store Platforms</t>
        </is>
      </c>
      <c r="I69" s="220" t="inlineStr">
        <is>
          <t>Retail</t>
        </is>
      </c>
      <c r="J69" s="251" t="inlineStr">
        <is>
          <t>Store Operations</t>
        </is>
      </c>
      <c r="K69" s="220" t="inlineStr">
        <is>
          <t>Payments</t>
        </is>
      </c>
      <c r="L69" s="251" t="n"/>
      <c r="M69" s="252" t="inlineStr">
        <is>
          <t>Australia</t>
        </is>
      </c>
      <c r="N69" t="inlineStr">
        <is>
          <t>Ampol Retail</t>
        </is>
      </c>
      <c r="O69" t="inlineStr">
        <is>
          <t>Store Operations</t>
        </is>
      </c>
      <c r="P69" t="inlineStr">
        <is>
          <t>Payments</t>
        </is>
      </c>
      <c r="Q69" t="inlineStr">
        <is>
          <t>Squad</t>
        </is>
      </c>
      <c r="R69" t="inlineStr">
        <is>
          <t>Filled</t>
        </is>
      </c>
    </row>
    <row r="70" ht="18" customHeight="1" s="849">
      <c r="A70" s="250" t="n"/>
      <c r="B70" s="220" t="inlineStr">
        <is>
          <t>Vacant</t>
        </is>
      </c>
      <c r="C70" s="220" t="inlineStr">
        <is>
          <t>Support Analyst -Retail</t>
        </is>
      </c>
      <c r="D70" s="220" t="inlineStr">
        <is>
          <t>Vacant</t>
        </is>
      </c>
      <c r="E70" s="220" t="inlineStr">
        <is>
          <t>Technology Manager, Store Platform</t>
        </is>
      </c>
      <c r="F70" s="220" t="inlineStr">
        <is>
          <t>Ampol Retail &amp; Z</t>
        </is>
      </c>
      <c r="G70" s="251" t="inlineStr">
        <is>
          <t>Ampol Retail</t>
        </is>
      </c>
      <c r="H70" s="220" t="inlineStr">
        <is>
          <t>Ampol  Retail, Store Platforms</t>
        </is>
      </c>
      <c r="I70" s="220" t="inlineStr">
        <is>
          <t>Retail</t>
        </is>
      </c>
      <c r="J70" s="251" t="inlineStr">
        <is>
          <t>Store Operations</t>
        </is>
      </c>
      <c r="K70" s="220" t="inlineStr">
        <is>
          <t>Store Operations</t>
        </is>
      </c>
      <c r="L70" s="251" t="n"/>
      <c r="M70" s="252" t="n"/>
      <c r="N70" t="inlineStr">
        <is>
          <t>Ampol Retail</t>
        </is>
      </c>
      <c r="O70" t="inlineStr">
        <is>
          <t>Store Operations</t>
        </is>
      </c>
      <c r="P70" t="inlineStr">
        <is>
          <t>Store Operations</t>
        </is>
      </c>
      <c r="Q70" t="inlineStr">
        <is>
          <t>Squad</t>
        </is>
      </c>
      <c r="R70" t="inlineStr">
        <is>
          <t>Vacant</t>
        </is>
      </c>
    </row>
    <row r="71" ht="18" customHeight="1" s="849">
      <c r="A71" s="250" t="n">
        <v>8904</v>
      </c>
      <c r="B71" s="220" t="inlineStr">
        <is>
          <t>Vedran Jukic</t>
        </is>
      </c>
      <c r="C71" s="220" t="inlineStr">
        <is>
          <t>Technology Manager, Retail</t>
        </is>
      </c>
      <c r="D71" s="251" t="inlineStr">
        <is>
          <t>Vacant</t>
        </is>
      </c>
      <c r="E71" s="220" t="inlineStr">
        <is>
          <t>Head of Technology,  Ampol Retail</t>
        </is>
      </c>
      <c r="F71" s="220" t="inlineStr">
        <is>
          <t>Ampol Retail &amp; Z</t>
        </is>
      </c>
      <c r="G71" s="251" t="inlineStr">
        <is>
          <t>Ampol Retail</t>
        </is>
      </c>
      <c r="H71" s="220" t="inlineStr">
        <is>
          <t>Ampol Retail, Technology</t>
        </is>
      </c>
      <c r="I71" s="220" t="inlineStr">
        <is>
          <t>Retail</t>
        </is>
      </c>
      <c r="J71" s="220" t="inlineStr">
        <is>
          <t>Store Operations, Network &amp; QSR, Deployment</t>
        </is>
      </c>
      <c r="K71" s="251" t="inlineStr">
        <is>
          <t>Leadership</t>
        </is>
      </c>
      <c r="L71" s="251" t="n"/>
      <c r="M71" s="252" t="inlineStr">
        <is>
          <t>Australia</t>
        </is>
      </c>
      <c r="N71" t="inlineStr">
        <is>
          <t>Ampol Retail</t>
        </is>
      </c>
      <c r="O71" t="inlineStr">
        <is>
          <t>Leadership</t>
        </is>
      </c>
      <c r="P71" t="inlineStr">
        <is>
          <t>Leadership</t>
        </is>
      </c>
      <c r="Q71" t="inlineStr">
        <is>
          <t>Leadership</t>
        </is>
      </c>
      <c r="R71" t="inlineStr">
        <is>
          <t>Filled</t>
        </is>
      </c>
    </row>
    <row r="72" ht="18" customHeight="1" s="849">
      <c r="A72" s="250" t="n">
        <v>0</v>
      </c>
      <c r="B72" s="220" t="inlineStr">
        <is>
          <t>Kanti Hirani</t>
        </is>
      </c>
      <c r="C72" s="220" t="inlineStr">
        <is>
          <t>Business Analyst (PEP13 UK)</t>
        </is>
      </c>
      <c r="D72" s="220" t="inlineStr">
        <is>
          <t>Vacant</t>
        </is>
      </c>
      <c r="E72" s="220" t="inlineStr">
        <is>
          <t>Delivery Manager, Ampol Retail</t>
        </is>
      </c>
      <c r="F72" s="220" t="inlineStr">
        <is>
          <t>Ampol Retail &amp; Z</t>
        </is>
      </c>
      <c r="G72" s="251" t="inlineStr">
        <is>
          <t>Ampol Retail</t>
        </is>
      </c>
      <c r="H72" s="220" t="inlineStr">
        <is>
          <t>Delivery, Commercial Fuels</t>
        </is>
      </c>
      <c r="I72" s="220" t="inlineStr">
        <is>
          <t>EGI Integration</t>
        </is>
      </c>
      <c r="J72" s="251" t="inlineStr">
        <is>
          <t>EGI</t>
        </is>
      </c>
      <c r="K72" s="220" t="inlineStr">
        <is>
          <t>EGI</t>
        </is>
      </c>
      <c r="L72" s="251" t="n"/>
      <c r="M72" s="252" t="n">
        <v>0</v>
      </c>
      <c r="N72" t="inlineStr">
        <is>
          <t>EGI</t>
        </is>
      </c>
      <c r="O72" t="inlineStr">
        <is>
          <t>EGI</t>
        </is>
      </c>
      <c r="P72" t="inlineStr">
        <is>
          <t>EGI (unassigned)</t>
        </is>
      </c>
      <c r="Q72" t="inlineStr">
        <is>
          <t>Unmapped</t>
        </is>
      </c>
      <c r="R72" t="inlineStr">
        <is>
          <t>Filled</t>
        </is>
      </c>
    </row>
    <row r="73" ht="18" customHeight="1" s="849">
      <c r="A73" s="250" t="n">
        <v>99999102110</v>
      </c>
      <c r="B73" s="220" t="inlineStr">
        <is>
          <t>Eugene Yeo</t>
        </is>
      </c>
      <c r="C73" s="220" t="inlineStr">
        <is>
          <t>Engineer - DevOps</t>
        </is>
      </c>
      <c r="D73" s="220" t="inlineStr">
        <is>
          <t>Vacant</t>
        </is>
      </c>
      <c r="E73" s="220" t="inlineStr">
        <is>
          <t>Technology Manager, Engineering</t>
        </is>
      </c>
      <c r="F73" s="220" t="inlineStr">
        <is>
          <t>Ampol Retail &amp; Z</t>
        </is>
      </c>
      <c r="G73" s="251" t="inlineStr">
        <is>
          <t>Z &amp; Group Retail</t>
        </is>
      </c>
      <c r="H73" s="220" t="inlineStr">
        <is>
          <t>Delivery, Commercial Fuels</t>
        </is>
      </c>
      <c r="I73" s="220" t="inlineStr">
        <is>
          <t>Z</t>
        </is>
      </c>
      <c r="J73" s="251" t="inlineStr">
        <is>
          <t>Z Supply</t>
        </is>
      </c>
      <c r="K73" s="220" t="inlineStr">
        <is>
          <t>Z Supply</t>
        </is>
      </c>
      <c r="L73" s="251" t="n"/>
      <c r="M73" s="252" t="inlineStr">
        <is>
          <t>NZ</t>
        </is>
      </c>
      <c r="N73" t="inlineStr">
        <is>
          <t>Z Retail</t>
        </is>
      </c>
      <c r="O73" t="inlineStr">
        <is>
          <t>Z Supply</t>
        </is>
      </c>
      <c r="P73" t="inlineStr">
        <is>
          <t>Z Supply</t>
        </is>
      </c>
      <c r="Q73" t="inlineStr">
        <is>
          <t>Squad</t>
        </is>
      </c>
      <c r="R73" t="inlineStr">
        <is>
          <t>Filled</t>
        </is>
      </c>
    </row>
    <row r="74" ht="18" customHeight="1" s="849">
      <c r="A74" s="250" t="n">
        <v>99999101959</v>
      </c>
      <c r="B74" s="220" t="inlineStr">
        <is>
          <t>Brian Lai</t>
        </is>
      </c>
      <c r="C74" s="220" t="inlineStr">
        <is>
          <t>Engineer - Data</t>
        </is>
      </c>
      <c r="D74" s="251" t="inlineStr">
        <is>
          <t>Vacant</t>
        </is>
      </c>
      <c r="E74" s="220" t="inlineStr">
        <is>
          <t>Technology Manager, Data</t>
        </is>
      </c>
      <c r="F74" s="220" t="inlineStr">
        <is>
          <t>Ampol Retail &amp; Z</t>
        </is>
      </c>
      <c r="G74" s="251" t="inlineStr">
        <is>
          <t>Z &amp; Group Retail</t>
        </is>
      </c>
      <c r="H74" s="220" t="inlineStr">
        <is>
          <t>Technology, CF Engineering</t>
        </is>
      </c>
      <c r="I74" s="220" t="inlineStr">
        <is>
          <t>Z</t>
        </is>
      </c>
      <c r="J74" s="251" t="inlineStr">
        <is>
          <t>Z Customer &amp; Z Supply</t>
        </is>
      </c>
      <c r="K74" s="220" t="inlineStr">
        <is>
          <t>Data - NZ</t>
        </is>
      </c>
      <c r="L74" s="251" t="n"/>
      <c r="M74" s="252" t="inlineStr">
        <is>
          <t>NZ</t>
        </is>
      </c>
      <c r="N74" t="inlineStr">
        <is>
          <t>Z Retail</t>
        </is>
      </c>
      <c r="O74" t="inlineStr">
        <is>
          <t>-</t>
        </is>
      </c>
      <c r="P74" t="inlineStr">
        <is>
          <t>Data NZ</t>
        </is>
      </c>
      <c r="Q74" t="inlineStr">
        <is>
          <t>Unmapped</t>
        </is>
      </c>
      <c r="R74" t="inlineStr">
        <is>
          <t>Filled</t>
        </is>
      </c>
    </row>
    <row r="75" ht="18" customHeight="1" s="849">
      <c r="A75" s="250" t="n">
        <v>99999100476</v>
      </c>
      <c r="B75" s="220" t="inlineStr">
        <is>
          <t>Kelly Russell</t>
        </is>
      </c>
      <c r="C75" s="220" t="inlineStr">
        <is>
          <t>Lead Quality Assurance</t>
        </is>
      </c>
      <c r="D75" s="220" t="inlineStr">
        <is>
          <t>Vacant</t>
        </is>
      </c>
      <c r="E75" s="220" t="inlineStr">
        <is>
          <t>Technology Manager,  Site Systems</t>
        </is>
      </c>
      <c r="F75" s="220" t="inlineStr">
        <is>
          <t>Ampol Retail &amp; Z</t>
        </is>
      </c>
      <c r="G75" s="251" t="inlineStr">
        <is>
          <t>Z &amp; Group Retail</t>
        </is>
      </c>
      <c r="H75" s="220" t="inlineStr">
        <is>
          <t>Technology, CF Engineering</t>
        </is>
      </c>
      <c r="I75" s="220" t="inlineStr">
        <is>
          <t>Z</t>
        </is>
      </c>
      <c r="J75" s="251" t="inlineStr">
        <is>
          <t>Z Customer</t>
        </is>
      </c>
      <c r="K75" s="220" t="inlineStr">
        <is>
          <t>Site Systems</t>
        </is>
      </c>
      <c r="L75" s="251" t="n"/>
      <c r="M75" s="252" t="inlineStr">
        <is>
          <t>NZ</t>
        </is>
      </c>
      <c r="N75" t="inlineStr">
        <is>
          <t>Z Retail</t>
        </is>
      </c>
      <c r="O75" t="inlineStr">
        <is>
          <t>Z Customer</t>
        </is>
      </c>
      <c r="P75" t="inlineStr">
        <is>
          <t>Site Systems</t>
        </is>
      </c>
      <c r="Q75" t="inlineStr">
        <is>
          <t>Squad</t>
        </is>
      </c>
      <c r="R75" t="inlineStr">
        <is>
          <t>Filled</t>
        </is>
      </c>
    </row>
    <row r="76" ht="18" customHeight="1" s="849">
      <c r="A76" s="250" t="n"/>
      <c r="B76" s="220" t="inlineStr">
        <is>
          <t>Vacant</t>
        </is>
      </c>
      <c r="C76" s="220" t="inlineStr">
        <is>
          <t>Engineer - Data</t>
        </is>
      </c>
      <c r="D76" s="251" t="inlineStr">
        <is>
          <t>Vacant</t>
        </is>
      </c>
      <c r="E76" s="220" t="inlineStr">
        <is>
          <t>Technology Manager, Data</t>
        </is>
      </c>
      <c r="F76" s="220" t="inlineStr">
        <is>
          <t>Ampol Retail &amp; Z</t>
        </is>
      </c>
      <c r="G76" s="251" t="inlineStr">
        <is>
          <t>Z &amp; Group Retail</t>
        </is>
      </c>
      <c r="H76" s="220" t="inlineStr">
        <is>
          <t>Z &amp; Group Retail, Data</t>
        </is>
      </c>
      <c r="I76" s="220" t="inlineStr">
        <is>
          <t>Retail</t>
        </is>
      </c>
      <c r="J76" s="251" t="inlineStr">
        <is>
          <t>(All Retail)</t>
        </is>
      </c>
      <c r="K76" s="220" t="inlineStr">
        <is>
          <t>Data - AU</t>
        </is>
      </c>
      <c r="L76" s="251" t="n"/>
      <c r="M76" s="252" t="n"/>
      <c r="N76" t="inlineStr">
        <is>
          <t>Ampol Retail</t>
        </is>
      </c>
      <c r="O76" t="inlineStr">
        <is>
          <t>Data AU</t>
        </is>
      </c>
      <c r="P76" t="inlineStr">
        <is>
          <t>Data AU</t>
        </is>
      </c>
      <c r="Q76" t="inlineStr">
        <is>
          <t>Squad</t>
        </is>
      </c>
      <c r="R76" t="inlineStr">
        <is>
          <t>Vacant</t>
        </is>
      </c>
    </row>
    <row r="77" ht="18" customHeight="1" s="849">
      <c r="A77" s="250" t="n">
        <v>99999101333</v>
      </c>
      <c r="B77" s="220" t="inlineStr">
        <is>
          <t>Benjamin Sheffield</t>
        </is>
      </c>
      <c r="C77" s="220" t="inlineStr">
        <is>
          <t>Lead Engineer - Software</t>
        </is>
      </c>
      <c r="D77" s="220" t="inlineStr">
        <is>
          <t>Vacant</t>
        </is>
      </c>
      <c r="E77" s="220" t="inlineStr">
        <is>
          <t>Technology Manager, Engineering</t>
        </is>
      </c>
      <c r="F77" s="220" t="inlineStr">
        <is>
          <t>Ampol Retail &amp; Z</t>
        </is>
      </c>
      <c r="G77" s="251" t="inlineStr">
        <is>
          <t>Z &amp; Group Retail</t>
        </is>
      </c>
      <c r="H77" s="220" t="inlineStr">
        <is>
          <t>Z &amp; Group Retail, Engineering</t>
        </is>
      </c>
      <c r="I77" s="220" t="inlineStr">
        <is>
          <t>Z</t>
        </is>
      </c>
      <c r="J77" s="251" t="inlineStr">
        <is>
          <t>Z Supply</t>
        </is>
      </c>
      <c r="K77" s="220" t="inlineStr">
        <is>
          <t>Z Supply</t>
        </is>
      </c>
      <c r="L77" s="251" t="n"/>
      <c r="M77" s="252" t="inlineStr">
        <is>
          <t>NZ</t>
        </is>
      </c>
      <c r="N77" t="inlineStr">
        <is>
          <t>Z Retail</t>
        </is>
      </c>
      <c r="O77" t="inlineStr">
        <is>
          <t>Z Supply</t>
        </is>
      </c>
      <c r="P77" t="inlineStr">
        <is>
          <t>Z Supply</t>
        </is>
      </c>
      <c r="Q77" t="inlineStr">
        <is>
          <t>Squad</t>
        </is>
      </c>
      <c r="R77" t="inlineStr">
        <is>
          <t>Filled</t>
        </is>
      </c>
    </row>
    <row r="78" ht="18" customHeight="1" s="849">
      <c r="A78" s="250" t="n">
        <v>99999170431</v>
      </c>
      <c r="B78" s="220" t="inlineStr">
        <is>
          <t>Mark Dickson</t>
        </is>
      </c>
      <c r="C78" s="220" t="inlineStr">
        <is>
          <t>Delivery Lead</t>
        </is>
      </c>
      <c r="D78" s="251" t="inlineStr">
        <is>
          <t>Vacant</t>
        </is>
      </c>
      <c r="E78" s="220" t="inlineStr">
        <is>
          <t>Delivery Manager, Z and Retail Data</t>
        </is>
      </c>
      <c r="F78" s="220" t="inlineStr">
        <is>
          <t>Ampol Retail &amp; Z</t>
        </is>
      </c>
      <c r="G78" s="251" t="inlineStr">
        <is>
          <t>Z &amp; Group Retail</t>
        </is>
      </c>
      <c r="H78" s="220" t="inlineStr">
        <is>
          <t>Z &amp; Group Retail, Delivery</t>
        </is>
      </c>
      <c r="I78" s="220" t="inlineStr">
        <is>
          <t>Z</t>
        </is>
      </c>
      <c r="J78" s="220" t="inlineStr">
        <is>
          <t>Z Customer</t>
        </is>
      </c>
      <c r="K78" s="220" t="inlineStr">
        <is>
          <t>Z Retail Backend</t>
        </is>
      </c>
      <c r="L78" s="251" t="n"/>
      <c r="M78" s="252" t="inlineStr">
        <is>
          <t>NZ</t>
        </is>
      </c>
      <c r="N78" t="inlineStr">
        <is>
          <t>Z Retail</t>
        </is>
      </c>
      <c r="O78" t="inlineStr">
        <is>
          <t>Z Customer</t>
        </is>
      </c>
      <c r="P78" t="inlineStr">
        <is>
          <t>Z Retail Backend</t>
        </is>
      </c>
      <c r="Q78" t="inlineStr">
        <is>
          <t>Squad</t>
        </is>
      </c>
      <c r="R78" t="inlineStr">
        <is>
          <t>Filled</t>
        </is>
      </c>
    </row>
    <row r="79" ht="18" customHeight="1" s="849">
      <c r="A79" s="250" t="n">
        <v>99999101533</v>
      </c>
      <c r="B79" s="220" t="inlineStr">
        <is>
          <t>Adrian Alcance</t>
        </is>
      </c>
      <c r="C79" s="220" t="inlineStr">
        <is>
          <t>Senior Engineer - DevOps</t>
        </is>
      </c>
      <c r="D79" s="220" t="inlineStr">
        <is>
          <t>Vacant</t>
        </is>
      </c>
      <c r="E79" s="220" t="inlineStr">
        <is>
          <t>Technology Manager, Engineering</t>
        </is>
      </c>
      <c r="F79" s="220" t="inlineStr">
        <is>
          <t>Ampol Retail &amp; Z</t>
        </is>
      </c>
      <c r="G79" s="220" t="inlineStr">
        <is>
          <t>Z &amp; Group Retail</t>
        </is>
      </c>
      <c r="H79" s="220" t="inlineStr">
        <is>
          <t>Z &amp; Group Retail, Engineering</t>
        </is>
      </c>
      <c r="I79" s="220" t="inlineStr">
        <is>
          <t>Z</t>
        </is>
      </c>
      <c r="J79" s="220" t="inlineStr">
        <is>
          <t>Z Customer</t>
        </is>
      </c>
      <c r="K79" s="220" t="inlineStr">
        <is>
          <t xml:space="preserve">Z Retail Backend </t>
        </is>
      </c>
      <c r="L79" s="251" t="n"/>
      <c r="M79" s="252" t="inlineStr">
        <is>
          <t>NZ</t>
        </is>
      </c>
      <c r="N79" t="inlineStr">
        <is>
          <t>Z Retail</t>
        </is>
      </c>
      <c r="O79" t="inlineStr">
        <is>
          <t>Z Customer</t>
        </is>
      </c>
      <c r="P79" t="inlineStr">
        <is>
          <t>Z Retail Backend</t>
        </is>
      </c>
      <c r="Q79" t="inlineStr">
        <is>
          <t>Squad</t>
        </is>
      </c>
      <c r="R79" t="inlineStr">
        <is>
          <t>Filled</t>
        </is>
      </c>
    </row>
    <row r="80" ht="18" customHeight="1" s="849">
      <c r="A80" s="250" t="n">
        <v>99999101548</v>
      </c>
      <c r="B80" s="220" t="inlineStr">
        <is>
          <t>Allana Arbuckle</t>
        </is>
      </c>
      <c r="C80" s="220" t="inlineStr">
        <is>
          <t>Business Analyst</t>
        </is>
      </c>
      <c r="D80" s="251" t="inlineStr">
        <is>
          <t>Vacant</t>
        </is>
      </c>
      <c r="E80" s="220" t="inlineStr">
        <is>
          <t>Delivery Manager, Z and Retail Data</t>
        </is>
      </c>
      <c r="F80" s="220" t="inlineStr">
        <is>
          <t>Ampol Retail &amp; Z</t>
        </is>
      </c>
      <c r="G80" s="251" t="inlineStr">
        <is>
          <t>Z &amp; Group Retail</t>
        </is>
      </c>
      <c r="H80" s="220" t="inlineStr">
        <is>
          <t>Z &amp; Group Retail, Delivery</t>
        </is>
      </c>
      <c r="I80" s="220" t="inlineStr">
        <is>
          <t>Z</t>
        </is>
      </c>
      <c r="J80" s="220" t="inlineStr">
        <is>
          <t>Z Customer</t>
        </is>
      </c>
      <c r="K80" s="220" t="inlineStr">
        <is>
          <t xml:space="preserve">Z Retail Backend </t>
        </is>
      </c>
      <c r="L80" s="251" t="n"/>
      <c r="M80" s="252" t="inlineStr">
        <is>
          <t>NZ</t>
        </is>
      </c>
      <c r="N80" t="inlineStr">
        <is>
          <t>Z Retail</t>
        </is>
      </c>
      <c r="O80" t="inlineStr">
        <is>
          <t>Z Customer</t>
        </is>
      </c>
      <c r="P80" t="inlineStr">
        <is>
          <t>Z Retail Backend</t>
        </is>
      </c>
      <c r="Q80" t="inlineStr">
        <is>
          <t>Squad</t>
        </is>
      </c>
      <c r="R80" t="inlineStr">
        <is>
          <t>Filled</t>
        </is>
      </c>
    </row>
    <row r="81" ht="18" customHeight="1" s="849">
      <c r="A81" s="250" t="n"/>
      <c r="B81" s="220" t="inlineStr">
        <is>
          <t>Vacant</t>
        </is>
      </c>
      <c r="C81" s="220" t="inlineStr">
        <is>
          <t>Engineer - Data</t>
        </is>
      </c>
      <c r="D81" s="251" t="inlineStr">
        <is>
          <t>Vacant</t>
        </is>
      </c>
      <c r="E81" s="220" t="inlineStr">
        <is>
          <t>Technology Manager, Data</t>
        </is>
      </c>
      <c r="F81" s="220" t="inlineStr">
        <is>
          <t>Ampol Retail &amp; Z</t>
        </is>
      </c>
      <c r="G81" s="251" t="inlineStr">
        <is>
          <t>Z &amp; Group Retail</t>
        </is>
      </c>
      <c r="H81" s="220" t="inlineStr">
        <is>
          <t>Z &amp; Group Retail, Data</t>
        </is>
      </c>
      <c r="I81" s="220" t="inlineStr">
        <is>
          <t>Retail</t>
        </is>
      </c>
      <c r="J81" s="251" t="inlineStr">
        <is>
          <t>(All Retail)</t>
        </is>
      </c>
      <c r="K81" s="220" t="inlineStr">
        <is>
          <t>Data - AU</t>
        </is>
      </c>
      <c r="L81" s="251" t="n"/>
      <c r="M81" s="252" t="n"/>
      <c r="N81" t="inlineStr">
        <is>
          <t>Ampol Retail</t>
        </is>
      </c>
      <c r="O81" t="inlineStr">
        <is>
          <t>Data AU</t>
        </is>
      </c>
      <c r="P81" t="inlineStr">
        <is>
          <t>Data AU</t>
        </is>
      </c>
      <c r="Q81" t="inlineStr">
        <is>
          <t>Squad</t>
        </is>
      </c>
      <c r="R81" t="inlineStr">
        <is>
          <t>Vacant</t>
        </is>
      </c>
    </row>
    <row r="82" ht="18" customHeight="1" s="849">
      <c r="A82" s="250" t="n">
        <v>99999102111</v>
      </c>
      <c r="B82" s="220" t="inlineStr">
        <is>
          <t>Gayan Liyana Arachchige</t>
        </is>
      </c>
      <c r="C82" s="220" t="inlineStr">
        <is>
          <t>Engineer - DevOps</t>
        </is>
      </c>
      <c r="D82" s="220" t="inlineStr">
        <is>
          <t>Vacant</t>
        </is>
      </c>
      <c r="E82" s="220" t="inlineStr">
        <is>
          <t>Technology Manager, Engineering</t>
        </is>
      </c>
      <c r="F82" s="220" t="inlineStr">
        <is>
          <t>Ampol Retail &amp; Z</t>
        </is>
      </c>
      <c r="G82" s="251" t="inlineStr">
        <is>
          <t>Z &amp; Group Retail</t>
        </is>
      </c>
      <c r="H82" s="220" t="inlineStr">
        <is>
          <t>Z &amp; Group Retail, Engineering</t>
        </is>
      </c>
      <c r="I82" s="220" t="inlineStr">
        <is>
          <t>Z</t>
        </is>
      </c>
      <c r="J82" s="251" t="inlineStr">
        <is>
          <t>Z Supply</t>
        </is>
      </c>
      <c r="K82" s="220" t="inlineStr">
        <is>
          <t>Z Supply</t>
        </is>
      </c>
      <c r="L82" s="251" t="n"/>
      <c r="M82" s="252" t="inlineStr">
        <is>
          <t>NZ</t>
        </is>
      </c>
      <c r="N82" t="inlineStr">
        <is>
          <t>Z Retail</t>
        </is>
      </c>
      <c r="O82" t="inlineStr">
        <is>
          <t>Z Supply</t>
        </is>
      </c>
      <c r="P82" t="inlineStr">
        <is>
          <t>Z Supply</t>
        </is>
      </c>
      <c r="Q82" t="inlineStr">
        <is>
          <t>Squad</t>
        </is>
      </c>
      <c r="R82" t="inlineStr">
        <is>
          <t>Filled</t>
        </is>
      </c>
    </row>
    <row r="83" ht="18" customHeight="1" s="849">
      <c r="A83" s="250" t="n"/>
      <c r="B83" s="220" t="inlineStr">
        <is>
          <t>Vacant</t>
        </is>
      </c>
      <c r="C83" s="220" t="inlineStr">
        <is>
          <t>Quality Assurance</t>
        </is>
      </c>
      <c r="D83" s="251" t="inlineStr">
        <is>
          <t>Vacant</t>
        </is>
      </c>
      <c r="E83" s="220" t="inlineStr">
        <is>
          <t>Lead Quality Assurance</t>
        </is>
      </c>
      <c r="F83" s="220" t="inlineStr">
        <is>
          <t>Ampol Retail &amp; Z</t>
        </is>
      </c>
      <c r="G83" s="251" t="inlineStr">
        <is>
          <t>Ampol Retail</t>
        </is>
      </c>
      <c r="H83" s="220" t="inlineStr">
        <is>
          <t>Ampol Retail, Store Platforms</t>
        </is>
      </c>
      <c r="I83" s="220" t="inlineStr">
        <is>
          <t>Retail</t>
        </is>
      </c>
      <c r="J83" s="267" t="inlineStr">
        <is>
          <t>Store Operations</t>
        </is>
      </c>
      <c r="K83" s="265" t="inlineStr">
        <is>
          <t>POS</t>
        </is>
      </c>
      <c r="L83" s="251" t="n"/>
      <c r="M83" s="252" t="n"/>
      <c r="N83" t="inlineStr">
        <is>
          <t>Ampol Retail</t>
        </is>
      </c>
      <c r="O83" t="inlineStr">
        <is>
          <t>Store Operations</t>
        </is>
      </c>
      <c r="P83" t="inlineStr">
        <is>
          <t>POS</t>
        </is>
      </c>
      <c r="Q83" t="inlineStr">
        <is>
          <t>Squad</t>
        </is>
      </c>
      <c r="R83" t="inlineStr">
        <is>
          <t>Vacant</t>
        </is>
      </c>
    </row>
    <row r="84" ht="18" customHeight="1" s="849">
      <c r="A84" s="250" t="n"/>
      <c r="B84" s="220" t="inlineStr">
        <is>
          <t>Vacant</t>
        </is>
      </c>
      <c r="C84" s="220" t="inlineStr">
        <is>
          <t>Engineer - Software</t>
        </is>
      </c>
      <c r="D84" s="220" t="inlineStr">
        <is>
          <t>Vacant</t>
        </is>
      </c>
      <c r="E84" s="220" t="inlineStr">
        <is>
          <t>Technology Manager, Engineering</t>
        </is>
      </c>
      <c r="F84" s="220" t="inlineStr">
        <is>
          <t>Ampol Retail &amp; Z</t>
        </is>
      </c>
      <c r="G84" s="251" t="inlineStr">
        <is>
          <t>Z &amp; Group Retail</t>
        </is>
      </c>
      <c r="H84" s="220" t="inlineStr">
        <is>
          <t>Z &amp; Group Retail, Engineering</t>
        </is>
      </c>
      <c r="I84" s="220" t="inlineStr">
        <is>
          <t>Z</t>
        </is>
      </c>
      <c r="J84" s="220" t="inlineStr">
        <is>
          <t>Z Customer</t>
        </is>
      </c>
      <c r="K84" s="220" t="inlineStr">
        <is>
          <t xml:space="preserve">Z Retail Backend </t>
        </is>
      </c>
      <c r="L84" s="251" t="n"/>
      <c r="M84" s="252" t="n"/>
      <c r="N84" t="inlineStr">
        <is>
          <t>Z Retail</t>
        </is>
      </c>
      <c r="O84" t="inlineStr">
        <is>
          <t>Z Customer</t>
        </is>
      </c>
      <c r="P84" t="inlineStr">
        <is>
          <t>Z Retail Backend</t>
        </is>
      </c>
      <c r="Q84" t="inlineStr">
        <is>
          <t>Squad</t>
        </is>
      </c>
      <c r="R84" t="inlineStr">
        <is>
          <t>Vacant</t>
        </is>
      </c>
    </row>
    <row r="85" ht="18" customHeight="1" s="849">
      <c r="A85" s="250" t="n">
        <v>99999100699</v>
      </c>
      <c r="B85" s="220" t="inlineStr">
        <is>
          <t>Helen Jones</t>
        </is>
      </c>
      <c r="C85" s="220" t="inlineStr">
        <is>
          <t>Delivery Lead</t>
        </is>
      </c>
      <c r="D85" s="251" t="inlineStr">
        <is>
          <t>Vacant</t>
        </is>
      </c>
      <c r="E85" s="220" t="inlineStr">
        <is>
          <t>Delivery Manager, Z and Retail Data</t>
        </is>
      </c>
      <c r="F85" s="220" t="inlineStr">
        <is>
          <t>Ampol Retail &amp; Z</t>
        </is>
      </c>
      <c r="G85" s="251" t="inlineStr">
        <is>
          <t>Z &amp; Group Retail</t>
        </is>
      </c>
      <c r="H85" s="220" t="inlineStr">
        <is>
          <t>Z &amp; Group Retail, Delivery</t>
        </is>
      </c>
      <c r="I85" s="220" t="inlineStr">
        <is>
          <t>Z</t>
        </is>
      </c>
      <c r="J85" s="251" t="inlineStr">
        <is>
          <t>Z Supply</t>
        </is>
      </c>
      <c r="K85" s="220" t="inlineStr">
        <is>
          <t>Z Supply</t>
        </is>
      </c>
      <c r="L85" s="251" t="n"/>
      <c r="M85" s="252" t="inlineStr">
        <is>
          <t>NZ</t>
        </is>
      </c>
      <c r="N85" t="inlineStr">
        <is>
          <t>Z Retail</t>
        </is>
      </c>
      <c r="O85" t="inlineStr">
        <is>
          <t>Z Supply</t>
        </is>
      </c>
      <c r="P85" t="inlineStr">
        <is>
          <t>Z Supply</t>
        </is>
      </c>
      <c r="Q85" t="inlineStr">
        <is>
          <t>Squad</t>
        </is>
      </c>
      <c r="R85" t="inlineStr">
        <is>
          <t>Filled</t>
        </is>
      </c>
    </row>
    <row r="86" ht="18" customHeight="1" s="849">
      <c r="A86" s="250" t="n">
        <v>104050</v>
      </c>
      <c r="B86" s="220" t="inlineStr">
        <is>
          <t>Violeta Trajkovski</t>
        </is>
      </c>
      <c r="C86" s="220" t="inlineStr">
        <is>
          <t>Deployment Coordinator</t>
        </is>
      </c>
      <c r="D86" s="220" t="inlineStr">
        <is>
          <t>Vacant</t>
        </is>
      </c>
      <c r="E86" s="220" t="inlineStr">
        <is>
          <t>Release &amp; Deployment Manager</t>
        </is>
      </c>
      <c r="F86" s="220" t="inlineStr">
        <is>
          <t>Ampol Retail &amp; Z</t>
        </is>
      </c>
      <c r="G86" s="251" t="inlineStr">
        <is>
          <t>Ampol Retail</t>
        </is>
      </c>
      <c r="H86" s="220" t="inlineStr">
        <is>
          <t>Ampol Retail, Technology</t>
        </is>
      </c>
      <c r="I86" s="220" t="inlineStr">
        <is>
          <t>Retail</t>
        </is>
      </c>
      <c r="J86" s="251" t="inlineStr">
        <is>
          <t>Store Operations</t>
        </is>
      </c>
      <c r="K86" s="220" t="inlineStr">
        <is>
          <t>Deployment</t>
        </is>
      </c>
      <c r="L86" s="251" t="n"/>
      <c r="M86" s="252" t="inlineStr">
        <is>
          <t>Australia</t>
        </is>
      </c>
      <c r="N86" t="inlineStr">
        <is>
          <t>Ampol Retail</t>
        </is>
      </c>
      <c r="O86" t="inlineStr">
        <is>
          <t>Store Operations</t>
        </is>
      </c>
      <c r="P86" t="inlineStr">
        <is>
          <t>Deployment</t>
        </is>
      </c>
      <c r="Q86" t="inlineStr">
        <is>
          <t>Squad</t>
        </is>
      </c>
      <c r="R86" t="inlineStr">
        <is>
          <t>Filled</t>
        </is>
      </c>
    </row>
    <row r="87" ht="18" customHeight="1" s="849">
      <c r="A87" s="250" t="n">
        <v>99999101623</v>
      </c>
      <c r="B87" s="220" t="inlineStr">
        <is>
          <t>Michael Dasan</t>
        </is>
      </c>
      <c r="C87" s="220" t="inlineStr">
        <is>
          <t>Engineer - Data</t>
        </is>
      </c>
      <c r="D87" s="251" t="inlineStr">
        <is>
          <t>Vacant</t>
        </is>
      </c>
      <c r="E87" s="220" t="inlineStr">
        <is>
          <t>Technology Manager, Data</t>
        </is>
      </c>
      <c r="F87" s="220" t="inlineStr">
        <is>
          <t>Ampol Retail &amp; Z</t>
        </is>
      </c>
      <c r="G87" s="251" t="inlineStr">
        <is>
          <t>Z &amp; Group Retail</t>
        </is>
      </c>
      <c r="H87" s="220" t="inlineStr">
        <is>
          <t>Z &amp; Group Retail, Data</t>
        </is>
      </c>
      <c r="I87" s="220" t="inlineStr">
        <is>
          <t>Z</t>
        </is>
      </c>
      <c r="J87" s="251" t="inlineStr">
        <is>
          <t>Z Customer &amp; Z Supply</t>
        </is>
      </c>
      <c r="K87" s="220" t="inlineStr">
        <is>
          <t>Data - NZ</t>
        </is>
      </c>
      <c r="L87" s="251" t="n"/>
      <c r="M87" s="252" t="inlineStr">
        <is>
          <t>NZ</t>
        </is>
      </c>
      <c r="N87" t="inlineStr">
        <is>
          <t>Z Retail</t>
        </is>
      </c>
      <c r="O87" t="inlineStr">
        <is>
          <t>-</t>
        </is>
      </c>
      <c r="P87" t="inlineStr">
        <is>
          <t>Data NZ</t>
        </is>
      </c>
      <c r="Q87" t="inlineStr">
        <is>
          <t>Unmapped</t>
        </is>
      </c>
      <c r="R87" t="inlineStr">
        <is>
          <t>Filled</t>
        </is>
      </c>
    </row>
    <row r="88" ht="18" customHeight="1" s="849">
      <c r="A88" s="250" t="n"/>
      <c r="B88" s="220" t="inlineStr">
        <is>
          <t>Vacant</t>
        </is>
      </c>
      <c r="C88" s="220" t="inlineStr">
        <is>
          <t>Quality Assurance</t>
        </is>
      </c>
      <c r="D88" s="251" t="inlineStr">
        <is>
          <t>Vacant</t>
        </is>
      </c>
      <c r="E88" s="220" t="inlineStr">
        <is>
          <t>Lead Quality Assurance</t>
        </is>
      </c>
      <c r="F88" s="220" t="inlineStr">
        <is>
          <t>Ampol Retail &amp; Z</t>
        </is>
      </c>
      <c r="G88" s="251" t="inlineStr">
        <is>
          <t>Ampol Retail</t>
        </is>
      </c>
      <c r="H88" s="220" t="inlineStr">
        <is>
          <t>Ampol Retail, Store Platforms</t>
        </is>
      </c>
      <c r="I88" s="220" t="inlineStr">
        <is>
          <t>Retail</t>
        </is>
      </c>
      <c r="J88" s="267" t="inlineStr">
        <is>
          <t>Store Operations</t>
        </is>
      </c>
      <c r="K88" s="265" t="inlineStr">
        <is>
          <t>POS</t>
        </is>
      </c>
      <c r="L88" s="251" t="n"/>
      <c r="M88" s="252" t="n"/>
      <c r="N88" t="inlineStr">
        <is>
          <t>Ampol Retail</t>
        </is>
      </c>
      <c r="O88" t="inlineStr">
        <is>
          <t>Store Operations</t>
        </is>
      </c>
      <c r="P88" t="inlineStr">
        <is>
          <t>POS</t>
        </is>
      </c>
      <c r="Q88" t="inlineStr">
        <is>
          <t>Squad</t>
        </is>
      </c>
      <c r="R88" t="inlineStr">
        <is>
          <t>Vacant</t>
        </is>
      </c>
    </row>
    <row r="89" ht="18" customFormat="1" customHeight="1" s="268">
      <c r="A89" s="250" t="n"/>
      <c r="B89" s="220" t="inlineStr">
        <is>
          <t>Vacant</t>
        </is>
      </c>
      <c r="C89" s="220" t="inlineStr">
        <is>
          <t>Quality Assurance</t>
        </is>
      </c>
      <c r="D89" s="251" t="inlineStr">
        <is>
          <t>Vacant</t>
        </is>
      </c>
      <c r="E89" s="220" t="inlineStr">
        <is>
          <t>Lead Quality Assurance</t>
        </is>
      </c>
      <c r="F89" s="220" t="inlineStr">
        <is>
          <t>Ampol Retail &amp; Z</t>
        </is>
      </c>
      <c r="G89" s="251" t="inlineStr">
        <is>
          <t>Ampol Retail</t>
        </is>
      </c>
      <c r="H89" s="220" t="inlineStr">
        <is>
          <t>Ampol Retail, Store Platforms</t>
        </is>
      </c>
      <c r="I89" s="220" t="inlineStr">
        <is>
          <t>Retail</t>
        </is>
      </c>
      <c r="J89" s="267" t="inlineStr">
        <is>
          <t>Store Operations</t>
        </is>
      </c>
      <c r="K89" s="265" t="inlineStr">
        <is>
          <t>POS</t>
        </is>
      </c>
      <c r="L89" s="251" t="n"/>
      <c r="M89" s="252" t="n"/>
      <c r="N89" s="253" t="inlineStr">
        <is>
          <t>Ampol Retail</t>
        </is>
      </c>
      <c r="O89" s="253" t="inlineStr">
        <is>
          <t>Store Operations</t>
        </is>
      </c>
      <c r="P89" t="inlineStr">
        <is>
          <t>POS</t>
        </is>
      </c>
      <c r="Q89" t="inlineStr">
        <is>
          <t>Squad</t>
        </is>
      </c>
      <c r="R89" t="inlineStr">
        <is>
          <t>Vacant</t>
        </is>
      </c>
    </row>
    <row r="90" ht="18" customHeight="1" s="849">
      <c r="A90" s="250" t="n"/>
      <c r="B90" s="220" t="inlineStr">
        <is>
          <t>Vacant</t>
        </is>
      </c>
      <c r="C90" s="220" t="inlineStr">
        <is>
          <t>Engineer - Data</t>
        </is>
      </c>
      <c r="D90" s="251" t="inlineStr">
        <is>
          <t>Vacant</t>
        </is>
      </c>
      <c r="E90" s="220" t="inlineStr">
        <is>
          <t>Technology Manager, Data</t>
        </is>
      </c>
      <c r="F90" s="220" t="inlineStr">
        <is>
          <t>Ampol Retail &amp; Z</t>
        </is>
      </c>
      <c r="G90" s="251" t="inlineStr">
        <is>
          <t>Z &amp; Group Retail</t>
        </is>
      </c>
      <c r="H90" s="220" t="inlineStr">
        <is>
          <t>Z &amp; Group Retail, Data</t>
        </is>
      </c>
      <c r="I90" s="220" t="inlineStr">
        <is>
          <t>Retail</t>
        </is>
      </c>
      <c r="J90" s="251" t="inlineStr">
        <is>
          <t>(All Retail)</t>
        </is>
      </c>
      <c r="K90" s="220" t="inlineStr">
        <is>
          <t>Data - AU</t>
        </is>
      </c>
      <c r="L90" s="251" t="n"/>
      <c r="M90" s="252" t="n"/>
      <c r="N90" t="inlineStr">
        <is>
          <t>Ampol Retail</t>
        </is>
      </c>
      <c r="O90" t="inlineStr">
        <is>
          <t>Data AU</t>
        </is>
      </c>
      <c r="P90" t="inlineStr">
        <is>
          <t>Data AU</t>
        </is>
      </c>
      <c r="Q90" t="inlineStr">
        <is>
          <t>Squad</t>
        </is>
      </c>
      <c r="R90" t="inlineStr">
        <is>
          <t>Vacant</t>
        </is>
      </c>
    </row>
    <row r="91" ht="18" customFormat="1" customHeight="1" s="268">
      <c r="A91" s="250" t="n">
        <v>0</v>
      </c>
      <c r="B91" s="220" t="inlineStr">
        <is>
          <t>Viren Khatri</t>
        </is>
      </c>
      <c r="C91" s="220" t="inlineStr">
        <is>
          <t>Data Migration Lead</t>
        </is>
      </c>
      <c r="D91" s="251" t="inlineStr">
        <is>
          <t>Vacant</t>
        </is>
      </c>
      <c r="E91" s="220" t="inlineStr">
        <is>
          <t>Technology Manager, Data</t>
        </is>
      </c>
      <c r="F91" s="220" t="inlineStr">
        <is>
          <t>Ampol Retail &amp; Z</t>
        </is>
      </c>
      <c r="G91" s="251" t="inlineStr">
        <is>
          <t>Z &amp; Group Retail</t>
        </is>
      </c>
      <c r="H91" s="220" t="inlineStr">
        <is>
          <t>Z &amp; Group Retail, Data</t>
        </is>
      </c>
      <c r="I91" s="220" t="inlineStr">
        <is>
          <t>EGI Integration</t>
        </is>
      </c>
      <c r="J91" s="251" t="inlineStr">
        <is>
          <t>EGI</t>
        </is>
      </c>
      <c r="K91" s="220" t="inlineStr">
        <is>
          <t>EGI TDD</t>
        </is>
      </c>
      <c r="L91" s="251" t="n"/>
      <c r="M91" s="252" t="n">
        <v>0</v>
      </c>
      <c r="N91" t="inlineStr">
        <is>
          <t>TDD Group Functions</t>
        </is>
      </c>
      <c r="O91" t="inlineStr">
        <is>
          <t>EGI TDD</t>
        </is>
      </c>
      <c r="P91" t="inlineStr">
        <is>
          <t>EGI TDD</t>
        </is>
      </c>
      <c r="Q91" t="inlineStr">
        <is>
          <t>Strategic Program</t>
        </is>
      </c>
      <c r="R91" t="inlineStr">
        <is>
          <t>Filled</t>
        </is>
      </c>
    </row>
    <row r="92" ht="18" customHeight="1" s="849">
      <c r="A92" s="250" t="n">
        <v>85137</v>
      </c>
      <c r="B92" s="220" t="inlineStr">
        <is>
          <t>Mick Standen</t>
        </is>
      </c>
      <c r="C92" s="220" t="inlineStr">
        <is>
          <t>Systems Analyst</t>
        </is>
      </c>
      <c r="D92" s="220" t="inlineStr">
        <is>
          <t>Vaishnavi Viswanathan</t>
        </is>
      </c>
      <c r="E92" s="220" t="inlineStr">
        <is>
          <t>Technology Manager, Store Platform</t>
        </is>
      </c>
      <c r="F92" s="220" t="inlineStr">
        <is>
          <t>Ampol Retail &amp; Z</t>
        </is>
      </c>
      <c r="G92" s="251" t="inlineStr">
        <is>
          <t>Ampol Retail</t>
        </is>
      </c>
      <c r="H92" s="220" t="inlineStr">
        <is>
          <t>Ampol  Retail, Store Platforms</t>
        </is>
      </c>
      <c r="I92" s="220" t="inlineStr">
        <is>
          <t>Retail</t>
        </is>
      </c>
      <c r="J92" s="251" t="inlineStr">
        <is>
          <t>AMPOS</t>
        </is>
      </c>
      <c r="K92" s="220" t="inlineStr">
        <is>
          <t>AmPos</t>
        </is>
      </c>
      <c r="L92" s="251" t="n"/>
      <c r="M92" s="252" t="inlineStr">
        <is>
          <t>Australia</t>
        </is>
      </c>
      <c r="N92" t="inlineStr">
        <is>
          <t>Ampol Retail</t>
        </is>
      </c>
      <c r="O92" t="inlineStr">
        <is>
          <t>AmPOS</t>
        </is>
      </c>
      <c r="P92" t="inlineStr">
        <is>
          <t>AmPOS</t>
        </is>
      </c>
      <c r="Q92" t="inlineStr">
        <is>
          <t>Strategic Program</t>
        </is>
      </c>
      <c r="R92" t="inlineStr">
        <is>
          <t>Filled</t>
        </is>
      </c>
    </row>
    <row r="93" ht="18" customHeight="1" s="849">
      <c r="A93" s="250" t="n"/>
      <c r="B93" s="220" t="inlineStr">
        <is>
          <t>Vacant</t>
        </is>
      </c>
      <c r="C93" s="220" t="inlineStr">
        <is>
          <t>Engineer Integration</t>
        </is>
      </c>
      <c r="D93" s="220" t="inlineStr">
        <is>
          <t>Vaishnavi Viswanathan</t>
        </is>
      </c>
      <c r="E93" s="220" t="inlineStr">
        <is>
          <t>Technology Manager, Store Platform</t>
        </is>
      </c>
      <c r="F93" s="220" t="inlineStr">
        <is>
          <t>Ampol Retail &amp; Z</t>
        </is>
      </c>
      <c r="G93" s="251" t="inlineStr">
        <is>
          <t>Ampol Retail</t>
        </is>
      </c>
      <c r="H93" s="220" t="inlineStr">
        <is>
          <t>Ampol  Retail, Store Platforms</t>
        </is>
      </c>
      <c r="I93" s="220" t="inlineStr">
        <is>
          <t>Retail</t>
        </is>
      </c>
      <c r="J93" s="251" t="inlineStr">
        <is>
          <t>Store Operations</t>
        </is>
      </c>
      <c r="K93" s="265" t="inlineStr">
        <is>
          <t>POS</t>
        </is>
      </c>
      <c r="L93" s="251" t="n"/>
      <c r="M93" s="252" t="n"/>
      <c r="N93" t="inlineStr">
        <is>
          <t>Ampol Retail</t>
        </is>
      </c>
      <c r="O93" t="inlineStr">
        <is>
          <t>Store Operations</t>
        </is>
      </c>
      <c r="P93" t="inlineStr">
        <is>
          <t>POS</t>
        </is>
      </c>
      <c r="Q93" t="inlineStr">
        <is>
          <t>Squad</t>
        </is>
      </c>
      <c r="R93" t="inlineStr">
        <is>
          <t>Vacant</t>
        </is>
      </c>
    </row>
    <row r="94" ht="18" customHeight="1" s="849">
      <c r="A94" s="250" t="n">
        <v>85321</v>
      </c>
      <c r="B94" s="220" t="inlineStr">
        <is>
          <t>Karthikeyan Kuppan</t>
        </is>
      </c>
      <c r="C94" s="220" t="inlineStr">
        <is>
          <t>Lead - AU Retail Operations</t>
        </is>
      </c>
      <c r="D94" s="220" t="inlineStr">
        <is>
          <t>Vaishnavi Viswanathan</t>
        </is>
      </c>
      <c r="E94" s="220" t="inlineStr">
        <is>
          <t>Technology Manager, Store Platform</t>
        </is>
      </c>
      <c r="F94" s="220" t="inlineStr">
        <is>
          <t>Ampol Retail &amp; Z</t>
        </is>
      </c>
      <c r="G94" s="251" t="inlineStr">
        <is>
          <t>Ampol Retail</t>
        </is>
      </c>
      <c r="H94" s="220" t="inlineStr">
        <is>
          <t>Ampol  Retail, Store Platforms</t>
        </is>
      </c>
      <c r="I94" s="220" t="inlineStr">
        <is>
          <t>Retail</t>
        </is>
      </c>
      <c r="J94" s="251" t="inlineStr">
        <is>
          <t>Store Operations</t>
        </is>
      </c>
      <c r="K94" s="220" t="inlineStr">
        <is>
          <t>Store Operations</t>
        </is>
      </c>
      <c r="L94" s="251" t="n"/>
      <c r="M94" s="252" t="inlineStr">
        <is>
          <t>Australia</t>
        </is>
      </c>
      <c r="N94" t="inlineStr">
        <is>
          <t>Ampol Retail</t>
        </is>
      </c>
      <c r="O94" t="inlineStr">
        <is>
          <t>Store Operations</t>
        </is>
      </c>
      <c r="P94" t="inlineStr">
        <is>
          <t>Store Operations</t>
        </is>
      </c>
      <c r="Q94" t="inlineStr">
        <is>
          <t>Squad</t>
        </is>
      </c>
      <c r="R94" t="inlineStr">
        <is>
          <t>Filled</t>
        </is>
      </c>
    </row>
    <row r="95" ht="18" customHeight="1" s="849">
      <c r="A95" s="250" t="n">
        <v>114003</v>
      </c>
      <c r="B95" s="220" t="inlineStr">
        <is>
          <t>Sayan Kar</t>
        </is>
      </c>
      <c r="C95" s="220" t="inlineStr">
        <is>
          <t>Systems Analyst</t>
        </is>
      </c>
      <c r="D95" s="220" t="inlineStr">
        <is>
          <t>Vaishnavi Viswanathan</t>
        </is>
      </c>
      <c r="E95" s="220" t="inlineStr">
        <is>
          <t>Technology Manager, Store Platform</t>
        </is>
      </c>
      <c r="F95" s="220" t="inlineStr">
        <is>
          <t>Ampol Retail &amp; Z</t>
        </is>
      </c>
      <c r="G95" s="251" t="inlineStr">
        <is>
          <t>Ampol Retail</t>
        </is>
      </c>
      <c r="H95" s="220" t="inlineStr">
        <is>
          <t>Ampol  Retail, Store Platforms</t>
        </is>
      </c>
      <c r="I95" s="220" t="inlineStr">
        <is>
          <t>Retail</t>
        </is>
      </c>
      <c r="J95" s="251" t="inlineStr">
        <is>
          <t>Store Operations</t>
        </is>
      </c>
      <c r="K95" s="220" t="inlineStr">
        <is>
          <t>Payments</t>
        </is>
      </c>
      <c r="L95" s="251" t="n"/>
      <c r="M95" s="252" t="inlineStr">
        <is>
          <t>Australia</t>
        </is>
      </c>
      <c r="N95" t="inlineStr">
        <is>
          <t>Ampol Retail</t>
        </is>
      </c>
      <c r="O95" t="inlineStr">
        <is>
          <t>Store Operations</t>
        </is>
      </c>
      <c r="P95" t="inlineStr">
        <is>
          <t>Payments</t>
        </is>
      </c>
      <c r="Q95" t="inlineStr">
        <is>
          <t>Squad</t>
        </is>
      </c>
      <c r="R95" t="inlineStr">
        <is>
          <t>Filled</t>
        </is>
      </c>
    </row>
    <row r="96" ht="18" customHeight="1" s="849">
      <c r="A96" s="250" t="n">
        <v>99999101804</v>
      </c>
      <c r="B96" s="260" t="inlineStr">
        <is>
          <t>Kate Johnstone</t>
        </is>
      </c>
      <c r="C96" s="251" t="inlineStr">
        <is>
          <t>Program Manager POS</t>
        </is>
      </c>
      <c r="D96" s="220" t="inlineStr">
        <is>
          <t>Vance Anderson</t>
        </is>
      </c>
      <c r="E96" s="251" t="inlineStr">
        <is>
          <t>GM TDD, Ampol Retail &amp; Z</t>
        </is>
      </c>
      <c r="F96" s="220" t="inlineStr">
        <is>
          <t>Ampol Retail &amp; Z</t>
        </is>
      </c>
      <c r="G96" s="251" t="inlineStr">
        <is>
          <t>Program Management</t>
        </is>
      </c>
      <c r="H96" s="220" t="n"/>
      <c r="I96" s="220" t="inlineStr">
        <is>
          <t>Retail</t>
        </is>
      </c>
      <c r="J96" s="251" t="inlineStr">
        <is>
          <t>AMPOS</t>
        </is>
      </c>
      <c r="K96" s="251" t="inlineStr">
        <is>
          <t>AmPos</t>
        </is>
      </c>
      <c r="L96" s="251" t="n"/>
      <c r="M96" s="252" t="inlineStr">
        <is>
          <t>NZ</t>
        </is>
      </c>
      <c r="N96" t="inlineStr">
        <is>
          <t>Ampol Retail</t>
        </is>
      </c>
      <c r="O96" t="inlineStr">
        <is>
          <t>AmPOS</t>
        </is>
      </c>
      <c r="P96" t="inlineStr">
        <is>
          <t>AmPOS</t>
        </is>
      </c>
      <c r="Q96" t="inlineStr">
        <is>
          <t>Strategic Program</t>
        </is>
      </c>
      <c r="R96" t="inlineStr">
        <is>
          <t>Filled</t>
        </is>
      </c>
    </row>
    <row r="97" ht="18" customHeight="1" s="849">
      <c r="A97" s="250" t="n">
        <v>110852</v>
      </c>
      <c r="B97" s="220" t="inlineStr">
        <is>
          <t>Madan Murthy</t>
        </is>
      </c>
      <c r="C97" s="220" t="inlineStr">
        <is>
          <t>Head of Technology, AU Retail</t>
        </is>
      </c>
      <c r="D97" s="220" t="inlineStr">
        <is>
          <t>Vance Anderson</t>
        </is>
      </c>
      <c r="E97" s="251" t="inlineStr">
        <is>
          <t>GM TDD, Ampol Retail &amp; Z</t>
        </is>
      </c>
      <c r="F97" s="220" t="inlineStr">
        <is>
          <t>Ampol Retail &amp; Z</t>
        </is>
      </c>
      <c r="G97" s="251" t="inlineStr">
        <is>
          <t>Ampol Retail</t>
        </is>
      </c>
      <c r="H97" s="220" t="inlineStr">
        <is>
          <t>na</t>
        </is>
      </c>
      <c r="I97" s="220" t="inlineStr">
        <is>
          <t>Retail</t>
        </is>
      </c>
      <c r="J97" s="220" t="inlineStr">
        <is>
          <t>(All Retail)</t>
        </is>
      </c>
      <c r="K97" s="220" t="inlineStr">
        <is>
          <t>Leadership</t>
        </is>
      </c>
      <c r="L97" s="251" t="n"/>
      <c r="M97" s="252" t="inlineStr">
        <is>
          <t>Australia</t>
        </is>
      </c>
      <c r="N97" t="inlineStr">
        <is>
          <t>Ampol Retail</t>
        </is>
      </c>
      <c r="O97" t="inlineStr">
        <is>
          <t>Leadership</t>
        </is>
      </c>
      <c r="P97" t="inlineStr">
        <is>
          <t>Leadership</t>
        </is>
      </c>
      <c r="Q97" t="inlineStr">
        <is>
          <t>Leadership</t>
        </is>
      </c>
      <c r="R97" t="inlineStr">
        <is>
          <t>Filled</t>
        </is>
      </c>
    </row>
    <row r="98" ht="18" customHeight="1" s="849">
      <c r="A98" s="250" t="n"/>
      <c r="B98" s="220" t="inlineStr">
        <is>
          <t>Vacant</t>
        </is>
      </c>
      <c r="C98" s="220" t="inlineStr">
        <is>
          <t>Head of Technology, Z and Group Retail Platforms</t>
        </is>
      </c>
      <c r="D98" s="220" t="inlineStr">
        <is>
          <t>Vance Anderson</t>
        </is>
      </c>
      <c r="E98" s="251" t="inlineStr">
        <is>
          <t>GM TDD, Ampol Retail &amp; Z</t>
        </is>
      </c>
      <c r="F98" s="220" t="inlineStr">
        <is>
          <t>Ampol Retail &amp; Z</t>
        </is>
      </c>
      <c r="G98" s="251" t="inlineStr">
        <is>
          <t>Z &amp; Group Retail</t>
        </is>
      </c>
      <c r="H98" s="220" t="inlineStr">
        <is>
          <t>Delivery, Commercial Fuels</t>
        </is>
      </c>
      <c r="I98" s="220" t="inlineStr">
        <is>
          <t>Z</t>
        </is>
      </c>
      <c r="J98" s="220" t="inlineStr">
        <is>
          <t>Z Customer &amp; Z Supply</t>
        </is>
      </c>
      <c r="K98" s="251" t="inlineStr">
        <is>
          <t>Leadership</t>
        </is>
      </c>
      <c r="L98" s="251" t="n"/>
      <c r="M98" s="252" t="n"/>
      <c r="N98" t="inlineStr">
        <is>
          <t>Z Retail</t>
        </is>
      </c>
      <c r="O98" t="inlineStr">
        <is>
          <t>Leadership</t>
        </is>
      </c>
      <c r="P98" t="inlineStr">
        <is>
          <t>Leadership</t>
        </is>
      </c>
      <c r="Q98" t="inlineStr">
        <is>
          <t>Leadership</t>
        </is>
      </c>
      <c r="R98" t="inlineStr">
        <is>
          <t>Vacant</t>
        </is>
      </c>
    </row>
    <row r="99" ht="18" customHeight="1" s="849">
      <c r="A99" s="250" t="n">
        <v>0</v>
      </c>
      <c r="B99" s="220" t="inlineStr">
        <is>
          <t>Alex Prakhiy</t>
        </is>
      </c>
      <c r="C99" s="220" t="inlineStr">
        <is>
          <t>Business Analyst</t>
        </is>
      </c>
      <c r="D99" s="220" t="inlineStr">
        <is>
          <t>Vanessa Allen</t>
        </is>
      </c>
      <c r="E99" s="220" t="inlineStr">
        <is>
          <t>Delivery Manager, Ampol Retail</t>
        </is>
      </c>
      <c r="F99" s="220" t="inlineStr">
        <is>
          <t>Ampol Retail &amp; Z</t>
        </is>
      </c>
      <c r="G99" s="251" t="inlineStr">
        <is>
          <t>Ampol Retail</t>
        </is>
      </c>
      <c r="H99" s="220" t="inlineStr">
        <is>
          <t>Ampol Retail, Delivery</t>
        </is>
      </c>
      <c r="I99" s="220" t="inlineStr">
        <is>
          <t>EGI Integration</t>
        </is>
      </c>
      <c r="J99" s="251" t="inlineStr">
        <is>
          <t>EGI</t>
        </is>
      </c>
      <c r="K99" s="220" t="inlineStr">
        <is>
          <t>EGI Retail</t>
        </is>
      </c>
      <c r="L99" s="251" t="n"/>
      <c r="M99" s="252" t="n">
        <v>0</v>
      </c>
      <c r="N99" t="inlineStr">
        <is>
          <t>Ampol Retail</t>
        </is>
      </c>
      <c r="O99" t="inlineStr">
        <is>
          <t>EGI Retail</t>
        </is>
      </c>
      <c r="P99" t="inlineStr">
        <is>
          <t>EGI Retail</t>
        </is>
      </c>
      <c r="Q99" t="inlineStr">
        <is>
          <t>Strategic Program</t>
        </is>
      </c>
      <c r="R99" t="inlineStr">
        <is>
          <t>Filled</t>
        </is>
      </c>
    </row>
    <row r="100" ht="18" customHeight="1" s="849">
      <c r="A100" s="250" t="n">
        <v>0</v>
      </c>
      <c r="B100" s="220" t="inlineStr">
        <is>
          <t>Bhaskar Nandi</t>
        </is>
      </c>
      <c r="C100" s="220" t="inlineStr">
        <is>
          <t>Business Analyst</t>
        </is>
      </c>
      <c r="D100" s="220" t="inlineStr">
        <is>
          <t>Vanessa Allen</t>
        </is>
      </c>
      <c r="E100" s="220" t="inlineStr">
        <is>
          <t>Delivery Manager, Ampol Retail</t>
        </is>
      </c>
      <c r="F100" s="220" t="inlineStr">
        <is>
          <t>Ampol Retail &amp; Z</t>
        </is>
      </c>
      <c r="G100" s="251" t="inlineStr">
        <is>
          <t>Ampol Retail</t>
        </is>
      </c>
      <c r="H100" s="220" t="inlineStr">
        <is>
          <t>Ampol Retail, Delivery</t>
        </is>
      </c>
      <c r="I100" s="220" t="inlineStr">
        <is>
          <t>EGI Integration</t>
        </is>
      </c>
      <c r="J100" s="251" t="inlineStr">
        <is>
          <t>EGI</t>
        </is>
      </c>
      <c r="K100" s="220" t="inlineStr">
        <is>
          <t>EGI Retail</t>
        </is>
      </c>
      <c r="L100" s="251" t="n"/>
      <c r="M100" s="252" t="n">
        <v>0</v>
      </c>
      <c r="N100" t="inlineStr">
        <is>
          <t>Ampol Retail</t>
        </is>
      </c>
      <c r="O100" t="inlineStr">
        <is>
          <t>EGI Retail</t>
        </is>
      </c>
      <c r="P100" t="inlineStr">
        <is>
          <t>EGI Retail</t>
        </is>
      </c>
      <c r="Q100" t="inlineStr">
        <is>
          <t>Strategic Program</t>
        </is>
      </c>
      <c r="R100" t="inlineStr">
        <is>
          <t>Filled</t>
        </is>
      </c>
    </row>
    <row r="101" ht="18" customHeight="1" s="849">
      <c r="A101" s="250" t="n"/>
      <c r="B101" s="220" t="inlineStr">
        <is>
          <t>Vacant</t>
        </is>
      </c>
      <c r="C101" s="220" t="inlineStr">
        <is>
          <t>Delivery Lead</t>
        </is>
      </c>
      <c r="D101" s="220" t="inlineStr">
        <is>
          <t>Vanessa Allen</t>
        </is>
      </c>
      <c r="E101" s="220" t="inlineStr">
        <is>
          <t>Delivery Manager, Ampol Retail</t>
        </is>
      </c>
      <c r="F101" s="220" t="inlineStr">
        <is>
          <t>Ampol Retail &amp; Z</t>
        </is>
      </c>
      <c r="G101" s="251" t="inlineStr">
        <is>
          <t>Ampol Retail</t>
        </is>
      </c>
      <c r="H101" s="220" t="inlineStr">
        <is>
          <t>Ampol Retail, Delivery</t>
        </is>
      </c>
      <c r="I101" s="220" t="inlineStr">
        <is>
          <t>Retail</t>
        </is>
      </c>
      <c r="J101" s="265" t="inlineStr">
        <is>
          <t>Above Store</t>
        </is>
      </c>
      <c r="K101" s="265" t="inlineStr">
        <is>
          <t>Above Store</t>
        </is>
      </c>
      <c r="L101" s="251" t="n"/>
      <c r="M101" s="252" t="n"/>
      <c r="N101" s="253" t="inlineStr">
        <is>
          <t>Ampol Retail</t>
        </is>
      </c>
      <c r="O101" t="inlineStr">
        <is>
          <t>Above Store</t>
        </is>
      </c>
      <c r="P101" t="inlineStr">
        <is>
          <t>Above Store</t>
        </is>
      </c>
      <c r="Q101" t="inlineStr">
        <is>
          <t>Squad</t>
        </is>
      </c>
      <c r="R101" t="inlineStr">
        <is>
          <t>Vacant</t>
        </is>
      </c>
    </row>
    <row r="102" ht="18" customHeight="1" s="849">
      <c r="A102" s="250" t="n">
        <v>110704</v>
      </c>
      <c r="B102" s="220" t="inlineStr">
        <is>
          <t>Irfan Zavahir</t>
        </is>
      </c>
      <c r="C102" s="220" t="inlineStr">
        <is>
          <t>Delivery Lead</t>
        </is>
      </c>
      <c r="D102" s="220" t="inlineStr">
        <is>
          <t>Vanessa Allen</t>
        </is>
      </c>
      <c r="E102" s="220" t="inlineStr">
        <is>
          <t>Delivery Manager, Ampol Retail</t>
        </is>
      </c>
      <c r="F102" s="220" t="inlineStr">
        <is>
          <t>Ampol Retail &amp; Z</t>
        </is>
      </c>
      <c r="G102" s="251" t="inlineStr">
        <is>
          <t>Ampol Retail</t>
        </is>
      </c>
      <c r="H102" s="220" t="inlineStr">
        <is>
          <t>Ampol Retail, Delivery</t>
        </is>
      </c>
      <c r="I102" s="220" t="inlineStr">
        <is>
          <t>Retail</t>
        </is>
      </c>
      <c r="J102" s="251" t="inlineStr">
        <is>
          <t>AMPOS</t>
        </is>
      </c>
      <c r="K102" s="220" t="inlineStr">
        <is>
          <t>Ampos</t>
        </is>
      </c>
      <c r="L102" s="251" t="n"/>
      <c r="M102" s="252" t="inlineStr">
        <is>
          <t>Australia</t>
        </is>
      </c>
      <c r="N102" t="inlineStr">
        <is>
          <t>Ampol Retail</t>
        </is>
      </c>
      <c r="O102" t="inlineStr">
        <is>
          <t>AmPOS</t>
        </is>
      </c>
      <c r="P102" t="inlineStr">
        <is>
          <t>AmPOS</t>
        </is>
      </c>
      <c r="Q102" t="inlineStr">
        <is>
          <t>Strategic Program</t>
        </is>
      </c>
      <c r="R102" t="inlineStr">
        <is>
          <t>Filled</t>
        </is>
      </c>
    </row>
    <row r="103" ht="18" customFormat="1" customHeight="1" s="269">
      <c r="A103" s="250" t="n"/>
      <c r="B103" s="220" t="inlineStr">
        <is>
          <t>Vacant</t>
        </is>
      </c>
      <c r="C103" s="220" t="inlineStr">
        <is>
          <t>Business Analyst</t>
        </is>
      </c>
      <c r="D103" s="220" t="inlineStr">
        <is>
          <t>Vanessa Allen</t>
        </is>
      </c>
      <c r="E103" s="220" t="inlineStr">
        <is>
          <t>Delivery Manager, Ampol Retail</t>
        </is>
      </c>
      <c r="F103" s="220" t="inlineStr">
        <is>
          <t>Ampol Retail &amp; Z</t>
        </is>
      </c>
      <c r="G103" s="251" t="inlineStr">
        <is>
          <t>Ampol Retail</t>
        </is>
      </c>
      <c r="H103" s="220" t="inlineStr">
        <is>
          <t>Ampol Retail, Delivery</t>
        </is>
      </c>
      <c r="I103" s="220" t="inlineStr">
        <is>
          <t>Retail</t>
        </is>
      </c>
      <c r="J103" s="265" t="inlineStr">
        <is>
          <t>Above Store</t>
        </is>
      </c>
      <c r="K103" s="265" t="inlineStr">
        <is>
          <t>Above Store</t>
        </is>
      </c>
      <c r="L103" s="251" t="n"/>
      <c r="M103" s="252" t="n"/>
      <c r="N103" s="269" t="inlineStr">
        <is>
          <t>Ampol Retail</t>
        </is>
      </c>
      <c r="O103" t="inlineStr">
        <is>
          <t>Above Store</t>
        </is>
      </c>
      <c r="P103" t="inlineStr">
        <is>
          <t>Above Store</t>
        </is>
      </c>
      <c r="Q103" t="inlineStr">
        <is>
          <t>Squad</t>
        </is>
      </c>
      <c r="R103" t="inlineStr">
        <is>
          <t>Vacant</t>
        </is>
      </c>
    </row>
    <row r="104" ht="18" customFormat="1" customHeight="1" s="272">
      <c r="A104" s="270" t="n"/>
      <c r="B104" s="265" t="inlineStr">
        <is>
          <t>Vacant</t>
        </is>
      </c>
      <c r="C104" s="265" t="inlineStr">
        <is>
          <t>Business Analyst</t>
        </is>
      </c>
      <c r="D104" s="265" t="inlineStr">
        <is>
          <t>Vanessa Allen</t>
        </is>
      </c>
      <c r="E104" s="265" t="inlineStr">
        <is>
          <t>Delivery Manager, Ampol Retail</t>
        </is>
      </c>
      <c r="F104" s="265" t="inlineStr">
        <is>
          <t>Ampol Retail &amp; Z</t>
        </is>
      </c>
      <c r="G104" s="267" t="inlineStr">
        <is>
          <t>Ampol Retail</t>
        </is>
      </c>
      <c r="H104" s="265" t="inlineStr">
        <is>
          <t>Ampol Retail, Delivery</t>
        </is>
      </c>
      <c r="I104" s="265" t="inlineStr">
        <is>
          <t>Retail</t>
        </is>
      </c>
      <c r="J104" s="265" t="inlineStr">
        <is>
          <t>Above Store</t>
        </is>
      </c>
      <c r="K104" s="265" t="inlineStr">
        <is>
          <t>Above Store</t>
        </is>
      </c>
      <c r="L104" s="267" t="n"/>
      <c r="M104" s="271" t="n"/>
      <c r="N104" t="inlineStr">
        <is>
          <t>Ampol Retail</t>
        </is>
      </c>
      <c r="O104" t="inlineStr">
        <is>
          <t>Above Store</t>
        </is>
      </c>
      <c r="P104" t="inlineStr">
        <is>
          <t>Above Store</t>
        </is>
      </c>
      <c r="Q104" t="inlineStr">
        <is>
          <t>Squad</t>
        </is>
      </c>
      <c r="R104" t="inlineStr">
        <is>
          <t>Vacant</t>
        </is>
      </c>
    </row>
    <row r="105" ht="18" customHeight="1" s="849">
      <c r="A105" s="250" t="n">
        <v>97784</v>
      </c>
      <c r="B105" s="220" t="inlineStr">
        <is>
          <t>Balaji Murugan</t>
        </is>
      </c>
      <c r="C105" s="220" t="inlineStr">
        <is>
          <t>Delivery Lead</t>
        </is>
      </c>
      <c r="D105" s="220" t="inlineStr">
        <is>
          <t>Vanessa Allen</t>
        </is>
      </c>
      <c r="E105" s="220" t="inlineStr">
        <is>
          <t>Delivery Manager, Ampol Retail</t>
        </is>
      </c>
      <c r="F105" s="220" t="inlineStr">
        <is>
          <t>Ampol Retail &amp; Z</t>
        </is>
      </c>
      <c r="G105" s="251" t="inlineStr">
        <is>
          <t>Ampol Retail</t>
        </is>
      </c>
      <c r="H105" s="220" t="inlineStr">
        <is>
          <t>Ampol Retail, Delivery</t>
        </is>
      </c>
      <c r="I105" s="220" t="inlineStr">
        <is>
          <t>Retail</t>
        </is>
      </c>
      <c r="J105" s="251" t="inlineStr">
        <is>
          <t>AMPOS</t>
        </is>
      </c>
      <c r="K105" s="220" t="inlineStr">
        <is>
          <t>Ampos</t>
        </is>
      </c>
      <c r="L105" s="251" t="n"/>
      <c r="M105" s="252" t="inlineStr">
        <is>
          <t>Australia</t>
        </is>
      </c>
      <c r="N105" t="inlineStr">
        <is>
          <t>Ampol Retail</t>
        </is>
      </c>
      <c r="O105" t="inlineStr">
        <is>
          <t>AmPOS</t>
        </is>
      </c>
      <c r="P105" t="inlineStr">
        <is>
          <t>AmPOS</t>
        </is>
      </c>
      <c r="Q105" t="inlineStr">
        <is>
          <t>Strategic Program</t>
        </is>
      </c>
      <c r="R105" t="inlineStr">
        <is>
          <t>Filled</t>
        </is>
      </c>
    </row>
    <row r="106" ht="18" customHeight="1" s="849">
      <c r="A106" s="250" t="n"/>
      <c r="B106" s="220" t="inlineStr">
        <is>
          <t>Vacant</t>
        </is>
      </c>
      <c r="C106" s="220" t="inlineStr">
        <is>
          <t>Business Analyst</t>
        </is>
      </c>
      <c r="D106" s="220" t="inlineStr">
        <is>
          <t>Vanessa Allen</t>
        </is>
      </c>
      <c r="E106" s="220" t="inlineStr">
        <is>
          <t>Delivery Manager, Ampol Retail</t>
        </is>
      </c>
      <c r="F106" s="220" t="inlineStr">
        <is>
          <t>Ampol Retail &amp; Z</t>
        </is>
      </c>
      <c r="G106" s="251" t="inlineStr">
        <is>
          <t>Ampol Retail</t>
        </is>
      </c>
      <c r="H106" s="220" t="inlineStr">
        <is>
          <t>Ampol Retail, Delivery</t>
        </is>
      </c>
      <c r="I106" s="220" t="inlineStr">
        <is>
          <t>Retail</t>
        </is>
      </c>
      <c r="J106" s="251" t="inlineStr">
        <is>
          <t>Network/QSR</t>
        </is>
      </c>
      <c r="K106" s="220" t="inlineStr">
        <is>
          <t>Network &amp; QSR</t>
        </is>
      </c>
      <c r="L106" s="251" t="n"/>
      <c r="M106" s="252" t="n"/>
      <c r="N106" t="inlineStr">
        <is>
          <t>Ampol Retail</t>
        </is>
      </c>
      <c r="O106" t="inlineStr">
        <is>
          <t>Network / QSR</t>
        </is>
      </c>
      <c r="P106" t="inlineStr">
        <is>
          <t>Network / QSR</t>
        </is>
      </c>
      <c r="Q106" t="inlineStr">
        <is>
          <t>Squad</t>
        </is>
      </c>
      <c r="R106" t="inlineStr">
        <is>
          <t>Vacant</t>
        </is>
      </c>
    </row>
    <row r="107" ht="18" customHeight="1" s="849">
      <c r="A107" s="250" t="n"/>
      <c r="B107" s="220" t="inlineStr">
        <is>
          <t>Vacant</t>
        </is>
      </c>
      <c r="C107" s="220" t="inlineStr">
        <is>
          <t>Business Analyst</t>
        </is>
      </c>
      <c r="D107" s="220" t="inlineStr">
        <is>
          <t>Vanessa Allen</t>
        </is>
      </c>
      <c r="E107" s="220" t="inlineStr">
        <is>
          <t>Delivery Manager, Ampol Retail</t>
        </is>
      </c>
      <c r="F107" s="220" t="inlineStr">
        <is>
          <t>Ampol Retail &amp; Z</t>
        </is>
      </c>
      <c r="G107" s="251" t="inlineStr">
        <is>
          <t>Ampol Retail</t>
        </is>
      </c>
      <c r="H107" s="220" t="inlineStr">
        <is>
          <t>Ampol Retail, Delivery</t>
        </is>
      </c>
      <c r="I107" s="220" t="inlineStr">
        <is>
          <t>Retail</t>
        </is>
      </c>
      <c r="J107" s="265" t="inlineStr">
        <is>
          <t>Above Store</t>
        </is>
      </c>
      <c r="K107" s="265" t="inlineStr">
        <is>
          <t>Above Store</t>
        </is>
      </c>
      <c r="L107" s="251" t="n"/>
      <c r="M107" s="252" t="n"/>
      <c r="N107" t="inlineStr">
        <is>
          <t>Ampol Retail</t>
        </is>
      </c>
      <c r="O107" t="inlineStr">
        <is>
          <t>Above Store</t>
        </is>
      </c>
      <c r="P107" t="inlineStr">
        <is>
          <t>Above Store</t>
        </is>
      </c>
      <c r="Q107" t="inlineStr">
        <is>
          <t>Squad</t>
        </is>
      </c>
      <c r="R107" t="inlineStr">
        <is>
          <t>Vacant</t>
        </is>
      </c>
    </row>
    <row r="108" ht="18" customHeight="1" s="849">
      <c r="A108" s="250" t="n">
        <v>115831</v>
      </c>
      <c r="B108" s="220" t="inlineStr">
        <is>
          <t>Venkat Kedharanathan</t>
        </is>
      </c>
      <c r="C108" s="220" t="inlineStr">
        <is>
          <t>Senior Business Analyst</t>
        </is>
      </c>
      <c r="D108" s="220" t="inlineStr">
        <is>
          <t>Vanessa Allen</t>
        </is>
      </c>
      <c r="E108" s="220" t="inlineStr">
        <is>
          <t>Delivery Manager, Ampol Retail</t>
        </is>
      </c>
      <c r="F108" s="220" t="inlineStr">
        <is>
          <t>Ampol Retail &amp; Z</t>
        </is>
      </c>
      <c r="G108" s="251" t="inlineStr">
        <is>
          <t>Ampol Retail</t>
        </is>
      </c>
      <c r="H108" s="220" t="inlineStr">
        <is>
          <t>Ampol Retail, Delivery</t>
        </is>
      </c>
      <c r="I108" s="220" t="inlineStr">
        <is>
          <t>Retail</t>
        </is>
      </c>
      <c r="J108" s="251" t="inlineStr">
        <is>
          <t>Store Operations</t>
        </is>
      </c>
      <c r="K108" s="220" t="inlineStr">
        <is>
          <t>Payments</t>
        </is>
      </c>
      <c r="L108" s="251" t="n"/>
      <c r="M108" s="252" t="inlineStr">
        <is>
          <t>Australia</t>
        </is>
      </c>
      <c r="N108" t="inlineStr">
        <is>
          <t>Ampol Retail</t>
        </is>
      </c>
      <c r="O108" t="inlineStr">
        <is>
          <t>Store Operations</t>
        </is>
      </c>
      <c r="P108" t="inlineStr">
        <is>
          <t>Payments</t>
        </is>
      </c>
      <c r="Q108" t="inlineStr">
        <is>
          <t>Squad</t>
        </is>
      </c>
      <c r="R108" t="inlineStr">
        <is>
          <t>Filled</t>
        </is>
      </c>
    </row>
    <row r="109" ht="18" customHeight="1" s="849">
      <c r="A109" s="250" t="n">
        <v>98158</v>
      </c>
      <c r="B109" s="220" t="inlineStr">
        <is>
          <t>Vanessa Trujillo Munoz</t>
        </is>
      </c>
      <c r="C109" s="220" t="inlineStr">
        <is>
          <t>Delivery Lead</t>
        </is>
      </c>
      <c r="D109" s="220" t="inlineStr">
        <is>
          <t>Vanessa Allen</t>
        </is>
      </c>
      <c r="E109" s="220" t="inlineStr">
        <is>
          <t>Delivery Manager, Ampol Retail</t>
        </is>
      </c>
      <c r="F109" s="220" t="inlineStr">
        <is>
          <t>Ampol Retail &amp; Z</t>
        </is>
      </c>
      <c r="G109" s="251" t="inlineStr">
        <is>
          <t>Ampol Retail</t>
        </is>
      </c>
      <c r="H109" s="220" t="inlineStr">
        <is>
          <t>Ampol Retail, Delivery</t>
        </is>
      </c>
      <c r="I109" s="220" t="inlineStr">
        <is>
          <t>Retail</t>
        </is>
      </c>
      <c r="J109" s="251" t="inlineStr">
        <is>
          <t>Network/QSR</t>
        </is>
      </c>
      <c r="K109" s="220" t="inlineStr">
        <is>
          <t>Network &amp; QSR</t>
        </is>
      </c>
      <c r="L109" s="251" t="n"/>
      <c r="M109" s="252" t="inlineStr">
        <is>
          <t>Australia</t>
        </is>
      </c>
      <c r="N109" t="inlineStr">
        <is>
          <t>Ampol Retail</t>
        </is>
      </c>
      <c r="O109" t="inlineStr">
        <is>
          <t>Network / QSR</t>
        </is>
      </c>
      <c r="P109" t="inlineStr">
        <is>
          <t>Network / QSR</t>
        </is>
      </c>
      <c r="Q109" t="inlineStr">
        <is>
          <t>Squad</t>
        </is>
      </c>
      <c r="R109" t="inlineStr">
        <is>
          <t>Filled</t>
        </is>
      </c>
    </row>
    <row r="110" ht="18" customHeight="1" s="849">
      <c r="A110" s="250" t="n">
        <v>114616</v>
      </c>
      <c r="B110" s="220" t="inlineStr">
        <is>
          <t>Marty O'Shea</t>
        </is>
      </c>
      <c r="C110" s="220" t="inlineStr">
        <is>
          <t>Systems Analyst</t>
        </is>
      </c>
      <c r="D110" s="220" t="inlineStr">
        <is>
          <t>Vedran Jukic</t>
        </is>
      </c>
      <c r="E110" s="220" t="inlineStr">
        <is>
          <t>Technology Manager, Retail</t>
        </is>
      </c>
      <c r="F110" s="220" t="inlineStr">
        <is>
          <t>Ampol Retail &amp; Z</t>
        </is>
      </c>
      <c r="G110" s="251" t="inlineStr">
        <is>
          <t>Ampol Retail</t>
        </is>
      </c>
      <c r="H110" s="220" t="inlineStr">
        <is>
          <t>Ampol Retail, Technology</t>
        </is>
      </c>
      <c r="I110" s="220" t="inlineStr">
        <is>
          <t>Retail</t>
        </is>
      </c>
      <c r="J110" s="251" t="inlineStr">
        <is>
          <t>Network/QSR</t>
        </is>
      </c>
      <c r="K110" s="220" t="inlineStr">
        <is>
          <t>Network &amp; QSR</t>
        </is>
      </c>
      <c r="L110" s="251" t="n"/>
      <c r="M110" s="252" t="inlineStr">
        <is>
          <t>Australia</t>
        </is>
      </c>
      <c r="N110" t="inlineStr">
        <is>
          <t>Ampol Retail</t>
        </is>
      </c>
      <c r="O110" t="inlineStr">
        <is>
          <t>Network / QSR</t>
        </is>
      </c>
      <c r="P110" t="inlineStr">
        <is>
          <t>Network / QSR</t>
        </is>
      </c>
      <c r="Q110" t="inlineStr">
        <is>
          <t>Squad</t>
        </is>
      </c>
      <c r="R110" t="inlineStr">
        <is>
          <t>Filled</t>
        </is>
      </c>
    </row>
    <row r="111" ht="18" customHeight="1" s="849">
      <c r="A111" s="250" t="n">
        <v>110197</v>
      </c>
      <c r="B111" s="220" t="inlineStr">
        <is>
          <t>Anthony Dumbrell</t>
        </is>
      </c>
      <c r="C111" s="220" t="inlineStr">
        <is>
          <t>Technology &amp; Lab Specialist Stores</t>
        </is>
      </c>
      <c r="D111" s="220" t="inlineStr">
        <is>
          <t>Vedran Jukic</t>
        </is>
      </c>
      <c r="E111" s="220" t="inlineStr">
        <is>
          <t>Technology Manager, Retail</t>
        </is>
      </c>
      <c r="F111" s="220" t="inlineStr">
        <is>
          <t>Ampol Retail &amp; Z</t>
        </is>
      </c>
      <c r="G111" s="251" t="inlineStr">
        <is>
          <t>Ampol Retail</t>
        </is>
      </c>
      <c r="H111" s="220" t="inlineStr">
        <is>
          <t>Ampol Retail, Technology</t>
        </is>
      </c>
      <c r="I111" s="220" t="inlineStr">
        <is>
          <t>Retail</t>
        </is>
      </c>
      <c r="J111" s="251" t="inlineStr">
        <is>
          <t>Store Operations</t>
        </is>
      </c>
      <c r="K111" s="220" t="inlineStr">
        <is>
          <t xml:space="preserve">Deployment </t>
        </is>
      </c>
      <c r="L111" s="251" t="n"/>
      <c r="M111" s="252" t="inlineStr">
        <is>
          <t>Australia</t>
        </is>
      </c>
      <c r="N111" t="inlineStr">
        <is>
          <t>Ampol Retail</t>
        </is>
      </c>
      <c r="O111" t="inlineStr">
        <is>
          <t>Store Operations</t>
        </is>
      </c>
      <c r="P111" t="inlineStr">
        <is>
          <t>Deployment</t>
        </is>
      </c>
      <c r="Q111" t="inlineStr">
        <is>
          <t>Squad</t>
        </is>
      </c>
      <c r="R111" t="inlineStr">
        <is>
          <t>Filled</t>
        </is>
      </c>
    </row>
    <row r="112" ht="18" customHeight="1" s="849">
      <c r="A112" s="250" t="n">
        <v>107164</v>
      </c>
      <c r="B112" s="220" t="inlineStr">
        <is>
          <t>Santiago Hernandez Arevalo</t>
        </is>
      </c>
      <c r="C112" s="220" t="inlineStr">
        <is>
          <t>Systems Analyst</t>
        </is>
      </c>
      <c r="D112" s="220" t="inlineStr">
        <is>
          <t>Vedran Jukic</t>
        </is>
      </c>
      <c r="E112" s="220" t="inlineStr">
        <is>
          <t>Technology Manager, Retail</t>
        </is>
      </c>
      <c r="F112" s="220" t="inlineStr">
        <is>
          <t>Ampol Retail &amp; Z</t>
        </is>
      </c>
      <c r="G112" s="251" t="inlineStr">
        <is>
          <t>Ampol Retail</t>
        </is>
      </c>
      <c r="H112" s="220" t="inlineStr">
        <is>
          <t>Ampol Retail, Store Platforms</t>
        </is>
      </c>
      <c r="I112" s="220" t="inlineStr">
        <is>
          <t>Retail</t>
        </is>
      </c>
      <c r="J112" s="251" t="inlineStr">
        <is>
          <t>Network/QSR</t>
        </is>
      </c>
      <c r="K112" s="220" t="inlineStr">
        <is>
          <t>Network &amp; QSR</t>
        </is>
      </c>
      <c r="L112" s="251" t="n"/>
      <c r="M112" s="252" t="inlineStr">
        <is>
          <t>Australia</t>
        </is>
      </c>
      <c r="N112" t="inlineStr">
        <is>
          <t>Ampol Retail</t>
        </is>
      </c>
      <c r="O112" t="inlineStr">
        <is>
          <t>Network / QSR</t>
        </is>
      </c>
      <c r="P112" t="inlineStr">
        <is>
          <t>Network / QSR</t>
        </is>
      </c>
      <c r="Q112" t="inlineStr">
        <is>
          <t>Squad</t>
        </is>
      </c>
      <c r="R112" t="inlineStr">
        <is>
          <t>Filled</t>
        </is>
      </c>
    </row>
    <row r="113" ht="18" customHeight="1" s="849">
      <c r="A113" s="250" t="n">
        <v>95286</v>
      </c>
      <c r="B113" s="220" t="inlineStr">
        <is>
          <t>Navneet Singh</t>
        </is>
      </c>
      <c r="C113" s="220" t="inlineStr">
        <is>
          <t>Solution Architect</t>
        </is>
      </c>
      <c r="D113" s="220" t="inlineStr">
        <is>
          <t>Vedran Jukic</t>
        </is>
      </c>
      <c r="E113" s="220" t="inlineStr">
        <is>
          <t>Technology Manager, Retail</t>
        </is>
      </c>
      <c r="F113" s="220" t="inlineStr">
        <is>
          <t>Ampol Retail &amp; Z</t>
        </is>
      </c>
      <c r="G113" s="251" t="inlineStr">
        <is>
          <t>Ampol Retail</t>
        </is>
      </c>
      <c r="H113" s="220" t="inlineStr">
        <is>
          <t>Ampol Retail, Technology</t>
        </is>
      </c>
      <c r="I113" s="220" t="inlineStr">
        <is>
          <t>EGI Integration</t>
        </is>
      </c>
      <c r="J113" s="251" t="inlineStr">
        <is>
          <t>EGI</t>
        </is>
      </c>
      <c r="K113" s="220" t="inlineStr">
        <is>
          <t>EGI Retail</t>
        </is>
      </c>
      <c r="L113" s="251" t="n"/>
      <c r="M113" s="252" t="inlineStr">
        <is>
          <t>Australia</t>
        </is>
      </c>
      <c r="N113" t="inlineStr">
        <is>
          <t>Ampol Retail</t>
        </is>
      </c>
      <c r="O113" t="inlineStr">
        <is>
          <t>EGI Retail</t>
        </is>
      </c>
      <c r="P113" t="inlineStr">
        <is>
          <t>EGI Retail</t>
        </is>
      </c>
      <c r="Q113" t="inlineStr">
        <is>
          <t>Strategic Program</t>
        </is>
      </c>
      <c r="R113" t="inlineStr">
        <is>
          <t>Filled</t>
        </is>
      </c>
    </row>
    <row r="114" ht="18" customHeight="1" s="849">
      <c r="A114" s="250" t="n"/>
      <c r="B114" s="220" t="inlineStr">
        <is>
          <t>Vacant</t>
        </is>
      </c>
      <c r="C114" s="220" t="inlineStr">
        <is>
          <t>Engineer - Integration</t>
        </is>
      </c>
      <c r="D114" s="220" t="inlineStr">
        <is>
          <t>Vedran Jukic</t>
        </is>
      </c>
      <c r="E114" s="220" t="inlineStr">
        <is>
          <t>Technology Manager, Retail</t>
        </is>
      </c>
      <c r="F114" s="220" t="inlineStr">
        <is>
          <t>Ampol Retail &amp; Z</t>
        </is>
      </c>
      <c r="G114" s="251" t="inlineStr">
        <is>
          <t>Ampol Retail</t>
        </is>
      </c>
      <c r="H114" s="220" t="inlineStr">
        <is>
          <t>Ampol Retail, Technology</t>
        </is>
      </c>
      <c r="I114" s="220" t="inlineStr">
        <is>
          <t>Retail</t>
        </is>
      </c>
      <c r="J114" s="251" t="inlineStr">
        <is>
          <t>Network/QSR</t>
        </is>
      </c>
      <c r="K114" s="220" t="inlineStr">
        <is>
          <t>Network &amp; QSR</t>
        </is>
      </c>
      <c r="L114" s="251" t="n"/>
      <c r="M114" s="252" t="n"/>
      <c r="N114" t="inlineStr">
        <is>
          <t>Ampol Retail</t>
        </is>
      </c>
      <c r="O114" t="inlineStr">
        <is>
          <t>Network / QSR</t>
        </is>
      </c>
      <c r="P114" t="inlineStr">
        <is>
          <t>Network / QSR</t>
        </is>
      </c>
      <c r="Q114" t="inlineStr">
        <is>
          <t>Squad</t>
        </is>
      </c>
      <c r="R114" t="inlineStr">
        <is>
          <t>Vacant</t>
        </is>
      </c>
    </row>
    <row r="115" ht="18" customHeight="1" s="849">
      <c r="A115" s="250" t="n">
        <v>113555</v>
      </c>
      <c r="B115" s="220" t="inlineStr">
        <is>
          <t>Jill Martin</t>
        </is>
      </c>
      <c r="C115" s="220" t="inlineStr">
        <is>
          <t>Delivery Manager</t>
        </is>
      </c>
      <c r="D115" s="220" t="inlineStr">
        <is>
          <t>Andy Stewart</t>
        </is>
      </c>
      <c r="E115" s="220" t="inlineStr">
        <is>
          <t>Head of Technology, Loyalty &amp; Martech</t>
        </is>
      </c>
      <c r="F115" s="220" t="inlineStr">
        <is>
          <t>Customer</t>
        </is>
      </c>
      <c r="G115" s="251" t="inlineStr">
        <is>
          <t>Loyalty &amp; Martech</t>
        </is>
      </c>
      <c r="H115" s="220" t="inlineStr">
        <is>
          <t xml:space="preserve">Loyalty, Delivery </t>
        </is>
      </c>
      <c r="I115" s="220" t="inlineStr">
        <is>
          <t>Customer</t>
        </is>
      </c>
      <c r="J115" s="220" t="inlineStr">
        <is>
          <t>Customer Z, Group Customer Platforms</t>
        </is>
      </c>
      <c r="K115" s="220" t="inlineStr">
        <is>
          <t>Leadership</t>
        </is>
      </c>
      <c r="L115" s="251" t="n"/>
      <c r="M115" s="252" t="n"/>
      <c r="N115" t="inlineStr">
        <is>
          <t>Customer</t>
        </is>
      </c>
      <c r="O115" t="inlineStr">
        <is>
          <t>Leadership</t>
        </is>
      </c>
      <c r="P115" t="inlineStr">
        <is>
          <t>Leadership</t>
        </is>
      </c>
      <c r="Q115" t="inlineStr">
        <is>
          <t>Leadership</t>
        </is>
      </c>
      <c r="R115" t="inlineStr">
        <is>
          <t>Filled</t>
        </is>
      </c>
    </row>
    <row r="116" ht="18" customHeight="1" s="849">
      <c r="A116" s="250" t="n">
        <v>99999102079</v>
      </c>
      <c r="B116" s="220" t="inlineStr">
        <is>
          <t>Sam Turnball</t>
        </is>
      </c>
      <c r="C116" s="220" t="inlineStr">
        <is>
          <t>Associate Experience Designer</t>
        </is>
      </c>
      <c r="D116" s="220" t="inlineStr">
        <is>
          <t>Byron Thornhill</t>
        </is>
      </c>
      <c r="E116" s="220" t="inlineStr">
        <is>
          <t>Design Manager</t>
        </is>
      </c>
      <c r="F116" s="220" t="inlineStr">
        <is>
          <t>Customer</t>
        </is>
      </c>
      <c r="G116" s="251" t="inlineStr">
        <is>
          <t>Digital</t>
        </is>
      </c>
      <c r="H116" s="251" t="inlineStr">
        <is>
          <t>Digital, Design</t>
        </is>
      </c>
      <c r="I116" s="220" t="inlineStr">
        <is>
          <t>Customer</t>
        </is>
      </c>
      <c r="J116" s="220" t="inlineStr">
        <is>
          <t>Customer Z</t>
        </is>
      </c>
      <c r="K116" s="220" t="inlineStr">
        <is>
          <t>Z Energy Apps</t>
        </is>
      </c>
      <c r="L116" s="251" t="n"/>
      <c r="M116" s="252" t="inlineStr">
        <is>
          <t>NZ</t>
        </is>
      </c>
      <c r="N116" t="inlineStr">
        <is>
          <t>Customer</t>
        </is>
      </c>
      <c r="O116" t="inlineStr">
        <is>
          <t>Customer Z</t>
        </is>
      </c>
      <c r="P116" t="inlineStr">
        <is>
          <t>Z Energy Apps</t>
        </is>
      </c>
      <c r="Q116" t="inlineStr">
        <is>
          <t>Squad</t>
        </is>
      </c>
      <c r="R116" t="inlineStr">
        <is>
          <t>Filled</t>
        </is>
      </c>
    </row>
    <row r="117" ht="18" customHeight="1" s="849">
      <c r="A117" s="250" t="n">
        <v>99999101676</v>
      </c>
      <c r="B117" s="220" t="inlineStr">
        <is>
          <t>Ants Jackson</t>
        </is>
      </c>
      <c r="C117" s="220" t="inlineStr">
        <is>
          <t>Experience Designer</t>
        </is>
      </c>
      <c r="D117" s="220" t="inlineStr">
        <is>
          <t>Byron Thornhill</t>
        </is>
      </c>
      <c r="E117" s="220" t="inlineStr">
        <is>
          <t>Design Manager</t>
        </is>
      </c>
      <c r="F117" s="220" t="inlineStr">
        <is>
          <t>Customer</t>
        </is>
      </c>
      <c r="G117" s="251" t="inlineStr">
        <is>
          <t>Digital</t>
        </is>
      </c>
      <c r="H117" s="251" t="inlineStr">
        <is>
          <t>Digital, Design</t>
        </is>
      </c>
      <c r="I117" s="220" t="inlineStr">
        <is>
          <t>Customer</t>
        </is>
      </c>
      <c r="J117" s="220" t="inlineStr">
        <is>
          <t>Customer Z</t>
        </is>
      </c>
      <c r="K117" s="220" t="inlineStr">
        <is>
          <t>Z Energy Apps</t>
        </is>
      </c>
      <c r="L117" s="251" t="n"/>
      <c r="M117" s="252" t="inlineStr">
        <is>
          <t>NZ</t>
        </is>
      </c>
      <c r="N117" t="inlineStr">
        <is>
          <t>Customer</t>
        </is>
      </c>
      <c r="O117" t="inlineStr">
        <is>
          <t>Customer Z</t>
        </is>
      </c>
      <c r="P117" t="inlineStr">
        <is>
          <t>Z Energy Apps</t>
        </is>
      </c>
      <c r="Q117" t="inlineStr">
        <is>
          <t>Squad</t>
        </is>
      </c>
      <c r="R117" t="inlineStr">
        <is>
          <t>Filled</t>
        </is>
      </c>
    </row>
    <row r="118" ht="18" customHeight="1" s="849">
      <c r="A118" s="250" t="n">
        <v>98015</v>
      </c>
      <c r="B118" s="220" t="inlineStr">
        <is>
          <t>Ethan Laffan</t>
        </is>
      </c>
      <c r="C118" s="220" t="inlineStr">
        <is>
          <t>Associate Experience Designer</t>
        </is>
      </c>
      <c r="D118" s="220" t="inlineStr">
        <is>
          <t>Byron Thornhill</t>
        </is>
      </c>
      <c r="E118" s="220" t="inlineStr">
        <is>
          <t>Design Manager</t>
        </is>
      </c>
      <c r="F118" s="220" t="inlineStr">
        <is>
          <t>Customer</t>
        </is>
      </c>
      <c r="G118" s="251" t="inlineStr">
        <is>
          <t>Digital</t>
        </is>
      </c>
      <c r="H118" s="251" t="inlineStr">
        <is>
          <t>Digital, Design</t>
        </is>
      </c>
      <c r="I118" s="220" t="inlineStr">
        <is>
          <t>Customer</t>
        </is>
      </c>
      <c r="J118" s="220" t="inlineStr">
        <is>
          <t>Ampol Digital</t>
        </is>
      </c>
      <c r="K118" s="220" t="inlineStr">
        <is>
          <t>Ampol App</t>
        </is>
      </c>
      <c r="L118" s="251" t="n"/>
      <c r="M118" s="252" t="inlineStr">
        <is>
          <t>Australia</t>
        </is>
      </c>
      <c r="N118" t="inlineStr">
        <is>
          <t>Customer</t>
        </is>
      </c>
      <c r="O118" t="inlineStr">
        <is>
          <t>Ampol Digital</t>
        </is>
      </c>
      <c r="P118" t="inlineStr">
        <is>
          <t>Ampol App</t>
        </is>
      </c>
      <c r="Q118" t="inlineStr">
        <is>
          <t>Squad</t>
        </is>
      </c>
      <c r="R118" t="inlineStr">
        <is>
          <t>Filled</t>
        </is>
      </c>
    </row>
    <row r="119" ht="18" customHeight="1" s="849">
      <c r="A119" s="250" t="n">
        <v>113463</v>
      </c>
      <c r="B119" s="220" t="inlineStr">
        <is>
          <t>Alisha Allport</t>
        </is>
      </c>
      <c r="C119" s="220" t="inlineStr">
        <is>
          <t>Principal Experience Designer</t>
        </is>
      </c>
      <c r="D119" s="220" t="inlineStr">
        <is>
          <t>Byron Thornhill</t>
        </is>
      </c>
      <c r="E119" s="220" t="inlineStr">
        <is>
          <t>Design Manager</t>
        </is>
      </c>
      <c r="F119" s="220" t="inlineStr">
        <is>
          <t>Customer</t>
        </is>
      </c>
      <c r="G119" s="251" t="inlineStr">
        <is>
          <t>Loyalty &amp; Martech</t>
        </is>
      </c>
      <c r="H119" s="251" t="inlineStr">
        <is>
          <t>Digital, Design</t>
        </is>
      </c>
      <c r="I119" s="251" t="inlineStr">
        <is>
          <t>Customer</t>
        </is>
      </c>
      <c r="J119" s="220" t="inlineStr">
        <is>
          <t>Ampol Digital</t>
        </is>
      </c>
      <c r="K119" s="220" t="inlineStr">
        <is>
          <t>Ampol App</t>
        </is>
      </c>
      <c r="L119" s="251" t="n"/>
      <c r="M119" s="252" t="inlineStr">
        <is>
          <t>Australia</t>
        </is>
      </c>
      <c r="N119" t="inlineStr">
        <is>
          <t>Customer</t>
        </is>
      </c>
      <c r="O119" t="inlineStr">
        <is>
          <t>Ampol Digital</t>
        </is>
      </c>
      <c r="P119" t="inlineStr">
        <is>
          <t>Ampol App</t>
        </is>
      </c>
      <c r="Q119" t="inlineStr">
        <is>
          <t>Squad</t>
        </is>
      </c>
      <c r="R119" t="inlineStr">
        <is>
          <t>Filled</t>
        </is>
      </c>
    </row>
    <row r="120" ht="18" customHeight="1" s="849">
      <c r="A120" s="250" t="n">
        <v>99999101757</v>
      </c>
      <c r="B120" s="220" t="inlineStr">
        <is>
          <t>Tim Corin</t>
        </is>
      </c>
      <c r="C120" s="220" t="inlineStr">
        <is>
          <t>Experience Designer</t>
        </is>
      </c>
      <c r="D120" s="220" t="inlineStr">
        <is>
          <t>Byron Thornhill</t>
        </is>
      </c>
      <c r="E120" s="220" t="inlineStr">
        <is>
          <t>Design Manager</t>
        </is>
      </c>
      <c r="F120" s="220" t="inlineStr">
        <is>
          <t>Customer</t>
        </is>
      </c>
      <c r="G120" s="251" t="inlineStr">
        <is>
          <t>Digital</t>
        </is>
      </c>
      <c r="H120" s="251" t="inlineStr">
        <is>
          <t>Ampol Retail, Store Platforms</t>
        </is>
      </c>
      <c r="I120" s="220" t="inlineStr">
        <is>
          <t>Customer</t>
        </is>
      </c>
      <c r="J120" s="220" t="inlineStr">
        <is>
          <t>Customer Z</t>
        </is>
      </c>
      <c r="K120" s="220" t="inlineStr">
        <is>
          <t>Z Energy Apps</t>
        </is>
      </c>
      <c r="L120" s="251" t="n"/>
      <c r="M120" s="252" t="inlineStr">
        <is>
          <t>NZ</t>
        </is>
      </c>
      <c r="N120" t="inlineStr">
        <is>
          <t>Customer</t>
        </is>
      </c>
      <c r="O120" t="inlineStr">
        <is>
          <t>Customer Z</t>
        </is>
      </c>
      <c r="P120" t="inlineStr">
        <is>
          <t>Z Energy Apps</t>
        </is>
      </c>
      <c r="Q120" t="inlineStr">
        <is>
          <t>Squad</t>
        </is>
      </c>
      <c r="R120" t="inlineStr">
        <is>
          <t>Filled</t>
        </is>
      </c>
    </row>
    <row r="121" ht="18" customHeight="1" s="849">
      <c r="A121" s="250" t="n">
        <v>116714</v>
      </c>
      <c r="B121" s="220" t="inlineStr">
        <is>
          <t>Maria Salman</t>
        </is>
      </c>
      <c r="C121" s="220" t="inlineStr">
        <is>
          <t>Experience Designer</t>
        </is>
      </c>
      <c r="D121" s="220" t="inlineStr">
        <is>
          <t>Byron Thornhill</t>
        </is>
      </c>
      <c r="E121" s="220" t="inlineStr">
        <is>
          <t>Design Manager</t>
        </is>
      </c>
      <c r="F121" s="220" t="inlineStr">
        <is>
          <t>Customer</t>
        </is>
      </c>
      <c r="G121" s="251" t="inlineStr">
        <is>
          <t>Digital</t>
        </is>
      </c>
      <c r="H121" s="251" t="inlineStr">
        <is>
          <t>Digital, Design</t>
        </is>
      </c>
      <c r="I121" s="251" t="inlineStr">
        <is>
          <t>Customer</t>
        </is>
      </c>
      <c r="J121" s="220" t="inlineStr">
        <is>
          <t>Ampol Digital</t>
        </is>
      </c>
      <c r="K121" s="220" t="inlineStr">
        <is>
          <t>Ampol App</t>
        </is>
      </c>
      <c r="L121" s="251" t="n"/>
      <c r="M121" s="252" t="inlineStr">
        <is>
          <t>Australia</t>
        </is>
      </c>
      <c r="N121" t="inlineStr">
        <is>
          <t>Customer</t>
        </is>
      </c>
      <c r="O121" t="inlineStr">
        <is>
          <t>Ampol Digital</t>
        </is>
      </c>
      <c r="P121" t="inlineStr">
        <is>
          <t>Ampol App</t>
        </is>
      </c>
      <c r="Q121" t="inlineStr">
        <is>
          <t>Squad</t>
        </is>
      </c>
      <c r="R121" t="inlineStr">
        <is>
          <t>Filled</t>
        </is>
      </c>
    </row>
    <row r="122" ht="18" customHeight="1" s="849">
      <c r="A122" s="250" t="n">
        <v>0</v>
      </c>
      <c r="B122" s="220" t="inlineStr">
        <is>
          <t>Adam Anticaglia</t>
        </is>
      </c>
      <c r="C122" s="220" t="inlineStr">
        <is>
          <t>Experience Designer (CMS)</t>
        </is>
      </c>
      <c r="D122" s="220" t="inlineStr">
        <is>
          <t>Byron Thornhill</t>
        </is>
      </c>
      <c r="E122" s="220" t="inlineStr">
        <is>
          <t>Design Manager</t>
        </is>
      </c>
      <c r="F122" s="220" t="inlineStr">
        <is>
          <t>Customer</t>
        </is>
      </c>
      <c r="G122" s="251" t="inlineStr">
        <is>
          <t>Digital</t>
        </is>
      </c>
      <c r="H122" s="251" t="inlineStr">
        <is>
          <t>Digital, Design</t>
        </is>
      </c>
      <c r="I122" s="220" t="inlineStr">
        <is>
          <t>Customer</t>
        </is>
      </c>
      <c r="J122" s="220" t="inlineStr">
        <is>
          <t>Ampol Digital</t>
        </is>
      </c>
      <c r="K122" s="220" t="inlineStr">
        <is>
          <t>Ampol Web</t>
        </is>
      </c>
      <c r="L122" s="251" t="n"/>
      <c r="M122" s="252" t="inlineStr">
        <is>
          <t>Australia</t>
        </is>
      </c>
      <c r="N122" t="inlineStr">
        <is>
          <t>Customer</t>
        </is>
      </c>
      <c r="O122" t="inlineStr">
        <is>
          <t>Ampol Digital</t>
        </is>
      </c>
      <c r="P122" t="inlineStr">
        <is>
          <t>Ampol Web</t>
        </is>
      </c>
      <c r="Q122" t="inlineStr">
        <is>
          <t>Squad</t>
        </is>
      </c>
      <c r="R122" t="inlineStr">
        <is>
          <t>Filled</t>
        </is>
      </c>
    </row>
    <row r="123" ht="18" customHeight="1" s="849">
      <c r="A123" s="250" t="n"/>
      <c r="B123" s="220" t="inlineStr">
        <is>
          <t>Vacant</t>
        </is>
      </c>
      <c r="C123" s="220" t="inlineStr">
        <is>
          <t>Program Manager</t>
        </is>
      </c>
      <c r="D123" s="220" t="inlineStr">
        <is>
          <t>Harley Giles</t>
        </is>
      </c>
      <c r="E123" s="220" t="inlineStr">
        <is>
          <t>GM TDD, Customer</t>
        </is>
      </c>
      <c r="F123" s="220" t="inlineStr">
        <is>
          <t>Customer</t>
        </is>
      </c>
      <c r="G123" s="251" t="inlineStr">
        <is>
          <t>Customer, PMO</t>
        </is>
      </c>
      <c r="H123" s="220" t="n"/>
      <c r="I123" s="220" t="inlineStr">
        <is>
          <t>Customer</t>
        </is>
      </c>
      <c r="J123" s="220" t="inlineStr">
        <is>
          <t>Ampol Digital, Group Customer Platforms</t>
        </is>
      </c>
      <c r="K123" s="220" t="inlineStr">
        <is>
          <t>Leadership</t>
        </is>
      </c>
      <c r="L123" s="251" t="n"/>
      <c r="M123" s="252" t="n"/>
      <c r="N123" t="inlineStr">
        <is>
          <t>Customer</t>
        </is>
      </c>
      <c r="O123" t="inlineStr">
        <is>
          <t>Leadership</t>
        </is>
      </c>
      <c r="P123" t="inlineStr">
        <is>
          <t>Leadership</t>
        </is>
      </c>
      <c r="Q123" t="inlineStr">
        <is>
          <t>Leadership</t>
        </is>
      </c>
      <c r="R123" t="inlineStr">
        <is>
          <t>Vacant</t>
        </is>
      </c>
    </row>
    <row r="124" ht="18" customHeight="1" s="849">
      <c r="A124" s="250" t="n">
        <v>99999101543</v>
      </c>
      <c r="B124" s="220" t="inlineStr">
        <is>
          <t>Shona Paul</t>
        </is>
      </c>
      <c r="C124" s="220" t="inlineStr">
        <is>
          <t>Head of Technology - Digital</t>
        </is>
      </c>
      <c r="D124" s="220" t="inlineStr">
        <is>
          <t>Harley Giles</t>
        </is>
      </c>
      <c r="E124" s="220" t="inlineStr">
        <is>
          <t>GM TDD, Customer</t>
        </is>
      </c>
      <c r="F124" s="220" t="inlineStr">
        <is>
          <t>Customer</t>
        </is>
      </c>
      <c r="G124" s="251" t="inlineStr">
        <is>
          <t>Digital</t>
        </is>
      </c>
      <c r="H124" s="220" t="n"/>
      <c r="I124" s="220" t="inlineStr">
        <is>
          <t>Customer</t>
        </is>
      </c>
      <c r="J124" s="220" t="inlineStr">
        <is>
          <t>(All Customer)</t>
        </is>
      </c>
      <c r="K124" s="220" t="inlineStr">
        <is>
          <t>Leadership</t>
        </is>
      </c>
      <c r="L124" s="251" t="n"/>
      <c r="M124" s="252" t="inlineStr">
        <is>
          <t>NZ</t>
        </is>
      </c>
      <c r="N124" t="inlineStr">
        <is>
          <t>Customer</t>
        </is>
      </c>
      <c r="O124" t="inlineStr">
        <is>
          <t>Leadership</t>
        </is>
      </c>
      <c r="P124" t="inlineStr">
        <is>
          <t>Leadership</t>
        </is>
      </c>
      <c r="Q124" t="inlineStr">
        <is>
          <t>Leadership</t>
        </is>
      </c>
      <c r="R124" t="inlineStr">
        <is>
          <t>Filled</t>
        </is>
      </c>
    </row>
    <row r="125" ht="18" customHeight="1" s="849">
      <c r="A125" s="250" t="n"/>
      <c r="B125" s="220" t="inlineStr">
        <is>
          <t>vacant</t>
        </is>
      </c>
      <c r="C125" s="220" t="inlineStr">
        <is>
          <t>engineer - BE</t>
        </is>
      </c>
      <c r="D125" s="220" t="inlineStr">
        <is>
          <t>Khalid Mahmud</t>
        </is>
      </c>
      <c r="E125" s="220" t="inlineStr">
        <is>
          <t>Lead Engineer - BE</t>
        </is>
      </c>
      <c r="F125" s="220" t="inlineStr">
        <is>
          <t>Customer</t>
        </is>
      </c>
      <c r="G125" s="251" t="inlineStr">
        <is>
          <t>Digital</t>
        </is>
      </c>
      <c r="H125" s="251" t="inlineStr">
        <is>
          <t>Tech, Digital Engineering</t>
        </is>
      </c>
      <c r="I125" s="251" t="inlineStr">
        <is>
          <t>Customer</t>
        </is>
      </c>
      <c r="J125" s="220" t="inlineStr">
        <is>
          <t>Ampol Digital</t>
        </is>
      </c>
      <c r="K125" s="220" t="inlineStr">
        <is>
          <t>Energy</t>
        </is>
      </c>
      <c r="L125" s="251" t="n"/>
      <c r="M125" s="252" t="inlineStr">
        <is>
          <t>Australia</t>
        </is>
      </c>
      <c r="N125" t="inlineStr">
        <is>
          <t>Energy Solutions &amp; B2B</t>
        </is>
      </c>
      <c r="O125" t="inlineStr">
        <is>
          <t>Energy Solutions</t>
        </is>
      </c>
      <c r="P125" t="inlineStr">
        <is>
          <t>Energy</t>
        </is>
      </c>
      <c r="Q125" t="inlineStr">
        <is>
          <t>Squad</t>
        </is>
      </c>
      <c r="R125" t="inlineStr">
        <is>
          <t>Vacant</t>
        </is>
      </c>
    </row>
    <row r="126" ht="18" customHeight="1" s="849">
      <c r="A126" s="250" t="n">
        <v>98144</v>
      </c>
      <c r="B126" s="220" t="inlineStr">
        <is>
          <t>Angie Ng</t>
        </is>
      </c>
      <c r="C126" s="220" t="inlineStr">
        <is>
          <t>Snr Engineer - BE</t>
        </is>
      </c>
      <c r="D126" s="220" t="inlineStr">
        <is>
          <t>Khalid Mahmud</t>
        </is>
      </c>
      <c r="E126" s="220" t="inlineStr">
        <is>
          <t>Lead Engineer - BE</t>
        </is>
      </c>
      <c r="F126" s="220" t="inlineStr">
        <is>
          <t>Customer</t>
        </is>
      </c>
      <c r="G126" s="251" t="inlineStr">
        <is>
          <t>Digital</t>
        </is>
      </c>
      <c r="H126" s="251" t="inlineStr">
        <is>
          <t>Technology, T&amp;S Data</t>
        </is>
      </c>
      <c r="I126" s="251" t="inlineStr">
        <is>
          <t>EGI Integration</t>
        </is>
      </c>
      <c r="J126" s="220" t="inlineStr">
        <is>
          <t>EGI</t>
        </is>
      </c>
      <c r="K126" s="220" t="inlineStr">
        <is>
          <t>EGI Customer</t>
        </is>
      </c>
      <c r="L126" s="251" t="n"/>
      <c r="M126" s="252" t="inlineStr">
        <is>
          <t>Australia</t>
        </is>
      </c>
      <c r="N126" t="inlineStr">
        <is>
          <t>Customer</t>
        </is>
      </c>
      <c r="O126" t="inlineStr">
        <is>
          <t>EGI Customer</t>
        </is>
      </c>
      <c r="P126" t="inlineStr">
        <is>
          <t>EGI Customer</t>
        </is>
      </c>
      <c r="Q126" t="inlineStr">
        <is>
          <t>Strategic Program</t>
        </is>
      </c>
      <c r="R126" t="inlineStr">
        <is>
          <t>Filled</t>
        </is>
      </c>
    </row>
    <row r="127" ht="18" customHeight="1" s="849">
      <c r="A127" s="250" t="n">
        <v>99999101672</v>
      </c>
      <c r="B127" s="260" t="inlineStr">
        <is>
          <t>Kaye Javier</t>
        </is>
      </c>
      <c r="C127" s="251" t="inlineStr">
        <is>
          <t>QA Analyst</t>
        </is>
      </c>
      <c r="D127" s="251" t="inlineStr">
        <is>
          <t>Kris Hamilton</t>
        </is>
      </c>
      <c r="E127" s="251" t="inlineStr">
        <is>
          <t>Technology Manager, Loyalty &amp; Martech</t>
        </is>
      </c>
      <c r="F127" s="220" t="inlineStr">
        <is>
          <t>Customer</t>
        </is>
      </c>
      <c r="G127" s="251" t="inlineStr">
        <is>
          <t>Loyatly &amp; Martec</t>
        </is>
      </c>
      <c r="H127" s="251" t="inlineStr">
        <is>
          <t>Loyalty, Tech</t>
        </is>
      </c>
      <c r="I127" s="220" t="inlineStr">
        <is>
          <t>Customer</t>
        </is>
      </c>
      <c r="J127" s="251" t="inlineStr">
        <is>
          <t>Customer Z</t>
        </is>
      </c>
      <c r="K127" s="251" t="inlineStr">
        <is>
          <t>Z Energy Martech</t>
        </is>
      </c>
      <c r="L127" s="251" t="n"/>
      <c r="M127" s="252" t="inlineStr">
        <is>
          <t>NZ</t>
        </is>
      </c>
      <c r="N127" t="inlineStr">
        <is>
          <t>Customer</t>
        </is>
      </c>
      <c r="O127" t="inlineStr">
        <is>
          <t>Customer Z</t>
        </is>
      </c>
      <c r="P127" t="inlineStr">
        <is>
          <t>Z Energy Martech</t>
        </is>
      </c>
      <c r="Q127" t="inlineStr">
        <is>
          <t>Squad</t>
        </is>
      </c>
      <c r="R127" t="inlineStr">
        <is>
          <t>Filled</t>
        </is>
      </c>
    </row>
    <row r="128" ht="18" customHeight="1" s="849">
      <c r="A128" s="250" t="n">
        <v>99999101500</v>
      </c>
      <c r="B128" s="260" t="inlineStr">
        <is>
          <t>Bharat Talreja</t>
        </is>
      </c>
      <c r="C128" s="251" t="inlineStr">
        <is>
          <t>Marketing Technology Lead</t>
        </is>
      </c>
      <c r="D128" s="251" t="inlineStr">
        <is>
          <t>Kris Hamilton</t>
        </is>
      </c>
      <c r="E128" s="251" t="inlineStr">
        <is>
          <t>Technology Manager, Loyalty &amp; Martech</t>
        </is>
      </c>
      <c r="F128" s="220" t="inlineStr">
        <is>
          <t>Customer</t>
        </is>
      </c>
      <c r="G128" s="251" t="inlineStr">
        <is>
          <t>Loyatly &amp; Martec</t>
        </is>
      </c>
      <c r="H128" s="251" t="inlineStr">
        <is>
          <t>Loyalty, Tech</t>
        </is>
      </c>
      <c r="I128" s="220" t="inlineStr">
        <is>
          <t>Customer</t>
        </is>
      </c>
      <c r="J128" s="251" t="inlineStr">
        <is>
          <t>Customer Z</t>
        </is>
      </c>
      <c r="K128" s="251" t="inlineStr">
        <is>
          <t>Z Energy Martech</t>
        </is>
      </c>
      <c r="L128" s="251" t="n"/>
      <c r="M128" s="252" t="inlineStr">
        <is>
          <t>NZ</t>
        </is>
      </c>
      <c r="N128" t="inlineStr">
        <is>
          <t>Customer</t>
        </is>
      </c>
      <c r="O128" t="inlineStr">
        <is>
          <t>Customer Z</t>
        </is>
      </c>
      <c r="P128" t="inlineStr">
        <is>
          <t>Z Energy Martech</t>
        </is>
      </c>
      <c r="Q128" t="inlineStr">
        <is>
          <t>Squad</t>
        </is>
      </c>
      <c r="R128" t="inlineStr">
        <is>
          <t>Filled</t>
        </is>
      </c>
    </row>
    <row r="129" ht="18" customHeight="1" s="849">
      <c r="A129" s="250" t="n"/>
      <c r="B129" s="273" t="inlineStr">
        <is>
          <t>Vacant</t>
        </is>
      </c>
      <c r="C129" s="251" t="inlineStr">
        <is>
          <t>Solution Architect</t>
        </is>
      </c>
      <c r="D129" s="251" t="inlineStr">
        <is>
          <t>Kris Hamilton</t>
        </is>
      </c>
      <c r="E129" s="251" t="inlineStr">
        <is>
          <t>Technology Manager, Loyalty &amp; Martech</t>
        </is>
      </c>
      <c r="F129" s="220" t="inlineStr">
        <is>
          <t>Customer</t>
        </is>
      </c>
      <c r="G129" s="251" t="inlineStr">
        <is>
          <t>Loyatly &amp; Martec</t>
        </is>
      </c>
      <c r="H129" s="251" t="inlineStr">
        <is>
          <t>Loyalty, Tech</t>
        </is>
      </c>
      <c r="I129" s="220" t="inlineStr">
        <is>
          <t>Customer</t>
        </is>
      </c>
      <c r="J129" s="251" t="inlineStr">
        <is>
          <t>Customer Z</t>
        </is>
      </c>
      <c r="K129" s="251" t="inlineStr">
        <is>
          <t>Z Energy Martech</t>
        </is>
      </c>
      <c r="L129" s="251" t="n"/>
      <c r="M129" s="252" t="n"/>
      <c r="N129" t="inlineStr">
        <is>
          <t>Customer</t>
        </is>
      </c>
      <c r="O129" t="inlineStr">
        <is>
          <t>Customer Z</t>
        </is>
      </c>
      <c r="P129" t="inlineStr">
        <is>
          <t>Z Energy Martech</t>
        </is>
      </c>
      <c r="Q129" t="inlineStr">
        <is>
          <t>Squad</t>
        </is>
      </c>
      <c r="R129" t="inlineStr">
        <is>
          <t>Vacant</t>
        </is>
      </c>
    </row>
    <row r="130" ht="18" customHeight="1" s="849">
      <c r="A130" s="250" t="n">
        <v>99999101633</v>
      </c>
      <c r="B130" s="260" t="inlineStr">
        <is>
          <t>Kishore Ganesan</t>
        </is>
      </c>
      <c r="C130" s="251" t="inlineStr">
        <is>
          <t>Intermediate Quality Assurance</t>
        </is>
      </c>
      <c r="D130" s="251" t="inlineStr">
        <is>
          <t>Kris Hamilton</t>
        </is>
      </c>
      <c r="E130" s="251" t="inlineStr">
        <is>
          <t>Technology Manager, Loyalty &amp; Martech</t>
        </is>
      </c>
      <c r="F130" s="220" t="inlineStr">
        <is>
          <t>Customer</t>
        </is>
      </c>
      <c r="G130" s="251" t="inlineStr">
        <is>
          <t>Loyatly &amp; Martec</t>
        </is>
      </c>
      <c r="H130" s="251" t="inlineStr">
        <is>
          <t>Loyalty, Tech</t>
        </is>
      </c>
      <c r="I130" s="220" t="inlineStr">
        <is>
          <t>Customer</t>
        </is>
      </c>
      <c r="J130" s="251" t="inlineStr">
        <is>
          <t>Customer Z</t>
        </is>
      </c>
      <c r="K130" s="251" t="inlineStr">
        <is>
          <t>Z Energy Martech</t>
        </is>
      </c>
      <c r="L130" s="251" t="n"/>
      <c r="M130" s="252" t="inlineStr">
        <is>
          <t>NZ</t>
        </is>
      </c>
      <c r="N130" t="inlineStr">
        <is>
          <t>Customer</t>
        </is>
      </c>
      <c r="O130" t="inlineStr">
        <is>
          <t>Customer Z</t>
        </is>
      </c>
      <c r="P130" t="inlineStr">
        <is>
          <t>Z Energy Martech</t>
        </is>
      </c>
      <c r="Q130" t="inlineStr">
        <is>
          <t>Squad</t>
        </is>
      </c>
      <c r="R130" t="inlineStr">
        <is>
          <t>Filled</t>
        </is>
      </c>
    </row>
    <row r="131" ht="18" customHeight="1" s="849">
      <c r="A131" s="250" t="n">
        <v>99999101656</v>
      </c>
      <c r="B131" s="260" t="inlineStr">
        <is>
          <t>Carianne Monast</t>
        </is>
      </c>
      <c r="C131" s="251" t="inlineStr">
        <is>
          <t>Martech Specialist</t>
        </is>
      </c>
      <c r="D131" s="251" t="inlineStr">
        <is>
          <t>Kris Hamilton</t>
        </is>
      </c>
      <c r="E131" s="251" t="inlineStr">
        <is>
          <t>Technology Manager, Loyalty &amp; Martech</t>
        </is>
      </c>
      <c r="F131" s="220" t="inlineStr">
        <is>
          <t>Customer</t>
        </is>
      </c>
      <c r="G131" s="251" t="inlineStr">
        <is>
          <t>Loyatly &amp; Martec</t>
        </is>
      </c>
      <c r="H131" s="251" t="inlineStr">
        <is>
          <t>Loyalty, Tech</t>
        </is>
      </c>
      <c r="I131" s="220" t="inlineStr">
        <is>
          <t>Customer</t>
        </is>
      </c>
      <c r="J131" s="251" t="inlineStr">
        <is>
          <t>Customer Z</t>
        </is>
      </c>
      <c r="K131" s="251" t="inlineStr">
        <is>
          <t>Z Energy Martech</t>
        </is>
      </c>
      <c r="L131" s="251" t="n"/>
      <c r="M131" s="252" t="inlineStr">
        <is>
          <t>NZ</t>
        </is>
      </c>
      <c r="N131" t="inlineStr">
        <is>
          <t>Customer</t>
        </is>
      </c>
      <c r="O131" t="inlineStr">
        <is>
          <t>Customer Z</t>
        </is>
      </c>
      <c r="P131" t="inlineStr">
        <is>
          <t>Z Energy Martech</t>
        </is>
      </c>
      <c r="Q131" t="inlineStr">
        <is>
          <t>Squad</t>
        </is>
      </c>
      <c r="R131" t="inlineStr">
        <is>
          <t>Filled</t>
        </is>
      </c>
    </row>
    <row r="132" ht="18" customHeight="1" s="849">
      <c r="A132" s="250" t="n">
        <v>97357</v>
      </c>
      <c r="B132" s="220" t="inlineStr">
        <is>
          <t>Daniel Arban</t>
        </is>
      </c>
      <c r="C132" s="220" t="inlineStr">
        <is>
          <t>Service Delivery Lead</t>
        </is>
      </c>
      <c r="D132" s="220" t="inlineStr">
        <is>
          <t>Mark Wilson</t>
        </is>
      </c>
      <c r="E132" s="220" t="inlineStr">
        <is>
          <t>Digital Support Manager(AU)</t>
        </is>
      </c>
      <c r="F132" s="220" t="inlineStr">
        <is>
          <t>Customer</t>
        </is>
      </c>
      <c r="G132" s="251" t="inlineStr">
        <is>
          <t>Digital</t>
        </is>
      </c>
      <c r="H132" s="220" t="inlineStr">
        <is>
          <t>Digital Support (AU)</t>
        </is>
      </c>
      <c r="I132" s="251" t="inlineStr">
        <is>
          <t>Customer</t>
        </is>
      </c>
      <c r="J132" s="220" t="inlineStr">
        <is>
          <t>Ampol Digital</t>
        </is>
      </c>
      <c r="K132" t="inlineStr">
        <is>
          <t>Digital Ops Support</t>
        </is>
      </c>
      <c r="L132" s="251" t="n"/>
      <c r="M132" s="252" t="inlineStr">
        <is>
          <t>Australia</t>
        </is>
      </c>
      <c r="N132" t="inlineStr">
        <is>
          <t>Customer</t>
        </is>
      </c>
      <c r="O132" t="inlineStr">
        <is>
          <t>Ampol Digital</t>
        </is>
      </c>
      <c r="P132" t="inlineStr">
        <is>
          <t>Digital Operations</t>
        </is>
      </c>
      <c r="Q132" t="inlineStr">
        <is>
          <t>Squad</t>
        </is>
      </c>
      <c r="R132" t="inlineStr">
        <is>
          <t>Filled</t>
        </is>
      </c>
    </row>
    <row r="133" ht="18" customHeight="1" s="849">
      <c r="A133" s="250" t="n">
        <v>106200</v>
      </c>
      <c r="B133" s="220" t="inlineStr">
        <is>
          <t>Emile Violi</t>
        </is>
      </c>
      <c r="C133" s="220" t="inlineStr">
        <is>
          <t>Engineer - BE</t>
        </is>
      </c>
      <c r="D133" s="220" t="inlineStr">
        <is>
          <t>Mark Wilson</t>
        </is>
      </c>
      <c r="E133" t="inlineStr">
        <is>
          <t>Digital Support Manager(AU)</t>
        </is>
      </c>
      <c r="F133" s="220" t="inlineStr">
        <is>
          <t>Customer</t>
        </is>
      </c>
      <c r="G133" s="251" t="inlineStr">
        <is>
          <t>Digital</t>
        </is>
      </c>
      <c r="H133" s="220" t="inlineStr">
        <is>
          <t>Digital Support (AU)</t>
        </is>
      </c>
      <c r="I133" s="251" t="inlineStr">
        <is>
          <t>Customer</t>
        </is>
      </c>
      <c r="J133" s="220" t="inlineStr">
        <is>
          <t>Ampol Digital</t>
        </is>
      </c>
      <c r="K133" s="220" t="inlineStr">
        <is>
          <t>Digital Ops Support</t>
        </is>
      </c>
      <c r="L133" s="251" t="n"/>
      <c r="M133" s="252" t="inlineStr">
        <is>
          <t>Australia</t>
        </is>
      </c>
      <c r="N133" t="inlineStr">
        <is>
          <t>Customer</t>
        </is>
      </c>
      <c r="O133" t="inlineStr">
        <is>
          <t>Ampol Digital</t>
        </is>
      </c>
      <c r="P133" t="inlineStr">
        <is>
          <t>Digital Operations</t>
        </is>
      </c>
      <c r="Q133" t="inlineStr">
        <is>
          <t>Squad</t>
        </is>
      </c>
      <c r="R133" t="inlineStr">
        <is>
          <t>Filled</t>
        </is>
      </c>
    </row>
    <row r="134" ht="18" customHeight="1" s="849">
      <c r="A134" s="250" t="n">
        <v>116957</v>
      </c>
      <c r="B134" s="260" t="inlineStr">
        <is>
          <t>Raj Ganesan</t>
        </is>
      </c>
      <c r="C134" s="251" t="inlineStr">
        <is>
          <t>Engineer - Mobile (ios)</t>
        </is>
      </c>
      <c r="D134" s="251" t="inlineStr">
        <is>
          <t>Mitesh Shah</t>
        </is>
      </c>
      <c r="E134" s="220" t="inlineStr">
        <is>
          <t>Technology Manager, Digitial</t>
        </is>
      </c>
      <c r="F134" s="220" t="inlineStr">
        <is>
          <t>Customer</t>
        </is>
      </c>
      <c r="G134" s="251" t="inlineStr">
        <is>
          <t>Digital</t>
        </is>
      </c>
      <c r="H134" s="251" t="inlineStr">
        <is>
          <t>Tech, Digital</t>
        </is>
      </c>
      <c r="I134" s="251" t="inlineStr">
        <is>
          <t>Customer</t>
        </is>
      </c>
      <c r="J134" s="220" t="inlineStr">
        <is>
          <t>Ampol Digital</t>
        </is>
      </c>
      <c r="K134" s="220" t="inlineStr">
        <is>
          <t>Ampol App</t>
        </is>
      </c>
      <c r="L134" s="251" t="n"/>
      <c r="M134" s="252" t="inlineStr">
        <is>
          <t>Australia</t>
        </is>
      </c>
      <c r="N134" t="inlineStr">
        <is>
          <t>Customer</t>
        </is>
      </c>
      <c r="O134" t="inlineStr">
        <is>
          <t>Ampol Digital</t>
        </is>
      </c>
      <c r="P134" t="inlineStr">
        <is>
          <t>Ampol App</t>
        </is>
      </c>
      <c r="Q134" t="inlineStr">
        <is>
          <t>Squad</t>
        </is>
      </c>
      <c r="R134" t="inlineStr">
        <is>
          <t>Filled</t>
        </is>
      </c>
    </row>
    <row r="135" ht="18" customHeight="1" s="849">
      <c r="A135" s="250" t="n"/>
      <c r="B135" t="inlineStr">
        <is>
          <t>Shreema Das</t>
        </is>
      </c>
      <c r="C135" s="220" t="inlineStr">
        <is>
          <t>Solution Architect</t>
        </is>
      </c>
      <c r="D135" s="220" t="inlineStr">
        <is>
          <t>Mitesh Shah</t>
        </is>
      </c>
      <c r="E135" s="220" t="inlineStr">
        <is>
          <t>Technology Manager, Digitial</t>
        </is>
      </c>
      <c r="F135" s="220" t="inlineStr">
        <is>
          <t>Customer</t>
        </is>
      </c>
      <c r="G135" s="251" t="inlineStr">
        <is>
          <t>Digital</t>
        </is>
      </c>
      <c r="H135" s="220" t="inlineStr">
        <is>
          <t>Digital, Tech</t>
        </is>
      </c>
      <c r="I135" s="251" t="inlineStr">
        <is>
          <t>Customer</t>
        </is>
      </c>
      <c r="J135" s="220" t="inlineStr">
        <is>
          <t>Ampol Digital</t>
        </is>
      </c>
      <c r="K135" s="220" t="inlineStr">
        <is>
          <t>Digital Ops Support</t>
        </is>
      </c>
      <c r="L135" s="251" t="n"/>
      <c r="M135" s="252" t="inlineStr">
        <is>
          <t>Australia</t>
        </is>
      </c>
      <c r="N135" t="inlineStr">
        <is>
          <t>Customer</t>
        </is>
      </c>
      <c r="O135" t="inlineStr">
        <is>
          <t>Ampol Digital</t>
        </is>
      </c>
      <c r="P135" t="inlineStr">
        <is>
          <t>Digital Operations</t>
        </is>
      </c>
      <c r="Q135" t="inlineStr">
        <is>
          <t>Squad</t>
        </is>
      </c>
      <c r="R135" t="inlineStr">
        <is>
          <t>Filled</t>
        </is>
      </c>
    </row>
    <row r="136" ht="18" customHeight="1" s="849">
      <c r="A136" s="250" t="n">
        <v>0</v>
      </c>
      <c r="B136" s="220" t="inlineStr">
        <is>
          <t>Jordan Askwith</t>
        </is>
      </c>
      <c r="C136" s="220" t="inlineStr">
        <is>
          <t>Solution Architect</t>
        </is>
      </c>
      <c r="D136" s="220" t="inlineStr">
        <is>
          <t>Mitesh Shah</t>
        </is>
      </c>
      <c r="E136" s="220" t="inlineStr">
        <is>
          <t>Technology Manager, Digitial</t>
        </is>
      </c>
      <c r="F136" s="220" t="inlineStr">
        <is>
          <t>Customer</t>
        </is>
      </c>
      <c r="G136" s="251" t="inlineStr">
        <is>
          <t>Digital</t>
        </is>
      </c>
      <c r="H136" s="220" t="inlineStr">
        <is>
          <t>Digital, Tech</t>
        </is>
      </c>
      <c r="I136" s="251" t="inlineStr">
        <is>
          <t>Customer</t>
        </is>
      </c>
      <c r="J136" s="220" t="inlineStr">
        <is>
          <t>Ampol Digital</t>
        </is>
      </c>
      <c r="K136" s="220" t="inlineStr">
        <is>
          <t>Ampol Web</t>
        </is>
      </c>
      <c r="L136" s="251" t="n"/>
      <c r="M136" s="252" t="inlineStr">
        <is>
          <t>Australia</t>
        </is>
      </c>
      <c r="N136" t="inlineStr">
        <is>
          <t>Customer</t>
        </is>
      </c>
      <c r="O136" t="inlineStr">
        <is>
          <t>Ampol Digital</t>
        </is>
      </c>
      <c r="P136" t="inlineStr">
        <is>
          <t>Ampol Web</t>
        </is>
      </c>
      <c r="Q136" t="inlineStr">
        <is>
          <t>Squad</t>
        </is>
      </c>
      <c r="R136" t="inlineStr">
        <is>
          <t>Filled</t>
        </is>
      </c>
    </row>
    <row r="137" ht="18" customHeight="1" s="849">
      <c r="A137" s="250" t="n">
        <v>107781</v>
      </c>
      <c r="B137" s="220" t="inlineStr">
        <is>
          <t>Ramez Haider</t>
        </is>
      </c>
      <c r="C137" s="220" t="inlineStr">
        <is>
          <t>Solution Architect</t>
        </is>
      </c>
      <c r="D137" s="220" t="inlineStr">
        <is>
          <t>Mitesh Shah</t>
        </is>
      </c>
      <c r="E137" s="220" t="inlineStr">
        <is>
          <t>Technology Manager, Digitial</t>
        </is>
      </c>
      <c r="F137" s="220" t="inlineStr">
        <is>
          <t>Customer</t>
        </is>
      </c>
      <c r="G137" s="251" t="inlineStr">
        <is>
          <t>Digital</t>
        </is>
      </c>
      <c r="H137" s="220" t="inlineStr">
        <is>
          <t>Digital, Tech</t>
        </is>
      </c>
      <c r="I137" s="251" t="inlineStr">
        <is>
          <t>EGI Integration</t>
        </is>
      </c>
      <c r="J137" s="220" t="inlineStr">
        <is>
          <t>EGI</t>
        </is>
      </c>
      <c r="K137" s="220" t="inlineStr">
        <is>
          <t>EGI Customer</t>
        </is>
      </c>
      <c r="L137" s="251" t="n"/>
      <c r="M137" s="252" t="inlineStr">
        <is>
          <t>Australia</t>
        </is>
      </c>
      <c r="N137" t="inlineStr">
        <is>
          <t>Customer</t>
        </is>
      </c>
      <c r="O137" t="inlineStr">
        <is>
          <t>EGI Customer</t>
        </is>
      </c>
      <c r="P137" t="inlineStr">
        <is>
          <t>EGI Customer</t>
        </is>
      </c>
      <c r="Q137" t="inlineStr">
        <is>
          <t>Strategic Program</t>
        </is>
      </c>
      <c r="R137" t="inlineStr">
        <is>
          <t>Filled</t>
        </is>
      </c>
    </row>
    <row r="138" ht="18" customHeight="1" s="849">
      <c r="A138" s="250" t="n">
        <v>0</v>
      </c>
      <c r="B138" s="220" t="inlineStr">
        <is>
          <t>Annabel Phu</t>
        </is>
      </c>
      <c r="C138" s="220" t="inlineStr">
        <is>
          <t>Engineer - Mobile</t>
        </is>
      </c>
      <c r="D138" s="220" t="inlineStr">
        <is>
          <t>Mitesh Shah</t>
        </is>
      </c>
      <c r="E138" s="220" t="inlineStr">
        <is>
          <t>Technology Manager, Digitial</t>
        </is>
      </c>
      <c r="F138" s="220" t="inlineStr">
        <is>
          <t>Customer</t>
        </is>
      </c>
      <c r="G138" s="251" t="inlineStr">
        <is>
          <t>Digital</t>
        </is>
      </c>
      <c r="H138" s="220" t="inlineStr">
        <is>
          <t>Digital, Tech</t>
        </is>
      </c>
      <c r="I138" s="251" t="inlineStr">
        <is>
          <t>Customer</t>
        </is>
      </c>
      <c r="J138" s="220" t="inlineStr">
        <is>
          <t>Ampol Digital</t>
        </is>
      </c>
      <c r="K138" s="220" t="inlineStr">
        <is>
          <t>Ampol App</t>
        </is>
      </c>
      <c r="L138" s="251" t="n"/>
      <c r="M138" s="252" t="inlineStr">
        <is>
          <t>Australia</t>
        </is>
      </c>
      <c r="N138" t="inlineStr">
        <is>
          <t>Customer</t>
        </is>
      </c>
      <c r="O138" t="inlineStr">
        <is>
          <t>Ampol Digital</t>
        </is>
      </c>
      <c r="P138" t="inlineStr">
        <is>
          <t>Ampol App</t>
        </is>
      </c>
      <c r="Q138" t="inlineStr">
        <is>
          <t>Squad</t>
        </is>
      </c>
      <c r="R138" t="inlineStr">
        <is>
          <t>Filled</t>
        </is>
      </c>
    </row>
    <row r="139" ht="18" customHeight="1" s="849">
      <c r="A139" s="250" t="n">
        <v>108287</v>
      </c>
      <c r="B139" s="220" t="inlineStr">
        <is>
          <t>Binumon Mathai</t>
        </is>
      </c>
      <c r="C139" s="220" t="inlineStr">
        <is>
          <t>Senior Quality Assurance</t>
        </is>
      </c>
      <c r="D139" s="220" t="inlineStr">
        <is>
          <t>Mitesh Shah</t>
        </is>
      </c>
      <c r="E139" s="220" t="inlineStr">
        <is>
          <t>Technology Manager, Digitial</t>
        </is>
      </c>
      <c r="F139" s="220" t="inlineStr">
        <is>
          <t>Customer</t>
        </is>
      </c>
      <c r="G139" s="251" t="inlineStr">
        <is>
          <t>Digital</t>
        </is>
      </c>
      <c r="H139" s="220" t="inlineStr">
        <is>
          <t>Digital, Tech</t>
        </is>
      </c>
      <c r="I139" s="251" t="inlineStr">
        <is>
          <t>Customer</t>
        </is>
      </c>
      <c r="J139" s="220" t="inlineStr">
        <is>
          <t>Ampol Digital</t>
        </is>
      </c>
      <c r="K139" s="220" t="inlineStr">
        <is>
          <t>Ampol App</t>
        </is>
      </c>
      <c r="L139" s="251" t="n"/>
      <c r="M139" s="252" t="inlineStr">
        <is>
          <t>Australia</t>
        </is>
      </c>
      <c r="N139" t="inlineStr">
        <is>
          <t>Customer</t>
        </is>
      </c>
      <c r="O139" t="inlineStr">
        <is>
          <t>Ampol Digital</t>
        </is>
      </c>
      <c r="P139" t="inlineStr">
        <is>
          <t>Ampol App</t>
        </is>
      </c>
      <c r="Q139" t="inlineStr">
        <is>
          <t>Squad</t>
        </is>
      </c>
      <c r="R139" t="inlineStr">
        <is>
          <t>Filled</t>
        </is>
      </c>
    </row>
    <row r="140" ht="18" customHeight="1" s="849">
      <c r="A140" s="250" t="n">
        <v>0</v>
      </c>
      <c r="B140" s="220" t="inlineStr">
        <is>
          <t>Sheetal Karkera</t>
        </is>
      </c>
      <c r="C140" s="220" t="inlineStr">
        <is>
          <t>Lead Engineer - Mobile</t>
        </is>
      </c>
      <c r="D140" s="220" t="inlineStr">
        <is>
          <t>Mitesh Shah</t>
        </is>
      </c>
      <c r="E140" s="220" t="inlineStr">
        <is>
          <t>Technology Manager, Digitial</t>
        </is>
      </c>
      <c r="F140" s="220" t="inlineStr">
        <is>
          <t>Customer</t>
        </is>
      </c>
      <c r="G140" s="251" t="inlineStr">
        <is>
          <t>Digital</t>
        </is>
      </c>
      <c r="H140" s="220" t="inlineStr">
        <is>
          <t>Digital, Tech</t>
        </is>
      </c>
      <c r="I140" s="251" t="inlineStr">
        <is>
          <t>Customer</t>
        </is>
      </c>
      <c r="J140" s="220" t="inlineStr">
        <is>
          <t>Ampol Digital</t>
        </is>
      </c>
      <c r="K140" s="220" t="inlineStr">
        <is>
          <t>Ampol App</t>
        </is>
      </c>
      <c r="L140" s="251" t="n"/>
      <c r="M140" s="252" t="inlineStr">
        <is>
          <t>Australia</t>
        </is>
      </c>
      <c r="N140" t="inlineStr">
        <is>
          <t>Customer</t>
        </is>
      </c>
      <c r="O140" t="inlineStr">
        <is>
          <t>Ampol Digital</t>
        </is>
      </c>
      <c r="P140" t="inlineStr">
        <is>
          <t>Ampol App</t>
        </is>
      </c>
      <c r="Q140" t="inlineStr">
        <is>
          <t>Squad</t>
        </is>
      </c>
      <c r="R140" t="inlineStr">
        <is>
          <t>Filled</t>
        </is>
      </c>
    </row>
    <row r="141" ht="18" customHeight="1" s="849">
      <c r="A141" s="250" t="n">
        <v>115964</v>
      </c>
      <c r="B141" s="220" t="inlineStr">
        <is>
          <t>Toby Clark</t>
        </is>
      </c>
      <c r="C141" s="220" t="inlineStr">
        <is>
          <t>Engineer - Mobile (iOS)</t>
        </is>
      </c>
      <c r="D141" s="220" t="inlineStr">
        <is>
          <t>Mitesh Shah</t>
        </is>
      </c>
      <c r="E141" s="220" t="inlineStr">
        <is>
          <t>Technology Manager, Digitial</t>
        </is>
      </c>
      <c r="F141" s="220" t="inlineStr">
        <is>
          <t>Customer</t>
        </is>
      </c>
      <c r="G141" s="251" t="inlineStr">
        <is>
          <t>Digital</t>
        </is>
      </c>
      <c r="H141" s="220" t="inlineStr">
        <is>
          <t>Digital, Tech</t>
        </is>
      </c>
      <c r="I141" s="251" t="inlineStr">
        <is>
          <t>Customer</t>
        </is>
      </c>
      <c r="J141" s="220" t="inlineStr">
        <is>
          <t>Ampol Digital</t>
        </is>
      </c>
      <c r="K141" s="220" t="inlineStr">
        <is>
          <t>Ampol App</t>
        </is>
      </c>
      <c r="L141" s="251" t="n"/>
      <c r="M141" s="252" t="inlineStr">
        <is>
          <t>Australia</t>
        </is>
      </c>
      <c r="N141" t="inlineStr">
        <is>
          <t>Customer</t>
        </is>
      </c>
      <c r="O141" t="inlineStr">
        <is>
          <t>Ampol Digital</t>
        </is>
      </c>
      <c r="P141" t="inlineStr">
        <is>
          <t>Ampol App</t>
        </is>
      </c>
      <c r="Q141" t="inlineStr">
        <is>
          <t>Squad</t>
        </is>
      </c>
      <c r="R141" t="inlineStr">
        <is>
          <t>Filled</t>
        </is>
      </c>
    </row>
    <row r="142" ht="18" customHeight="1" s="849">
      <c r="A142" s="250" t="n">
        <v>99999101220</v>
      </c>
      <c r="B142" s="220" t="inlineStr">
        <is>
          <t>Byron Thornhill</t>
        </is>
      </c>
      <c r="C142" s="220" t="inlineStr">
        <is>
          <t>Design Manager</t>
        </is>
      </c>
      <c r="D142" s="220" t="inlineStr">
        <is>
          <t>Shona Paul</t>
        </is>
      </c>
      <c r="E142" s="220" t="inlineStr">
        <is>
          <t>Head of Technology, Digital</t>
        </is>
      </c>
      <c r="F142" s="220" t="inlineStr">
        <is>
          <t>Customer</t>
        </is>
      </c>
      <c r="G142" s="251" t="inlineStr">
        <is>
          <t>Digital</t>
        </is>
      </c>
      <c r="H142" s="251" t="inlineStr">
        <is>
          <t>Digital, Design</t>
        </is>
      </c>
      <c r="I142" s="220" t="inlineStr">
        <is>
          <t>Customer</t>
        </is>
      </c>
      <c r="J142" s="220" t="inlineStr">
        <is>
          <t>Customer Z, Ampol Digital</t>
        </is>
      </c>
      <c r="K142" s="220" t="inlineStr">
        <is>
          <t>Leadership</t>
        </is>
      </c>
      <c r="L142" s="251" t="n"/>
      <c r="M142" s="252" t="inlineStr">
        <is>
          <t>NZ</t>
        </is>
      </c>
      <c r="N142" t="inlineStr">
        <is>
          <t>Customer</t>
        </is>
      </c>
      <c r="O142" t="inlineStr">
        <is>
          <t>Leadership</t>
        </is>
      </c>
      <c r="P142" t="inlineStr">
        <is>
          <t>Leadership</t>
        </is>
      </c>
      <c r="Q142" t="inlineStr">
        <is>
          <t>Leadership</t>
        </is>
      </c>
      <c r="R142" t="inlineStr">
        <is>
          <t>Filled</t>
        </is>
      </c>
    </row>
    <row r="143" ht="18" customHeight="1" s="849">
      <c r="A143" s="250" t="n">
        <v>114123</v>
      </c>
      <c r="B143" s="220" t="inlineStr">
        <is>
          <t>Adriel Jeyanandhan</t>
        </is>
      </c>
      <c r="C143" s="220" t="inlineStr">
        <is>
          <t>Delivery Manager</t>
        </is>
      </c>
      <c r="D143" s="220" t="inlineStr">
        <is>
          <t>Shona Paul</t>
        </is>
      </c>
      <c r="E143" s="220" t="inlineStr">
        <is>
          <t>Head of Technology, Digital</t>
        </is>
      </c>
      <c r="F143" s="220" t="inlineStr">
        <is>
          <t>Customer</t>
        </is>
      </c>
      <c r="G143" s="251" t="inlineStr">
        <is>
          <t>Digital</t>
        </is>
      </c>
      <c r="H143" s="220" t="inlineStr">
        <is>
          <t>Digital, Delivery</t>
        </is>
      </c>
      <c r="I143" s="220" t="inlineStr">
        <is>
          <t>Customer</t>
        </is>
      </c>
      <c r="J143" s="220" t="inlineStr">
        <is>
          <t>Ampol Digital</t>
        </is>
      </c>
      <c r="K143" s="220" t="inlineStr">
        <is>
          <t>Leadership</t>
        </is>
      </c>
      <c r="L143" s="251" t="n"/>
      <c r="M143" s="252" t="inlineStr">
        <is>
          <t>Australia</t>
        </is>
      </c>
      <c r="N143" t="inlineStr">
        <is>
          <t>Customer</t>
        </is>
      </c>
      <c r="O143" t="inlineStr">
        <is>
          <t>Leadership</t>
        </is>
      </c>
      <c r="P143" t="inlineStr">
        <is>
          <t>Leadership</t>
        </is>
      </c>
      <c r="Q143" t="inlineStr">
        <is>
          <t>Leadership</t>
        </is>
      </c>
      <c r="R143" t="inlineStr">
        <is>
          <t>Filled</t>
        </is>
      </c>
    </row>
    <row r="144" ht="18" customHeight="1" s="849">
      <c r="A144" s="250" t="n"/>
      <c r="B144" s="273" t="inlineStr">
        <is>
          <t>Vacant (B2B)</t>
        </is>
      </c>
      <c r="C144" s="220" t="inlineStr">
        <is>
          <t>Engineer - BE</t>
        </is>
      </c>
      <c r="D144" s="220" t="inlineStr">
        <is>
          <t>vacant</t>
        </is>
      </c>
      <c r="E144" s="220" t="inlineStr">
        <is>
          <t>Technology Manager, Digital Engineering</t>
        </is>
      </c>
      <c r="F144" s="220" t="inlineStr">
        <is>
          <t>Customer</t>
        </is>
      </c>
      <c r="G144" s="251" t="inlineStr">
        <is>
          <t>Digital</t>
        </is>
      </c>
      <c r="H144" s="251" t="inlineStr">
        <is>
          <t>Tech, Digital Engineering</t>
        </is>
      </c>
      <c r="I144" s="251" t="inlineStr">
        <is>
          <t>Customer</t>
        </is>
      </c>
      <c r="J144" s="220" t="inlineStr">
        <is>
          <t>Ampol Digital</t>
        </is>
      </c>
      <c r="K144" s="220" t="inlineStr">
        <is>
          <t>B2B</t>
        </is>
      </c>
      <c r="L144" s="251" t="n"/>
      <c r="M144" s="252" t="inlineStr">
        <is>
          <t>Australia</t>
        </is>
      </c>
      <c r="N144" t="inlineStr">
        <is>
          <t>Energy Solutions &amp; B2B</t>
        </is>
      </c>
      <c r="O144" t="inlineStr">
        <is>
          <t>B2B</t>
        </is>
      </c>
      <c r="P144" t="inlineStr">
        <is>
          <t>B2B</t>
        </is>
      </c>
      <c r="Q144" t="inlineStr">
        <is>
          <t>Squad</t>
        </is>
      </c>
      <c r="R144" t="inlineStr">
        <is>
          <t>Filled</t>
        </is>
      </c>
    </row>
    <row r="145" ht="18" customHeight="1" s="849">
      <c r="A145" s="250" t="n">
        <v>117173</v>
      </c>
      <c r="B145" s="220" t="inlineStr">
        <is>
          <t>Ashwini Gaikwad</t>
        </is>
      </c>
      <c r="C145" s="220" t="inlineStr">
        <is>
          <t>Quality Assurance</t>
        </is>
      </c>
      <c r="D145" s="220" t="inlineStr">
        <is>
          <t>Vacant</t>
        </is>
      </c>
      <c r="E145" s="220" t="inlineStr">
        <is>
          <t>Technology Manager, Digitial</t>
        </is>
      </c>
      <c r="F145" s="220" t="inlineStr">
        <is>
          <t>Customer</t>
        </is>
      </c>
      <c r="G145" s="251" t="inlineStr">
        <is>
          <t>Digital</t>
        </is>
      </c>
      <c r="H145" s="220" t="inlineStr">
        <is>
          <t>Digital, Tech</t>
        </is>
      </c>
      <c r="I145" s="251" t="inlineStr">
        <is>
          <t>Customer</t>
        </is>
      </c>
      <c r="J145" s="220" t="inlineStr">
        <is>
          <t>Ampol Digital</t>
        </is>
      </c>
      <c r="K145" s="220" t="inlineStr">
        <is>
          <t>Ampol Web</t>
        </is>
      </c>
      <c r="L145" s="251" t="n"/>
      <c r="M145" s="252" t="inlineStr">
        <is>
          <t>Australia</t>
        </is>
      </c>
      <c r="N145" t="inlineStr">
        <is>
          <t>Customer</t>
        </is>
      </c>
      <c r="O145" t="inlineStr">
        <is>
          <t>Ampol Digital</t>
        </is>
      </c>
      <c r="P145" t="inlineStr">
        <is>
          <t>Ampol Web</t>
        </is>
      </c>
      <c r="Q145" t="inlineStr">
        <is>
          <t>Squad</t>
        </is>
      </c>
      <c r="R145" t="inlineStr">
        <is>
          <t>Filled</t>
        </is>
      </c>
    </row>
    <row r="146" ht="18" customHeight="1" s="849">
      <c r="A146" s="250" t="n">
        <v>0</v>
      </c>
      <c r="B146" s="220" t="inlineStr">
        <is>
          <t>Phillip Kewley</t>
        </is>
      </c>
      <c r="C146" s="220" t="inlineStr">
        <is>
          <t>Quality Assurance</t>
        </is>
      </c>
      <c r="D146" s="220" t="inlineStr">
        <is>
          <t>Vacant</t>
        </is>
      </c>
      <c r="E146" s="220" t="inlineStr">
        <is>
          <t>Technology Manager, Digitial</t>
        </is>
      </c>
      <c r="F146" s="220" t="inlineStr">
        <is>
          <t>Customer</t>
        </is>
      </c>
      <c r="G146" s="251" t="inlineStr">
        <is>
          <t>Digital</t>
        </is>
      </c>
      <c r="H146" s="220" t="inlineStr">
        <is>
          <t>Digital, Tech</t>
        </is>
      </c>
      <c r="I146" s="251" t="inlineStr">
        <is>
          <t>Customer</t>
        </is>
      </c>
      <c r="J146" s="220" t="inlineStr">
        <is>
          <t>Ampol Digital</t>
        </is>
      </c>
      <c r="K146" s="220" t="inlineStr">
        <is>
          <t>Ampol App</t>
        </is>
      </c>
      <c r="L146" s="251" t="n"/>
      <c r="M146" s="252" t="inlineStr">
        <is>
          <t>Australia</t>
        </is>
      </c>
      <c r="N146" t="inlineStr">
        <is>
          <t>Customer</t>
        </is>
      </c>
      <c r="O146" t="inlineStr">
        <is>
          <t>Ampol Digital</t>
        </is>
      </c>
      <c r="P146" t="inlineStr">
        <is>
          <t>Ampol App</t>
        </is>
      </c>
      <c r="Q146" t="inlineStr">
        <is>
          <t>Squad</t>
        </is>
      </c>
      <c r="R146" t="inlineStr">
        <is>
          <t>Filled</t>
        </is>
      </c>
    </row>
    <row r="147" ht="18" customHeight="1" s="849">
      <c r="A147" s="250" t="n">
        <v>99999101454</v>
      </c>
      <c r="B147" s="260" t="inlineStr">
        <is>
          <t>Celia Voysey</t>
        </is>
      </c>
      <c r="C147" s="251" t="inlineStr">
        <is>
          <t>Delivery Lead</t>
        </is>
      </c>
      <c r="D147" s="251" t="inlineStr">
        <is>
          <t>Vacant</t>
        </is>
      </c>
      <c r="E147" s="251" t="inlineStr">
        <is>
          <t>Delivery Manager, Loyalty</t>
        </is>
      </c>
      <c r="F147" s="220" t="inlineStr">
        <is>
          <t>Customer</t>
        </is>
      </c>
      <c r="G147" s="251" t="inlineStr">
        <is>
          <t>Loyatly &amp; Martec</t>
        </is>
      </c>
      <c r="H147" s="220" t="inlineStr">
        <is>
          <t xml:space="preserve">Loyalty, Delivery </t>
        </is>
      </c>
      <c r="I147" s="220" t="inlineStr">
        <is>
          <t>Customer</t>
        </is>
      </c>
      <c r="J147" s="251" t="inlineStr">
        <is>
          <t>Customer Z</t>
        </is>
      </c>
      <c r="K147" s="251" t="inlineStr">
        <is>
          <t>Z Energy Martech</t>
        </is>
      </c>
      <c r="L147" s="251" t="n"/>
      <c r="M147" s="252" t="inlineStr">
        <is>
          <t>NZ</t>
        </is>
      </c>
      <c r="N147" t="inlineStr">
        <is>
          <t>Customer</t>
        </is>
      </c>
      <c r="O147" t="inlineStr">
        <is>
          <t>Customer Z</t>
        </is>
      </c>
      <c r="P147" t="inlineStr">
        <is>
          <t>Z Energy Martech</t>
        </is>
      </c>
      <c r="Q147" t="inlineStr">
        <is>
          <t>Squad</t>
        </is>
      </c>
      <c r="R147" t="inlineStr">
        <is>
          <t>Filled</t>
        </is>
      </c>
    </row>
    <row r="148" ht="18" customHeight="1" s="849">
      <c r="A148" s="250" t="n"/>
      <c r="B148" s="273" t="inlineStr">
        <is>
          <t>Vacant</t>
        </is>
      </c>
      <c r="C148" s="251" t="inlineStr">
        <is>
          <t>System Specialist</t>
        </is>
      </c>
      <c r="D148" s="251" t="inlineStr">
        <is>
          <t>Vacant</t>
        </is>
      </c>
      <c r="E148" s="251" t="inlineStr">
        <is>
          <t>Delivery Manager, Loyalty</t>
        </is>
      </c>
      <c r="F148" s="220" t="inlineStr">
        <is>
          <t>Customer</t>
        </is>
      </c>
      <c r="G148" s="251" t="inlineStr">
        <is>
          <t>Loyatly &amp; Martec</t>
        </is>
      </c>
      <c r="H148" s="220" t="inlineStr">
        <is>
          <t xml:space="preserve">Loyalty, Delivery </t>
        </is>
      </c>
      <c r="I148" s="220" t="inlineStr">
        <is>
          <t>Customer</t>
        </is>
      </c>
      <c r="J148" s="251" t="inlineStr">
        <is>
          <t>Group Customer</t>
        </is>
      </c>
      <c r="K148" s="251" t="inlineStr">
        <is>
          <t>AU CRM &amp; Martech</t>
        </is>
      </c>
      <c r="L148" s="251" t="n"/>
      <c r="M148" s="252" t="n"/>
      <c r="N148" t="inlineStr">
        <is>
          <t>Customer</t>
        </is>
      </c>
      <c r="O148" t="inlineStr">
        <is>
          <t>Group Customer Platforms</t>
        </is>
      </c>
      <c r="P148" t="inlineStr">
        <is>
          <t>AU CRM &amp; Martech</t>
        </is>
      </c>
      <c r="Q148" t="inlineStr">
        <is>
          <t>Squad</t>
        </is>
      </c>
      <c r="R148" t="inlineStr">
        <is>
          <t>Vacant</t>
        </is>
      </c>
    </row>
    <row r="149" ht="18" customHeight="1" s="849">
      <c r="A149" s="250" t="n">
        <v>99999101891</v>
      </c>
      <c r="B149" s="260" t="inlineStr">
        <is>
          <t>Shinal Chamberlain</t>
        </is>
      </c>
      <c r="C149" s="251" t="inlineStr">
        <is>
          <t>Business Analyst</t>
        </is>
      </c>
      <c r="D149" s="251" t="inlineStr">
        <is>
          <t>Vacant</t>
        </is>
      </c>
      <c r="E149" s="251" t="inlineStr">
        <is>
          <t>Delivery Manager, Loyalty</t>
        </is>
      </c>
      <c r="F149" s="220" t="inlineStr">
        <is>
          <t>Customer</t>
        </is>
      </c>
      <c r="G149" s="251" t="inlineStr">
        <is>
          <t>Loyatly &amp; Martec</t>
        </is>
      </c>
      <c r="H149" s="220" t="inlineStr">
        <is>
          <t xml:space="preserve">Loyalty, Delivery </t>
        </is>
      </c>
      <c r="I149" s="220" t="inlineStr">
        <is>
          <t>Customer</t>
        </is>
      </c>
      <c r="J149" s="251" t="inlineStr">
        <is>
          <t>Group Customer</t>
        </is>
      </c>
      <c r="K149" s="251" t="inlineStr">
        <is>
          <t>AU CRM &amp; Martech</t>
        </is>
      </c>
      <c r="L149" s="251" t="n"/>
      <c r="M149" s="252" t="inlineStr">
        <is>
          <t>NZ</t>
        </is>
      </c>
      <c r="N149" t="inlineStr">
        <is>
          <t>Customer</t>
        </is>
      </c>
      <c r="O149" t="inlineStr">
        <is>
          <t>Group Customer Platforms</t>
        </is>
      </c>
      <c r="P149" t="inlineStr">
        <is>
          <t>AU CRM &amp; Martech</t>
        </is>
      </c>
      <c r="Q149" t="inlineStr">
        <is>
          <t>Squad</t>
        </is>
      </c>
      <c r="R149" t="inlineStr">
        <is>
          <t>Filled</t>
        </is>
      </c>
    </row>
    <row r="150" ht="18" customHeight="1" s="849">
      <c r="A150" s="250" t="n">
        <v>99999101370</v>
      </c>
      <c r="B150" s="260" t="inlineStr">
        <is>
          <t>Denise Esguerra</t>
        </is>
      </c>
      <c r="C150" s="251" t="inlineStr">
        <is>
          <t>Martech Specialist</t>
        </is>
      </c>
      <c r="D150" s="251" t="inlineStr">
        <is>
          <t>Vacant</t>
        </is>
      </c>
      <c r="E150" s="251" t="inlineStr">
        <is>
          <t>Technology Manager, Loyalty &amp; Martech</t>
        </is>
      </c>
      <c r="F150" s="220" t="inlineStr">
        <is>
          <t>Customer</t>
        </is>
      </c>
      <c r="G150" s="251" t="inlineStr">
        <is>
          <t>Loyatly &amp; Martec</t>
        </is>
      </c>
      <c r="H150" s="251" t="inlineStr">
        <is>
          <t>Loyalty, Tech</t>
        </is>
      </c>
      <c r="I150" s="220" t="inlineStr">
        <is>
          <t>Customer</t>
        </is>
      </c>
      <c r="J150" s="251" t="inlineStr">
        <is>
          <t>(All Customer)</t>
        </is>
      </c>
      <c r="K150" s="251" t="inlineStr">
        <is>
          <t>Z Energy Martech</t>
        </is>
      </c>
      <c r="L150" s="251" t="n"/>
      <c r="M150" s="252" t="inlineStr">
        <is>
          <t>NZ</t>
        </is>
      </c>
      <c r="N150" t="inlineStr">
        <is>
          <t>Customer</t>
        </is>
      </c>
      <c r="O150" t="inlineStr">
        <is>
          <t>Customer Z</t>
        </is>
      </c>
      <c r="P150" t="inlineStr">
        <is>
          <t>Z Energy Martech</t>
        </is>
      </c>
      <c r="Q150" t="inlineStr">
        <is>
          <t>Squad</t>
        </is>
      </c>
      <c r="R150" t="inlineStr">
        <is>
          <t>Filled</t>
        </is>
      </c>
    </row>
    <row r="151" ht="18" customHeight="1" s="849">
      <c r="A151" s="250" t="n">
        <v>0</v>
      </c>
      <c r="B151" s="220" t="inlineStr">
        <is>
          <t>Waheed Malek</t>
        </is>
      </c>
      <c r="C151" s="220" t="inlineStr">
        <is>
          <t>Quality Assurance</t>
        </is>
      </c>
      <c r="D151" s="220" t="inlineStr">
        <is>
          <t>Vacant</t>
        </is>
      </c>
      <c r="E151" s="220" t="inlineStr">
        <is>
          <t>Technology Manager, Digitial</t>
        </is>
      </c>
      <c r="F151" s="220" t="inlineStr">
        <is>
          <t>Customer</t>
        </is>
      </c>
      <c r="G151" s="251" t="inlineStr">
        <is>
          <t>Loyalty &amp; Martech</t>
        </is>
      </c>
      <c r="H151" s="220" t="inlineStr">
        <is>
          <t>Digital, Tech</t>
        </is>
      </c>
      <c r="I151" s="251" t="inlineStr">
        <is>
          <t>EGI Integration</t>
        </is>
      </c>
      <c r="J151" s="220" t="inlineStr">
        <is>
          <t>EGI</t>
        </is>
      </c>
      <c r="K151" s="220" t="inlineStr">
        <is>
          <t>EGI Customer</t>
        </is>
      </c>
      <c r="L151" s="251" t="n"/>
      <c r="M151" s="252" t="inlineStr">
        <is>
          <t>Australia</t>
        </is>
      </c>
      <c r="N151" t="inlineStr">
        <is>
          <t>Customer</t>
        </is>
      </c>
      <c r="O151" t="inlineStr">
        <is>
          <t>EGI Customer</t>
        </is>
      </c>
      <c r="P151" t="inlineStr">
        <is>
          <t>EGI Customer</t>
        </is>
      </c>
      <c r="Q151" t="inlineStr">
        <is>
          <t>Strategic Program</t>
        </is>
      </c>
      <c r="R151" t="inlineStr">
        <is>
          <t>Filled</t>
        </is>
      </c>
    </row>
    <row r="152" ht="18" customHeight="1" s="849">
      <c r="A152" s="250" t="n">
        <v>114753</v>
      </c>
      <c r="B152" s="220" t="inlineStr">
        <is>
          <t>Zoe Udy</t>
        </is>
      </c>
      <c r="C152" s="220" t="inlineStr">
        <is>
          <t>Technology Manager – Data &amp; Engineering</t>
        </is>
      </c>
      <c r="D152" s="220" t="inlineStr">
        <is>
          <t>Vacant</t>
        </is>
      </c>
      <c r="E152" s="220" t="inlineStr">
        <is>
          <t>Head of Technology, Loyalty &amp; Martech</t>
        </is>
      </c>
      <c r="F152" s="220" t="inlineStr">
        <is>
          <t>Customer</t>
        </is>
      </c>
      <c r="G152" s="251" t="inlineStr">
        <is>
          <t>Loyalty &amp; Martech</t>
        </is>
      </c>
      <c r="H152" s="220" t="inlineStr">
        <is>
          <t>Loyalty, Data &amp; Engineering</t>
        </is>
      </c>
      <c r="I152" s="220" t="inlineStr">
        <is>
          <t>Customer</t>
        </is>
      </c>
      <c r="J152" s="220" t="inlineStr">
        <is>
          <t>Customer Z, Group Customer Platforms</t>
        </is>
      </c>
      <c r="K152" s="220" t="inlineStr">
        <is>
          <t>Leadership</t>
        </is>
      </c>
      <c r="L152" s="251" t="n"/>
      <c r="M152" s="252" t="n"/>
      <c r="N152" t="inlineStr">
        <is>
          <t>Customer</t>
        </is>
      </c>
      <c r="O152" t="inlineStr">
        <is>
          <t>Leadership</t>
        </is>
      </c>
      <c r="P152" t="inlineStr">
        <is>
          <t>Leadership</t>
        </is>
      </c>
      <c r="Q152" t="inlineStr">
        <is>
          <t>Leadership</t>
        </is>
      </c>
      <c r="R152" t="inlineStr">
        <is>
          <t>Filled</t>
        </is>
      </c>
    </row>
    <row r="153" ht="18" customHeight="1" s="849">
      <c r="A153" s="250" t="n"/>
      <c r="B153" s="273" t="inlineStr">
        <is>
          <t>Vacant</t>
        </is>
      </c>
      <c r="C153" s="251" t="inlineStr">
        <is>
          <t>Engineer Data (Snowflake)</t>
        </is>
      </c>
      <c r="D153" s="251" t="inlineStr">
        <is>
          <t>Vacant</t>
        </is>
      </c>
      <c r="E153" s="251" t="inlineStr">
        <is>
          <t>Technology Manager, Data &amp; Engineering</t>
        </is>
      </c>
      <c r="F153" s="220" t="inlineStr">
        <is>
          <t>Customer</t>
        </is>
      </c>
      <c r="G153" s="251" t="inlineStr">
        <is>
          <t>Loyatly &amp; Martec</t>
        </is>
      </c>
      <c r="H153" s="220" t="inlineStr">
        <is>
          <t>Loyalty, Data &amp; Engineering</t>
        </is>
      </c>
      <c r="I153" s="220" t="inlineStr">
        <is>
          <t>Customer</t>
        </is>
      </c>
      <c r="J153" s="251" t="inlineStr">
        <is>
          <t>Group Customer</t>
        </is>
      </c>
      <c r="K153" s="220" t="inlineStr">
        <is>
          <t>AU CRM &amp; Martech</t>
        </is>
      </c>
      <c r="L153" s="251" t="n"/>
      <c r="M153" s="252" t="n"/>
      <c r="N153" t="inlineStr">
        <is>
          <t>Customer</t>
        </is>
      </c>
      <c r="O153" t="inlineStr">
        <is>
          <t>Group Customer Platforms</t>
        </is>
      </c>
      <c r="P153" t="inlineStr">
        <is>
          <t>AU CRM &amp; Martech</t>
        </is>
      </c>
      <c r="Q153" t="inlineStr">
        <is>
          <t>Squad</t>
        </is>
      </c>
      <c r="R153" t="inlineStr">
        <is>
          <t>Vacant</t>
        </is>
      </c>
    </row>
    <row r="154" ht="18" customHeight="1" s="849">
      <c r="A154" s="250" t="n">
        <v>97200</v>
      </c>
      <c r="B154" s="220" t="inlineStr">
        <is>
          <t>Mitesh Shah</t>
        </is>
      </c>
      <c r="C154" s="220" t="inlineStr">
        <is>
          <t>Technology Manager - Digital</t>
        </is>
      </c>
      <c r="D154" s="220" t="inlineStr">
        <is>
          <t>Vacant</t>
        </is>
      </c>
      <c r="E154" s="220" t="inlineStr">
        <is>
          <t>Head of Technology, Digital</t>
        </is>
      </c>
      <c r="F154" s="220" t="inlineStr">
        <is>
          <t>Customer</t>
        </is>
      </c>
      <c r="G154" s="251" t="inlineStr">
        <is>
          <t>Digital</t>
        </is>
      </c>
      <c r="H154" s="251" t="inlineStr">
        <is>
          <t>Tech, Digital</t>
        </is>
      </c>
      <c r="I154" s="220" t="inlineStr">
        <is>
          <t>Customer</t>
        </is>
      </c>
      <c r="J154" s="220" t="inlineStr">
        <is>
          <t>Ampol Digital</t>
        </is>
      </c>
      <c r="K154" s="220" t="inlineStr">
        <is>
          <t>Leadership</t>
        </is>
      </c>
      <c r="L154" s="251" t="n"/>
      <c r="M154" s="252" t="inlineStr">
        <is>
          <t>Australia</t>
        </is>
      </c>
      <c r="N154" t="inlineStr">
        <is>
          <t>Customer</t>
        </is>
      </c>
      <c r="O154" t="inlineStr">
        <is>
          <t>Leadership</t>
        </is>
      </c>
      <c r="P154" t="inlineStr">
        <is>
          <t>Leadership</t>
        </is>
      </c>
      <c r="Q154" t="inlineStr">
        <is>
          <t>Leadership</t>
        </is>
      </c>
      <c r="R154" t="inlineStr">
        <is>
          <t>Filled</t>
        </is>
      </c>
    </row>
    <row r="155" ht="18" customHeight="1" s="849">
      <c r="A155" s="250" t="n">
        <v>99999100279</v>
      </c>
      <c r="B155" s="220" t="inlineStr">
        <is>
          <t>Kris Hamilton</t>
        </is>
      </c>
      <c r="C155" s="220" t="inlineStr">
        <is>
          <t>Technology Manager - Loyalty &amp; Martech</t>
        </is>
      </c>
      <c r="D155" s="220" t="inlineStr">
        <is>
          <t>Vacant</t>
        </is>
      </c>
      <c r="E155" s="220" t="inlineStr">
        <is>
          <t>Head of Technology, Loyalty &amp; Martech</t>
        </is>
      </c>
      <c r="F155" s="220" t="inlineStr">
        <is>
          <t>Customer</t>
        </is>
      </c>
      <c r="G155" s="251" t="inlineStr">
        <is>
          <t>Loyalty &amp; Martech</t>
        </is>
      </c>
      <c r="H155" s="220" t="inlineStr">
        <is>
          <t>Loyalty, Tech</t>
        </is>
      </c>
      <c r="I155" s="220" t="inlineStr">
        <is>
          <t>Customer</t>
        </is>
      </c>
      <c r="J155" s="220" t="inlineStr">
        <is>
          <t>Customer Z, Group Customer Platforms</t>
        </is>
      </c>
      <c r="K155" s="220" t="inlineStr">
        <is>
          <t>Leadership</t>
        </is>
      </c>
      <c r="L155" s="251" t="n"/>
      <c r="M155" s="252" t="inlineStr">
        <is>
          <t>NZ</t>
        </is>
      </c>
      <c r="N155" t="inlineStr">
        <is>
          <t>Customer</t>
        </is>
      </c>
      <c r="O155" t="inlineStr">
        <is>
          <t>Leadership</t>
        </is>
      </c>
      <c r="P155" t="inlineStr">
        <is>
          <t>Leadership</t>
        </is>
      </c>
      <c r="Q155" t="inlineStr">
        <is>
          <t>Leadership</t>
        </is>
      </c>
      <c r="R155" t="inlineStr">
        <is>
          <t>Filled</t>
        </is>
      </c>
    </row>
    <row r="156" ht="18" customHeight="1" s="849">
      <c r="A156" s="250" t="n">
        <v>0</v>
      </c>
      <c r="B156" s="220" t="inlineStr">
        <is>
          <t>Aaron Lu</t>
        </is>
      </c>
      <c r="C156" s="220" t="inlineStr">
        <is>
          <t>Engineer - BE</t>
        </is>
      </c>
      <c r="D156" s="220" t="inlineStr">
        <is>
          <t>vacant</t>
        </is>
      </c>
      <c r="E156" s="220" t="inlineStr">
        <is>
          <t>Technology Manager, Digital Engineering</t>
        </is>
      </c>
      <c r="F156" s="220" t="inlineStr">
        <is>
          <t>Customer</t>
        </is>
      </c>
      <c r="G156" s="251" t="inlineStr">
        <is>
          <t>Digital</t>
        </is>
      </c>
      <c r="H156" s="251" t="inlineStr">
        <is>
          <t>Tech, Digital Engineering</t>
        </is>
      </c>
      <c r="I156" s="251" t="inlineStr">
        <is>
          <t>Customer</t>
        </is>
      </c>
      <c r="J156" s="220" t="inlineStr">
        <is>
          <t>Ampol Digital</t>
        </is>
      </c>
      <c r="K156" s="220" t="inlineStr">
        <is>
          <t>Ampol Web</t>
        </is>
      </c>
      <c r="L156" s="251" t="n"/>
      <c r="M156" s="252" t="inlineStr">
        <is>
          <t>Australia</t>
        </is>
      </c>
      <c r="N156" t="inlineStr">
        <is>
          <t>Customer</t>
        </is>
      </c>
      <c r="O156" t="inlineStr">
        <is>
          <t>Ampol Digital</t>
        </is>
      </c>
      <c r="P156" t="inlineStr">
        <is>
          <t>Ampol Web</t>
        </is>
      </c>
      <c r="Q156" t="inlineStr">
        <is>
          <t>Squad</t>
        </is>
      </c>
      <c r="R156" t="inlineStr">
        <is>
          <t>Filled</t>
        </is>
      </c>
    </row>
    <row r="157" ht="18" customHeight="1" s="849">
      <c r="A157" s="250" t="n">
        <v>0</v>
      </c>
      <c r="B157" s="220" t="inlineStr">
        <is>
          <t>Safiq Iqbal</t>
        </is>
      </c>
      <c r="C157" s="220" t="inlineStr">
        <is>
          <t>Principal Engineer</t>
        </is>
      </c>
      <c r="D157" s="220" t="inlineStr">
        <is>
          <t>Vacant</t>
        </is>
      </c>
      <c r="E157" s="220" t="inlineStr">
        <is>
          <t>Head of Technology, Digital</t>
        </is>
      </c>
      <c r="F157" s="220" t="inlineStr">
        <is>
          <t>Customer</t>
        </is>
      </c>
      <c r="G157" s="251" t="inlineStr">
        <is>
          <t>Digital</t>
        </is>
      </c>
      <c r="H157" s="251" t="inlineStr">
        <is>
          <t>EGI</t>
        </is>
      </c>
      <c r="I157" s="251" t="inlineStr">
        <is>
          <t>EGI Integration</t>
        </is>
      </c>
      <c r="J157" s="220" t="inlineStr">
        <is>
          <t>EGI</t>
        </is>
      </c>
      <c r="K157" s="220" t="inlineStr">
        <is>
          <t>EGI Customer</t>
        </is>
      </c>
      <c r="L157" s="251" t="n"/>
      <c r="M157" s="252" t="inlineStr">
        <is>
          <t>Australia</t>
        </is>
      </c>
      <c r="N157" t="inlineStr">
        <is>
          <t>Customer</t>
        </is>
      </c>
      <c r="O157" t="inlineStr">
        <is>
          <t>EGI Customer</t>
        </is>
      </c>
      <c r="P157" t="inlineStr">
        <is>
          <t>EGI Customer</t>
        </is>
      </c>
      <c r="Q157" t="inlineStr">
        <is>
          <t>Strategic Program</t>
        </is>
      </c>
      <c r="R157" t="inlineStr">
        <is>
          <t>Filled</t>
        </is>
      </c>
    </row>
    <row r="158" ht="18" customHeight="1" s="849">
      <c r="A158" s="250" t="n"/>
      <c r="B158" s="220" t="inlineStr">
        <is>
          <t>Vacant</t>
        </is>
      </c>
      <c r="C158" s="251" t="inlineStr">
        <is>
          <t>Snr Engineer, (TBD</t>
        </is>
      </c>
      <c r="D158" s="251" t="inlineStr">
        <is>
          <t>vacant</t>
        </is>
      </c>
      <c r="E158" s="251" t="inlineStr">
        <is>
          <t>AI Enablement Lead</t>
        </is>
      </c>
      <c r="F158" s="220" t="inlineStr">
        <is>
          <t>Customer</t>
        </is>
      </c>
      <c r="G158" s="251" t="inlineStr">
        <is>
          <t>Customer, AI Enablement</t>
        </is>
      </c>
      <c r="H158" s="251" t="n"/>
      <c r="I158" s="251" t="inlineStr">
        <is>
          <t>Customer</t>
        </is>
      </c>
      <c r="J158" s="251" t="inlineStr">
        <is>
          <t>(All Customer)</t>
        </is>
      </c>
      <c r="K158" s="220" t="inlineStr">
        <is>
          <t>Customer, AI</t>
        </is>
      </c>
      <c r="L158" s="251" t="n"/>
      <c r="M158" s="252" t="n"/>
      <c r="N158" t="inlineStr">
        <is>
          <t>Customer</t>
        </is>
      </c>
      <c r="O158" t="inlineStr">
        <is>
          <t>-</t>
        </is>
      </c>
      <c r="P158" t="inlineStr">
        <is>
          <t>Customer AI</t>
        </is>
      </c>
      <c r="Q158" t="inlineStr">
        <is>
          <t>Squad</t>
        </is>
      </c>
      <c r="R158" t="inlineStr">
        <is>
          <t>Vacant</t>
        </is>
      </c>
    </row>
    <row r="159" ht="18" customHeight="1" s="849">
      <c r="A159" s="250" t="n"/>
      <c r="B159" s="220" t="inlineStr">
        <is>
          <t>Vacant (B2B)</t>
        </is>
      </c>
      <c r="C159" s="220" t="inlineStr">
        <is>
          <t>Engineer - BE</t>
        </is>
      </c>
      <c r="D159" s="220" t="inlineStr">
        <is>
          <t>vacant</t>
        </is>
      </c>
      <c r="E159" s="220" t="inlineStr">
        <is>
          <t>Technology Manager, Digital Engineering</t>
        </is>
      </c>
      <c r="F159" s="220" t="inlineStr">
        <is>
          <t>Customer</t>
        </is>
      </c>
      <c r="G159" s="251" t="inlineStr">
        <is>
          <t>Digital</t>
        </is>
      </c>
      <c r="H159" s="251" t="inlineStr">
        <is>
          <t>Tech, Digital Engineering</t>
        </is>
      </c>
      <c r="I159" s="251" t="inlineStr">
        <is>
          <t>Customer</t>
        </is>
      </c>
      <c r="J159" s="220" t="inlineStr">
        <is>
          <t>Ampol Digital</t>
        </is>
      </c>
      <c r="K159" s="220" t="inlineStr">
        <is>
          <t>B2B</t>
        </is>
      </c>
      <c r="L159" s="251" t="n"/>
      <c r="M159" s="252" t="inlineStr">
        <is>
          <t>Australia</t>
        </is>
      </c>
      <c r="N159" t="inlineStr">
        <is>
          <t>Energy Solutions &amp; B2B</t>
        </is>
      </c>
      <c r="O159" t="inlineStr">
        <is>
          <t>B2B</t>
        </is>
      </c>
      <c r="P159" t="inlineStr">
        <is>
          <t>B2B</t>
        </is>
      </c>
      <c r="Q159" t="inlineStr">
        <is>
          <t>Squad</t>
        </is>
      </c>
      <c r="R159" t="inlineStr">
        <is>
          <t>Filled</t>
        </is>
      </c>
    </row>
    <row r="160" ht="18" customHeight="1" s="849">
      <c r="A160" s="250" t="n"/>
      <c r="B160" s="220" t="inlineStr">
        <is>
          <t>Vacant</t>
        </is>
      </c>
      <c r="C160" s="220" t="inlineStr">
        <is>
          <t>AI Enablement Lead</t>
        </is>
      </c>
      <c r="D160" s="220" t="inlineStr">
        <is>
          <t>Vacant</t>
        </is>
      </c>
      <c r="E160" s="220" t="inlineStr">
        <is>
          <t>GM TDD, Customer</t>
        </is>
      </c>
      <c r="F160" s="220" t="inlineStr">
        <is>
          <t>Customer</t>
        </is>
      </c>
      <c r="G160" s="251" t="inlineStr">
        <is>
          <t>Customer, AI Enablement</t>
        </is>
      </c>
      <c r="H160" s="220" t="n"/>
      <c r="I160" s="220" t="inlineStr">
        <is>
          <t>Customer</t>
        </is>
      </c>
      <c r="J160" s="220" t="inlineStr">
        <is>
          <t>(All Customer)</t>
        </is>
      </c>
      <c r="K160" s="220" t="inlineStr">
        <is>
          <t>Leadership</t>
        </is>
      </c>
      <c r="L160" s="251" t="n"/>
      <c r="M160" s="252" t="n"/>
      <c r="N160" t="inlineStr">
        <is>
          <t>Customer</t>
        </is>
      </c>
      <c r="O160" t="inlineStr">
        <is>
          <t>Leadership</t>
        </is>
      </c>
      <c r="P160" t="inlineStr">
        <is>
          <t>Leadership</t>
        </is>
      </c>
      <c r="Q160" t="inlineStr">
        <is>
          <t>Leadership</t>
        </is>
      </c>
      <c r="R160" t="inlineStr">
        <is>
          <t>Vacant</t>
        </is>
      </c>
    </row>
    <row r="161" ht="18" customHeight="1" s="849">
      <c r="A161" s="250" t="n">
        <v>99999101612</v>
      </c>
      <c r="B161" s="220" t="inlineStr">
        <is>
          <t>Shane Abrahams</t>
        </is>
      </c>
      <c r="C161" s="220" t="inlineStr">
        <is>
          <t>Digital Support Manager - NZ</t>
        </is>
      </c>
      <c r="D161" s="220" t="inlineStr">
        <is>
          <t>Vacant</t>
        </is>
      </c>
      <c r="E161" s="220" t="inlineStr">
        <is>
          <t>Head of Technology, Digital</t>
        </is>
      </c>
      <c r="F161" s="220" t="inlineStr">
        <is>
          <t>Customer</t>
        </is>
      </c>
      <c r="G161" s="251" t="inlineStr">
        <is>
          <t>Digital</t>
        </is>
      </c>
      <c r="H161" s="251" t="inlineStr">
        <is>
          <t>Digital Support (NZ)</t>
        </is>
      </c>
      <c r="I161" s="220" t="inlineStr">
        <is>
          <t>Customer</t>
        </is>
      </c>
      <c r="J161" s="220" t="inlineStr">
        <is>
          <t>Customer Z</t>
        </is>
      </c>
      <c r="K161" s="220" t="inlineStr">
        <is>
          <t>Z Energy Apps</t>
        </is>
      </c>
      <c r="L161" s="251" t="n"/>
      <c r="M161" s="252" t="inlineStr">
        <is>
          <t>NZ</t>
        </is>
      </c>
      <c r="N161" t="inlineStr">
        <is>
          <t>Customer</t>
        </is>
      </c>
      <c r="O161" t="inlineStr">
        <is>
          <t>Customer Z</t>
        </is>
      </c>
      <c r="P161" t="inlineStr">
        <is>
          <t>Z Energy Apps</t>
        </is>
      </c>
      <c r="Q161" t="inlineStr">
        <is>
          <t>Squad</t>
        </is>
      </c>
      <c r="R161" t="inlineStr">
        <is>
          <t>Filled</t>
        </is>
      </c>
    </row>
    <row r="162" ht="18" customHeight="1" s="849">
      <c r="A162" s="250" t="n">
        <v>4781</v>
      </c>
      <c r="B162" s="220" t="inlineStr">
        <is>
          <t>Mark Wilson</t>
        </is>
      </c>
      <c r="C162" s="220" t="inlineStr">
        <is>
          <t>Digital Support Manager (AU)</t>
        </is>
      </c>
      <c r="D162" s="220" t="inlineStr">
        <is>
          <t>Vacant</t>
        </is>
      </c>
      <c r="E162" s="220" t="inlineStr">
        <is>
          <t>Head of Technology, Digital</t>
        </is>
      </c>
      <c r="F162" s="220" t="inlineStr">
        <is>
          <t>Customer</t>
        </is>
      </c>
      <c r="G162" s="251" t="inlineStr">
        <is>
          <t>Digital</t>
        </is>
      </c>
      <c r="H162" s="251" t="inlineStr">
        <is>
          <t>Digital Support (AU)</t>
        </is>
      </c>
      <c r="I162" s="251" t="inlineStr">
        <is>
          <t>Customer</t>
        </is>
      </c>
      <c r="J162" s="220" t="inlineStr">
        <is>
          <t>Ampol Digital</t>
        </is>
      </c>
      <c r="K162" s="220" t="inlineStr">
        <is>
          <t>Digital Ops Support</t>
        </is>
      </c>
      <c r="L162" s="251" t="n"/>
      <c r="M162" s="252" t="inlineStr">
        <is>
          <t>Australia</t>
        </is>
      </c>
      <c r="N162" t="inlineStr">
        <is>
          <t>Customer</t>
        </is>
      </c>
      <c r="O162" t="inlineStr">
        <is>
          <t>Ampol Digital</t>
        </is>
      </c>
      <c r="P162" t="inlineStr">
        <is>
          <t>Digital Operations</t>
        </is>
      </c>
      <c r="Q162" t="inlineStr">
        <is>
          <t>Squad</t>
        </is>
      </c>
      <c r="R162" t="inlineStr">
        <is>
          <t>Filled</t>
        </is>
      </c>
    </row>
    <row r="163" ht="18" customHeight="1" s="849">
      <c r="A163" s="250" t="n">
        <v>115607</v>
      </c>
      <c r="B163" s="220" t="inlineStr">
        <is>
          <t>Zohan Sim</t>
        </is>
      </c>
      <c r="C163" s="220" t="inlineStr">
        <is>
          <t>Engineer - BE</t>
        </is>
      </c>
      <c r="D163" s="220" t="inlineStr">
        <is>
          <t>Vacant</t>
        </is>
      </c>
      <c r="E163" s="220" t="inlineStr">
        <is>
          <t>Lead Engineer - BE</t>
        </is>
      </c>
      <c r="F163" s="220" t="inlineStr">
        <is>
          <t>Customer</t>
        </is>
      </c>
      <c r="G163" s="251" t="inlineStr">
        <is>
          <t>Digital</t>
        </is>
      </c>
      <c r="H163" s="251" t="inlineStr">
        <is>
          <t>Tech, Digital Engineering</t>
        </is>
      </c>
      <c r="I163" s="251" t="inlineStr">
        <is>
          <t>Customer</t>
        </is>
      </c>
      <c r="J163" s="220" t="inlineStr">
        <is>
          <t>Ampol Digital</t>
        </is>
      </c>
      <c r="K163" s="220" t="inlineStr">
        <is>
          <t>Ampol Web</t>
        </is>
      </c>
      <c r="L163" s="251" t="n"/>
      <c r="M163" s="252" t="inlineStr">
        <is>
          <t>Australia</t>
        </is>
      </c>
      <c r="N163" t="inlineStr">
        <is>
          <t>Customer</t>
        </is>
      </c>
      <c r="O163" t="inlineStr">
        <is>
          <t>Ampol Digital</t>
        </is>
      </c>
      <c r="P163" t="inlineStr">
        <is>
          <t>Ampol Web</t>
        </is>
      </c>
      <c r="Q163" t="inlineStr">
        <is>
          <t>Squad</t>
        </is>
      </c>
      <c r="R163" t="inlineStr">
        <is>
          <t>Filled</t>
        </is>
      </c>
    </row>
    <row r="164" ht="18" customHeight="1" s="849">
      <c r="A164" s="250" t="n"/>
      <c r="B164" s="220" t="inlineStr">
        <is>
          <t>Vacant</t>
        </is>
      </c>
      <c r="C164" s="220" t="inlineStr">
        <is>
          <t>Engineer - BE</t>
        </is>
      </c>
      <c r="D164" s="220" t="inlineStr">
        <is>
          <t>Vacant</t>
        </is>
      </c>
      <c r="E164" s="220" t="inlineStr">
        <is>
          <t>Digital Support Manager(AU)</t>
        </is>
      </c>
      <c r="F164" s="220" t="inlineStr">
        <is>
          <t>Customer</t>
        </is>
      </c>
      <c r="G164" s="251" t="inlineStr">
        <is>
          <t>Digital</t>
        </is>
      </c>
      <c r="H164" s="220" t="inlineStr">
        <is>
          <t>Delivery, Commercial Fuels</t>
        </is>
      </c>
      <c r="I164" s="251" t="inlineStr">
        <is>
          <t>Customer</t>
        </is>
      </c>
      <c r="J164" s="220" t="inlineStr">
        <is>
          <t>Ampol Digital</t>
        </is>
      </c>
      <c r="K164" s="220" t="inlineStr">
        <is>
          <t>Digital Ops Support</t>
        </is>
      </c>
      <c r="L164" s="251" t="n"/>
      <c r="M164" s="252" t="inlineStr">
        <is>
          <t>Australia</t>
        </is>
      </c>
      <c r="N164" t="inlineStr">
        <is>
          <t>Customer</t>
        </is>
      </c>
      <c r="O164" t="inlineStr">
        <is>
          <t>Ampol Digital</t>
        </is>
      </c>
      <c r="P164" t="inlineStr">
        <is>
          <t>Digital Operations</t>
        </is>
      </c>
      <c r="Q164" t="inlineStr">
        <is>
          <t>Squad</t>
        </is>
      </c>
      <c r="R164" t="inlineStr">
        <is>
          <t>Vacant</t>
        </is>
      </c>
    </row>
    <row r="165" ht="18" customHeight="1" s="849">
      <c r="A165" s="250" t="n"/>
      <c r="B165" s="220" t="inlineStr">
        <is>
          <t>Vacant</t>
        </is>
      </c>
      <c r="C165" s="251" t="inlineStr">
        <is>
          <t>Engineer, (TBD)</t>
        </is>
      </c>
      <c r="D165" s="251" t="inlineStr">
        <is>
          <t>Vacant</t>
        </is>
      </c>
      <c r="E165" s="251" t="inlineStr">
        <is>
          <t>AI Enablement Lead</t>
        </is>
      </c>
      <c r="F165" s="220" t="inlineStr">
        <is>
          <t>Customer</t>
        </is>
      </c>
      <c r="G165" s="251" t="inlineStr">
        <is>
          <t>Customer, AI Enablement</t>
        </is>
      </c>
      <c r="H165" s="251" t="n"/>
      <c r="I165" s="251" t="inlineStr">
        <is>
          <t>Customer</t>
        </is>
      </c>
      <c r="J165" s="251" t="inlineStr">
        <is>
          <t>(All Customer)</t>
        </is>
      </c>
      <c r="K165" s="220" t="inlineStr">
        <is>
          <t>Customer, AI</t>
        </is>
      </c>
      <c r="L165" s="251" t="n"/>
      <c r="M165" s="252" t="n"/>
      <c r="N165" t="inlineStr">
        <is>
          <t>Customer</t>
        </is>
      </c>
      <c r="O165" t="inlineStr">
        <is>
          <t>-</t>
        </is>
      </c>
      <c r="P165" t="inlineStr">
        <is>
          <t>Customer AI</t>
        </is>
      </c>
      <c r="Q165" t="inlineStr">
        <is>
          <t>Squad</t>
        </is>
      </c>
      <c r="R165" t="inlineStr">
        <is>
          <t>Vacant</t>
        </is>
      </c>
    </row>
    <row r="166" ht="18" customHeight="1" s="849">
      <c r="A166" s="250" t="n">
        <v>114395</v>
      </c>
      <c r="B166" s="220" t="inlineStr">
        <is>
          <t>Rishabh Bhatia</t>
        </is>
      </c>
      <c r="C166" s="220" t="inlineStr">
        <is>
          <t>Engineer - Mobile (Android)</t>
        </is>
      </c>
      <c r="D166" s="220" t="inlineStr">
        <is>
          <t>Vacant</t>
        </is>
      </c>
      <c r="E166" s="220" t="inlineStr">
        <is>
          <t>Technology Manager, Digitial</t>
        </is>
      </c>
      <c r="F166" s="220" t="inlineStr">
        <is>
          <t>Customer</t>
        </is>
      </c>
      <c r="G166" s="251" t="inlineStr">
        <is>
          <t>Digital</t>
        </is>
      </c>
      <c r="H166" s="220" t="inlineStr">
        <is>
          <t>Digital, Tech</t>
        </is>
      </c>
      <c r="I166" s="251" t="inlineStr">
        <is>
          <t>EGI Integration</t>
        </is>
      </c>
      <c r="J166" s="220" t="inlineStr">
        <is>
          <t>EGI</t>
        </is>
      </c>
      <c r="K166" s="220" t="inlineStr">
        <is>
          <t>EGI Customer</t>
        </is>
      </c>
      <c r="L166" s="251" t="n"/>
      <c r="M166" s="252" t="inlineStr">
        <is>
          <t>Australia</t>
        </is>
      </c>
      <c r="N166" t="inlineStr">
        <is>
          <t>Customer</t>
        </is>
      </c>
      <c r="O166" t="inlineStr">
        <is>
          <t>EGI Customer</t>
        </is>
      </c>
      <c r="P166" t="inlineStr">
        <is>
          <t>EGI Customer</t>
        </is>
      </c>
      <c r="Q166" t="inlineStr">
        <is>
          <t>Strategic Program</t>
        </is>
      </c>
      <c r="R166" t="inlineStr">
        <is>
          <t>Filled</t>
        </is>
      </c>
    </row>
    <row r="167" ht="18" customHeight="1" s="849">
      <c r="A167" s="250" t="n"/>
      <c r="B167" s="220" t="inlineStr">
        <is>
          <t>Vacant</t>
        </is>
      </c>
      <c r="C167" s="220" t="inlineStr">
        <is>
          <t>Engineer - BE</t>
        </is>
      </c>
      <c r="D167" s="220" t="inlineStr">
        <is>
          <t>Vacant</t>
        </is>
      </c>
      <c r="E167" s="220" t="inlineStr">
        <is>
          <t>Digital Support Manager(AU)</t>
        </is>
      </c>
      <c r="F167" s="220" t="inlineStr">
        <is>
          <t>Customer</t>
        </is>
      </c>
      <c r="G167" s="251" t="inlineStr">
        <is>
          <t>Digital</t>
        </is>
      </c>
      <c r="H167" s="220" t="inlineStr">
        <is>
          <t>Digital Support (AU)</t>
        </is>
      </c>
      <c r="I167" s="251" t="inlineStr">
        <is>
          <t>Customer</t>
        </is>
      </c>
      <c r="J167" s="220" t="inlineStr">
        <is>
          <t>Ampol Digital</t>
        </is>
      </c>
      <c r="K167" s="220" t="inlineStr">
        <is>
          <t>Digital Ops Support</t>
        </is>
      </c>
      <c r="L167" s="251" t="n"/>
      <c r="M167" s="252" t="inlineStr">
        <is>
          <t>Australia</t>
        </is>
      </c>
      <c r="N167" t="inlineStr">
        <is>
          <t>Customer</t>
        </is>
      </c>
      <c r="O167" t="inlineStr">
        <is>
          <t>Ampol Digital</t>
        </is>
      </c>
      <c r="P167" t="inlineStr">
        <is>
          <t>Digital Operations</t>
        </is>
      </c>
      <c r="Q167" t="inlineStr">
        <is>
          <t>Squad</t>
        </is>
      </c>
      <c r="R167" t="inlineStr">
        <is>
          <t>Vacant</t>
        </is>
      </c>
    </row>
    <row r="168" ht="18" customHeight="1" s="849">
      <c r="A168" s="250" t="n">
        <v>99999101730</v>
      </c>
      <c r="B168" s="260" t="inlineStr">
        <is>
          <t>Scott Cullen</t>
        </is>
      </c>
      <c r="C168" s="251" t="inlineStr">
        <is>
          <t>Engineer, Dev Ops</t>
        </is>
      </c>
      <c r="D168" s="251" t="inlineStr">
        <is>
          <t>Vacant</t>
        </is>
      </c>
      <c r="E168" s="251" t="inlineStr">
        <is>
          <t>Technology Manager, Data &amp; Engineering</t>
        </is>
      </c>
      <c r="F168" s="220" t="inlineStr">
        <is>
          <t>Customer</t>
        </is>
      </c>
      <c r="G168" s="251" t="inlineStr">
        <is>
          <t>Loyatly &amp; Martec</t>
        </is>
      </c>
      <c r="H168" s="220" t="inlineStr">
        <is>
          <t>Loyalty, Data &amp; Engineering</t>
        </is>
      </c>
      <c r="I168" s="220" t="inlineStr">
        <is>
          <t>Customer</t>
        </is>
      </c>
      <c r="J168" s="251" t="inlineStr">
        <is>
          <t>Customer Z</t>
        </is>
      </c>
      <c r="K168" s="251" t="inlineStr">
        <is>
          <t>Z Energy Martech</t>
        </is>
      </c>
      <c r="L168" s="251" t="n"/>
      <c r="M168" s="252" t="inlineStr">
        <is>
          <t>NZ</t>
        </is>
      </c>
      <c r="N168" t="inlineStr">
        <is>
          <t>Customer</t>
        </is>
      </c>
      <c r="O168" t="inlineStr">
        <is>
          <t>Customer Z</t>
        </is>
      </c>
      <c r="P168" t="inlineStr">
        <is>
          <t>Z Energy Martech</t>
        </is>
      </c>
      <c r="Q168" t="inlineStr">
        <is>
          <t>Squad</t>
        </is>
      </c>
      <c r="R168" t="inlineStr">
        <is>
          <t>Filled</t>
        </is>
      </c>
    </row>
    <row r="169" ht="18" customHeight="1" s="849">
      <c r="A169" s="250" t="n">
        <v>97634</v>
      </c>
      <c r="B169" s="220" t="inlineStr">
        <is>
          <t>Khalid Mahmud</t>
        </is>
      </c>
      <c r="C169" s="220" t="inlineStr">
        <is>
          <t>Lead Engineer - BE</t>
        </is>
      </c>
      <c r="D169" s="220" t="inlineStr">
        <is>
          <t>vacant</t>
        </is>
      </c>
      <c r="E169" s="220" t="inlineStr">
        <is>
          <t>Technology Manager, Digital Engineering</t>
        </is>
      </c>
      <c r="F169" s="220" t="inlineStr">
        <is>
          <t>Customer</t>
        </is>
      </c>
      <c r="G169" s="251" t="inlineStr">
        <is>
          <t>Digital</t>
        </is>
      </c>
      <c r="H169" s="251" t="inlineStr">
        <is>
          <t>Tech, Digital Engineering</t>
        </is>
      </c>
      <c r="I169" s="251" t="inlineStr">
        <is>
          <t>Customer</t>
        </is>
      </c>
      <c r="J169" s="220" t="inlineStr">
        <is>
          <t>Ampol Digital</t>
        </is>
      </c>
      <c r="K169" s="220" t="inlineStr">
        <is>
          <t>Ampol App</t>
        </is>
      </c>
      <c r="L169" s="251" t="n"/>
      <c r="M169" s="252" t="inlineStr">
        <is>
          <t>Australia</t>
        </is>
      </c>
      <c r="N169" t="inlineStr">
        <is>
          <t>Customer</t>
        </is>
      </c>
      <c r="O169" t="inlineStr">
        <is>
          <t>Ampol Digital</t>
        </is>
      </c>
      <c r="P169" t="inlineStr">
        <is>
          <t>Ampol App</t>
        </is>
      </c>
      <c r="Q169" t="inlineStr">
        <is>
          <t>Squad</t>
        </is>
      </c>
      <c r="R169" t="inlineStr">
        <is>
          <t>Filled</t>
        </is>
      </c>
    </row>
    <row r="170" ht="18" customHeight="1" s="849">
      <c r="A170" s="250" t="n">
        <v>107144</v>
      </c>
      <c r="B170" s="220" t="inlineStr">
        <is>
          <t>Jasper Na</t>
        </is>
      </c>
      <c r="C170" s="220" t="inlineStr">
        <is>
          <t>Associate Engineer - BE</t>
        </is>
      </c>
      <c r="D170" s="220" t="inlineStr">
        <is>
          <t>Vacant</t>
        </is>
      </c>
      <c r="E170" s="220" t="inlineStr">
        <is>
          <t>Lead Engineer - BE</t>
        </is>
      </c>
      <c r="F170" s="220" t="inlineStr">
        <is>
          <t>Customer</t>
        </is>
      </c>
      <c r="G170" s="251" t="inlineStr">
        <is>
          <t>Digital</t>
        </is>
      </c>
      <c r="H170" s="251" t="inlineStr">
        <is>
          <t>Tech, Digital Engineering</t>
        </is>
      </c>
      <c r="I170" s="251" t="inlineStr">
        <is>
          <t>Customer</t>
        </is>
      </c>
      <c r="J170" s="220" t="inlineStr">
        <is>
          <t>Ampol Digital</t>
        </is>
      </c>
      <c r="K170" s="220" t="inlineStr">
        <is>
          <t>Energy</t>
        </is>
      </c>
      <c r="L170" s="251" t="n"/>
      <c r="M170" s="252" t="inlineStr">
        <is>
          <t>Australia</t>
        </is>
      </c>
      <c r="N170" t="inlineStr">
        <is>
          <t>Energy Solutions &amp; B2B</t>
        </is>
      </c>
      <c r="O170" t="inlineStr">
        <is>
          <t>Energy Solutions</t>
        </is>
      </c>
      <c r="P170" t="inlineStr">
        <is>
          <t>Energy</t>
        </is>
      </c>
      <c r="Q170" t="inlineStr">
        <is>
          <t>Squad</t>
        </is>
      </c>
      <c r="R170" t="inlineStr">
        <is>
          <t>Filled</t>
        </is>
      </c>
    </row>
    <row r="171" ht="18" customHeight="1" s="849">
      <c r="A171" s="250" t="n"/>
      <c r="B171" s="220" t="inlineStr">
        <is>
          <t>Vacant</t>
        </is>
      </c>
      <c r="C171" s="220" t="inlineStr">
        <is>
          <t>Snr Engineer - BE</t>
        </is>
      </c>
      <c r="D171" s="220" t="inlineStr">
        <is>
          <t>Vacant</t>
        </is>
      </c>
      <c r="E171" s="220" t="inlineStr">
        <is>
          <t>Lead Engineer - BE</t>
        </is>
      </c>
      <c r="F171" s="220" t="inlineStr">
        <is>
          <t>Customer</t>
        </is>
      </c>
      <c r="G171" s="251" t="inlineStr">
        <is>
          <t>Digital</t>
        </is>
      </c>
      <c r="H171" s="251" t="inlineStr">
        <is>
          <t>Tech, Digital Engineering</t>
        </is>
      </c>
      <c r="I171" s="251" t="inlineStr">
        <is>
          <t>Customer</t>
        </is>
      </c>
      <c r="J171" s="220" t="inlineStr">
        <is>
          <t>Ampol Digital</t>
        </is>
      </c>
      <c r="K171" s="220" t="inlineStr">
        <is>
          <t>Ampol Web</t>
        </is>
      </c>
      <c r="L171" s="251" t="n"/>
      <c r="M171" s="252" t="inlineStr">
        <is>
          <t>Australia</t>
        </is>
      </c>
      <c r="N171" t="inlineStr">
        <is>
          <t>Customer</t>
        </is>
      </c>
      <c r="O171" t="inlineStr">
        <is>
          <t>Ampol Digital</t>
        </is>
      </c>
      <c r="P171" t="inlineStr">
        <is>
          <t>Ampol Web</t>
        </is>
      </c>
      <c r="Q171" t="inlineStr">
        <is>
          <t>Squad</t>
        </is>
      </c>
      <c r="R171" t="inlineStr">
        <is>
          <t>Vacant</t>
        </is>
      </c>
    </row>
    <row r="172" ht="18" customHeight="1" s="849">
      <c r="A172" s="250" t="n"/>
      <c r="B172" s="273" t="inlineStr">
        <is>
          <t>Vacant</t>
        </is>
      </c>
      <c r="C172" s="251" t="inlineStr">
        <is>
          <t>Data Analyst</t>
        </is>
      </c>
      <c r="D172" s="251" t="inlineStr">
        <is>
          <t>Vacant</t>
        </is>
      </c>
      <c r="E172" s="251" t="inlineStr">
        <is>
          <t>Technology Manager, Data &amp; Engineering</t>
        </is>
      </c>
      <c r="F172" s="220" t="inlineStr">
        <is>
          <t>Customer</t>
        </is>
      </c>
      <c r="G172" s="251" t="inlineStr">
        <is>
          <t>Loyatly &amp; Martec</t>
        </is>
      </c>
      <c r="H172" s="220" t="inlineStr">
        <is>
          <t>Loyalty, Data &amp; Engineering</t>
        </is>
      </c>
      <c r="I172" s="220" t="inlineStr">
        <is>
          <t>Customer</t>
        </is>
      </c>
      <c r="J172" s="251" t="inlineStr">
        <is>
          <t>Group Customer</t>
        </is>
      </c>
      <c r="K172" s="220" t="inlineStr">
        <is>
          <t>AU CRM &amp; Martech</t>
        </is>
      </c>
      <c r="L172" s="251" t="n"/>
      <c r="M172" s="252" t="n"/>
      <c r="N172" t="inlineStr">
        <is>
          <t>Customer</t>
        </is>
      </c>
      <c r="O172" t="inlineStr">
        <is>
          <t>Group Customer Platforms</t>
        </is>
      </c>
      <c r="P172" t="inlineStr">
        <is>
          <t>AU CRM &amp; Martech</t>
        </is>
      </c>
      <c r="Q172" t="inlineStr">
        <is>
          <t>Squad</t>
        </is>
      </c>
      <c r="R172" t="inlineStr">
        <is>
          <t>Vacant</t>
        </is>
      </c>
    </row>
    <row r="173" ht="18" customHeight="1" s="849">
      <c r="A173" s="250" t="n">
        <v>99999101324</v>
      </c>
      <c r="B173" s="260" t="inlineStr">
        <is>
          <t>Angela Gilbert</t>
        </is>
      </c>
      <c r="C173" s="251" t="inlineStr">
        <is>
          <t>Martech Lead - Dynamics</t>
        </is>
      </c>
      <c r="D173" s="251" t="inlineStr">
        <is>
          <t>Vacant</t>
        </is>
      </c>
      <c r="E173" s="251" t="inlineStr">
        <is>
          <t>Delivery Manager, Loyalty</t>
        </is>
      </c>
      <c r="F173" s="220" t="inlineStr">
        <is>
          <t>Customer</t>
        </is>
      </c>
      <c r="G173" s="251" t="inlineStr">
        <is>
          <t>Loyatly &amp; Martec</t>
        </is>
      </c>
      <c r="H173" s="220" t="inlineStr">
        <is>
          <t xml:space="preserve">Loyalty, Delivery </t>
        </is>
      </c>
      <c r="I173" s="220" t="inlineStr">
        <is>
          <t>Customer</t>
        </is>
      </c>
      <c r="J173" s="251" t="inlineStr">
        <is>
          <t>Group Customer</t>
        </is>
      </c>
      <c r="K173" s="251" t="inlineStr">
        <is>
          <t>AU CRM &amp; Martech</t>
        </is>
      </c>
      <c r="L173" s="251" t="n"/>
      <c r="M173" s="252" t="inlineStr">
        <is>
          <t>NZ</t>
        </is>
      </c>
      <c r="N173" t="inlineStr">
        <is>
          <t>Customer</t>
        </is>
      </c>
      <c r="O173" t="inlineStr">
        <is>
          <t>Group Customer Platforms</t>
        </is>
      </c>
      <c r="P173" t="inlineStr">
        <is>
          <t>AU CRM &amp; Martech</t>
        </is>
      </c>
      <c r="Q173" t="inlineStr">
        <is>
          <t>Squad</t>
        </is>
      </c>
      <c r="R173" t="inlineStr">
        <is>
          <t>Filled</t>
        </is>
      </c>
    </row>
    <row r="174" ht="18" customHeight="1" s="849">
      <c r="A174" s="250" t="n">
        <v>109041</v>
      </c>
      <c r="B174" s="220" t="inlineStr">
        <is>
          <t>Darwin Morales</t>
        </is>
      </c>
      <c r="C174" s="220" t="inlineStr">
        <is>
          <t>Snr Engineer - FE</t>
        </is>
      </c>
      <c r="D174" s="220" t="inlineStr">
        <is>
          <t>Vacant</t>
        </is>
      </c>
      <c r="E174" s="220" t="inlineStr">
        <is>
          <t>Technology Manager, Digitial</t>
        </is>
      </c>
      <c r="F174" s="220" t="inlineStr">
        <is>
          <t>Customer</t>
        </is>
      </c>
      <c r="G174" s="251" t="inlineStr">
        <is>
          <t>Digital</t>
        </is>
      </c>
      <c r="H174" s="220" t="inlineStr">
        <is>
          <t>Digital, Tech</t>
        </is>
      </c>
      <c r="I174" s="251" t="inlineStr">
        <is>
          <t>Customer</t>
        </is>
      </c>
      <c r="J174" s="220" t="inlineStr">
        <is>
          <t>Ampol Digital</t>
        </is>
      </c>
      <c r="K174" s="220" t="inlineStr">
        <is>
          <t>Ampol Web</t>
        </is>
      </c>
      <c r="L174" s="251" t="n"/>
      <c r="M174" s="252" t="inlineStr">
        <is>
          <t>Australia</t>
        </is>
      </c>
      <c r="N174" t="inlineStr">
        <is>
          <t>Customer</t>
        </is>
      </c>
      <c r="O174" t="inlineStr">
        <is>
          <t>Ampol Digital</t>
        </is>
      </c>
      <c r="P174" t="inlineStr">
        <is>
          <t>Ampol Web</t>
        </is>
      </c>
      <c r="Q174" t="inlineStr">
        <is>
          <t>Squad</t>
        </is>
      </c>
      <c r="R174" t="inlineStr">
        <is>
          <t>Filled</t>
        </is>
      </c>
    </row>
    <row r="175" ht="18" customHeight="1" s="849">
      <c r="A175" s="250" t="n">
        <v>116387</v>
      </c>
      <c r="B175" s="220" t="inlineStr">
        <is>
          <t>Christian Lazano</t>
        </is>
      </c>
      <c r="C175" s="220" t="inlineStr">
        <is>
          <t>Business Analyst</t>
        </is>
      </c>
      <c r="D175" s="220" t="inlineStr">
        <is>
          <t>Vacant</t>
        </is>
      </c>
      <c r="E175" s="220" t="inlineStr">
        <is>
          <t>customer, program manager</t>
        </is>
      </c>
      <c r="F175" s="220" t="inlineStr">
        <is>
          <t>Customer</t>
        </is>
      </c>
      <c r="G175" s="251" t="inlineStr">
        <is>
          <t>Customer, PMO</t>
        </is>
      </c>
      <c r="H175" s="220" t="n"/>
      <c r="I175" s="220" t="inlineStr">
        <is>
          <t>Customer</t>
        </is>
      </c>
      <c r="J175" s="251" t="inlineStr">
        <is>
          <t>(All Customer)</t>
        </is>
      </c>
      <c r="K175" s="220" t="inlineStr">
        <is>
          <t>Leadership</t>
        </is>
      </c>
      <c r="L175" s="251" t="n"/>
      <c r="M175" s="252" t="inlineStr">
        <is>
          <t>Australia</t>
        </is>
      </c>
      <c r="N175" t="inlineStr">
        <is>
          <t>Customer</t>
        </is>
      </c>
      <c r="O175" t="inlineStr">
        <is>
          <t>Leadership</t>
        </is>
      </c>
      <c r="P175" t="inlineStr">
        <is>
          <t>Leadership</t>
        </is>
      </c>
      <c r="Q175" t="inlineStr">
        <is>
          <t>Leadership</t>
        </is>
      </c>
      <c r="R175" t="inlineStr">
        <is>
          <t>Filled</t>
        </is>
      </c>
    </row>
    <row r="176" ht="18" customHeight="1" s="849">
      <c r="A176" s="250" t="n">
        <v>116408</v>
      </c>
      <c r="B176" s="220" t="inlineStr">
        <is>
          <t>Abhilash Reddy</t>
        </is>
      </c>
      <c r="C176" s="220" t="inlineStr">
        <is>
          <t>Project Manager</t>
        </is>
      </c>
      <c r="D176" s="220" t="inlineStr">
        <is>
          <t>Vacant</t>
        </is>
      </c>
      <c r="E176" s="220" t="inlineStr">
        <is>
          <t>Program Manager</t>
        </is>
      </c>
      <c r="F176" s="220" t="inlineStr">
        <is>
          <t>Customer</t>
        </is>
      </c>
      <c r="G176" s="251" t="inlineStr">
        <is>
          <t>Customer, PMO</t>
        </is>
      </c>
      <c r="H176" s="220" t="n"/>
      <c r="I176" s="220" t="inlineStr">
        <is>
          <t>Customer</t>
        </is>
      </c>
      <c r="J176" s="220" t="inlineStr">
        <is>
          <t>Ampol Digital</t>
        </is>
      </c>
      <c r="K176" s="220" t="inlineStr">
        <is>
          <t>Leadership</t>
        </is>
      </c>
      <c r="L176" s="251" t="n"/>
      <c r="M176" s="252" t="inlineStr">
        <is>
          <t>Australia</t>
        </is>
      </c>
      <c r="N176" t="inlineStr">
        <is>
          <t>Customer</t>
        </is>
      </c>
      <c r="O176" t="inlineStr">
        <is>
          <t>Leadership</t>
        </is>
      </c>
      <c r="P176" t="inlineStr">
        <is>
          <t>Leadership</t>
        </is>
      </c>
      <c r="Q176" t="inlineStr">
        <is>
          <t>Leadership</t>
        </is>
      </c>
      <c r="R176" t="inlineStr">
        <is>
          <t>Filled</t>
        </is>
      </c>
    </row>
    <row r="177" ht="18" customHeight="1" s="849">
      <c r="A177" s="250" t="n">
        <v>99999102164</v>
      </c>
      <c r="B177" s="273" t="inlineStr">
        <is>
          <t>anthonty gen</t>
        </is>
      </c>
      <c r="C177" s="251" t="inlineStr">
        <is>
          <t>Data Analyst</t>
        </is>
      </c>
      <c r="D177" s="251" t="inlineStr">
        <is>
          <t>Vacant</t>
        </is>
      </c>
      <c r="E177" s="251" t="inlineStr">
        <is>
          <t>Technology Manager, Data &amp; Engineering</t>
        </is>
      </c>
      <c r="F177" s="220" t="inlineStr">
        <is>
          <t>Customer</t>
        </is>
      </c>
      <c r="G177" s="251" t="inlineStr">
        <is>
          <t>Loyatly &amp; Martec</t>
        </is>
      </c>
      <c r="H177" s="220" t="inlineStr">
        <is>
          <t>Loyalty, Data &amp; Engineering</t>
        </is>
      </c>
      <c r="I177" s="220" t="inlineStr">
        <is>
          <t>Customer</t>
        </is>
      </c>
      <c r="J177" s="251" t="inlineStr">
        <is>
          <t>Group Customer</t>
        </is>
      </c>
      <c r="K177" s="220" t="inlineStr">
        <is>
          <t>Z Energy Martech</t>
        </is>
      </c>
      <c r="L177" s="251" t="n"/>
      <c r="M177" s="252" t="inlineStr">
        <is>
          <t>NZ</t>
        </is>
      </c>
      <c r="N177" t="inlineStr">
        <is>
          <t>Customer</t>
        </is>
      </c>
      <c r="O177" t="inlineStr">
        <is>
          <t>Customer Z</t>
        </is>
      </c>
      <c r="P177" t="inlineStr">
        <is>
          <t>Z Energy Martech</t>
        </is>
      </c>
      <c r="Q177" t="inlineStr">
        <is>
          <t>Squad</t>
        </is>
      </c>
      <c r="R177" t="inlineStr">
        <is>
          <t>Filled</t>
        </is>
      </c>
    </row>
    <row r="178" ht="18" customHeight="1" s="849">
      <c r="A178" s="250" t="n">
        <v>111777</v>
      </c>
      <c r="B178" s="260" t="inlineStr">
        <is>
          <t>Jeremy Xu</t>
        </is>
      </c>
      <c r="C178" s="251" t="inlineStr">
        <is>
          <t>Data Analyst</t>
        </is>
      </c>
      <c r="D178" s="251" t="inlineStr">
        <is>
          <t>Vacant</t>
        </is>
      </c>
      <c r="E178" s="251" t="inlineStr">
        <is>
          <t>Technology Manager, Data &amp; Engineering</t>
        </is>
      </c>
      <c r="F178" s="220" t="inlineStr">
        <is>
          <t>Customer</t>
        </is>
      </c>
      <c r="G178" s="251" t="inlineStr">
        <is>
          <t>Loyatly &amp; Martec</t>
        </is>
      </c>
      <c r="H178" s="220" t="inlineStr">
        <is>
          <t>Loyalty, Data &amp; Engineering</t>
        </is>
      </c>
      <c r="I178" s="220" t="inlineStr">
        <is>
          <t>Customer</t>
        </is>
      </c>
      <c r="J178" s="251" t="inlineStr">
        <is>
          <t>Group Customer</t>
        </is>
      </c>
      <c r="K178" s="220" t="inlineStr">
        <is>
          <t>AU CRM &amp; Martech</t>
        </is>
      </c>
      <c r="L178" s="251" t="n"/>
      <c r="M178" s="252" t="inlineStr">
        <is>
          <t>Australia</t>
        </is>
      </c>
      <c r="N178" t="inlineStr">
        <is>
          <t>Customer</t>
        </is>
      </c>
      <c r="O178" t="inlineStr">
        <is>
          <t>Group Customer Platforms</t>
        </is>
      </c>
      <c r="P178" t="inlineStr">
        <is>
          <t>AU CRM &amp; Martech</t>
        </is>
      </c>
      <c r="Q178" t="inlineStr">
        <is>
          <t>Squad</t>
        </is>
      </c>
      <c r="R178" t="inlineStr">
        <is>
          <t>Filled</t>
        </is>
      </c>
    </row>
    <row r="179" ht="18" customHeight="1" s="849">
      <c r="A179" s="250" t="n"/>
      <c r="B179" s="220" t="inlineStr">
        <is>
          <t>Sri Balan Raj</t>
        </is>
      </c>
      <c r="C179" s="220" t="inlineStr">
        <is>
          <t>Business Analyst</t>
        </is>
      </c>
      <c r="D179" s="251" t="inlineStr">
        <is>
          <t>vacant</t>
        </is>
      </c>
      <c r="E179" s="220" t="inlineStr">
        <is>
          <t>Delivery Manager, Digital</t>
        </is>
      </c>
      <c r="F179" s="220" t="inlineStr">
        <is>
          <t>Customer</t>
        </is>
      </c>
      <c r="G179" s="251" t="inlineStr">
        <is>
          <t>Digital</t>
        </is>
      </c>
      <c r="H179" s="251" t="inlineStr">
        <is>
          <t>Digital, Delivery</t>
        </is>
      </c>
      <c r="I179" s="251" t="inlineStr">
        <is>
          <t>EGI Integration</t>
        </is>
      </c>
      <c r="J179" s="220" t="inlineStr">
        <is>
          <t>EGI</t>
        </is>
      </c>
      <c r="K179" s="220" t="inlineStr">
        <is>
          <t>EGI Customer</t>
        </is>
      </c>
      <c r="L179" s="251" t="n"/>
      <c r="M179" s="252" t="inlineStr">
        <is>
          <t>Australia</t>
        </is>
      </c>
      <c r="N179" t="inlineStr">
        <is>
          <t>Customer</t>
        </is>
      </c>
      <c r="O179" t="inlineStr">
        <is>
          <t>EGI Customer</t>
        </is>
      </c>
      <c r="P179" t="inlineStr">
        <is>
          <t>EGI Customer</t>
        </is>
      </c>
      <c r="Q179" t="inlineStr">
        <is>
          <t>Strategic Program</t>
        </is>
      </c>
      <c r="R179" t="inlineStr">
        <is>
          <t>Filled</t>
        </is>
      </c>
    </row>
    <row r="180" ht="18" customHeight="1" s="849">
      <c r="A180" s="250" t="n"/>
      <c r="B180" s="273" t="inlineStr">
        <is>
          <t>Vacant</t>
        </is>
      </c>
      <c r="C180" s="251" t="inlineStr">
        <is>
          <t>Snr Engineer, Data</t>
        </is>
      </c>
      <c r="D180" s="251" t="inlineStr">
        <is>
          <t>Vacant</t>
        </is>
      </c>
      <c r="E180" s="253" t="inlineStr">
        <is>
          <t>Technology Manager, Data &amp; Engineering</t>
        </is>
      </c>
      <c r="F180" s="220" t="inlineStr">
        <is>
          <t>Customer</t>
        </is>
      </c>
      <c r="G180" s="251" t="inlineStr">
        <is>
          <t>Loyatly &amp; Martec</t>
        </is>
      </c>
      <c r="H180" s="220" t="inlineStr">
        <is>
          <t>Loyalty, Data &amp; Engineering</t>
        </is>
      </c>
      <c r="I180" s="220" t="inlineStr">
        <is>
          <t>Customer</t>
        </is>
      </c>
      <c r="J180" s="251" t="inlineStr">
        <is>
          <t>Customer Z</t>
        </is>
      </c>
      <c r="K180" s="251" t="inlineStr">
        <is>
          <t>Z Energy Martech</t>
        </is>
      </c>
      <c r="L180" s="251" t="n"/>
      <c r="M180" s="252" t="n"/>
      <c r="N180" t="inlineStr">
        <is>
          <t>Customer</t>
        </is>
      </c>
      <c r="O180" t="inlineStr">
        <is>
          <t>Customer Z</t>
        </is>
      </c>
      <c r="P180" t="inlineStr">
        <is>
          <t>Z Energy Martech</t>
        </is>
      </c>
      <c r="Q180" t="inlineStr">
        <is>
          <t>Squad</t>
        </is>
      </c>
      <c r="R180" t="inlineStr">
        <is>
          <t>Vacant</t>
        </is>
      </c>
    </row>
    <row r="181" ht="18" customHeight="1" s="849">
      <c r="A181" s="250" t="n">
        <v>94663</v>
      </c>
      <c r="B181" s="220" t="inlineStr">
        <is>
          <t>Penny Pennisi</t>
        </is>
      </c>
      <c r="C181" s="220" t="inlineStr">
        <is>
          <t>Delivery Lead</t>
        </is>
      </c>
      <c r="D181" s="251" t="inlineStr">
        <is>
          <t>vacant</t>
        </is>
      </c>
      <c r="E181" s="220" t="inlineStr">
        <is>
          <t>Delivery Manager, Digital</t>
        </is>
      </c>
      <c r="F181" s="220" t="inlineStr">
        <is>
          <t>Customer</t>
        </is>
      </c>
      <c r="G181" s="251" t="inlineStr">
        <is>
          <t>Digital</t>
        </is>
      </c>
      <c r="H181" s="251" t="inlineStr">
        <is>
          <t>Digital, Delivery</t>
        </is>
      </c>
      <c r="I181" s="251" t="inlineStr">
        <is>
          <t>Customer</t>
        </is>
      </c>
      <c r="J181" s="220" t="inlineStr">
        <is>
          <t>Ampol Digital</t>
        </is>
      </c>
      <c r="K181" s="220" t="inlineStr">
        <is>
          <t>Ampol App</t>
        </is>
      </c>
      <c r="L181" s="251" t="n"/>
      <c r="M181" s="252" t="inlineStr">
        <is>
          <t>Australia</t>
        </is>
      </c>
      <c r="N181" t="inlineStr">
        <is>
          <t>Customer</t>
        </is>
      </c>
      <c r="O181" t="inlineStr">
        <is>
          <t>Ampol Digital</t>
        </is>
      </c>
      <c r="P181" t="inlineStr">
        <is>
          <t>Ampol App</t>
        </is>
      </c>
      <c r="Q181" t="inlineStr">
        <is>
          <t>Squad</t>
        </is>
      </c>
      <c r="R181" t="inlineStr">
        <is>
          <t>Filled</t>
        </is>
      </c>
    </row>
    <row r="182" ht="18" customHeight="1" s="849">
      <c r="A182" s="250" t="n">
        <v>108384</v>
      </c>
      <c r="B182" s="220" t="inlineStr">
        <is>
          <t>Saugata Acharya</t>
        </is>
      </c>
      <c r="C182" s="220" t="inlineStr">
        <is>
          <t>Delivery Lead</t>
        </is>
      </c>
      <c r="D182" s="251" t="inlineStr">
        <is>
          <t>Vacant</t>
        </is>
      </c>
      <c r="E182" s="220" t="inlineStr">
        <is>
          <t>Delivery Manager, Digital</t>
        </is>
      </c>
      <c r="F182" s="220" t="inlineStr">
        <is>
          <t>Customer</t>
        </is>
      </c>
      <c r="G182" s="251" t="inlineStr">
        <is>
          <t>Digital</t>
        </is>
      </c>
      <c r="H182" s="251" t="inlineStr">
        <is>
          <t>Digital, Delivery</t>
        </is>
      </c>
      <c r="I182" s="251" t="inlineStr">
        <is>
          <t>Customer</t>
        </is>
      </c>
      <c r="J182" s="220" t="inlineStr">
        <is>
          <t>Ampol Digital</t>
        </is>
      </c>
      <c r="K182" s="220" t="inlineStr">
        <is>
          <t>Ampol Web</t>
        </is>
      </c>
      <c r="L182" s="251" t="n"/>
      <c r="M182" s="252" t="inlineStr">
        <is>
          <t>Australia</t>
        </is>
      </c>
      <c r="N182" t="inlineStr">
        <is>
          <t>Customer</t>
        </is>
      </c>
      <c r="O182" t="inlineStr">
        <is>
          <t>Ampol Digital</t>
        </is>
      </c>
      <c r="P182" t="inlineStr">
        <is>
          <t>Ampol Web</t>
        </is>
      </c>
      <c r="Q182" t="inlineStr">
        <is>
          <t>Squad</t>
        </is>
      </c>
      <c r="R182" t="inlineStr">
        <is>
          <t>Filled</t>
        </is>
      </c>
    </row>
    <row r="183" ht="18" customHeight="1" s="849">
      <c r="A183" s="250" t="n">
        <v>99999100621</v>
      </c>
      <c r="B183" s="260" t="inlineStr">
        <is>
          <t>Kellie Gathergood</t>
        </is>
      </c>
      <c r="C183" s="251" t="inlineStr">
        <is>
          <t>Lead Quality Assurance</t>
        </is>
      </c>
      <c r="D183" s="251" t="inlineStr">
        <is>
          <t>Vacant</t>
        </is>
      </c>
      <c r="E183" s="251" t="inlineStr">
        <is>
          <t>Technology Manager, Loyalty &amp; Martech</t>
        </is>
      </c>
      <c r="F183" s="220" t="inlineStr">
        <is>
          <t>Customer</t>
        </is>
      </c>
      <c r="G183" s="251" t="inlineStr">
        <is>
          <t>Loyatly &amp; Martec</t>
        </is>
      </c>
      <c r="H183" s="251" t="inlineStr">
        <is>
          <t>Loyalty, Tech</t>
        </is>
      </c>
      <c r="I183" s="220" t="inlineStr">
        <is>
          <t>Customer</t>
        </is>
      </c>
      <c r="J183" s="251" t="inlineStr">
        <is>
          <t>Customer Z</t>
        </is>
      </c>
      <c r="K183" s="251" t="inlineStr">
        <is>
          <t>Z Energy Martech</t>
        </is>
      </c>
      <c r="L183" s="251" t="n"/>
      <c r="M183" s="252" t="inlineStr">
        <is>
          <t>NZ</t>
        </is>
      </c>
      <c r="N183" t="inlineStr">
        <is>
          <t>Customer</t>
        </is>
      </c>
      <c r="O183" t="inlineStr">
        <is>
          <t>Customer Z</t>
        </is>
      </c>
      <c r="P183" t="inlineStr">
        <is>
          <t>Z Energy Martech</t>
        </is>
      </c>
      <c r="Q183" t="inlineStr">
        <is>
          <t>Squad</t>
        </is>
      </c>
      <c r="R183" t="inlineStr">
        <is>
          <t>Filled</t>
        </is>
      </c>
    </row>
    <row r="184" ht="18" customHeight="1" s="849">
      <c r="A184" s="250" t="n"/>
      <c r="B184" s="220" t="inlineStr">
        <is>
          <t>Vacant</t>
        </is>
      </c>
      <c r="C184" s="220" t="inlineStr">
        <is>
          <t>Quality Assurance</t>
        </is>
      </c>
      <c r="D184" s="220" t="inlineStr">
        <is>
          <t>Vacant</t>
        </is>
      </c>
      <c r="E184" s="220" t="inlineStr">
        <is>
          <t>Digital Support Manager(AU)</t>
        </is>
      </c>
      <c r="F184" s="220" t="inlineStr">
        <is>
          <t>Customer</t>
        </is>
      </c>
      <c r="G184" s="251" t="inlineStr">
        <is>
          <t>Digital</t>
        </is>
      </c>
      <c r="H184" s="220" t="inlineStr">
        <is>
          <t>Digital Support (AU)</t>
        </is>
      </c>
      <c r="I184" s="251" t="inlineStr">
        <is>
          <t>Customer</t>
        </is>
      </c>
      <c r="J184" s="220" t="inlineStr">
        <is>
          <t>Ampol Digital</t>
        </is>
      </c>
      <c r="K184" s="220" t="inlineStr">
        <is>
          <t>Digital Ops Support</t>
        </is>
      </c>
      <c r="L184" s="251" t="n"/>
      <c r="M184" s="252" t="inlineStr">
        <is>
          <t>Australia</t>
        </is>
      </c>
      <c r="N184" t="inlineStr">
        <is>
          <t>Customer</t>
        </is>
      </c>
      <c r="O184" t="inlineStr">
        <is>
          <t>Ampol Digital</t>
        </is>
      </c>
      <c r="P184" t="inlineStr">
        <is>
          <t>Digital Operations</t>
        </is>
      </c>
      <c r="Q184" t="inlineStr">
        <is>
          <t>Squad</t>
        </is>
      </c>
      <c r="R184" t="inlineStr">
        <is>
          <t>Vacant</t>
        </is>
      </c>
    </row>
    <row r="185" ht="18" customHeight="1" s="849">
      <c r="A185" s="250" t="n">
        <v>0</v>
      </c>
      <c r="B185" s="220" t="inlineStr">
        <is>
          <t>Lily Fong</t>
        </is>
      </c>
      <c r="C185" s="220" t="inlineStr">
        <is>
          <t>Snr Business Analyst</t>
        </is>
      </c>
      <c r="D185" s="251" t="inlineStr">
        <is>
          <t>vacant</t>
        </is>
      </c>
      <c r="E185" s="220" t="inlineStr">
        <is>
          <t>Delivery Manager, Digital</t>
        </is>
      </c>
      <c r="F185" s="220" t="inlineStr">
        <is>
          <t>Customer</t>
        </is>
      </c>
      <c r="G185" s="251" t="inlineStr">
        <is>
          <t>Digital</t>
        </is>
      </c>
      <c r="H185" s="251" t="inlineStr">
        <is>
          <t>Ampol Retail, Store Platforms</t>
        </is>
      </c>
      <c r="I185" s="251" t="inlineStr">
        <is>
          <t>Customer</t>
        </is>
      </c>
      <c r="J185" s="220" t="inlineStr">
        <is>
          <t>Ampol Digital</t>
        </is>
      </c>
      <c r="K185" s="220" t="inlineStr">
        <is>
          <t>Ampol Web</t>
        </is>
      </c>
      <c r="L185" s="251" t="n"/>
      <c r="M185" s="252" t="inlineStr">
        <is>
          <t>Australia</t>
        </is>
      </c>
      <c r="N185" t="inlineStr">
        <is>
          <t>Customer</t>
        </is>
      </c>
      <c r="O185" t="inlineStr">
        <is>
          <t>Ampol Digital</t>
        </is>
      </c>
      <c r="P185" t="inlineStr">
        <is>
          <t>Ampol Web</t>
        </is>
      </c>
      <c r="Q185" t="inlineStr">
        <is>
          <t>Squad</t>
        </is>
      </c>
      <c r="R185" t="inlineStr">
        <is>
          <t>Filled</t>
        </is>
      </c>
    </row>
    <row r="186" ht="18" customHeight="1" s="849">
      <c r="A186" s="250" t="n"/>
      <c r="B186" s="273" t="inlineStr">
        <is>
          <t>Vacant</t>
        </is>
      </c>
      <c r="C186" s="251" t="inlineStr">
        <is>
          <t>Quality Assurance</t>
        </is>
      </c>
      <c r="D186" s="251" t="inlineStr">
        <is>
          <t>Vacant</t>
        </is>
      </c>
      <c r="E186" s="251" t="inlineStr">
        <is>
          <t>Delivery Manager, Loyalty</t>
        </is>
      </c>
      <c r="F186" s="220" t="inlineStr">
        <is>
          <t>Customer</t>
        </is>
      </c>
      <c r="G186" s="251" t="inlineStr">
        <is>
          <t>Loyalty &amp; Martech</t>
        </is>
      </c>
      <c r="H186" s="220" t="inlineStr">
        <is>
          <t xml:space="preserve">Loyalty, Delivery </t>
        </is>
      </c>
      <c r="I186" s="220" t="inlineStr">
        <is>
          <t>Customer</t>
        </is>
      </c>
      <c r="J186" s="251" t="inlineStr">
        <is>
          <t>Group Customer</t>
        </is>
      </c>
      <c r="K186" s="251" t="inlineStr">
        <is>
          <t>AU CRM &amp; Martech</t>
        </is>
      </c>
      <c r="L186" s="251" t="n"/>
      <c r="M186" s="252" t="n"/>
      <c r="N186" t="inlineStr">
        <is>
          <t>Customer</t>
        </is>
      </c>
      <c r="O186" t="inlineStr">
        <is>
          <t>Group Customer Platforms</t>
        </is>
      </c>
      <c r="P186" t="inlineStr">
        <is>
          <t>AU CRM &amp; Martech</t>
        </is>
      </c>
      <c r="Q186" t="inlineStr">
        <is>
          <t>Squad</t>
        </is>
      </c>
      <c r="R186" t="inlineStr">
        <is>
          <t>Vacant</t>
        </is>
      </c>
    </row>
    <row r="187" ht="18" customHeight="1" s="849">
      <c r="A187" s="250" t="n">
        <v>0</v>
      </c>
      <c r="B187" s="220" t="inlineStr">
        <is>
          <t>Swapnil Pithwa</t>
        </is>
      </c>
      <c r="C187" s="220" t="inlineStr">
        <is>
          <t>Engineer - BE</t>
        </is>
      </c>
      <c r="D187" s="220" t="inlineStr">
        <is>
          <t>vacant</t>
        </is>
      </c>
      <c r="E187" s="220" t="inlineStr">
        <is>
          <t>Technology Manager, Digital Engineering</t>
        </is>
      </c>
      <c r="F187" s="220" t="inlineStr">
        <is>
          <t>Customer</t>
        </is>
      </c>
      <c r="G187" s="251" t="inlineStr">
        <is>
          <t>Digital</t>
        </is>
      </c>
      <c r="H187" s="251" t="inlineStr">
        <is>
          <t>Tech, Digital Engineering</t>
        </is>
      </c>
      <c r="I187" s="251" t="inlineStr">
        <is>
          <t>Commercial Fuels</t>
        </is>
      </c>
      <c r="J187" s="220" t="inlineStr">
        <is>
          <t>CTRM</t>
        </is>
      </c>
      <c r="K187" s="220" t="inlineStr">
        <is>
          <t>CTRM</t>
        </is>
      </c>
      <c r="L187" s="251" t="n"/>
      <c r="M187" s="252" t="inlineStr">
        <is>
          <t>Australia</t>
        </is>
      </c>
      <c r="N187" t="inlineStr">
        <is>
          <t>Commercial Fuels</t>
        </is>
      </c>
      <c r="O187" t="inlineStr">
        <is>
          <t>CTRM</t>
        </is>
      </c>
      <c r="P187" t="inlineStr">
        <is>
          <t>CTRM</t>
        </is>
      </c>
      <c r="Q187" t="inlineStr">
        <is>
          <t>Strategic Program</t>
        </is>
      </c>
      <c r="R187" t="inlineStr">
        <is>
          <t>Filled</t>
        </is>
      </c>
    </row>
    <row r="188" ht="18" customHeight="1" s="849">
      <c r="A188" s="250" t="n"/>
      <c r="B188" s="220" t="inlineStr">
        <is>
          <t>Vacant</t>
        </is>
      </c>
      <c r="C188" s="220" t="inlineStr">
        <is>
          <t>Technology Manager, Engineering</t>
        </is>
      </c>
      <c r="D188" s="220" t="inlineStr">
        <is>
          <t>Vacant</t>
        </is>
      </c>
      <c r="E188" s="220" t="inlineStr">
        <is>
          <t>Head of Technology, Digital</t>
        </is>
      </c>
      <c r="F188" s="220" t="inlineStr">
        <is>
          <t>Customer</t>
        </is>
      </c>
      <c r="G188" s="251" t="inlineStr">
        <is>
          <t>Loyalty &amp; Martech</t>
        </is>
      </c>
      <c r="H188" s="251" t="inlineStr">
        <is>
          <t>Tech, Digital Engineering</t>
        </is>
      </c>
      <c r="I188" s="251" t="inlineStr">
        <is>
          <t>Customer</t>
        </is>
      </c>
      <c r="J188" s="220" t="inlineStr">
        <is>
          <t>Ampol Digital</t>
        </is>
      </c>
      <c r="K188" s="220" t="inlineStr">
        <is>
          <t>Leadership</t>
        </is>
      </c>
      <c r="L188" s="251" t="n"/>
      <c r="M188" s="252" t="inlineStr">
        <is>
          <t>Australia</t>
        </is>
      </c>
      <c r="N188" t="inlineStr">
        <is>
          <t>Customer</t>
        </is>
      </c>
      <c r="O188" t="inlineStr">
        <is>
          <t>Leadership</t>
        </is>
      </c>
      <c r="P188" t="inlineStr">
        <is>
          <t>Leadership</t>
        </is>
      </c>
      <c r="Q188" t="inlineStr">
        <is>
          <t>Leadership</t>
        </is>
      </c>
      <c r="R188" t="inlineStr">
        <is>
          <t>Vacant</t>
        </is>
      </c>
    </row>
    <row r="189" ht="18" customHeight="1" s="849">
      <c r="A189" s="250" t="n">
        <v>0</v>
      </c>
      <c r="B189" s="220" t="inlineStr">
        <is>
          <t>Rob Jadrjevic</t>
        </is>
      </c>
      <c r="C189" s="220" t="inlineStr">
        <is>
          <t>Engineer - BE</t>
        </is>
      </c>
      <c r="D189" s="220" t="inlineStr">
        <is>
          <t>Vacant</t>
        </is>
      </c>
      <c r="E189" s="220" t="inlineStr">
        <is>
          <t>Technology Manager, Digital Engineering</t>
        </is>
      </c>
      <c r="F189" s="220" t="inlineStr">
        <is>
          <t>Customer</t>
        </is>
      </c>
      <c r="G189" s="251" t="inlineStr">
        <is>
          <t>Digital</t>
        </is>
      </c>
      <c r="H189" s="251" t="inlineStr">
        <is>
          <t>Delivery, Commercial Fuels</t>
        </is>
      </c>
      <c r="I189" s="251" t="inlineStr">
        <is>
          <t>EGI Integration</t>
        </is>
      </c>
      <c r="J189" s="220" t="inlineStr">
        <is>
          <t>EGI</t>
        </is>
      </c>
      <c r="K189" s="220" t="inlineStr">
        <is>
          <t>EGI Customer</t>
        </is>
      </c>
      <c r="L189" s="251" t="n"/>
      <c r="M189" s="252" t="inlineStr">
        <is>
          <t>Australia</t>
        </is>
      </c>
      <c r="N189" t="inlineStr">
        <is>
          <t>Customer</t>
        </is>
      </c>
      <c r="O189" t="inlineStr">
        <is>
          <t>EGI Customer</t>
        </is>
      </c>
      <c r="P189" t="inlineStr">
        <is>
          <t>EGI Customer</t>
        </is>
      </c>
      <c r="Q189" t="inlineStr">
        <is>
          <t>Strategic Program</t>
        </is>
      </c>
      <c r="R189" t="inlineStr">
        <is>
          <t>Filled</t>
        </is>
      </c>
    </row>
    <row r="190" ht="18" customHeight="1" s="849">
      <c r="A190" s="250" t="n">
        <v>0</v>
      </c>
      <c r="B190" s="220" t="inlineStr">
        <is>
          <t>Andy Stewart</t>
        </is>
      </c>
      <c r="C190" s="220" t="inlineStr">
        <is>
          <t>Head of Technology, Loyalty &amp; Martech</t>
        </is>
      </c>
      <c r="D190" s="220" t="inlineStr">
        <is>
          <t>Vacant</t>
        </is>
      </c>
      <c r="E190" s="220" t="inlineStr">
        <is>
          <t>GM TDD, Customer</t>
        </is>
      </c>
      <c r="F190" s="220" t="inlineStr">
        <is>
          <t>Customer</t>
        </is>
      </c>
      <c r="G190" s="251" t="inlineStr">
        <is>
          <t>Loyalty &amp; Martech</t>
        </is>
      </c>
      <c r="H190" s="220" t="n"/>
      <c r="I190" s="220" t="inlineStr">
        <is>
          <t>Customer</t>
        </is>
      </c>
      <c r="J190" s="220" t="inlineStr">
        <is>
          <t>Customer Z, Group Customer Platforms</t>
        </is>
      </c>
      <c r="K190" s="220" t="inlineStr">
        <is>
          <t>Leadership</t>
        </is>
      </c>
      <c r="L190" s="251" t="n"/>
      <c r="M190" s="252" t="n">
        <v>0</v>
      </c>
      <c r="N190" t="inlineStr">
        <is>
          <t>Customer</t>
        </is>
      </c>
      <c r="O190" t="inlineStr">
        <is>
          <t>Leadership</t>
        </is>
      </c>
      <c r="P190" t="inlineStr">
        <is>
          <t>Leadership</t>
        </is>
      </c>
      <c r="Q190" t="inlineStr">
        <is>
          <t>Leadership</t>
        </is>
      </c>
      <c r="R190" t="inlineStr">
        <is>
          <t>Filled</t>
        </is>
      </c>
    </row>
    <row r="191" ht="18" customHeight="1" s="849">
      <c r="A191" s="250" t="n">
        <v>99999100847</v>
      </c>
      <c r="B191" s="260" t="inlineStr">
        <is>
          <t>Nimi Rose</t>
        </is>
      </c>
      <c r="C191" s="251" t="inlineStr">
        <is>
          <t>Marketing Technology Lead</t>
        </is>
      </c>
      <c r="D191" s="251" t="inlineStr">
        <is>
          <t>Vacant</t>
        </is>
      </c>
      <c r="E191" s="251" t="inlineStr">
        <is>
          <t>Technology Manager, Loyalty &amp; Martech</t>
        </is>
      </c>
      <c r="F191" s="220" t="inlineStr">
        <is>
          <t>Customer</t>
        </is>
      </c>
      <c r="G191" s="251" t="inlineStr">
        <is>
          <t>Loyatly &amp; Martec</t>
        </is>
      </c>
      <c r="H191" s="251" t="inlineStr">
        <is>
          <t>Loyalty, Tech</t>
        </is>
      </c>
      <c r="I191" s="220" t="inlineStr">
        <is>
          <t>Customer</t>
        </is>
      </c>
      <c r="J191" s="251" t="inlineStr">
        <is>
          <t>Customer Z</t>
        </is>
      </c>
      <c r="K191" s="251" t="inlineStr">
        <is>
          <t>Z Energy Martech</t>
        </is>
      </c>
      <c r="L191" s="251" t="n"/>
      <c r="M191" s="252" t="inlineStr">
        <is>
          <t>NZ</t>
        </is>
      </c>
      <c r="N191" t="inlineStr">
        <is>
          <t>Customer</t>
        </is>
      </c>
      <c r="O191" t="inlineStr">
        <is>
          <t>Customer Z</t>
        </is>
      </c>
      <c r="P191" t="inlineStr">
        <is>
          <t>Z Energy Martech</t>
        </is>
      </c>
      <c r="Q191" t="inlineStr">
        <is>
          <t>Squad</t>
        </is>
      </c>
      <c r="R191" t="inlineStr">
        <is>
          <t>Filled</t>
        </is>
      </c>
    </row>
    <row r="192" ht="18" customHeight="1" s="849">
      <c r="A192" s="250" t="n">
        <v>114650</v>
      </c>
      <c r="B192" s="220" t="inlineStr">
        <is>
          <t>Jin Zhong</t>
        </is>
      </c>
      <c r="C192" s="220" t="inlineStr">
        <is>
          <t>Lead Engineer - BE</t>
        </is>
      </c>
      <c r="D192" s="220" t="inlineStr">
        <is>
          <t>vacant</t>
        </is>
      </c>
      <c r="E192" s="220" t="inlineStr">
        <is>
          <t>Technology Manager, Digital Engineering</t>
        </is>
      </c>
      <c r="F192" s="220" t="inlineStr">
        <is>
          <t>Customer</t>
        </is>
      </c>
      <c r="G192" s="251" t="inlineStr">
        <is>
          <t>Digital</t>
        </is>
      </c>
      <c r="H192" s="251" t="inlineStr">
        <is>
          <t>Tech, Digital Engineering</t>
        </is>
      </c>
      <c r="I192" s="251" t="inlineStr">
        <is>
          <t>Customer</t>
        </is>
      </c>
      <c r="J192" s="220" t="inlineStr">
        <is>
          <t>Ampol Digital</t>
        </is>
      </c>
      <c r="K192" s="220" t="inlineStr">
        <is>
          <t>Ampol Web</t>
        </is>
      </c>
      <c r="L192" s="251" t="n"/>
      <c r="M192" s="252" t="inlineStr">
        <is>
          <t>Australia</t>
        </is>
      </c>
      <c r="N192" t="inlineStr">
        <is>
          <t>Customer</t>
        </is>
      </c>
      <c r="O192" t="inlineStr">
        <is>
          <t>Ampol Digital</t>
        </is>
      </c>
      <c r="P192" t="inlineStr">
        <is>
          <t>Ampol Web</t>
        </is>
      </c>
      <c r="Q192" t="inlineStr">
        <is>
          <t>Squad</t>
        </is>
      </c>
      <c r="R192" t="inlineStr">
        <is>
          <t>Filled</t>
        </is>
      </c>
    </row>
    <row r="193" ht="18" customHeight="1" s="849">
      <c r="A193" s="250" t="n">
        <v>99999101540</v>
      </c>
      <c r="B193" s="220" t="inlineStr">
        <is>
          <t>James Nicolle</t>
        </is>
      </c>
      <c r="C193" s="220" t="inlineStr">
        <is>
          <t>Delivery Lead</t>
        </is>
      </c>
      <c r="D193" s="251" t="inlineStr">
        <is>
          <t>vacant</t>
        </is>
      </c>
      <c r="E193" s="220" t="inlineStr">
        <is>
          <t>Delivery Manager, Digital</t>
        </is>
      </c>
      <c r="F193" s="220" t="inlineStr">
        <is>
          <t>Customer</t>
        </is>
      </c>
      <c r="G193" s="251" t="inlineStr">
        <is>
          <t>Digital</t>
        </is>
      </c>
      <c r="H193" s="251" t="inlineStr">
        <is>
          <t>Digital, Delivery</t>
        </is>
      </c>
      <c r="I193" s="220" t="inlineStr">
        <is>
          <t>Customer</t>
        </is>
      </c>
      <c r="J193" s="220" t="inlineStr">
        <is>
          <t>Customer Z</t>
        </is>
      </c>
      <c r="K193" s="220" t="inlineStr">
        <is>
          <t>Z Energy Apps</t>
        </is>
      </c>
      <c r="L193" s="251" t="n"/>
      <c r="M193" s="252" t="inlineStr">
        <is>
          <t>NZ</t>
        </is>
      </c>
      <c r="N193" t="inlineStr">
        <is>
          <t>Customer</t>
        </is>
      </c>
      <c r="O193" t="inlineStr">
        <is>
          <t>Customer Z</t>
        </is>
      </c>
      <c r="P193" t="inlineStr">
        <is>
          <t>Z Energy Apps</t>
        </is>
      </c>
      <c r="Q193" t="inlineStr">
        <is>
          <t>Squad</t>
        </is>
      </c>
      <c r="R193" t="inlineStr">
        <is>
          <t>Filled</t>
        </is>
      </c>
    </row>
    <row r="194" ht="18" customHeight="1" s="849">
      <c r="A194" s="250" t="n"/>
      <c r="B194" s="273" t="inlineStr">
        <is>
          <t>Vacant</t>
        </is>
      </c>
      <c r="C194" s="251" t="inlineStr">
        <is>
          <t>Engineer, Software</t>
        </is>
      </c>
      <c r="D194" s="251" t="inlineStr">
        <is>
          <t>Vacant</t>
        </is>
      </c>
      <c r="E194" s="251" t="inlineStr">
        <is>
          <t>Technology Manager, Data &amp; Engineering</t>
        </is>
      </c>
      <c r="F194" s="220" t="inlineStr">
        <is>
          <t>Customer</t>
        </is>
      </c>
      <c r="G194" s="251" t="inlineStr">
        <is>
          <t>Loyatly &amp; Martec</t>
        </is>
      </c>
      <c r="H194" s="220" t="inlineStr">
        <is>
          <t>Loyalty, Data &amp; Engineering</t>
        </is>
      </c>
      <c r="I194" s="220" t="inlineStr">
        <is>
          <t>Customer</t>
        </is>
      </c>
      <c r="J194" s="251" t="inlineStr">
        <is>
          <t>Customer Z</t>
        </is>
      </c>
      <c r="K194" s="251" t="inlineStr">
        <is>
          <t>Z Energy Martech</t>
        </is>
      </c>
      <c r="L194" s="251" t="n"/>
      <c r="M194" s="252" t="n"/>
      <c r="N194" t="inlineStr">
        <is>
          <t>Customer</t>
        </is>
      </c>
      <c r="O194" t="inlineStr">
        <is>
          <t>Customer Z</t>
        </is>
      </c>
      <c r="P194" t="inlineStr">
        <is>
          <t>Z Energy Martech</t>
        </is>
      </c>
      <c r="Q194" t="inlineStr">
        <is>
          <t>Squad</t>
        </is>
      </c>
      <c r="R194" t="inlineStr">
        <is>
          <t>Vacant</t>
        </is>
      </c>
    </row>
    <row r="195" ht="18" customHeight="1" s="849">
      <c r="A195" s="250" t="n">
        <v>99999101312</v>
      </c>
      <c r="B195" s="260" t="inlineStr">
        <is>
          <t>Megan Rodgers</t>
        </is>
      </c>
      <c r="C195" s="251" t="inlineStr">
        <is>
          <t>Business Analyst</t>
        </is>
      </c>
      <c r="D195" s="251" t="inlineStr">
        <is>
          <t>Vacant</t>
        </is>
      </c>
      <c r="E195" s="251" t="inlineStr">
        <is>
          <t>Delivery Manager, Loyalty</t>
        </is>
      </c>
      <c r="F195" s="220" t="inlineStr">
        <is>
          <t>Customer</t>
        </is>
      </c>
      <c r="G195" s="251" t="inlineStr">
        <is>
          <t>Loyatly &amp; Martec</t>
        </is>
      </c>
      <c r="H195" s="220" t="inlineStr">
        <is>
          <t xml:space="preserve">Loyalty, Delivery </t>
        </is>
      </c>
      <c r="I195" s="220" t="inlineStr">
        <is>
          <t>Customer</t>
        </is>
      </c>
      <c r="J195" s="251" t="inlineStr">
        <is>
          <t>Customer Z</t>
        </is>
      </c>
      <c r="K195" s="251" t="inlineStr">
        <is>
          <t>Z Energy Martech</t>
        </is>
      </c>
      <c r="L195" s="251" t="n"/>
      <c r="M195" s="252" t="inlineStr">
        <is>
          <t>NZ</t>
        </is>
      </c>
      <c r="N195" t="inlineStr">
        <is>
          <t>Customer</t>
        </is>
      </c>
      <c r="O195" t="inlineStr">
        <is>
          <t>Customer Z</t>
        </is>
      </c>
      <c r="P195" t="inlineStr">
        <is>
          <t>Z Energy Martech</t>
        </is>
      </c>
      <c r="Q195" t="inlineStr">
        <is>
          <t>Squad</t>
        </is>
      </c>
      <c r="R195" t="inlineStr">
        <is>
          <t>Filled</t>
        </is>
      </c>
    </row>
    <row r="196" ht="18" customHeight="1" s="849">
      <c r="A196" s="250" t="n">
        <v>99999102155</v>
      </c>
      <c r="B196" s="260" t="inlineStr">
        <is>
          <t>Yash Thakkar</t>
        </is>
      </c>
      <c r="C196" s="251" t="inlineStr">
        <is>
          <t>Martech Specialist</t>
        </is>
      </c>
      <c r="D196" s="251" t="inlineStr">
        <is>
          <t>Vacant</t>
        </is>
      </c>
      <c r="E196" s="251" t="inlineStr">
        <is>
          <t>Technology Manager, Loyalty &amp; Martech</t>
        </is>
      </c>
      <c r="F196" s="220" t="inlineStr">
        <is>
          <t>Customer</t>
        </is>
      </c>
      <c r="G196" s="251" t="inlineStr">
        <is>
          <t>Loyatly &amp; Martec</t>
        </is>
      </c>
      <c r="H196" s="251" t="inlineStr">
        <is>
          <t>Loyalty, Tech</t>
        </is>
      </c>
      <c r="I196" s="220" t="inlineStr">
        <is>
          <t>Customer</t>
        </is>
      </c>
      <c r="J196" s="251" t="inlineStr">
        <is>
          <t>(All Customer)</t>
        </is>
      </c>
      <c r="K196" s="251" t="inlineStr">
        <is>
          <t>Z Energy Martech</t>
        </is>
      </c>
      <c r="L196" s="251" t="n"/>
      <c r="M196" s="252" t="inlineStr">
        <is>
          <t>NZ</t>
        </is>
      </c>
      <c r="N196" t="inlineStr">
        <is>
          <t>Customer</t>
        </is>
      </c>
      <c r="O196" t="inlineStr">
        <is>
          <t>Customer Z</t>
        </is>
      </c>
      <c r="P196" t="inlineStr">
        <is>
          <t>Z Energy Martech</t>
        </is>
      </c>
      <c r="Q196" t="inlineStr">
        <is>
          <t>Squad</t>
        </is>
      </c>
      <c r="R196" t="inlineStr">
        <is>
          <t>Filled</t>
        </is>
      </c>
    </row>
    <row r="197" ht="18" customHeight="1" s="849">
      <c r="A197" s="250" t="n">
        <v>0</v>
      </c>
      <c r="B197" s="220" t="inlineStr">
        <is>
          <t>Alan Peng</t>
        </is>
      </c>
      <c r="C197" s="220" t="inlineStr">
        <is>
          <t>Delivery Lead</t>
        </is>
      </c>
      <c r="D197" s="251" t="inlineStr">
        <is>
          <t>vacant</t>
        </is>
      </c>
      <c r="E197" s="220" t="inlineStr">
        <is>
          <t>Delivery Manager, Digital</t>
        </is>
      </c>
      <c r="F197" s="220" t="inlineStr">
        <is>
          <t>Customer</t>
        </is>
      </c>
      <c r="G197" s="251" t="inlineStr">
        <is>
          <t>Digital</t>
        </is>
      </c>
      <c r="H197" s="251" t="inlineStr">
        <is>
          <t>Digital, Delivery</t>
        </is>
      </c>
      <c r="I197" s="251" t="inlineStr">
        <is>
          <t>EGI Integration</t>
        </is>
      </c>
      <c r="J197" s="220" t="inlineStr">
        <is>
          <t>EGI</t>
        </is>
      </c>
      <c r="K197" s="220" t="inlineStr">
        <is>
          <t>EGI Customer</t>
        </is>
      </c>
      <c r="L197" s="251" t="n"/>
      <c r="M197" s="252" t="inlineStr">
        <is>
          <t>Australia</t>
        </is>
      </c>
      <c r="N197" t="inlineStr">
        <is>
          <t>Customer</t>
        </is>
      </c>
      <c r="O197" t="inlineStr">
        <is>
          <t>EGI Customer</t>
        </is>
      </c>
      <c r="P197" t="inlineStr">
        <is>
          <t>EGI Customer</t>
        </is>
      </c>
      <c r="Q197" t="inlineStr">
        <is>
          <t>Strategic Program</t>
        </is>
      </c>
      <c r="R197" t="inlineStr">
        <is>
          <t>Filled</t>
        </is>
      </c>
    </row>
    <row r="198" ht="18" customHeight="1" s="849">
      <c r="A198" s="250" t="n">
        <v>114411</v>
      </c>
      <c r="B198" s="220" t="inlineStr">
        <is>
          <t>Vacant</t>
        </is>
      </c>
      <c r="C198" s="220" t="inlineStr">
        <is>
          <t>Senior Engineer - BE</t>
        </is>
      </c>
      <c r="D198" s="220" t="inlineStr">
        <is>
          <t>Vacant</t>
        </is>
      </c>
      <c r="E198" s="220" t="inlineStr">
        <is>
          <t>Lead Engineer - BE</t>
        </is>
      </c>
      <c r="F198" s="220" t="inlineStr">
        <is>
          <t>Customer</t>
        </is>
      </c>
      <c r="G198" s="251" t="inlineStr">
        <is>
          <t>Digital</t>
        </is>
      </c>
      <c r="H198" s="251" t="inlineStr">
        <is>
          <t>Tech, Digital Engineering</t>
        </is>
      </c>
      <c r="I198" s="251" t="inlineStr">
        <is>
          <t>Customer</t>
        </is>
      </c>
      <c r="J198" s="220" t="inlineStr">
        <is>
          <t>Ampol Digital</t>
        </is>
      </c>
      <c r="K198" s="220" t="inlineStr">
        <is>
          <t>Ampol App</t>
        </is>
      </c>
      <c r="L198" s="251" t="n"/>
      <c r="M198" s="252" t="inlineStr">
        <is>
          <t>Australia</t>
        </is>
      </c>
      <c r="N198" t="inlineStr">
        <is>
          <t>Customer</t>
        </is>
      </c>
      <c r="O198" t="inlineStr">
        <is>
          <t>Ampol Digital</t>
        </is>
      </c>
      <c r="P198" t="inlineStr">
        <is>
          <t>Ampol App</t>
        </is>
      </c>
      <c r="Q198" t="inlineStr">
        <is>
          <t>Squad</t>
        </is>
      </c>
      <c r="R198" t="inlineStr">
        <is>
          <t>Vacant</t>
        </is>
      </c>
    </row>
    <row r="199" ht="18" customHeight="1" s="849">
      <c r="A199" s="250" t="n">
        <v>0</v>
      </c>
      <c r="B199" s="220" t="inlineStr">
        <is>
          <t>Anup Antony</t>
        </is>
      </c>
      <c r="C199" s="220" t="inlineStr">
        <is>
          <t>Engineer - BE</t>
        </is>
      </c>
      <c r="D199" s="220" t="inlineStr">
        <is>
          <t>vacant</t>
        </is>
      </c>
      <c r="E199" s="220" t="inlineStr">
        <is>
          <t>Technology Manager, Digital Engineering</t>
        </is>
      </c>
      <c r="F199" s="220" t="inlineStr">
        <is>
          <t>Customer</t>
        </is>
      </c>
      <c r="G199" s="251" t="inlineStr">
        <is>
          <t>Digital</t>
        </is>
      </c>
      <c r="H199" s="251" t="inlineStr">
        <is>
          <t>Tech, Digital Engineering</t>
        </is>
      </c>
      <c r="I199" s="251" t="inlineStr">
        <is>
          <t>Customer</t>
        </is>
      </c>
      <c r="J199" s="220" t="inlineStr">
        <is>
          <t>Ampol Digital</t>
        </is>
      </c>
      <c r="K199" s="220" t="inlineStr">
        <is>
          <t>Ampol App</t>
        </is>
      </c>
      <c r="L199" s="251" t="n"/>
      <c r="M199" s="252" t="inlineStr">
        <is>
          <t>Australia</t>
        </is>
      </c>
      <c r="N199" t="inlineStr">
        <is>
          <t>Customer</t>
        </is>
      </c>
      <c r="O199" t="inlineStr">
        <is>
          <t>Ampol Digital</t>
        </is>
      </c>
      <c r="P199" t="inlineStr">
        <is>
          <t>Ampol App</t>
        </is>
      </c>
      <c r="Q199" t="inlineStr">
        <is>
          <t>Squad</t>
        </is>
      </c>
      <c r="R199" t="inlineStr">
        <is>
          <t>Filled</t>
        </is>
      </c>
    </row>
    <row r="200" ht="18" customHeight="1" s="849">
      <c r="A200" s="250" t="n"/>
      <c r="B200" s="220" t="inlineStr">
        <is>
          <t>Dasha Fothergill</t>
        </is>
      </c>
      <c r="C200" s="220" t="inlineStr">
        <is>
          <t>Data Analyst</t>
        </is>
      </c>
      <c r="D200" s="220" t="inlineStr">
        <is>
          <t>Vacant</t>
        </is>
      </c>
      <c r="E200" s="220" t="inlineStr">
        <is>
          <t>Technology Manager, Data &amp; Engineering</t>
        </is>
      </c>
      <c r="F200" s="260" t="inlineStr">
        <is>
          <t>Customer</t>
        </is>
      </c>
      <c r="G200" s="251" t="inlineStr">
        <is>
          <t>Loyatly &amp; Martec</t>
        </is>
      </c>
      <c r="H200" s="260" t="inlineStr">
        <is>
          <t>Ampol Retail, Store Platforms</t>
        </is>
      </c>
      <c r="I200" s="251" t="inlineStr">
        <is>
          <t>EGI Integration</t>
        </is>
      </c>
      <c r="J200" s="251" t="inlineStr">
        <is>
          <t>EGI</t>
        </is>
      </c>
      <c r="K200" s="220" t="inlineStr">
        <is>
          <t>EGI Customer</t>
        </is>
      </c>
      <c r="L200" s="251" t="n"/>
      <c r="M200" s="252" t="inlineStr">
        <is>
          <t>NZ</t>
        </is>
      </c>
      <c r="N200" t="inlineStr">
        <is>
          <t>Customer</t>
        </is>
      </c>
      <c r="O200" t="inlineStr">
        <is>
          <t>EGI Customer</t>
        </is>
      </c>
      <c r="P200" t="inlineStr">
        <is>
          <t>EGI Customer</t>
        </is>
      </c>
      <c r="Q200" t="inlineStr">
        <is>
          <t>Strategic Program</t>
        </is>
      </c>
      <c r="R200" t="inlineStr">
        <is>
          <t>Filled</t>
        </is>
      </c>
    </row>
    <row r="201" ht="18" customHeight="1" s="849">
      <c r="A201" s="250" t="n"/>
      <c r="B201" s="220" t="inlineStr">
        <is>
          <t>Vacant</t>
        </is>
      </c>
      <c r="C201" s="220" t="inlineStr">
        <is>
          <t>Snr Business Analyst</t>
        </is>
      </c>
      <c r="D201" s="251" t="inlineStr">
        <is>
          <t>vacant</t>
        </is>
      </c>
      <c r="E201" s="220" t="inlineStr">
        <is>
          <t>Delivery Manager, Digital</t>
        </is>
      </c>
      <c r="F201" s="220" t="inlineStr">
        <is>
          <t>Customer</t>
        </is>
      </c>
      <c r="G201" s="251" t="inlineStr">
        <is>
          <t>Digital</t>
        </is>
      </c>
      <c r="H201" s="274" t="inlineStr">
        <is>
          <t>Technology, CF Engineering</t>
        </is>
      </c>
      <c r="I201" s="251" t="inlineStr">
        <is>
          <t>Customer</t>
        </is>
      </c>
      <c r="J201" s="220" t="inlineStr">
        <is>
          <t>Leadership</t>
        </is>
      </c>
      <c r="K201" s="251" t="inlineStr">
        <is>
          <t>Leadership</t>
        </is>
      </c>
      <c r="L201" s="251" t="n"/>
      <c r="M201" s="252" t="inlineStr">
        <is>
          <t>Australia</t>
        </is>
      </c>
      <c r="N201" t="inlineStr">
        <is>
          <t>Customer</t>
        </is>
      </c>
      <c r="O201" t="inlineStr">
        <is>
          <t>Leadership</t>
        </is>
      </c>
      <c r="P201" t="inlineStr">
        <is>
          <t>Leadership</t>
        </is>
      </c>
      <c r="Q201" t="inlineStr">
        <is>
          <t>Leadership</t>
        </is>
      </c>
      <c r="R201" t="inlineStr">
        <is>
          <t>Vacant</t>
        </is>
      </c>
    </row>
    <row r="202" ht="18" customHeight="1" s="849">
      <c r="A202" s="250" t="n">
        <v>99999101601</v>
      </c>
      <c r="B202" s="260" t="inlineStr">
        <is>
          <t>Jordan Kettles</t>
        </is>
      </c>
      <c r="C202" s="251" t="inlineStr">
        <is>
          <t>Engineer, Sotware</t>
        </is>
      </c>
      <c r="D202" s="251" t="inlineStr">
        <is>
          <t>Vacant</t>
        </is>
      </c>
      <c r="E202" s="251" t="inlineStr">
        <is>
          <t>Technology Manager, Data &amp; Engineering</t>
        </is>
      </c>
      <c r="F202" s="220" t="inlineStr">
        <is>
          <t>Customer</t>
        </is>
      </c>
      <c r="G202" s="251" t="inlineStr">
        <is>
          <t>Loyatly &amp; Martec</t>
        </is>
      </c>
      <c r="H202" s="220" t="inlineStr">
        <is>
          <t>Loyalty, Data &amp; Engineering</t>
        </is>
      </c>
      <c r="I202" s="220" t="inlineStr">
        <is>
          <t>Customer</t>
        </is>
      </c>
      <c r="J202" s="251" t="inlineStr">
        <is>
          <t>Customer Z</t>
        </is>
      </c>
      <c r="K202" s="251" t="inlineStr">
        <is>
          <t>Z Energy Martech</t>
        </is>
      </c>
      <c r="L202" s="251" t="n"/>
      <c r="M202" s="252" t="inlineStr">
        <is>
          <t>NZ</t>
        </is>
      </c>
      <c r="N202" t="inlineStr">
        <is>
          <t>Customer</t>
        </is>
      </c>
      <c r="O202" t="inlineStr">
        <is>
          <t>Customer Z</t>
        </is>
      </c>
      <c r="P202" t="inlineStr">
        <is>
          <t>Z Energy Martech</t>
        </is>
      </c>
      <c r="Q202" t="inlineStr">
        <is>
          <t>Squad</t>
        </is>
      </c>
      <c r="R202" t="inlineStr">
        <is>
          <t>Filled</t>
        </is>
      </c>
    </row>
    <row r="203" ht="18" customHeight="1" s="849">
      <c r="A203" s="250" t="n"/>
      <c r="B203" s="220" t="inlineStr">
        <is>
          <t xml:space="preserve">Vacant </t>
        </is>
      </c>
      <c r="C203" s="220" t="inlineStr">
        <is>
          <t>Data Risk Analyst</t>
        </is>
      </c>
      <c r="D203" s="220" t="inlineStr">
        <is>
          <t>Brian Gates</t>
        </is>
      </c>
      <c r="E203" s="220" t="n"/>
      <c r="F203" s="220" t="inlineStr">
        <is>
          <t>Cyber, Risk &amp; Operations</t>
        </is>
      </c>
      <c r="G203" s="251" t="inlineStr">
        <is>
          <t>Cyber Risk</t>
        </is>
      </c>
      <c r="H203" s="220" t="inlineStr">
        <is>
          <t>Ampol Retail, Store Platforms</t>
        </is>
      </c>
      <c r="I203" s="220" t="inlineStr">
        <is>
          <t>NA</t>
        </is>
      </c>
      <c r="J203" s="220" t="inlineStr">
        <is>
          <t>NA</t>
        </is>
      </c>
      <c r="K203" s="220" t="inlineStr">
        <is>
          <t>NA</t>
        </is>
      </c>
      <c r="L203" s="220" t="n"/>
      <c r="M203" s="252" t="n"/>
      <c r="N203" t="inlineStr">
        <is>
          <t>TDD Cyber</t>
        </is>
      </c>
      <c r="O203" t="inlineStr">
        <is>
          <t>TDD Cyber, Risk &amp; Service Ops</t>
        </is>
      </c>
      <c r="P203" t="inlineStr">
        <is>
          <t>TDD Cyber</t>
        </is>
      </c>
      <c r="Q203" t="inlineStr">
        <is>
          <t>Squad</t>
        </is>
      </c>
      <c r="R203" t="inlineStr">
        <is>
          <t>Vacant</t>
        </is>
      </c>
    </row>
    <row r="204" ht="18" customHeight="1" s="849">
      <c r="A204" s="250" t="n">
        <v>96830</v>
      </c>
      <c r="B204" s="220" t="inlineStr">
        <is>
          <t>Lynda Niewidok</t>
        </is>
      </c>
      <c r="C204" s="220" t="inlineStr">
        <is>
          <t>Lead – Service Desk</t>
        </is>
      </c>
      <c r="D204" s="220" t="inlineStr">
        <is>
          <t>Chris Rojas</t>
        </is>
      </c>
      <c r="E204" s="220" t="inlineStr">
        <is>
          <t xml:space="preserve">CISO </t>
        </is>
      </c>
      <c r="F204" s="220" t="inlineStr">
        <is>
          <t>Cyber, Risk &amp; Operations</t>
        </is>
      </c>
      <c r="G204" s="251" t="inlineStr">
        <is>
          <t>Service Op &amp; Assurance</t>
        </is>
      </c>
      <c r="H204" s="220" t="inlineStr">
        <is>
          <t>NA</t>
        </is>
      </c>
      <c r="I204" s="220" t="inlineStr">
        <is>
          <t>NA</t>
        </is>
      </c>
      <c r="J204" s="220" t="inlineStr">
        <is>
          <t>NA</t>
        </is>
      </c>
      <c r="K204" s="220" t="inlineStr">
        <is>
          <t>NA</t>
        </is>
      </c>
      <c r="L204" s="220" t="n"/>
      <c r="M204" s="252" t="inlineStr">
        <is>
          <t>Australia</t>
        </is>
      </c>
      <c r="N204" t="inlineStr">
        <is>
          <t>TDD Cyber</t>
        </is>
      </c>
      <c r="O204" t="inlineStr">
        <is>
          <t>TDD Cyber, Risk &amp; Service Ops</t>
        </is>
      </c>
      <c r="P204" t="inlineStr">
        <is>
          <t>TDD Cyber</t>
        </is>
      </c>
      <c r="Q204" t="inlineStr">
        <is>
          <t>Squad</t>
        </is>
      </c>
      <c r="R204" t="inlineStr">
        <is>
          <t>Filled</t>
        </is>
      </c>
    </row>
    <row r="205" ht="18" customHeight="1" s="849">
      <c r="A205" s="250" t="n">
        <v>92681</v>
      </c>
      <c r="B205" s="220" t="inlineStr">
        <is>
          <t>Mark Pearson</t>
        </is>
      </c>
      <c r="C205" s="220" t="inlineStr">
        <is>
          <t>Lead – Technology Support</t>
        </is>
      </c>
      <c r="D205" s="220" t="inlineStr">
        <is>
          <t>Chris Rojas</t>
        </is>
      </c>
      <c r="E205" s="220" t="inlineStr">
        <is>
          <t xml:space="preserve">Manager Service Management &amp; Major Incident Management Lead </t>
        </is>
      </c>
      <c r="F205" s="220" t="inlineStr">
        <is>
          <t>Cyber, Risk &amp; Operations</t>
        </is>
      </c>
      <c r="G205" s="251" t="inlineStr">
        <is>
          <t>Service Op &amp; Assurance</t>
        </is>
      </c>
      <c r="H205" s="220" t="inlineStr">
        <is>
          <t>NA</t>
        </is>
      </c>
      <c r="I205" s="220" t="inlineStr">
        <is>
          <t>NA</t>
        </is>
      </c>
      <c r="J205" s="220" t="inlineStr">
        <is>
          <t>NA</t>
        </is>
      </c>
      <c r="K205" s="220" t="inlineStr">
        <is>
          <t>NA</t>
        </is>
      </c>
      <c r="L205" s="220" t="n"/>
      <c r="M205" s="252" t="inlineStr">
        <is>
          <t>Australia</t>
        </is>
      </c>
      <c r="N205" t="inlineStr">
        <is>
          <t>TDD Cyber</t>
        </is>
      </c>
      <c r="O205" t="inlineStr">
        <is>
          <t>TDD Cyber, Risk &amp; Service Ops</t>
        </is>
      </c>
      <c r="P205" t="inlineStr">
        <is>
          <t>TDD Cyber</t>
        </is>
      </c>
      <c r="Q205" t="inlineStr">
        <is>
          <t>Squad</t>
        </is>
      </c>
      <c r="R205" t="inlineStr">
        <is>
          <t>Filled</t>
        </is>
      </c>
    </row>
    <row r="206" ht="18" customHeight="1" s="849">
      <c r="A206" s="250" t="n"/>
      <c r="B206" s="220" t="inlineStr">
        <is>
          <t>Vacant</t>
        </is>
      </c>
      <c r="C206" s="220" t="inlineStr">
        <is>
          <t>Lead – Problem Management</t>
        </is>
      </c>
      <c r="D206" s="220" t="inlineStr">
        <is>
          <t>Darren Koller</t>
        </is>
      </c>
      <c r="E206" s="220" t="inlineStr">
        <is>
          <t>Manager Cyber Security GRC</t>
        </is>
      </c>
      <c r="F206" s="220" t="inlineStr">
        <is>
          <t>Cyber, Risk &amp; Operations</t>
        </is>
      </c>
      <c r="G206" s="251" t="inlineStr">
        <is>
          <t>Service Op &amp; Assurance</t>
        </is>
      </c>
      <c r="H206" s="220" t="inlineStr">
        <is>
          <t>NA</t>
        </is>
      </c>
      <c r="I206" s="220" t="inlineStr">
        <is>
          <t>NA</t>
        </is>
      </c>
      <c r="J206" s="220" t="inlineStr">
        <is>
          <t>NA</t>
        </is>
      </c>
      <c r="K206" s="220" t="inlineStr">
        <is>
          <t>NA</t>
        </is>
      </c>
      <c r="L206" s="220" t="n"/>
      <c r="M206" s="252" t="n"/>
      <c r="N206" t="inlineStr">
        <is>
          <t>TDD Cyber</t>
        </is>
      </c>
      <c r="O206" t="inlineStr">
        <is>
          <t>TDD Cyber, Risk &amp; Service Ops</t>
        </is>
      </c>
      <c r="P206" t="inlineStr">
        <is>
          <t>TDD Cyber</t>
        </is>
      </c>
      <c r="Q206" t="inlineStr">
        <is>
          <t>Squad</t>
        </is>
      </c>
      <c r="R206" t="inlineStr">
        <is>
          <t>Vacant</t>
        </is>
      </c>
    </row>
    <row r="207" ht="18" customHeight="1" s="849">
      <c r="A207" s="250" t="n">
        <v>99999101697</v>
      </c>
      <c r="B207" s="220" t="inlineStr">
        <is>
          <t>Vanessa Castro</t>
        </is>
      </c>
      <c r="C207" s="220" t="inlineStr">
        <is>
          <t>Cyber GRC Analyst</t>
        </is>
      </c>
      <c r="D207" s="220" t="inlineStr">
        <is>
          <t>Diya Thomas</t>
        </is>
      </c>
      <c r="E207" s="220" t="n"/>
      <c r="F207" s="220" t="inlineStr">
        <is>
          <t>Cyber, Risk &amp; Operations</t>
        </is>
      </c>
      <c r="G207" s="251" t="inlineStr">
        <is>
          <t>Cyber GRC</t>
        </is>
      </c>
      <c r="H207" s="220" t="inlineStr">
        <is>
          <t>NA</t>
        </is>
      </c>
      <c r="I207" s="220" t="inlineStr">
        <is>
          <t>NA</t>
        </is>
      </c>
      <c r="J207" s="220" t="inlineStr">
        <is>
          <t>NA</t>
        </is>
      </c>
      <c r="K207" s="220" t="inlineStr">
        <is>
          <t>NA</t>
        </is>
      </c>
      <c r="L207" s="220" t="n"/>
      <c r="M207" s="252" t="inlineStr">
        <is>
          <t>NZ</t>
        </is>
      </c>
      <c r="N207" t="inlineStr">
        <is>
          <t>TDD Cyber</t>
        </is>
      </c>
      <c r="O207" t="inlineStr">
        <is>
          <t>TDD Cyber, Risk &amp; Service Ops</t>
        </is>
      </c>
      <c r="P207" t="inlineStr">
        <is>
          <t>TDD Cyber</t>
        </is>
      </c>
      <c r="Q207" t="inlineStr">
        <is>
          <t>Squad</t>
        </is>
      </c>
      <c r="R207" t="inlineStr">
        <is>
          <t>Filled</t>
        </is>
      </c>
    </row>
    <row r="208" ht="18" customHeight="1" s="849">
      <c r="A208" s="250" t="n">
        <v>114683</v>
      </c>
      <c r="B208" s="220" t="inlineStr">
        <is>
          <t>Prashanth Chandran</t>
        </is>
      </c>
      <c r="C208" s="220" t="inlineStr">
        <is>
          <t>Senior Cyber GRC Specialist</t>
        </is>
      </c>
      <c r="D208" s="220" t="inlineStr">
        <is>
          <t>Diya Thomas</t>
        </is>
      </c>
      <c r="E208" s="220" t="inlineStr">
        <is>
          <t>Manager Cyber Security GRC</t>
        </is>
      </c>
      <c r="F208" s="220" t="inlineStr">
        <is>
          <t>Cyber, Risk &amp; Operations</t>
        </is>
      </c>
      <c r="G208" s="251" t="inlineStr">
        <is>
          <t>Cyber GRC</t>
        </is>
      </c>
      <c r="H208" s="220" t="inlineStr">
        <is>
          <t>NA</t>
        </is>
      </c>
      <c r="I208" s="220" t="inlineStr">
        <is>
          <t>NA</t>
        </is>
      </c>
      <c r="J208" s="220" t="inlineStr">
        <is>
          <t>NA</t>
        </is>
      </c>
      <c r="K208" s="220" t="inlineStr">
        <is>
          <t>NA</t>
        </is>
      </c>
      <c r="L208" s="220" t="n"/>
      <c r="M208" s="252" t="inlineStr">
        <is>
          <t>Australia</t>
        </is>
      </c>
      <c r="N208" t="inlineStr">
        <is>
          <t>TDD Cyber</t>
        </is>
      </c>
      <c r="O208" t="inlineStr">
        <is>
          <t>TDD Cyber, Risk &amp; Service Ops</t>
        </is>
      </c>
      <c r="P208" t="inlineStr">
        <is>
          <t>TDD Cyber</t>
        </is>
      </c>
      <c r="Q208" t="inlineStr">
        <is>
          <t>Squad</t>
        </is>
      </c>
      <c r="R208" t="inlineStr">
        <is>
          <t>Filled</t>
        </is>
      </c>
    </row>
    <row r="209" ht="18" customHeight="1" s="849">
      <c r="A209" s="250" t="n">
        <v>109491</v>
      </c>
      <c r="B209" s="220" t="inlineStr">
        <is>
          <t>Pooja Kuperkar</t>
        </is>
      </c>
      <c r="C209" s="220" t="inlineStr">
        <is>
          <t>Cyber GRC Analyst</t>
        </is>
      </c>
      <c r="D209" s="220" t="inlineStr">
        <is>
          <t>Diya Thomas</t>
        </is>
      </c>
      <c r="E209" s="220" t="n"/>
      <c r="F209" s="220" t="inlineStr">
        <is>
          <t>Cyber, Risk &amp; Operations</t>
        </is>
      </c>
      <c r="G209" s="251" t="inlineStr">
        <is>
          <t>Cyber GRC</t>
        </is>
      </c>
      <c r="H209" s="220" t="inlineStr">
        <is>
          <t>NA</t>
        </is>
      </c>
      <c r="I209" s="220" t="inlineStr">
        <is>
          <t>NA</t>
        </is>
      </c>
      <c r="J209" s="220" t="inlineStr">
        <is>
          <t>NA</t>
        </is>
      </c>
      <c r="K209" s="220" t="inlineStr">
        <is>
          <t>NA</t>
        </is>
      </c>
      <c r="L209" s="220" t="n"/>
      <c r="M209" s="252" t="inlineStr">
        <is>
          <t>Australia</t>
        </is>
      </c>
      <c r="N209" t="inlineStr">
        <is>
          <t>TDD Cyber</t>
        </is>
      </c>
      <c r="O209" t="inlineStr">
        <is>
          <t>TDD Cyber, Risk &amp; Service Ops</t>
        </is>
      </c>
      <c r="P209" t="inlineStr">
        <is>
          <t>TDD Cyber</t>
        </is>
      </c>
      <c r="Q209" t="inlineStr">
        <is>
          <t>Squad</t>
        </is>
      </c>
      <c r="R209" t="inlineStr">
        <is>
          <t>Filled</t>
        </is>
      </c>
    </row>
    <row r="210" ht="18" customHeight="1" s="849">
      <c r="A210" s="250" t="n">
        <v>98823</v>
      </c>
      <c r="B210" s="220" t="inlineStr">
        <is>
          <t>Brian Gates</t>
        </is>
      </c>
      <c r="C210" s="220" t="inlineStr">
        <is>
          <t>Manager Risk &amp; Resilience</t>
        </is>
      </c>
      <c r="D210" s="220" t="inlineStr">
        <is>
          <t>Frances Bouzo</t>
        </is>
      </c>
      <c r="E210" s="220" t="inlineStr">
        <is>
          <t xml:space="preserve">CISO </t>
        </is>
      </c>
      <c r="F210" s="220" t="inlineStr">
        <is>
          <t>Cyber, Risk &amp; Operations</t>
        </is>
      </c>
      <c r="G210" s="251" t="inlineStr">
        <is>
          <t>Cyber Risk</t>
        </is>
      </c>
      <c r="H210" s="220" t="inlineStr">
        <is>
          <t xml:space="preserve">Risk &amp; Resilience </t>
        </is>
      </c>
      <c r="I210" s="220" t="inlineStr">
        <is>
          <t>NA</t>
        </is>
      </c>
      <c r="J210" s="220" t="inlineStr">
        <is>
          <t>NA</t>
        </is>
      </c>
      <c r="K210" s="220" t="inlineStr">
        <is>
          <t>NA</t>
        </is>
      </c>
      <c r="L210" s="220" t="n"/>
      <c r="M210" s="252" t="inlineStr">
        <is>
          <t>Australia</t>
        </is>
      </c>
      <c r="N210" t="inlineStr">
        <is>
          <t>TDD Cyber</t>
        </is>
      </c>
      <c r="O210" t="inlineStr">
        <is>
          <t>TDD Cyber, Risk &amp; Service Ops</t>
        </is>
      </c>
      <c r="P210" t="inlineStr">
        <is>
          <t>TDD Cyber</t>
        </is>
      </c>
      <c r="Q210" t="inlineStr">
        <is>
          <t>Squad</t>
        </is>
      </c>
      <c r="R210" t="inlineStr">
        <is>
          <t>Filled</t>
        </is>
      </c>
    </row>
    <row r="211" ht="18" customHeight="1" s="849">
      <c r="A211" s="250" t="n">
        <v>101700</v>
      </c>
      <c r="B211" s="220" t="inlineStr">
        <is>
          <t>Diya Thomas</t>
        </is>
      </c>
      <c r="C211" s="220" t="inlineStr">
        <is>
          <t>Manager Cyber Security GRC</t>
        </is>
      </c>
      <c r="D211" s="220" t="inlineStr">
        <is>
          <t>Frances Bouzo</t>
        </is>
      </c>
      <c r="E211" s="220" t="inlineStr">
        <is>
          <t xml:space="preserve">Manager Cyber Security Operations </t>
        </is>
      </c>
      <c r="F211" s="220" t="inlineStr">
        <is>
          <t>Cyber, Risk &amp; Operations</t>
        </is>
      </c>
      <c r="G211" s="251" t="inlineStr">
        <is>
          <t>Loyalty &amp; Martech</t>
        </is>
      </c>
      <c r="H211" s="220" t="inlineStr">
        <is>
          <t>NA</t>
        </is>
      </c>
      <c r="I211" s="220" t="inlineStr">
        <is>
          <t>NA</t>
        </is>
      </c>
      <c r="J211" s="220" t="inlineStr">
        <is>
          <t>NA</t>
        </is>
      </c>
      <c r="K211" s="220" t="inlineStr">
        <is>
          <t>NA</t>
        </is>
      </c>
      <c r="L211" s="220" t="n"/>
      <c r="M211" s="252" t="inlineStr">
        <is>
          <t>Australia</t>
        </is>
      </c>
      <c r="N211" t="inlineStr">
        <is>
          <t>Customer</t>
        </is>
      </c>
      <c r="O211" t="inlineStr">
        <is>
          <t>Group Customer Platforms</t>
        </is>
      </c>
      <c r="P211" t="inlineStr">
        <is>
          <t>AU CRM &amp; Martech</t>
        </is>
      </c>
      <c r="Q211" t="inlineStr">
        <is>
          <t>Squad</t>
        </is>
      </c>
      <c r="R211" t="inlineStr">
        <is>
          <t>Filled</t>
        </is>
      </c>
    </row>
    <row r="212" ht="18" customHeight="1" s="849">
      <c r="A212" s="250" t="n">
        <v>100825</v>
      </c>
      <c r="B212" s="220" t="inlineStr">
        <is>
          <t>James Byrne</t>
        </is>
      </c>
      <c r="C212" s="220" t="inlineStr">
        <is>
          <t>Head of Cyber Strategy &amp; Technology</t>
        </is>
      </c>
      <c r="D212" s="220" t="inlineStr">
        <is>
          <t>Frances Bouzo</t>
        </is>
      </c>
      <c r="E212" s="220" t="inlineStr">
        <is>
          <t xml:space="preserve">Manager Customer Support Operations </t>
        </is>
      </c>
      <c r="F212" s="220" t="inlineStr">
        <is>
          <t>Cyber, Risk &amp; Operations</t>
        </is>
      </c>
      <c r="G212" s="251" t="inlineStr">
        <is>
          <t>Cyber Strat &amp; Tech</t>
        </is>
      </c>
      <c r="H212" s="220" t="inlineStr">
        <is>
          <t>NA</t>
        </is>
      </c>
      <c r="I212" s="220" t="inlineStr">
        <is>
          <t>EGI Integration</t>
        </is>
      </c>
      <c r="J212" s="220" t="inlineStr">
        <is>
          <t>EGI</t>
        </is>
      </c>
      <c r="K212" s="220" t="inlineStr">
        <is>
          <t>EGI Retail</t>
        </is>
      </c>
      <c r="L212" s="220" t="n"/>
      <c r="M212" s="252" t="inlineStr">
        <is>
          <t>Australia</t>
        </is>
      </c>
      <c r="N212" t="inlineStr">
        <is>
          <t>Ampol Retail</t>
        </is>
      </c>
      <c r="O212" t="inlineStr">
        <is>
          <t>EGI Retail</t>
        </is>
      </c>
      <c r="P212" t="inlineStr">
        <is>
          <t>EGI Retail</t>
        </is>
      </c>
      <c r="Q212" t="inlineStr">
        <is>
          <t>Strategic Program</t>
        </is>
      </c>
      <c r="R212" t="inlineStr">
        <is>
          <t>Filled</t>
        </is>
      </c>
    </row>
    <row r="213" ht="18" customHeight="1" s="849">
      <c r="A213" s="250" t="n">
        <v>97592</v>
      </c>
      <c r="B213" s="220" t="inlineStr">
        <is>
          <t>Kevin Sheerin</t>
        </is>
      </c>
      <c r="C213" s="220" t="inlineStr">
        <is>
          <t>Cyber Architecture Lead</t>
        </is>
      </c>
      <c r="D213" s="220" t="inlineStr">
        <is>
          <t>James Byrne</t>
        </is>
      </c>
      <c r="E213" s="220" t="n"/>
      <c r="F213" s="220" t="inlineStr">
        <is>
          <t>Cyber, Risk &amp; Operations</t>
        </is>
      </c>
      <c r="G213" s="251" t="inlineStr">
        <is>
          <t>Cyber Strat &amp; Tech</t>
        </is>
      </c>
      <c r="H213" s="220" t="inlineStr">
        <is>
          <t>NA</t>
        </is>
      </c>
      <c r="I213" s="220" t="inlineStr">
        <is>
          <t>NA</t>
        </is>
      </c>
      <c r="J213" s="220" t="inlineStr">
        <is>
          <t>NA</t>
        </is>
      </c>
      <c r="K213" s="220" t="inlineStr">
        <is>
          <t>NA</t>
        </is>
      </c>
      <c r="L213" s="220" t="n"/>
      <c r="M213" s="252" t="inlineStr">
        <is>
          <t>Australia</t>
        </is>
      </c>
      <c r="N213" t="inlineStr">
        <is>
          <t>TDD Cyber</t>
        </is>
      </c>
      <c r="O213" t="inlineStr">
        <is>
          <t>TDD Cyber, Risk &amp; Service Ops</t>
        </is>
      </c>
      <c r="P213" t="inlineStr">
        <is>
          <t>TDD Cyber</t>
        </is>
      </c>
      <c r="Q213" t="inlineStr">
        <is>
          <t>Squad</t>
        </is>
      </c>
      <c r="R213" t="inlineStr">
        <is>
          <t>Filled</t>
        </is>
      </c>
    </row>
    <row r="214" ht="18" customHeight="1" s="849">
      <c r="A214" s="250" t="n">
        <v>108809</v>
      </c>
      <c r="B214" s="220" t="inlineStr">
        <is>
          <t>Joe Nahma</t>
        </is>
      </c>
      <c r="C214" s="220" t="inlineStr">
        <is>
          <t>Manager Identity &amp; Access Management</t>
        </is>
      </c>
      <c r="D214" s="220" t="inlineStr">
        <is>
          <t>James Byrne</t>
        </is>
      </c>
      <c r="E214" s="220" t="inlineStr">
        <is>
          <t>Manager Cyber Security GRC</t>
        </is>
      </c>
      <c r="F214" s="220" t="inlineStr">
        <is>
          <t>Cyber, Risk &amp; Operations</t>
        </is>
      </c>
      <c r="G214" s="251" t="inlineStr">
        <is>
          <t>Cyber Strat &amp; Tech</t>
        </is>
      </c>
      <c r="H214" s="220" t="inlineStr">
        <is>
          <t>NA</t>
        </is>
      </c>
      <c r="I214" s="220" t="inlineStr">
        <is>
          <t>NA</t>
        </is>
      </c>
      <c r="J214" s="220" t="inlineStr">
        <is>
          <t>NA</t>
        </is>
      </c>
      <c r="K214" s="220" t="inlineStr">
        <is>
          <t>NA</t>
        </is>
      </c>
      <c r="L214" s="220" t="n"/>
      <c r="M214" s="252" t="inlineStr">
        <is>
          <t>Australia</t>
        </is>
      </c>
      <c r="N214" t="inlineStr">
        <is>
          <t>TDD Cyber</t>
        </is>
      </c>
      <c r="O214" t="inlineStr">
        <is>
          <t>TDD Cyber, Risk &amp; Service Ops</t>
        </is>
      </c>
      <c r="P214" t="inlineStr">
        <is>
          <t>TDD Cyber</t>
        </is>
      </c>
      <c r="Q214" t="inlineStr">
        <is>
          <t>Squad</t>
        </is>
      </c>
      <c r="R214" t="inlineStr">
        <is>
          <t>Filled</t>
        </is>
      </c>
    </row>
    <row r="215" ht="18" customHeight="1" s="849">
      <c r="A215" s="250" t="n">
        <v>101830</v>
      </c>
      <c r="B215" s="220" t="inlineStr">
        <is>
          <t>Vivienne Vasak</t>
        </is>
      </c>
      <c r="C215" s="220" t="inlineStr">
        <is>
          <t>Portfolio Manager Cyber Security</t>
        </is>
      </c>
      <c r="D215" s="220" t="inlineStr">
        <is>
          <t>James Byrne</t>
        </is>
      </c>
      <c r="E215" s="220" t="inlineStr">
        <is>
          <t xml:space="preserve">Manager Service Perforance &amp; Assurance </t>
        </is>
      </c>
      <c r="F215" s="220" t="inlineStr">
        <is>
          <t>Cyber, Risk &amp; Operations</t>
        </is>
      </c>
      <c r="G215" s="251" t="inlineStr">
        <is>
          <t>Cyber Strat &amp; Tech</t>
        </is>
      </c>
      <c r="H215" s="220" t="inlineStr">
        <is>
          <t>NA</t>
        </is>
      </c>
      <c r="I215" s="220" t="inlineStr">
        <is>
          <t>NA</t>
        </is>
      </c>
      <c r="J215" s="220" t="inlineStr">
        <is>
          <t>NA</t>
        </is>
      </c>
      <c r="K215" s="220" t="inlineStr">
        <is>
          <t>NA</t>
        </is>
      </c>
      <c r="L215" s="220" t="n"/>
      <c r="M215" s="252" t="inlineStr">
        <is>
          <t>Australia</t>
        </is>
      </c>
      <c r="N215" t="inlineStr">
        <is>
          <t>TDD Cyber</t>
        </is>
      </c>
      <c r="O215" t="inlineStr">
        <is>
          <t>TDD Cyber, Risk &amp; Service Ops</t>
        </is>
      </c>
      <c r="P215" t="inlineStr">
        <is>
          <t>TDD Cyber</t>
        </is>
      </c>
      <c r="Q215" t="inlineStr">
        <is>
          <t>Squad</t>
        </is>
      </c>
      <c r="R215" t="inlineStr">
        <is>
          <t>Filled</t>
        </is>
      </c>
    </row>
    <row r="216" ht="18" customHeight="1" s="849">
      <c r="A216" s="250" t="n">
        <v>86962</v>
      </c>
      <c r="B216" s="220" t="inlineStr">
        <is>
          <t>Cameron Watman</t>
        </is>
      </c>
      <c r="C216" s="220" t="inlineStr">
        <is>
          <t>Engineer - IDAM</t>
        </is>
      </c>
      <c r="D216" s="220" t="inlineStr">
        <is>
          <t>Joe Nahma</t>
        </is>
      </c>
      <c r="E216" s="220" t="inlineStr">
        <is>
          <t xml:space="preserve">Head of Cyber Strategy &amp; Technology </t>
        </is>
      </c>
      <c r="F216" s="220" t="inlineStr">
        <is>
          <t>Cyber, Risk &amp; Operations</t>
        </is>
      </c>
      <c r="G216" s="251" t="inlineStr">
        <is>
          <t>Cyber Strat &amp; Tech</t>
        </is>
      </c>
      <c r="H216" s="251" t="inlineStr">
        <is>
          <t xml:space="preserve">Identity &amp; Access Management </t>
        </is>
      </c>
      <c r="I216" s="220" t="inlineStr">
        <is>
          <t>NA</t>
        </is>
      </c>
      <c r="J216" s="220" t="inlineStr">
        <is>
          <t>NA</t>
        </is>
      </c>
      <c r="K216" s="220" t="inlineStr">
        <is>
          <t>NA</t>
        </is>
      </c>
      <c r="L216" s="220" t="n"/>
      <c r="M216" s="252" t="inlineStr">
        <is>
          <t>Australia</t>
        </is>
      </c>
      <c r="N216" t="inlineStr">
        <is>
          <t>TDD Cyber</t>
        </is>
      </c>
      <c r="O216" t="inlineStr">
        <is>
          <t>TDD Cyber, Risk &amp; Service Ops</t>
        </is>
      </c>
      <c r="P216" t="inlineStr">
        <is>
          <t>TDD Cyber</t>
        </is>
      </c>
      <c r="Q216" t="inlineStr">
        <is>
          <t>Squad</t>
        </is>
      </c>
      <c r="R216" t="inlineStr">
        <is>
          <t>Filled</t>
        </is>
      </c>
    </row>
    <row r="217" ht="18" customHeight="1" s="849">
      <c r="A217" s="250" t="n">
        <v>116241</v>
      </c>
      <c r="B217" s="220" t="inlineStr">
        <is>
          <t>Raymond Cheung</t>
        </is>
      </c>
      <c r="C217" s="220" t="inlineStr">
        <is>
          <t>Engineer - IDAM</t>
        </is>
      </c>
      <c r="D217" s="220" t="inlineStr">
        <is>
          <t>Joe Nahma</t>
        </is>
      </c>
      <c r="E217" s="220" t="inlineStr">
        <is>
          <t xml:space="preserve">Head Cyber Strategy &amp; Technology </t>
        </is>
      </c>
      <c r="F217" s="220" t="inlineStr">
        <is>
          <t>Cyber, Risk &amp; Operations</t>
        </is>
      </c>
      <c r="G217" s="251" t="inlineStr">
        <is>
          <t>Cyber Strat &amp; Tech</t>
        </is>
      </c>
      <c r="H217" s="220" t="inlineStr">
        <is>
          <t>NA</t>
        </is>
      </c>
      <c r="I217" s="220" t="inlineStr">
        <is>
          <t>NA</t>
        </is>
      </c>
      <c r="J217" s="220" t="inlineStr">
        <is>
          <t>NA</t>
        </is>
      </c>
      <c r="K217" s="220" t="inlineStr">
        <is>
          <t>NA</t>
        </is>
      </c>
      <c r="L217" s="220" t="n"/>
      <c r="M217" s="252" t="inlineStr">
        <is>
          <t>Australia</t>
        </is>
      </c>
      <c r="N217" t="inlineStr">
        <is>
          <t>TDD Cyber</t>
        </is>
      </c>
      <c r="O217" t="inlineStr">
        <is>
          <t>TDD Cyber, Risk &amp; Service Ops</t>
        </is>
      </c>
      <c r="P217" t="inlineStr">
        <is>
          <t>TDD Cyber</t>
        </is>
      </c>
      <c r="Q217" t="inlineStr">
        <is>
          <t>Squad</t>
        </is>
      </c>
      <c r="R217" t="inlineStr">
        <is>
          <t>Filled</t>
        </is>
      </c>
    </row>
    <row r="218" ht="18" customHeight="1" s="849">
      <c r="A218" s="250" t="n">
        <v>102385</v>
      </c>
      <c r="B218" s="220" t="inlineStr">
        <is>
          <t>Chris Lyons</t>
        </is>
      </c>
      <c r="C218" s="220" t="inlineStr">
        <is>
          <t>Cyber Security Architect</t>
        </is>
      </c>
      <c r="D218" s="220" t="inlineStr">
        <is>
          <t>Kevin Sheerin</t>
        </is>
      </c>
      <c r="E218" s="220" t="inlineStr">
        <is>
          <t xml:space="preserve">Head of Cyber Strategy &amp; Technology </t>
        </is>
      </c>
      <c r="F218" s="220" t="inlineStr">
        <is>
          <t>Cyber, Risk &amp; Operations</t>
        </is>
      </c>
      <c r="G218" s="251" t="inlineStr">
        <is>
          <t>Cyber Strat &amp; Tech</t>
        </is>
      </c>
      <c r="H218" s="220" t="inlineStr">
        <is>
          <t>NA</t>
        </is>
      </c>
      <c r="I218" s="220" t="inlineStr">
        <is>
          <t>NA</t>
        </is>
      </c>
      <c r="J218" s="220" t="inlineStr">
        <is>
          <t>NA</t>
        </is>
      </c>
      <c r="K218" s="220" t="inlineStr">
        <is>
          <t>NA</t>
        </is>
      </c>
      <c r="L218" s="220" t="n"/>
      <c r="M218" s="252" t="inlineStr">
        <is>
          <t>Australia</t>
        </is>
      </c>
      <c r="N218" t="inlineStr">
        <is>
          <t>TDD Cyber</t>
        </is>
      </c>
      <c r="O218" t="inlineStr">
        <is>
          <t>TDD Cyber, Risk &amp; Service Ops</t>
        </is>
      </c>
      <c r="P218" t="inlineStr">
        <is>
          <t>TDD Cyber</t>
        </is>
      </c>
      <c r="Q218" t="inlineStr">
        <is>
          <t>Squad</t>
        </is>
      </c>
      <c r="R218" t="inlineStr">
        <is>
          <t>Filled</t>
        </is>
      </c>
    </row>
    <row r="219" ht="18" customHeight="1" s="849">
      <c r="A219" s="250" t="n">
        <v>99707</v>
      </c>
      <c r="B219" s="220" t="inlineStr">
        <is>
          <t>Darshan Suvama</t>
        </is>
      </c>
      <c r="C219" s="220" t="inlineStr">
        <is>
          <t>Cyber Offensive Security Lead</t>
        </is>
      </c>
      <c r="D219" s="220" t="inlineStr">
        <is>
          <t>Kevin Sheerin</t>
        </is>
      </c>
      <c r="E219" s="220" t="inlineStr">
        <is>
          <t>Cyber Architecture Lead</t>
        </is>
      </c>
      <c r="F219" s="220" t="inlineStr">
        <is>
          <t>Cyber, Risk &amp; Operations</t>
        </is>
      </c>
      <c r="G219" s="251" t="inlineStr">
        <is>
          <t>Cyber Strat &amp; Tech</t>
        </is>
      </c>
      <c r="H219" s="220" t="inlineStr">
        <is>
          <t>NA</t>
        </is>
      </c>
      <c r="I219" s="220" t="inlineStr">
        <is>
          <t>NA</t>
        </is>
      </c>
      <c r="J219" s="220" t="inlineStr">
        <is>
          <t>NA</t>
        </is>
      </c>
      <c r="K219" s="220" t="inlineStr">
        <is>
          <t>NA</t>
        </is>
      </c>
      <c r="L219" s="220" t="n"/>
      <c r="M219" s="252" t="inlineStr">
        <is>
          <t>Australia</t>
        </is>
      </c>
      <c r="N219" t="inlineStr">
        <is>
          <t>TDD Cyber</t>
        </is>
      </c>
      <c r="O219" t="inlineStr">
        <is>
          <t>TDD Cyber, Risk &amp; Service Ops</t>
        </is>
      </c>
      <c r="P219" t="inlineStr">
        <is>
          <t>TDD Cyber</t>
        </is>
      </c>
      <c r="Q219" t="inlineStr">
        <is>
          <t>Squad</t>
        </is>
      </c>
      <c r="R219" t="inlineStr">
        <is>
          <t>Filled</t>
        </is>
      </c>
    </row>
    <row r="220" ht="18" customHeight="1" s="849">
      <c r="A220" s="250" t="n">
        <v>104966</v>
      </c>
      <c r="B220" s="220" t="inlineStr">
        <is>
          <t>Rahul Sahni</t>
        </is>
      </c>
      <c r="C220" s="220" t="inlineStr">
        <is>
          <t>Cyber Security Architect</t>
        </is>
      </c>
      <c r="D220" s="220" t="inlineStr">
        <is>
          <t>Kevin Sheerin</t>
        </is>
      </c>
      <c r="E220" s="220" t="n"/>
      <c r="F220" s="220" t="inlineStr">
        <is>
          <t>Cyber, Risk &amp; Operations</t>
        </is>
      </c>
      <c r="G220" s="251" t="inlineStr">
        <is>
          <t>Cyber Strat &amp; Tech</t>
        </is>
      </c>
      <c r="H220" s="220" t="inlineStr">
        <is>
          <t>NA</t>
        </is>
      </c>
      <c r="I220" s="220" t="inlineStr">
        <is>
          <t>NA</t>
        </is>
      </c>
      <c r="J220" s="220" t="inlineStr">
        <is>
          <t>NA</t>
        </is>
      </c>
      <c r="K220" s="220" t="inlineStr">
        <is>
          <t>NA</t>
        </is>
      </c>
      <c r="L220" s="220" t="n"/>
      <c r="M220" s="252" t="inlineStr">
        <is>
          <t>Australia</t>
        </is>
      </c>
      <c r="N220" t="inlineStr">
        <is>
          <t>TDD Cyber</t>
        </is>
      </c>
      <c r="O220" t="inlineStr">
        <is>
          <t>TDD Cyber, Risk &amp; Service Ops</t>
        </is>
      </c>
      <c r="P220" t="inlineStr">
        <is>
          <t>TDD Cyber</t>
        </is>
      </c>
      <c r="Q220" t="inlineStr">
        <is>
          <t>Squad</t>
        </is>
      </c>
      <c r="R220" t="inlineStr">
        <is>
          <t>Filled</t>
        </is>
      </c>
    </row>
    <row r="221" ht="18" customHeight="1" s="849">
      <c r="A221" s="250" t="n"/>
      <c r="B221" s="220" t="inlineStr">
        <is>
          <t>Vacant</t>
        </is>
      </c>
      <c r="C221" s="220" t="inlineStr">
        <is>
          <t>Cyber Architect (backfill for EGI Secondment)</t>
        </is>
      </c>
      <c r="D221" s="220" t="inlineStr">
        <is>
          <t>Kevin Sheerin</t>
        </is>
      </c>
      <c r="E221" s="220" t="n"/>
      <c r="F221" s="220" t="inlineStr">
        <is>
          <t>Cyber, Risk &amp; Operations</t>
        </is>
      </c>
      <c r="G221" s="251" t="inlineStr">
        <is>
          <t>Cyber Strat &amp; Tech</t>
        </is>
      </c>
      <c r="H221" s="220" t="inlineStr">
        <is>
          <t>NA</t>
        </is>
      </c>
      <c r="I221" s="220" t="inlineStr">
        <is>
          <t>NA</t>
        </is>
      </c>
      <c r="J221" s="220" t="inlineStr">
        <is>
          <t>NA</t>
        </is>
      </c>
      <c r="K221" s="220" t="inlineStr">
        <is>
          <t>NA</t>
        </is>
      </c>
      <c r="L221" s="220" t="n"/>
      <c r="M221" s="252" t="n"/>
      <c r="N221" t="inlineStr">
        <is>
          <t>TDD Cyber</t>
        </is>
      </c>
      <c r="O221" t="inlineStr">
        <is>
          <t>TDD Cyber, Risk &amp; Service Ops</t>
        </is>
      </c>
      <c r="P221" t="inlineStr">
        <is>
          <t>TDD Cyber</t>
        </is>
      </c>
      <c r="Q221" t="inlineStr">
        <is>
          <t>Squad</t>
        </is>
      </c>
      <c r="R221" t="inlineStr">
        <is>
          <t>Vacant</t>
        </is>
      </c>
    </row>
    <row r="222" ht="18" customHeight="1" s="849">
      <c r="A222" s="250" t="n">
        <v>113382</v>
      </c>
      <c r="B222" s="220" t="inlineStr">
        <is>
          <t>Jack Jenkins</t>
        </is>
      </c>
      <c r="C222" s="220" t="inlineStr">
        <is>
          <t>Asset Analyst</t>
        </is>
      </c>
      <c r="D222" s="220" t="inlineStr">
        <is>
          <t>Lead – Asset &amp; Configuration (Vacant)</t>
        </is>
      </c>
      <c r="E222" s="220" t="n"/>
      <c r="F222" s="220" t="inlineStr">
        <is>
          <t>Cyber, Risk &amp; Operations</t>
        </is>
      </c>
      <c r="G222" s="251" t="inlineStr">
        <is>
          <t>Service Op &amp; Assurance</t>
        </is>
      </c>
      <c r="H222" s="220" t="inlineStr">
        <is>
          <t>NA</t>
        </is>
      </c>
      <c r="I222" s="220" t="inlineStr">
        <is>
          <t>NA</t>
        </is>
      </c>
      <c r="J222" s="220" t="inlineStr">
        <is>
          <t>NA</t>
        </is>
      </c>
      <c r="K222" s="220" t="inlineStr">
        <is>
          <t>NA</t>
        </is>
      </c>
      <c r="L222" s="220" t="n"/>
      <c r="M222" s="252" t="inlineStr">
        <is>
          <t>Australia</t>
        </is>
      </c>
      <c r="N222" t="inlineStr">
        <is>
          <t>TDD Cyber</t>
        </is>
      </c>
      <c r="O222" t="inlineStr">
        <is>
          <t>TDD Cyber, Risk &amp; Service Ops</t>
        </is>
      </c>
      <c r="P222" t="inlineStr">
        <is>
          <t>TDD Cyber</t>
        </is>
      </c>
      <c r="Q222" t="inlineStr">
        <is>
          <t>Squad</t>
        </is>
      </c>
      <c r="R222" t="inlineStr">
        <is>
          <t>Filled</t>
        </is>
      </c>
    </row>
    <row r="223" ht="18" customHeight="1" s="849">
      <c r="A223" s="250" t="n">
        <v>104555</v>
      </c>
      <c r="B223" s="220" t="inlineStr">
        <is>
          <t>Ritika Salaria</t>
        </is>
      </c>
      <c r="C223" s="220" t="inlineStr">
        <is>
          <t>Configuration Analyst</t>
        </is>
      </c>
      <c r="D223" s="220" t="inlineStr">
        <is>
          <t>Lead – Asset &amp; Configuration (Vacant)</t>
        </is>
      </c>
      <c r="E223" s="220" t="n"/>
      <c r="F223" s="220" t="inlineStr">
        <is>
          <t>Cyber, Risk &amp; Operations</t>
        </is>
      </c>
      <c r="G223" s="251" t="inlineStr">
        <is>
          <t>Service Op &amp; Assurance</t>
        </is>
      </c>
      <c r="H223" s="220" t="inlineStr">
        <is>
          <t>NA</t>
        </is>
      </c>
      <c r="I223" s="220" t="inlineStr">
        <is>
          <t>NA</t>
        </is>
      </c>
      <c r="J223" s="220" t="inlineStr">
        <is>
          <t>NA</t>
        </is>
      </c>
      <c r="K223" s="220" t="inlineStr">
        <is>
          <t>NA</t>
        </is>
      </c>
      <c r="L223" s="220" t="n"/>
      <c r="M223" s="252" t="inlineStr">
        <is>
          <t>Australia</t>
        </is>
      </c>
      <c r="N223" t="inlineStr">
        <is>
          <t>TDD Cyber</t>
        </is>
      </c>
      <c r="O223" t="inlineStr">
        <is>
          <t>TDD Cyber, Risk &amp; Service Ops</t>
        </is>
      </c>
      <c r="P223" t="inlineStr">
        <is>
          <t>TDD Cyber</t>
        </is>
      </c>
      <c r="Q223" t="inlineStr">
        <is>
          <t>Squad</t>
        </is>
      </c>
      <c r="R223" t="inlineStr">
        <is>
          <t>Filled</t>
        </is>
      </c>
    </row>
    <row r="224" ht="18" customHeight="1" s="849">
      <c r="A224" s="250" t="n">
        <v>114354</v>
      </c>
      <c r="B224" s="220" t="inlineStr">
        <is>
          <t>Kaaviya Salai Manimudian</t>
        </is>
      </c>
      <c r="C224" s="220" t="inlineStr">
        <is>
          <t>Graduate</t>
        </is>
      </c>
      <c r="D224" s="220" t="inlineStr">
        <is>
          <t>Lynda Niewidok</t>
        </is>
      </c>
      <c r="E224" s="220" t="inlineStr">
        <is>
          <t xml:space="preserve">Manager Customer Support Operations </t>
        </is>
      </c>
      <c r="F224" s="220" t="inlineStr">
        <is>
          <t>Cyber, Risk &amp; Operations</t>
        </is>
      </c>
      <c r="G224" s="251" t="inlineStr">
        <is>
          <t>Service Op &amp; Assurance</t>
        </is>
      </c>
      <c r="H224" s="220" t="inlineStr">
        <is>
          <t>NA</t>
        </is>
      </c>
      <c r="I224" s="220" t="inlineStr">
        <is>
          <t>NA</t>
        </is>
      </c>
      <c r="J224" s="220" t="inlineStr">
        <is>
          <t>NA</t>
        </is>
      </c>
      <c r="K224" s="220" t="inlineStr">
        <is>
          <t>NA</t>
        </is>
      </c>
      <c r="L224" s="220" t="n"/>
      <c r="M224" s="252" t="inlineStr">
        <is>
          <t>Australia</t>
        </is>
      </c>
      <c r="N224" t="inlineStr">
        <is>
          <t>TDD Cyber</t>
        </is>
      </c>
      <c r="O224" t="inlineStr">
        <is>
          <t>TDD Cyber, Risk &amp; Service Ops</t>
        </is>
      </c>
      <c r="P224" t="inlineStr">
        <is>
          <t>TDD Cyber</t>
        </is>
      </c>
      <c r="Q224" t="inlineStr">
        <is>
          <t>Squad</t>
        </is>
      </c>
      <c r="R224" t="inlineStr">
        <is>
          <t>Filled</t>
        </is>
      </c>
    </row>
    <row r="225" ht="18" customHeight="1" s="849">
      <c r="A225" s="250" t="n"/>
      <c r="B225" s="220" t="inlineStr">
        <is>
          <t>Vacant (SYD)</t>
        </is>
      </c>
      <c r="C225" s="220" t="inlineStr">
        <is>
          <t>Tech Support Technician</t>
        </is>
      </c>
      <c r="D225" s="220" t="inlineStr">
        <is>
          <t>Mark Pearson</t>
        </is>
      </c>
      <c r="E225" s="220" t="n"/>
      <c r="F225" s="220" t="inlineStr">
        <is>
          <t>Cyber, Risk &amp; Operations</t>
        </is>
      </c>
      <c r="G225" s="251" t="inlineStr">
        <is>
          <t>Service Op &amp; Assurance</t>
        </is>
      </c>
      <c r="H225" s="220" t="inlineStr">
        <is>
          <t>NA</t>
        </is>
      </c>
      <c r="I225" s="220" t="inlineStr">
        <is>
          <t>NA</t>
        </is>
      </c>
      <c r="J225" s="220" t="inlineStr">
        <is>
          <t>NA</t>
        </is>
      </c>
      <c r="K225" s="220" t="inlineStr">
        <is>
          <t>NA</t>
        </is>
      </c>
      <c r="L225" s="220" t="n"/>
      <c r="M225" s="252" t="n"/>
      <c r="N225" t="inlineStr">
        <is>
          <t>TDD Cyber</t>
        </is>
      </c>
      <c r="O225" t="inlineStr">
        <is>
          <t>TDD Cyber, Risk &amp; Service Ops</t>
        </is>
      </c>
      <c r="P225" t="inlineStr">
        <is>
          <t>TDD Cyber</t>
        </is>
      </c>
      <c r="Q225" t="inlineStr">
        <is>
          <t>Squad</t>
        </is>
      </c>
      <c r="R225" t="inlineStr">
        <is>
          <t>Filled</t>
        </is>
      </c>
    </row>
    <row r="226" ht="18" customHeight="1" s="849">
      <c r="A226" s="250" t="n">
        <v>108727</v>
      </c>
      <c r="B226" s="220" t="inlineStr">
        <is>
          <t>Jas Mann</t>
        </is>
      </c>
      <c r="C226" s="220" t="inlineStr">
        <is>
          <t>Technology Support Engineer</t>
        </is>
      </c>
      <c r="D226" s="220" t="inlineStr">
        <is>
          <t>Mark Pearson</t>
        </is>
      </c>
      <c r="E226" s="220" t="inlineStr">
        <is>
          <t xml:space="preserve">Lead Technology Support </t>
        </is>
      </c>
      <c r="F226" s="220" t="inlineStr">
        <is>
          <t>Cyber, Risk &amp; Operations</t>
        </is>
      </c>
      <c r="G226" s="251" t="inlineStr">
        <is>
          <t>Service Op &amp; Assurance</t>
        </is>
      </c>
      <c r="H226" s="220" t="inlineStr">
        <is>
          <t>NA</t>
        </is>
      </c>
      <c r="I226" s="220" t="inlineStr">
        <is>
          <t>NA</t>
        </is>
      </c>
      <c r="J226" s="220" t="inlineStr">
        <is>
          <t>NA</t>
        </is>
      </c>
      <c r="K226" s="220" t="inlineStr">
        <is>
          <t>NA</t>
        </is>
      </c>
      <c r="L226" s="220" t="n"/>
      <c r="M226" s="252" t="inlineStr">
        <is>
          <t>Australia</t>
        </is>
      </c>
      <c r="N226" t="inlineStr">
        <is>
          <t>TDD Cyber</t>
        </is>
      </c>
      <c r="O226" t="inlineStr">
        <is>
          <t>TDD Cyber, Risk &amp; Service Ops</t>
        </is>
      </c>
      <c r="P226" t="inlineStr">
        <is>
          <t>TDD Cyber</t>
        </is>
      </c>
      <c r="Q226" t="inlineStr">
        <is>
          <t>Squad</t>
        </is>
      </c>
      <c r="R226" t="inlineStr">
        <is>
          <t>Filled</t>
        </is>
      </c>
    </row>
    <row r="227" ht="18" customHeight="1" s="849">
      <c r="A227" s="250" t="n">
        <v>108013</v>
      </c>
      <c r="B227" s="220" t="inlineStr">
        <is>
          <t>Vacant</t>
        </is>
      </c>
      <c r="C227" s="220" t="inlineStr">
        <is>
          <t>Technology Support Engineer</t>
        </is>
      </c>
      <c r="D227" s="220" t="inlineStr">
        <is>
          <t>Mark Pearson</t>
        </is>
      </c>
      <c r="E227" s="220" t="inlineStr">
        <is>
          <t xml:space="preserve">Lead Technology Support </t>
        </is>
      </c>
      <c r="F227" s="220" t="inlineStr">
        <is>
          <t>Cyber, Risk &amp; Operations</t>
        </is>
      </c>
      <c r="G227" s="251" t="inlineStr">
        <is>
          <t>Service Op &amp; Assurance</t>
        </is>
      </c>
      <c r="H227" s="220" t="inlineStr">
        <is>
          <t xml:space="preserve">Technology Support </t>
        </is>
      </c>
      <c r="I227" s="220" t="inlineStr">
        <is>
          <t>NA</t>
        </is>
      </c>
      <c r="J227" s="220" t="inlineStr">
        <is>
          <t>NA</t>
        </is>
      </c>
      <c r="K227" s="220" t="inlineStr">
        <is>
          <t>NA</t>
        </is>
      </c>
      <c r="L227" s="220" t="n"/>
      <c r="M227" s="252" t="inlineStr">
        <is>
          <t>Australia</t>
        </is>
      </c>
      <c r="N227" t="inlineStr">
        <is>
          <t>TDD Cyber</t>
        </is>
      </c>
      <c r="O227" t="inlineStr">
        <is>
          <t>TDD Cyber, Risk &amp; Service Ops</t>
        </is>
      </c>
      <c r="P227" t="inlineStr">
        <is>
          <t>TDD Cyber</t>
        </is>
      </c>
      <c r="Q227" t="inlineStr">
        <is>
          <t>Squad</t>
        </is>
      </c>
      <c r="R227" t="inlineStr">
        <is>
          <t>Vacant</t>
        </is>
      </c>
    </row>
    <row r="228" ht="18" customHeight="1" s="849">
      <c r="A228" s="250" t="n"/>
      <c r="B228" s="220" t="inlineStr">
        <is>
          <t>Vacant</t>
        </is>
      </c>
      <c r="C228" s="220" t="inlineStr">
        <is>
          <t>Operations Analyst</t>
        </is>
      </c>
      <c r="D228" s="220" t="inlineStr">
        <is>
          <t>Mick Collins</t>
        </is>
      </c>
      <c r="E228" s="220" t="inlineStr">
        <is>
          <t xml:space="preserve">Manager Service Management &amp; Major Incident Management Lead </t>
        </is>
      </c>
      <c r="F228" s="220" t="inlineStr">
        <is>
          <t>Cyber, Risk &amp; Operations</t>
        </is>
      </c>
      <c r="G228" s="251" t="inlineStr">
        <is>
          <t>Loyalty &amp; Martech</t>
        </is>
      </c>
      <c r="H228" s="220" t="inlineStr">
        <is>
          <t>NA</t>
        </is>
      </c>
      <c r="I228" s="220" t="inlineStr">
        <is>
          <t>NA</t>
        </is>
      </c>
      <c r="J228" s="220" t="inlineStr">
        <is>
          <t>NA</t>
        </is>
      </c>
      <c r="K228" s="220" t="inlineStr">
        <is>
          <t>NA</t>
        </is>
      </c>
      <c r="L228" s="220" t="n"/>
      <c r="M228" s="252" t="n"/>
      <c r="N228" t="inlineStr">
        <is>
          <t>Customer</t>
        </is>
      </c>
      <c r="O228" t="inlineStr">
        <is>
          <t>Group Customer Platforms</t>
        </is>
      </c>
      <c r="P228" t="inlineStr">
        <is>
          <t>AU CRM &amp; Martech</t>
        </is>
      </c>
      <c r="Q228" t="inlineStr">
        <is>
          <t>Squad</t>
        </is>
      </c>
      <c r="R228" t="inlineStr">
        <is>
          <t>Vacant</t>
        </is>
      </c>
    </row>
    <row r="229" ht="18" customHeight="1" s="849">
      <c r="A229" s="250" t="n">
        <v>99999101684</v>
      </c>
      <c r="B229" s="220" t="inlineStr">
        <is>
          <t>Ashley Mueller</t>
        </is>
      </c>
      <c r="C229" s="220" t="inlineStr">
        <is>
          <t>Lead – Service Assurance</t>
        </is>
      </c>
      <c r="D229" s="220" t="inlineStr">
        <is>
          <t>Mick Collins</t>
        </is>
      </c>
      <c r="E229" s="220" t="inlineStr">
        <is>
          <t>Cyber Architecture Lead</t>
        </is>
      </c>
      <c r="F229" s="220" t="inlineStr">
        <is>
          <t>Cyber, Risk &amp; Operations</t>
        </is>
      </c>
      <c r="G229" s="251" t="inlineStr">
        <is>
          <t>Service Op &amp; Assurance</t>
        </is>
      </c>
      <c r="H229" s="220" t="inlineStr">
        <is>
          <t xml:space="preserve">Service Performance &amp; Assurance </t>
        </is>
      </c>
      <c r="I229" s="220" t="inlineStr">
        <is>
          <t>NA</t>
        </is>
      </c>
      <c r="J229" s="220" t="inlineStr">
        <is>
          <t>NA</t>
        </is>
      </c>
      <c r="K229" s="220" t="inlineStr">
        <is>
          <t>NA</t>
        </is>
      </c>
      <c r="L229" s="220" t="n"/>
      <c r="M229" s="252" t="inlineStr">
        <is>
          <t>NZ</t>
        </is>
      </c>
      <c r="N229" t="inlineStr">
        <is>
          <t>TDD Cyber</t>
        </is>
      </c>
      <c r="O229" t="inlineStr">
        <is>
          <t>TDD Cyber, Risk &amp; Service Ops</t>
        </is>
      </c>
      <c r="P229" t="inlineStr">
        <is>
          <t>TDD Cyber</t>
        </is>
      </c>
      <c r="Q229" t="inlineStr">
        <is>
          <t>Squad</t>
        </is>
      </c>
      <c r="R229" t="inlineStr">
        <is>
          <t>Filled</t>
        </is>
      </c>
    </row>
    <row r="230" ht="18" customHeight="1" s="849">
      <c r="A230" s="250" t="n"/>
      <c r="B230" s="220" t="inlineStr">
        <is>
          <t>Vacant</t>
        </is>
      </c>
      <c r="C230" s="220" t="inlineStr">
        <is>
          <t>Lead – Asset &amp; Configuration</t>
        </is>
      </c>
      <c r="D230" s="220" t="inlineStr">
        <is>
          <t>Mick Collins</t>
        </is>
      </c>
      <c r="E230" s="220" t="inlineStr">
        <is>
          <t xml:space="preserve">Manager Cyber Security Operations </t>
        </is>
      </c>
      <c r="F230" s="220" t="inlineStr">
        <is>
          <t>Cyber, Risk &amp; Operations</t>
        </is>
      </c>
      <c r="G230" s="251" t="inlineStr">
        <is>
          <t>Service Op &amp; Assurance</t>
        </is>
      </c>
      <c r="H230" s="220" t="inlineStr">
        <is>
          <t>NA</t>
        </is>
      </c>
      <c r="I230" s="220" t="inlineStr">
        <is>
          <t>NA</t>
        </is>
      </c>
      <c r="J230" s="220" t="inlineStr">
        <is>
          <t>NA</t>
        </is>
      </c>
      <c r="K230" s="220" t="inlineStr">
        <is>
          <t>NA</t>
        </is>
      </c>
      <c r="L230" s="220" t="n"/>
      <c r="M230" s="252" t="n"/>
      <c r="N230" t="inlineStr">
        <is>
          <t>TDD Cyber</t>
        </is>
      </c>
      <c r="O230" t="inlineStr">
        <is>
          <t>TDD Cyber, Risk &amp; Service Ops</t>
        </is>
      </c>
      <c r="P230" t="inlineStr">
        <is>
          <t>TDD Cyber</t>
        </is>
      </c>
      <c r="Q230" t="inlineStr">
        <is>
          <t>Squad</t>
        </is>
      </c>
      <c r="R230" t="inlineStr">
        <is>
          <t>Vacant</t>
        </is>
      </c>
    </row>
    <row r="231" ht="18" customHeight="1" s="849">
      <c r="A231" s="250" t="n">
        <v>6307</v>
      </c>
      <c r="B231" s="220" t="inlineStr">
        <is>
          <t>Darren Koller</t>
        </is>
      </c>
      <c r="C231" s="220" t="inlineStr">
        <is>
          <t>Manager, Service Management &amp; Major Incident Mgmt Lead</t>
        </is>
      </c>
      <c r="D231" s="220" t="inlineStr">
        <is>
          <t>Rajini Onteddu Reddy</t>
        </is>
      </c>
      <c r="E231" s="220" t="inlineStr">
        <is>
          <t>Head of Service Operatoins &amp; Assurance</t>
        </is>
      </c>
      <c r="F231" s="220" t="inlineStr">
        <is>
          <t>Cyber, Risk &amp; Operations</t>
        </is>
      </c>
      <c r="G231" s="251" t="inlineStr">
        <is>
          <t>Service Op &amp; Assurance</t>
        </is>
      </c>
      <c r="H231" s="220" t="inlineStr">
        <is>
          <t>NA</t>
        </is>
      </c>
      <c r="I231" s="220" t="inlineStr">
        <is>
          <t>NA</t>
        </is>
      </c>
      <c r="J231" s="220" t="inlineStr">
        <is>
          <t>NA</t>
        </is>
      </c>
      <c r="K231" s="220" t="inlineStr">
        <is>
          <t>NA</t>
        </is>
      </c>
      <c r="L231" s="220" t="n"/>
      <c r="M231" s="252" t="inlineStr">
        <is>
          <t>Australia</t>
        </is>
      </c>
      <c r="N231" t="inlineStr">
        <is>
          <t>TDD Cyber</t>
        </is>
      </c>
      <c r="O231" t="inlineStr">
        <is>
          <t>TDD Cyber, Risk &amp; Service Ops</t>
        </is>
      </c>
      <c r="P231" t="inlineStr">
        <is>
          <t>TDD Cyber</t>
        </is>
      </c>
      <c r="Q231" t="inlineStr">
        <is>
          <t>Squad</t>
        </is>
      </c>
      <c r="R231" t="inlineStr">
        <is>
          <t>Filled</t>
        </is>
      </c>
    </row>
    <row r="232" ht="18" customHeight="1" s="849">
      <c r="A232" s="250" t="n">
        <v>99999101673</v>
      </c>
      <c r="B232" s="220" t="inlineStr">
        <is>
          <t>Lisa Ng</t>
        </is>
      </c>
      <c r="C232" s="220" t="inlineStr">
        <is>
          <t>Cyber Security Analyst</t>
        </is>
      </c>
      <c r="D232" s="220" t="inlineStr">
        <is>
          <t>Steven Atcheson</t>
        </is>
      </c>
      <c r="E232" s="220" t="n"/>
      <c r="F232" s="220" t="inlineStr">
        <is>
          <t>Cyber, Risk &amp; Operations</t>
        </is>
      </c>
      <c r="G232" s="251" t="inlineStr">
        <is>
          <t>Cyber Sec Ops</t>
        </is>
      </c>
      <c r="H232" s="220" t="inlineStr">
        <is>
          <t>NA</t>
        </is>
      </c>
      <c r="I232" s="220" t="inlineStr">
        <is>
          <t>NA</t>
        </is>
      </c>
      <c r="J232" s="220" t="inlineStr">
        <is>
          <t>NA</t>
        </is>
      </c>
      <c r="K232" s="220" t="inlineStr">
        <is>
          <t>NA</t>
        </is>
      </c>
      <c r="L232" s="220" t="n"/>
      <c r="M232" s="252" t="inlineStr">
        <is>
          <t>NZ</t>
        </is>
      </c>
      <c r="N232" t="inlineStr">
        <is>
          <t>TDD Cyber</t>
        </is>
      </c>
      <c r="O232" t="inlineStr">
        <is>
          <t>TDD Cyber, Risk &amp; Service Ops</t>
        </is>
      </c>
      <c r="P232" t="inlineStr">
        <is>
          <t>TDD Cyber</t>
        </is>
      </c>
      <c r="Q232" t="inlineStr">
        <is>
          <t>Squad</t>
        </is>
      </c>
      <c r="R232" t="inlineStr">
        <is>
          <t>Filled</t>
        </is>
      </c>
    </row>
    <row r="233" ht="18" customHeight="1" s="849">
      <c r="A233" s="250" t="n">
        <v>98371</v>
      </c>
      <c r="B233" s="220" t="inlineStr">
        <is>
          <t>Stafford Dowling</t>
        </is>
      </c>
      <c r="C233" s="220" t="inlineStr">
        <is>
          <t>Cyber Security Analyst</t>
        </is>
      </c>
      <c r="D233" s="220" t="inlineStr">
        <is>
          <t>Steven Atcheson</t>
        </is>
      </c>
      <c r="E233" s="220" t="n"/>
      <c r="F233" s="220" t="inlineStr">
        <is>
          <t>Cyber, Risk &amp; Operations</t>
        </is>
      </c>
      <c r="G233" s="251" t="inlineStr">
        <is>
          <t>Cyber Sec Ops</t>
        </is>
      </c>
      <c r="H233" s="220" t="inlineStr">
        <is>
          <t>NA</t>
        </is>
      </c>
      <c r="I233" s="220" t="inlineStr">
        <is>
          <t>NA</t>
        </is>
      </c>
      <c r="J233" s="220" t="inlineStr">
        <is>
          <t>NA</t>
        </is>
      </c>
      <c r="K233" s="220" t="inlineStr">
        <is>
          <t>NA</t>
        </is>
      </c>
      <c r="L233" s="220" t="n"/>
      <c r="M233" s="252" t="inlineStr">
        <is>
          <t>Australia</t>
        </is>
      </c>
      <c r="N233" t="inlineStr">
        <is>
          <t>TDD Cyber</t>
        </is>
      </c>
      <c r="O233" t="inlineStr">
        <is>
          <t>TDD Cyber, Risk &amp; Service Ops</t>
        </is>
      </c>
      <c r="P233" t="inlineStr">
        <is>
          <t>TDD Cyber</t>
        </is>
      </c>
      <c r="Q233" t="inlineStr">
        <is>
          <t>Squad</t>
        </is>
      </c>
      <c r="R233" t="inlineStr">
        <is>
          <t>Filled</t>
        </is>
      </c>
    </row>
    <row r="234" ht="18" customHeight="1" s="849">
      <c r="A234" s="250" t="n">
        <v>97425</v>
      </c>
      <c r="B234" s="220" t="inlineStr">
        <is>
          <t>Nischal Bhusal</t>
        </is>
      </c>
      <c r="C234" s="220" t="inlineStr">
        <is>
          <t>Cyber Security Analyst</t>
        </is>
      </c>
      <c r="D234" s="220" t="inlineStr">
        <is>
          <t>Steven Atcheson</t>
        </is>
      </c>
      <c r="E234" s="220" t="n"/>
      <c r="F234" s="220" t="inlineStr">
        <is>
          <t>Cyber, Risk &amp; Operations</t>
        </is>
      </c>
      <c r="G234" s="251" t="inlineStr">
        <is>
          <t>Cyber Sec Ops</t>
        </is>
      </c>
      <c r="H234" s="220" t="inlineStr">
        <is>
          <t>NA</t>
        </is>
      </c>
      <c r="I234" s="220" t="inlineStr">
        <is>
          <t>NA</t>
        </is>
      </c>
      <c r="J234" s="220" t="inlineStr">
        <is>
          <t>NA</t>
        </is>
      </c>
      <c r="K234" s="220" t="inlineStr">
        <is>
          <t>NA</t>
        </is>
      </c>
      <c r="L234" s="220" t="n"/>
      <c r="M234" s="252" t="inlineStr">
        <is>
          <t>Australia</t>
        </is>
      </c>
      <c r="N234" t="inlineStr">
        <is>
          <t>TDD Cyber</t>
        </is>
      </c>
      <c r="O234" t="inlineStr">
        <is>
          <t>TDD Cyber, Risk &amp; Service Ops</t>
        </is>
      </c>
      <c r="P234" t="inlineStr">
        <is>
          <t>TDD Cyber</t>
        </is>
      </c>
      <c r="Q234" t="inlineStr">
        <is>
          <t>Squad</t>
        </is>
      </c>
      <c r="R234" t="inlineStr">
        <is>
          <t>Filled</t>
        </is>
      </c>
    </row>
    <row r="235" ht="18" customHeight="1" s="849">
      <c r="A235" s="250" t="n">
        <v>99999101321</v>
      </c>
      <c r="B235" s="220" t="inlineStr">
        <is>
          <t>Sameer Pattanaik</t>
        </is>
      </c>
      <c r="C235" s="220" t="inlineStr">
        <is>
          <t>Cyber Security Operations Lead</t>
        </is>
      </c>
      <c r="D235" s="220" t="inlineStr">
        <is>
          <t>Steven Atcheson</t>
        </is>
      </c>
      <c r="E235" s="220" t="n"/>
      <c r="F235" s="220" t="inlineStr">
        <is>
          <t>Cyber, Risk &amp; Operations</t>
        </is>
      </c>
      <c r="G235" s="251" t="inlineStr">
        <is>
          <t>Cyber Sec Ops</t>
        </is>
      </c>
      <c r="H235" s="220" t="inlineStr">
        <is>
          <t>NA</t>
        </is>
      </c>
      <c r="I235" s="220" t="inlineStr">
        <is>
          <t>NA</t>
        </is>
      </c>
      <c r="J235" s="220" t="inlineStr">
        <is>
          <t>NA</t>
        </is>
      </c>
      <c r="K235" s="220" t="inlineStr">
        <is>
          <t>NA</t>
        </is>
      </c>
      <c r="L235" s="220" t="n"/>
      <c r="M235" s="252" t="inlineStr">
        <is>
          <t>NZ</t>
        </is>
      </c>
      <c r="N235" t="inlineStr">
        <is>
          <t>TDD Cyber</t>
        </is>
      </c>
      <c r="O235" t="inlineStr">
        <is>
          <t>TDD Cyber, Risk &amp; Service Ops</t>
        </is>
      </c>
      <c r="P235" t="inlineStr">
        <is>
          <t>TDD Cyber</t>
        </is>
      </c>
      <c r="Q235" t="inlineStr">
        <is>
          <t>Squad</t>
        </is>
      </c>
      <c r="R235" t="inlineStr">
        <is>
          <t>Filled</t>
        </is>
      </c>
    </row>
    <row r="236" ht="18" customHeight="1" s="849">
      <c r="A236" s="250" t="n">
        <v>98924</v>
      </c>
      <c r="B236" s="220" t="inlineStr">
        <is>
          <t>Dan Balsamo</t>
        </is>
      </c>
      <c r="C236" s="220" t="inlineStr">
        <is>
          <t>Senior Cyber Project Manager</t>
        </is>
      </c>
      <c r="D236" s="220" t="inlineStr">
        <is>
          <t>Vacant</t>
        </is>
      </c>
      <c r="E236" s="220" t="inlineStr">
        <is>
          <t xml:space="preserve">Head of Cyber Strategy &amp; Technology </t>
        </is>
      </c>
      <c r="F236" s="220" t="inlineStr">
        <is>
          <t>Cyber, Risk &amp; Operations</t>
        </is>
      </c>
      <c r="G236" s="251" t="inlineStr">
        <is>
          <t>Cyber Strat &amp; Tech</t>
        </is>
      </c>
      <c r="H236" s="220" t="inlineStr">
        <is>
          <t>NA</t>
        </is>
      </c>
      <c r="I236" s="220" t="inlineStr">
        <is>
          <t>NA</t>
        </is>
      </c>
      <c r="J236" s="220" t="inlineStr">
        <is>
          <t>NA</t>
        </is>
      </c>
      <c r="K236" s="220" t="inlineStr">
        <is>
          <t>NA</t>
        </is>
      </c>
      <c r="L236" s="220" t="n"/>
      <c r="M236" s="252" t="inlineStr">
        <is>
          <t>Australia</t>
        </is>
      </c>
      <c r="N236" t="inlineStr">
        <is>
          <t>TDD Cyber</t>
        </is>
      </c>
      <c r="O236" t="inlineStr">
        <is>
          <t>TDD Cyber, Risk &amp; Service Ops</t>
        </is>
      </c>
      <c r="P236" t="inlineStr">
        <is>
          <t>TDD Cyber</t>
        </is>
      </c>
      <c r="Q236" t="inlineStr">
        <is>
          <t>Squad</t>
        </is>
      </c>
      <c r="R236" t="inlineStr">
        <is>
          <t>Filled</t>
        </is>
      </c>
    </row>
    <row r="237" ht="18" customHeight="1" s="849">
      <c r="A237" s="250" t="n">
        <v>87951</v>
      </c>
      <c r="B237" s="220" t="inlineStr">
        <is>
          <t>Iwan Wibisono</t>
        </is>
      </c>
      <c r="C237" s="220" t="inlineStr">
        <is>
          <t>Engineer - IDAM</t>
        </is>
      </c>
      <c r="D237" s="220" t="inlineStr">
        <is>
          <t>Vacant</t>
        </is>
      </c>
      <c r="E237" s="220" t="inlineStr">
        <is>
          <t xml:space="preserve">Lead Service Desk </t>
        </is>
      </c>
      <c r="F237" s="220" t="inlineStr">
        <is>
          <t>Cyber, Risk &amp; Operations</t>
        </is>
      </c>
      <c r="G237" s="251" t="inlineStr">
        <is>
          <t>Cyber Strat &amp; Tech</t>
        </is>
      </c>
      <c r="H237" s="220" t="inlineStr">
        <is>
          <t>NA</t>
        </is>
      </c>
      <c r="I237" s="220" t="inlineStr">
        <is>
          <t>NA</t>
        </is>
      </c>
      <c r="J237" s="220" t="inlineStr">
        <is>
          <t>NA</t>
        </is>
      </c>
      <c r="K237" s="220" t="inlineStr">
        <is>
          <t>NA</t>
        </is>
      </c>
      <c r="L237" s="220" t="n"/>
      <c r="M237" s="252" t="inlineStr">
        <is>
          <t>Australia</t>
        </is>
      </c>
      <c r="N237" t="inlineStr">
        <is>
          <t>TDD Cyber</t>
        </is>
      </c>
      <c r="O237" t="inlineStr">
        <is>
          <t>TDD Cyber, Risk &amp; Service Ops</t>
        </is>
      </c>
      <c r="P237" t="inlineStr">
        <is>
          <t>TDD Cyber</t>
        </is>
      </c>
      <c r="Q237" t="inlineStr">
        <is>
          <t>Squad</t>
        </is>
      </c>
      <c r="R237" t="inlineStr">
        <is>
          <t>Filled</t>
        </is>
      </c>
    </row>
    <row r="238" ht="18" customHeight="1" s="849">
      <c r="A238" s="250" t="n">
        <v>108728</v>
      </c>
      <c r="B238" s="220" t="inlineStr">
        <is>
          <t>Remya Pookat</t>
        </is>
      </c>
      <c r="C238" s="220" t="inlineStr">
        <is>
          <t>Lead – Change &amp; Release Management</t>
        </is>
      </c>
      <c r="D238" s="220" t="inlineStr">
        <is>
          <t>Vacant</t>
        </is>
      </c>
      <c r="E238" s="220" t="inlineStr">
        <is>
          <t>Manager Cyber Security GRC</t>
        </is>
      </c>
      <c r="F238" s="220" t="inlineStr">
        <is>
          <t>Cyber, Risk &amp; Operations</t>
        </is>
      </c>
      <c r="G238" s="251" t="inlineStr">
        <is>
          <t>Service Op &amp; Assurance</t>
        </is>
      </c>
      <c r="H238" s="220" t="inlineStr">
        <is>
          <t>NA</t>
        </is>
      </c>
      <c r="I238" s="220" t="inlineStr">
        <is>
          <t>NA</t>
        </is>
      </c>
      <c r="J238" s="220" t="inlineStr">
        <is>
          <t>NA</t>
        </is>
      </c>
      <c r="K238" s="220" t="inlineStr">
        <is>
          <t>NA</t>
        </is>
      </c>
      <c r="L238" s="220" t="n"/>
      <c r="M238" s="252" t="inlineStr">
        <is>
          <t>Australia</t>
        </is>
      </c>
      <c r="N238" t="inlineStr">
        <is>
          <t>TDD Cyber</t>
        </is>
      </c>
      <c r="O238" t="inlineStr">
        <is>
          <t>TDD Cyber, Risk &amp; Service Ops</t>
        </is>
      </c>
      <c r="P238" t="inlineStr">
        <is>
          <t>TDD Cyber</t>
        </is>
      </c>
      <c r="Q238" t="inlineStr">
        <is>
          <t>Squad</t>
        </is>
      </c>
      <c r="R238" t="inlineStr">
        <is>
          <t>Filled</t>
        </is>
      </c>
    </row>
    <row r="239" ht="18" customHeight="1" s="849">
      <c r="A239" s="250" t="n">
        <v>113900</v>
      </c>
      <c r="B239" s="220" t="inlineStr">
        <is>
          <t>Mick Collins</t>
        </is>
      </c>
      <c r="C239" s="220" t="inlineStr">
        <is>
          <t>Manager, Service Performance &amp; Assurance</t>
        </is>
      </c>
      <c r="D239" s="220" t="inlineStr">
        <is>
          <t>Vacant</t>
        </is>
      </c>
      <c r="E239" s="220" t="n"/>
      <c r="F239" s="220" t="inlineStr">
        <is>
          <t>Cyber, Risk &amp; Operations</t>
        </is>
      </c>
      <c r="G239" s="251" t="inlineStr">
        <is>
          <t>Service Op &amp; Assurance</t>
        </is>
      </c>
      <c r="H239" s="220" t="inlineStr">
        <is>
          <t>NA</t>
        </is>
      </c>
      <c r="I239" s="220" t="inlineStr">
        <is>
          <t>NA</t>
        </is>
      </c>
      <c r="J239" s="220" t="inlineStr">
        <is>
          <t>NA</t>
        </is>
      </c>
      <c r="K239" s="220" t="inlineStr">
        <is>
          <t>NA</t>
        </is>
      </c>
      <c r="L239" s="220" t="n"/>
      <c r="M239" s="252" t="inlineStr">
        <is>
          <t>Australia</t>
        </is>
      </c>
      <c r="N239" t="inlineStr">
        <is>
          <t>TDD Cyber</t>
        </is>
      </c>
      <c r="O239" t="inlineStr">
        <is>
          <t>TDD Cyber, Risk &amp; Service Ops</t>
        </is>
      </c>
      <c r="P239" t="inlineStr">
        <is>
          <t>TDD Cyber</t>
        </is>
      </c>
      <c r="Q239" t="inlineStr">
        <is>
          <t>Squad</t>
        </is>
      </c>
      <c r="R239" t="inlineStr">
        <is>
          <t>Filled</t>
        </is>
      </c>
    </row>
    <row r="240" ht="18" customHeight="1" s="849">
      <c r="A240" s="250" t="n">
        <v>99999100770</v>
      </c>
      <c r="B240" s="220" t="inlineStr">
        <is>
          <t>Spoilagi Bhutwala</t>
        </is>
      </c>
      <c r="C240" s="220" t="inlineStr">
        <is>
          <t>Tech Support Technician</t>
        </is>
      </c>
      <c r="D240" s="220" t="inlineStr">
        <is>
          <t>Vacant</t>
        </is>
      </c>
      <c r="E240" s="220" t="inlineStr">
        <is>
          <t xml:space="preserve">Lead Technology Support </t>
        </is>
      </c>
      <c r="F240" s="220" t="inlineStr">
        <is>
          <t>Cyber, Risk &amp; Operations</t>
        </is>
      </c>
      <c r="G240" s="251" t="inlineStr">
        <is>
          <t>Service Op &amp; Assurance</t>
        </is>
      </c>
      <c r="H240" s="220" t="inlineStr">
        <is>
          <t>NA</t>
        </is>
      </c>
      <c r="I240" s="220" t="inlineStr">
        <is>
          <t>NA</t>
        </is>
      </c>
      <c r="J240" s="220" t="inlineStr">
        <is>
          <t>NA</t>
        </is>
      </c>
      <c r="K240" s="220" t="inlineStr">
        <is>
          <t>NA</t>
        </is>
      </c>
      <c r="L240" s="220" t="n"/>
      <c r="M240" s="252" t="inlineStr">
        <is>
          <t>NZ</t>
        </is>
      </c>
      <c r="N240" t="inlineStr">
        <is>
          <t>TDD Cyber</t>
        </is>
      </c>
      <c r="O240" t="inlineStr">
        <is>
          <t>TDD Cyber, Risk &amp; Service Ops</t>
        </is>
      </c>
      <c r="P240" t="inlineStr">
        <is>
          <t>TDD Cyber</t>
        </is>
      </c>
      <c r="Q240" t="inlineStr">
        <is>
          <t>Squad</t>
        </is>
      </c>
      <c r="R240" t="inlineStr">
        <is>
          <t>Filled</t>
        </is>
      </c>
    </row>
    <row r="241" ht="18" customHeight="1" s="849">
      <c r="A241" s="250" t="n">
        <v>99999101346</v>
      </c>
      <c r="B241" s="220" t="inlineStr">
        <is>
          <t>Shomiya Shayal</t>
        </is>
      </c>
      <c r="C241" s="220" t="inlineStr">
        <is>
          <t>Risk &amp; Resilience Lead</t>
        </is>
      </c>
      <c r="D241" s="220" t="inlineStr">
        <is>
          <t>Vacant</t>
        </is>
      </c>
      <c r="E241" s="220" t="inlineStr">
        <is>
          <t xml:space="preserve">Manager Risk &amp; Resilience </t>
        </is>
      </c>
      <c r="F241" s="220" t="inlineStr">
        <is>
          <t>Cyber, Risk &amp; Operations</t>
        </is>
      </c>
      <c r="G241" s="251" t="inlineStr">
        <is>
          <t>Cyber Risk</t>
        </is>
      </c>
      <c r="H241" s="220" t="inlineStr">
        <is>
          <t>NA</t>
        </is>
      </c>
      <c r="I241" s="220" t="inlineStr">
        <is>
          <t>NA</t>
        </is>
      </c>
      <c r="J241" s="220" t="inlineStr">
        <is>
          <t>NA</t>
        </is>
      </c>
      <c r="K241" s="220" t="inlineStr">
        <is>
          <t>NA</t>
        </is>
      </c>
      <c r="L241" s="220" t="n"/>
      <c r="M241" s="252" t="inlineStr">
        <is>
          <t>NZ</t>
        </is>
      </c>
      <c r="N241" t="inlineStr">
        <is>
          <t>TDD Cyber</t>
        </is>
      </c>
      <c r="O241" t="inlineStr">
        <is>
          <t>TDD Cyber, Risk &amp; Service Ops</t>
        </is>
      </c>
      <c r="P241" t="inlineStr">
        <is>
          <t>TDD Cyber</t>
        </is>
      </c>
      <c r="Q241" t="inlineStr">
        <is>
          <t>Squad</t>
        </is>
      </c>
      <c r="R241" t="inlineStr">
        <is>
          <t>Filled</t>
        </is>
      </c>
    </row>
    <row r="242" ht="18" customHeight="1" s="849">
      <c r="A242" s="250" t="n"/>
      <c r="B242" s="220" t="inlineStr">
        <is>
          <t>Vacant</t>
        </is>
      </c>
      <c r="C242" s="220" t="inlineStr">
        <is>
          <t>Operations Analyst</t>
        </is>
      </c>
      <c r="D242" s="220" t="inlineStr">
        <is>
          <t>Vacant</t>
        </is>
      </c>
      <c r="E242" s="220" t="inlineStr">
        <is>
          <t>Cyber Architecture Lead</t>
        </is>
      </c>
      <c r="F242" s="220" t="inlineStr">
        <is>
          <t>Cyber, Risk &amp; Operations</t>
        </is>
      </c>
      <c r="G242" s="251" t="inlineStr">
        <is>
          <t>Service Op &amp; Assurance</t>
        </is>
      </c>
      <c r="H242" s="220" t="inlineStr">
        <is>
          <t>NA</t>
        </is>
      </c>
      <c r="I242" s="220" t="inlineStr">
        <is>
          <t>NA</t>
        </is>
      </c>
      <c r="J242" s="220" t="inlineStr">
        <is>
          <t>NA</t>
        </is>
      </c>
      <c r="K242" s="220" t="inlineStr">
        <is>
          <t>NA</t>
        </is>
      </c>
      <c r="L242" s="220" t="n"/>
      <c r="M242" s="252" t="n"/>
      <c r="N242" t="inlineStr">
        <is>
          <t>TDD Cyber</t>
        </is>
      </c>
      <c r="O242" t="inlineStr">
        <is>
          <t>TDD Cyber, Risk &amp; Service Ops</t>
        </is>
      </c>
      <c r="P242" t="inlineStr">
        <is>
          <t>TDD Cyber</t>
        </is>
      </c>
      <c r="Q242" t="inlineStr">
        <is>
          <t>Squad</t>
        </is>
      </c>
      <c r="R242" t="inlineStr">
        <is>
          <t>Vacant</t>
        </is>
      </c>
    </row>
    <row r="243" ht="18" customHeight="1" s="849">
      <c r="A243" s="250" t="n">
        <v>90096</v>
      </c>
      <c r="B243" s="220" t="inlineStr">
        <is>
          <t>Mary-Grace Rivera</t>
        </is>
      </c>
      <c r="C243" s="220" t="inlineStr">
        <is>
          <t>Lead, Service Management</t>
        </is>
      </c>
      <c r="D243" s="275" t="inlineStr">
        <is>
          <t>Vacant</t>
        </is>
      </c>
      <c r="E243" s="220" t="inlineStr">
        <is>
          <t>Darren Koller</t>
        </is>
      </c>
      <c r="F243" s="220" t="inlineStr">
        <is>
          <t>Cyber, Risk &amp; Operations</t>
        </is>
      </c>
      <c r="G243" s="251" t="inlineStr">
        <is>
          <t>Service Op &amp; Assurance</t>
        </is>
      </c>
      <c r="H243" s="220" t="inlineStr">
        <is>
          <t>NA</t>
        </is>
      </c>
      <c r="I243" s="220" t="inlineStr">
        <is>
          <t>NA</t>
        </is>
      </c>
      <c r="J243" s="220" t="inlineStr">
        <is>
          <t>NA</t>
        </is>
      </c>
      <c r="K243" s="220" t="inlineStr">
        <is>
          <t>NA</t>
        </is>
      </c>
      <c r="L243" s="220" t="n"/>
      <c r="M243" s="252" t="inlineStr">
        <is>
          <t>Australia</t>
        </is>
      </c>
      <c r="N243" t="inlineStr">
        <is>
          <t>TDD Cyber</t>
        </is>
      </c>
      <c r="O243" t="inlineStr">
        <is>
          <t>TDD Cyber, Risk &amp; Service Ops</t>
        </is>
      </c>
      <c r="P243" t="inlineStr">
        <is>
          <t>TDD Cyber</t>
        </is>
      </c>
      <c r="Q243" t="inlineStr">
        <is>
          <t>Squad</t>
        </is>
      </c>
      <c r="R243" t="inlineStr">
        <is>
          <t>Filled</t>
        </is>
      </c>
    </row>
    <row r="244" ht="18" customHeight="1" s="849">
      <c r="A244" s="250" t="n">
        <v>105647</v>
      </c>
      <c r="B244" s="220" t="inlineStr">
        <is>
          <t>Rajini Onteddu Reddy</t>
        </is>
      </c>
      <c r="C244" s="220" t="inlineStr">
        <is>
          <t>Head of Service Operations &amp; Assurance</t>
        </is>
      </c>
      <c r="D244" s="220" t="inlineStr">
        <is>
          <t>Vacant</t>
        </is>
      </c>
      <c r="E244" s="220" t="inlineStr">
        <is>
          <t xml:space="preserve">Manager Service Management &amp; Major Incident Management Lead </t>
        </is>
      </c>
      <c r="F244" s="220" t="inlineStr">
        <is>
          <t>Cyber, Risk &amp; Operations</t>
        </is>
      </c>
      <c r="G244" s="251" t="inlineStr">
        <is>
          <t>Service Op &amp; Assurance</t>
        </is>
      </c>
      <c r="H244" s="220" t="inlineStr">
        <is>
          <t>NA</t>
        </is>
      </c>
      <c r="I244" s="220" t="inlineStr">
        <is>
          <t>NA</t>
        </is>
      </c>
      <c r="J244" s="220" t="inlineStr">
        <is>
          <t>NA</t>
        </is>
      </c>
      <c r="K244" s="220" t="inlineStr">
        <is>
          <t>NA</t>
        </is>
      </c>
      <c r="L244" s="220" t="n"/>
      <c r="M244" s="252" t="inlineStr">
        <is>
          <t>Australia</t>
        </is>
      </c>
      <c r="N244" t="inlineStr">
        <is>
          <t>TDD Cyber</t>
        </is>
      </c>
      <c r="O244" t="inlineStr">
        <is>
          <t>TDD Cyber, Risk &amp; Service Ops</t>
        </is>
      </c>
      <c r="P244" t="inlineStr">
        <is>
          <t>TDD Cyber</t>
        </is>
      </c>
      <c r="Q244" t="inlineStr">
        <is>
          <t>Squad</t>
        </is>
      </c>
      <c r="R244" t="inlineStr">
        <is>
          <t>Filled</t>
        </is>
      </c>
    </row>
    <row r="245" ht="18" customHeight="1" s="849">
      <c r="A245" s="250" t="n">
        <v>106511</v>
      </c>
      <c r="B245" s="220" t="inlineStr">
        <is>
          <t>Catherine Gire</t>
        </is>
      </c>
      <c r="C245" s="220" t="inlineStr">
        <is>
          <t>Cyber Technical Business Analyst</t>
        </is>
      </c>
      <c r="D245" s="220" t="inlineStr">
        <is>
          <t>Vacant</t>
        </is>
      </c>
      <c r="E245" s="220" t="inlineStr">
        <is>
          <t xml:space="preserve">Portfolio Manger Cyber Security </t>
        </is>
      </c>
      <c r="F245" s="220" t="inlineStr">
        <is>
          <t>Cyber, Risk &amp; Operations</t>
        </is>
      </c>
      <c r="G245" s="251" t="inlineStr">
        <is>
          <t>Cyber Strat &amp; Tech</t>
        </is>
      </c>
      <c r="H245" s="220" t="inlineStr">
        <is>
          <t>Cyber Security Uplift Program</t>
        </is>
      </c>
      <c r="I245" s="220" t="inlineStr">
        <is>
          <t>NA</t>
        </is>
      </c>
      <c r="J245" s="220" t="inlineStr">
        <is>
          <t>NA</t>
        </is>
      </c>
      <c r="K245" s="220" t="inlineStr">
        <is>
          <t>NA</t>
        </is>
      </c>
      <c r="L245" s="220" t="n"/>
      <c r="M245" s="252" t="inlineStr">
        <is>
          <t>Australia</t>
        </is>
      </c>
      <c r="N245" t="inlineStr">
        <is>
          <t>TDD Cyber</t>
        </is>
      </c>
      <c r="O245" t="inlineStr">
        <is>
          <t>TDD Cyber, Risk &amp; Service Ops</t>
        </is>
      </c>
      <c r="P245" t="inlineStr">
        <is>
          <t>TDD Cyber</t>
        </is>
      </c>
      <c r="Q245" t="inlineStr">
        <is>
          <t>Squad</t>
        </is>
      </c>
      <c r="R245" t="inlineStr">
        <is>
          <t>Filled</t>
        </is>
      </c>
    </row>
    <row r="246" ht="18" customHeight="1" s="849">
      <c r="A246" s="250" t="n">
        <v>99999102157</v>
      </c>
      <c r="B246" s="220" t="inlineStr">
        <is>
          <t>Ethan Lamhert (FT)</t>
        </is>
      </c>
      <c r="C246" s="220" t="inlineStr">
        <is>
          <t>Tech Support Technician</t>
        </is>
      </c>
      <c r="D246" s="220" t="inlineStr">
        <is>
          <t>Vacant</t>
        </is>
      </c>
      <c r="E246" s="220" t="inlineStr">
        <is>
          <t xml:space="preserve">Lead Technology Support </t>
        </is>
      </c>
      <c r="F246" s="220" t="inlineStr">
        <is>
          <t>Cyber, Risk &amp; Operations</t>
        </is>
      </c>
      <c r="G246" s="251" t="inlineStr">
        <is>
          <t>Service Op &amp; Assurance</t>
        </is>
      </c>
      <c r="H246" s="220" t="inlineStr">
        <is>
          <t>NA</t>
        </is>
      </c>
      <c r="I246" s="220" t="inlineStr">
        <is>
          <t>NA</t>
        </is>
      </c>
      <c r="J246" s="220" t="inlineStr">
        <is>
          <t>NA</t>
        </is>
      </c>
      <c r="K246" s="220" t="inlineStr">
        <is>
          <t>NA</t>
        </is>
      </c>
      <c r="L246" s="220" t="n"/>
      <c r="M246" s="252" t="inlineStr">
        <is>
          <t>NZ</t>
        </is>
      </c>
      <c r="N246" t="inlineStr">
        <is>
          <t>TDD Cyber</t>
        </is>
      </c>
      <c r="O246" t="inlineStr">
        <is>
          <t>TDD Cyber, Risk &amp; Service Ops</t>
        </is>
      </c>
      <c r="P246" t="inlineStr">
        <is>
          <t>TDD Cyber</t>
        </is>
      </c>
      <c r="Q246" t="inlineStr">
        <is>
          <t>Squad</t>
        </is>
      </c>
      <c r="R246" t="inlineStr">
        <is>
          <t>Filled</t>
        </is>
      </c>
    </row>
    <row r="247" ht="18" customHeight="1" s="849">
      <c r="A247" s="250" t="n"/>
      <c r="B247" s="220" t="inlineStr">
        <is>
          <t>Vacant  (AKL )</t>
        </is>
      </c>
      <c r="C247" s="220" t="inlineStr">
        <is>
          <t>Tech Support Technician</t>
        </is>
      </c>
      <c r="D247" s="220" t="inlineStr">
        <is>
          <t>Vacant</t>
        </is>
      </c>
      <c r="E247" s="220" t="n"/>
      <c r="F247" s="220" t="inlineStr">
        <is>
          <t>Cyber, Risk &amp; Operations</t>
        </is>
      </c>
      <c r="G247" s="251" t="inlineStr">
        <is>
          <t>Service Op &amp; Assurance</t>
        </is>
      </c>
      <c r="H247" s="220" t="inlineStr">
        <is>
          <t>NA</t>
        </is>
      </c>
      <c r="I247" s="220" t="inlineStr">
        <is>
          <t>NA</t>
        </is>
      </c>
      <c r="J247" s="220" t="inlineStr">
        <is>
          <t>NA</t>
        </is>
      </c>
      <c r="K247" s="220" t="inlineStr">
        <is>
          <t>NA</t>
        </is>
      </c>
      <c r="L247" s="220" t="n"/>
      <c r="M247" s="252" t="n"/>
      <c r="N247" t="inlineStr">
        <is>
          <t>TDD Cyber</t>
        </is>
      </c>
      <c r="O247" t="inlineStr">
        <is>
          <t>TDD Cyber, Risk &amp; Service Ops</t>
        </is>
      </c>
      <c r="P247" t="inlineStr">
        <is>
          <t>TDD Cyber</t>
        </is>
      </c>
      <c r="Q247" t="inlineStr">
        <is>
          <t>Squad</t>
        </is>
      </c>
      <c r="R247" t="inlineStr">
        <is>
          <t>Filled</t>
        </is>
      </c>
    </row>
    <row r="248" ht="18" customHeight="1" s="849">
      <c r="A248" s="250" t="n">
        <v>110204</v>
      </c>
      <c r="B248" s="220" t="inlineStr">
        <is>
          <t>Daniel Jolley</t>
        </is>
      </c>
      <c r="C248" s="220" t="inlineStr">
        <is>
          <t>Tech Support Technician</t>
        </is>
      </c>
      <c r="D248" s="220" t="inlineStr">
        <is>
          <t>Vacant</t>
        </is>
      </c>
      <c r="E248" s="220" t="inlineStr">
        <is>
          <t xml:space="preserve">Lead Technology Support </t>
        </is>
      </c>
      <c r="F248" s="220" t="inlineStr">
        <is>
          <t>Cyber, Risk &amp; Operations</t>
        </is>
      </c>
      <c r="G248" s="251" t="inlineStr">
        <is>
          <t>Service Op &amp; Assurance</t>
        </is>
      </c>
      <c r="H248" s="220" t="inlineStr">
        <is>
          <t>NA</t>
        </is>
      </c>
      <c r="I248" s="220" t="inlineStr">
        <is>
          <t>NA</t>
        </is>
      </c>
      <c r="J248" s="220" t="inlineStr">
        <is>
          <t>NA</t>
        </is>
      </c>
      <c r="K248" s="220" t="inlineStr">
        <is>
          <t>NA</t>
        </is>
      </c>
      <c r="L248" s="220" t="n"/>
      <c r="M248" s="252" t="inlineStr">
        <is>
          <t>Australia</t>
        </is>
      </c>
      <c r="N248" t="inlineStr">
        <is>
          <t>TDD Cyber</t>
        </is>
      </c>
      <c r="O248" t="inlineStr">
        <is>
          <t>TDD Cyber, Risk &amp; Service Ops</t>
        </is>
      </c>
      <c r="P248" t="inlineStr">
        <is>
          <t>TDD Cyber</t>
        </is>
      </c>
      <c r="Q248" t="inlineStr">
        <is>
          <t>Squad</t>
        </is>
      </c>
      <c r="R248" t="inlineStr">
        <is>
          <t>Filled</t>
        </is>
      </c>
    </row>
    <row r="249" ht="18" customHeight="1" s="849">
      <c r="A249" s="250" t="n"/>
      <c r="B249" s="220" t="inlineStr">
        <is>
          <t xml:space="preserve">Vacant </t>
        </is>
      </c>
      <c r="C249" s="220" t="inlineStr">
        <is>
          <t>Data Risk Analyst</t>
        </is>
      </c>
      <c r="D249" s="220" t="inlineStr">
        <is>
          <t>Vacant</t>
        </is>
      </c>
      <c r="E249" s="220" t="n"/>
      <c r="F249" s="220" t="inlineStr">
        <is>
          <t>Cyber, Risk &amp; Operations</t>
        </is>
      </c>
      <c r="G249" s="251" t="inlineStr">
        <is>
          <t>Cyber Risk</t>
        </is>
      </c>
      <c r="H249" s="220" t="inlineStr">
        <is>
          <t>NA</t>
        </is>
      </c>
      <c r="I249" s="220" t="inlineStr">
        <is>
          <t>NA</t>
        </is>
      </c>
      <c r="J249" s="220" t="inlineStr">
        <is>
          <t>NA</t>
        </is>
      </c>
      <c r="K249" s="220" t="inlineStr">
        <is>
          <t>NA</t>
        </is>
      </c>
      <c r="L249" s="220" t="n"/>
      <c r="M249" s="252" t="n"/>
      <c r="N249" t="inlineStr">
        <is>
          <t>TDD Cyber</t>
        </is>
      </c>
      <c r="O249" t="inlineStr">
        <is>
          <t>TDD Cyber, Risk &amp; Service Ops</t>
        </is>
      </c>
      <c r="P249" t="inlineStr">
        <is>
          <t>TDD Cyber</t>
        </is>
      </c>
      <c r="Q249" t="inlineStr">
        <is>
          <t>Squad</t>
        </is>
      </c>
      <c r="R249" t="inlineStr">
        <is>
          <t>Vacant</t>
        </is>
      </c>
    </row>
    <row r="250" ht="18" customHeight="1" s="849">
      <c r="A250" s="250" t="n">
        <v>84274</v>
      </c>
      <c r="B250" s="220" t="inlineStr">
        <is>
          <t>Chris Rojas</t>
        </is>
      </c>
      <c r="C250" s="220" t="inlineStr">
        <is>
          <t>Manager, Customer Support Operations</t>
        </is>
      </c>
      <c r="D250" s="220" t="inlineStr">
        <is>
          <t>Vacant</t>
        </is>
      </c>
      <c r="E250" s="220" t="inlineStr">
        <is>
          <t xml:space="preserve">Manager Cyber Security Operations </t>
        </is>
      </c>
      <c r="F250" s="220" t="inlineStr">
        <is>
          <t>Cyber, Risk &amp; Operations</t>
        </is>
      </c>
      <c r="G250" s="251" t="inlineStr">
        <is>
          <t>Service Op &amp; Assurance</t>
        </is>
      </c>
      <c r="H250" s="220" t="inlineStr">
        <is>
          <t>NA</t>
        </is>
      </c>
      <c r="I250" s="220" t="inlineStr">
        <is>
          <t>NA</t>
        </is>
      </c>
      <c r="J250" s="220" t="inlineStr">
        <is>
          <t>NA</t>
        </is>
      </c>
      <c r="K250" s="220" t="inlineStr">
        <is>
          <t>NA</t>
        </is>
      </c>
      <c r="L250" s="220" t="n"/>
      <c r="M250" s="252" t="inlineStr">
        <is>
          <t>Australia</t>
        </is>
      </c>
      <c r="N250" t="inlineStr">
        <is>
          <t>TDD Cyber</t>
        </is>
      </c>
      <c r="O250" t="inlineStr">
        <is>
          <t>TDD Cyber, Risk &amp; Service Ops</t>
        </is>
      </c>
      <c r="P250" t="inlineStr">
        <is>
          <t>TDD Cyber</t>
        </is>
      </c>
      <c r="Q250" t="inlineStr">
        <is>
          <t>Squad</t>
        </is>
      </c>
      <c r="R250" t="inlineStr">
        <is>
          <t>Filled</t>
        </is>
      </c>
    </row>
    <row r="251" ht="18" customHeight="1" s="849">
      <c r="A251" s="250" t="n">
        <v>101504</v>
      </c>
      <c r="B251" s="220" t="inlineStr">
        <is>
          <t>Steven Atcheson</t>
        </is>
      </c>
      <c r="C251" s="220" t="inlineStr">
        <is>
          <t>Manager Cyber Security Operations</t>
        </is>
      </c>
      <c r="D251" s="220" t="inlineStr">
        <is>
          <t>Vacant</t>
        </is>
      </c>
      <c r="E251" s="220" t="inlineStr">
        <is>
          <t xml:space="preserve">Manager, Risk &amp; Resilience </t>
        </is>
      </c>
      <c r="F251" s="220" t="inlineStr">
        <is>
          <t>Cyber, Risk &amp; Operations</t>
        </is>
      </c>
      <c r="G251" s="251" t="inlineStr">
        <is>
          <t>Cyber Sec Ops</t>
        </is>
      </c>
      <c r="H251" s="220" t="inlineStr">
        <is>
          <t>NA</t>
        </is>
      </c>
      <c r="I251" s="220" t="inlineStr">
        <is>
          <t>NA</t>
        </is>
      </c>
      <c r="J251" s="220" t="inlineStr">
        <is>
          <t>NA</t>
        </is>
      </c>
      <c r="K251" s="220" t="inlineStr">
        <is>
          <t>NA</t>
        </is>
      </c>
      <c r="L251" s="220" t="n"/>
      <c r="M251" s="252" t="inlineStr">
        <is>
          <t>Australia</t>
        </is>
      </c>
      <c r="N251" t="inlineStr">
        <is>
          <t>TDD Cyber</t>
        </is>
      </c>
      <c r="O251" t="inlineStr">
        <is>
          <t>TDD Cyber, Risk &amp; Service Ops</t>
        </is>
      </c>
      <c r="P251" t="inlineStr">
        <is>
          <t>TDD Cyber</t>
        </is>
      </c>
      <c r="Q251" t="inlineStr">
        <is>
          <t>Squad</t>
        </is>
      </c>
      <c r="R251" t="inlineStr">
        <is>
          <t>Filled</t>
        </is>
      </c>
    </row>
    <row r="252" ht="18" customHeight="1" s="849">
      <c r="A252" s="250" t="n">
        <v>104805</v>
      </c>
      <c r="B252" s="220" t="inlineStr">
        <is>
          <t>Shruti Manchanda</t>
        </is>
      </c>
      <c r="C252" s="220" t="inlineStr">
        <is>
          <t>Cyber GRC Analyst</t>
        </is>
      </c>
      <c r="D252" s="220" t="inlineStr">
        <is>
          <t>Vacant</t>
        </is>
      </c>
      <c r="E252" s="220" t="n"/>
      <c r="F252" s="220" t="inlineStr">
        <is>
          <t>Cyber, Risk &amp; Operations</t>
        </is>
      </c>
      <c r="G252" s="251" t="inlineStr">
        <is>
          <t>Cyber GRC</t>
        </is>
      </c>
      <c r="H252" s="220" t="inlineStr">
        <is>
          <t>Technology, Trading &amp; Shipping</t>
        </is>
      </c>
      <c r="I252" s="220" t="inlineStr">
        <is>
          <t>NA</t>
        </is>
      </c>
      <c r="J252" s="220" t="inlineStr">
        <is>
          <t>Leadership</t>
        </is>
      </c>
      <c r="K252" s="220" t="inlineStr">
        <is>
          <t>Leadership</t>
        </is>
      </c>
      <c r="L252" s="220" t="n"/>
      <c r="M252" s="252" t="inlineStr">
        <is>
          <t>Australia</t>
        </is>
      </c>
      <c r="N252" t="inlineStr">
        <is>
          <t>Unmapped</t>
        </is>
      </c>
      <c r="O252" t="inlineStr">
        <is>
          <t>Leadership</t>
        </is>
      </c>
      <c r="P252" t="inlineStr">
        <is>
          <t>Leadership</t>
        </is>
      </c>
      <c r="Q252" t="inlineStr">
        <is>
          <t>Leadership</t>
        </is>
      </c>
      <c r="R252" t="inlineStr">
        <is>
          <t>Filled</t>
        </is>
      </c>
    </row>
    <row r="253" ht="18" customHeight="1" s="849">
      <c r="A253" s="250" t="n"/>
      <c r="B253" s="220" t="inlineStr">
        <is>
          <t>Vacant</t>
        </is>
      </c>
      <c r="C253" s="220" t="inlineStr">
        <is>
          <t>Lead – Service Performance &amp; Insights</t>
        </is>
      </c>
      <c r="D253" s="220" t="inlineStr">
        <is>
          <t>Vacant</t>
        </is>
      </c>
      <c r="E253" s="220" t="inlineStr">
        <is>
          <t xml:space="preserve">Manager Identity &amp; Access Management </t>
        </is>
      </c>
      <c r="F253" s="220" t="inlineStr">
        <is>
          <t>Cyber, Risk &amp; Operations</t>
        </is>
      </c>
      <c r="G253" s="251" t="inlineStr">
        <is>
          <t>Service Op &amp; Assurance</t>
        </is>
      </c>
      <c r="H253" s="220" t="inlineStr">
        <is>
          <t>NA</t>
        </is>
      </c>
      <c r="I253" s="220" t="inlineStr">
        <is>
          <t>NA</t>
        </is>
      </c>
      <c r="J253" s="220" t="inlineStr">
        <is>
          <t>NA</t>
        </is>
      </c>
      <c r="K253" s="220" t="inlineStr">
        <is>
          <t>NA</t>
        </is>
      </c>
      <c r="L253" s="220" t="n"/>
      <c r="M253" s="252" t="n"/>
      <c r="N253" t="inlineStr">
        <is>
          <t>TDD Cyber</t>
        </is>
      </c>
      <c r="O253" t="inlineStr">
        <is>
          <t>TDD Cyber, Risk &amp; Service Ops</t>
        </is>
      </c>
      <c r="P253" t="inlineStr">
        <is>
          <t>TDD Cyber</t>
        </is>
      </c>
      <c r="Q253" t="inlineStr">
        <is>
          <t>Squad</t>
        </is>
      </c>
      <c r="R253" t="inlineStr">
        <is>
          <t>Vacant</t>
        </is>
      </c>
    </row>
    <row r="254" ht="18" customHeight="1" s="849">
      <c r="A254" s="250" t="n">
        <v>114383</v>
      </c>
      <c r="B254" s="220" t="inlineStr">
        <is>
          <t>Tony Keeler</t>
        </is>
      </c>
      <c r="C254" s="220" t="inlineStr">
        <is>
          <t>Cyber Business Analyst</t>
        </is>
      </c>
      <c r="D254" s="220" t="inlineStr">
        <is>
          <t>Vivienne Vasak</t>
        </is>
      </c>
      <c r="E254" s="220" t="inlineStr">
        <is>
          <t xml:space="preserve">Portfolio Manger Cyber Security </t>
        </is>
      </c>
      <c r="F254" s="220" t="inlineStr">
        <is>
          <t>Cyber, Risk &amp; Operations</t>
        </is>
      </c>
      <c r="G254" s="251" t="inlineStr">
        <is>
          <t>Cyber Strat &amp; Tech</t>
        </is>
      </c>
      <c r="H254" s="220" t="inlineStr">
        <is>
          <t>NA</t>
        </is>
      </c>
      <c r="I254" s="220" t="inlineStr">
        <is>
          <t>NA</t>
        </is>
      </c>
      <c r="J254" s="220" t="inlineStr">
        <is>
          <t>NA</t>
        </is>
      </c>
      <c r="K254" s="220" t="inlineStr">
        <is>
          <t>NA</t>
        </is>
      </c>
      <c r="L254" s="220" t="n"/>
      <c r="M254" s="252" t="inlineStr">
        <is>
          <t>Australia</t>
        </is>
      </c>
      <c r="N254" t="inlineStr">
        <is>
          <t>TDD Cyber</t>
        </is>
      </c>
      <c r="O254" t="inlineStr">
        <is>
          <t>TDD Cyber, Risk &amp; Service Ops</t>
        </is>
      </c>
      <c r="P254" t="inlineStr">
        <is>
          <t>TDD Cyber</t>
        </is>
      </c>
      <c r="Q254" t="inlineStr">
        <is>
          <t>Squad</t>
        </is>
      </c>
      <c r="R254" t="inlineStr">
        <is>
          <t>Filled</t>
        </is>
      </c>
    </row>
    <row r="255" ht="18" customHeight="1" s="849">
      <c r="A255" s="250" t="n">
        <v>0</v>
      </c>
      <c r="B255" s="220" t="inlineStr">
        <is>
          <t>Niall Greene</t>
        </is>
      </c>
      <c r="C255" s="220" t="inlineStr">
        <is>
          <t>Project Manager (PEP13-EGI-UKG)</t>
        </is>
      </c>
      <c r="D255" s="261" t="inlineStr">
        <is>
          <t>Vacant</t>
        </is>
      </c>
      <c r="E255" s="220" t="n"/>
      <c r="F255" s="220" t="inlineStr">
        <is>
          <t>EGI</t>
        </is>
      </c>
      <c r="G255" s="251" t="n"/>
      <c r="H255" s="220" t="n"/>
      <c r="I255" s="220" t="inlineStr">
        <is>
          <t>EGI</t>
        </is>
      </c>
      <c r="J255" s="251" t="inlineStr">
        <is>
          <t>EGI</t>
        </is>
      </c>
      <c r="K255" s="220" t="inlineStr">
        <is>
          <t>EGI</t>
        </is>
      </c>
      <c r="L255" s="251" t="n"/>
      <c r="M255" s="252" t="n">
        <v>0</v>
      </c>
      <c r="N255" t="inlineStr">
        <is>
          <t>EGI</t>
        </is>
      </c>
      <c r="O255" t="inlineStr">
        <is>
          <t>EGI</t>
        </is>
      </c>
      <c r="P255" t="inlineStr">
        <is>
          <t>EGI (unassigned)</t>
        </is>
      </c>
      <c r="Q255" t="inlineStr">
        <is>
          <t>Unmapped</t>
        </is>
      </c>
      <c r="R255" t="inlineStr">
        <is>
          <t>Filled</t>
        </is>
      </c>
    </row>
    <row r="256" ht="18" customHeight="1" s="849">
      <c r="A256" s="250" t="n">
        <v>0</v>
      </c>
      <c r="B256" s="220" t="inlineStr">
        <is>
          <t>Winnie Fernandes</t>
        </is>
      </c>
      <c r="C256" s="220" t="inlineStr">
        <is>
          <t>Delivery Lead</t>
        </is>
      </c>
      <c r="D256" s="220" t="inlineStr">
        <is>
          <t>Vacant</t>
        </is>
      </c>
      <c r="E256" s="220" t="n"/>
      <c r="F256" s="220" t="inlineStr">
        <is>
          <t>EGI</t>
        </is>
      </c>
      <c r="G256" s="251" t="n"/>
      <c r="H256" s="220" t="n"/>
      <c r="I256" s="220" t="inlineStr">
        <is>
          <t>EGI</t>
        </is>
      </c>
      <c r="J256" s="251" t="inlineStr">
        <is>
          <t>EGI</t>
        </is>
      </c>
      <c r="K256" s="220" t="inlineStr">
        <is>
          <t>EGI</t>
        </is>
      </c>
      <c r="L256" s="251" t="n"/>
      <c r="M256" s="252" t="n">
        <v>0</v>
      </c>
      <c r="N256" t="inlineStr">
        <is>
          <t>EGI</t>
        </is>
      </c>
      <c r="O256" t="inlineStr">
        <is>
          <t>EGI</t>
        </is>
      </c>
      <c r="P256" t="inlineStr">
        <is>
          <t>EGI (unassigned)</t>
        </is>
      </c>
      <c r="Q256" t="inlineStr">
        <is>
          <t>Unmapped</t>
        </is>
      </c>
      <c r="R256" t="inlineStr">
        <is>
          <t>Filled</t>
        </is>
      </c>
    </row>
    <row r="257" ht="18" customHeight="1" s="849">
      <c r="A257" s="250" t="n">
        <v>0</v>
      </c>
      <c r="B257" s="220" t="inlineStr">
        <is>
          <t>Areum Kim Lee</t>
        </is>
      </c>
      <c r="C257" s="220" t="inlineStr">
        <is>
          <t>Program Manager (PEP13-EGI-UKG)</t>
        </is>
      </c>
      <c r="D257" s="220" t="n"/>
      <c r="E257" s="220" t="n"/>
      <c r="F257" s="220" t="inlineStr">
        <is>
          <t>EGI</t>
        </is>
      </c>
      <c r="G257" s="251" t="n"/>
      <c r="H257" s="220" t="n"/>
      <c r="I257" s="220" t="inlineStr">
        <is>
          <t>EGI</t>
        </is>
      </c>
      <c r="J257" s="251" t="inlineStr">
        <is>
          <t>EGI</t>
        </is>
      </c>
      <c r="K257" s="220" t="inlineStr">
        <is>
          <t>EGI</t>
        </is>
      </c>
      <c r="L257" s="251" t="n"/>
      <c r="M257" s="252" t="n">
        <v>0</v>
      </c>
      <c r="N257" t="inlineStr">
        <is>
          <t>EGI</t>
        </is>
      </c>
      <c r="O257" t="inlineStr">
        <is>
          <t>EGI</t>
        </is>
      </c>
      <c r="P257" t="inlineStr">
        <is>
          <t>EGI (unassigned)</t>
        </is>
      </c>
      <c r="Q257" t="inlineStr">
        <is>
          <t>Unmapped</t>
        </is>
      </c>
      <c r="R257" t="inlineStr">
        <is>
          <t>Filled</t>
        </is>
      </c>
    </row>
    <row r="258" ht="18" customHeight="1" s="849">
      <c r="A258" s="250" t="n">
        <v>113935</v>
      </c>
      <c r="B258" s="220" t="inlineStr">
        <is>
          <t>Thomas Reid</t>
        </is>
      </c>
      <c r="C258" s="220" t="inlineStr">
        <is>
          <t>TDD BP - Retail &amp; Customer - Store Digital</t>
        </is>
      </c>
      <c r="D258" s="220" t="inlineStr">
        <is>
          <t>Michael Schofield</t>
        </is>
      </c>
      <c r="E258" s="220" t="inlineStr">
        <is>
          <t>GM TDD, Partnering &amp; Transformation</t>
        </is>
      </c>
      <c r="F258" s="220" t="inlineStr">
        <is>
          <t>Partnering &amp; Transformation</t>
        </is>
      </c>
      <c r="G258" s="220" t="inlineStr">
        <is>
          <t>TDD Business Partner</t>
        </is>
      </c>
      <c r="H258" s="220" t="inlineStr">
        <is>
          <t>NA</t>
        </is>
      </c>
      <c r="I258" s="220" t="inlineStr">
        <is>
          <t>NA</t>
        </is>
      </c>
      <c r="J258" s="220" t="inlineStr">
        <is>
          <t>NA</t>
        </is>
      </c>
      <c r="K258" s="220" t="inlineStr">
        <is>
          <t>NA</t>
        </is>
      </c>
      <c r="L258" s="251" t="n"/>
      <c r="M258" s="252" t="inlineStr">
        <is>
          <t>Australia</t>
        </is>
      </c>
      <c r="N258" t="inlineStr">
        <is>
          <t>COE</t>
        </is>
      </c>
      <c r="O258" t="inlineStr">
        <is>
          <t>COE - Business Partnering</t>
        </is>
      </c>
      <c r="P258" t="inlineStr">
        <is>
          <t>COE - Business Partnering</t>
        </is>
      </c>
      <c r="Q258" t="inlineStr">
        <is>
          <t>COE</t>
        </is>
      </c>
      <c r="R258" t="inlineStr">
        <is>
          <t>Filled</t>
        </is>
      </c>
    </row>
    <row r="259" ht="18" customHeight="1" s="849">
      <c r="A259" s="250" t="n"/>
      <c r="B259" s="220" t="inlineStr">
        <is>
          <t>Vacant</t>
        </is>
      </c>
      <c r="C259" s="220" t="inlineStr">
        <is>
          <t>Head of Transformation</t>
        </is>
      </c>
      <c r="D259" s="220" t="inlineStr">
        <is>
          <t>Michael Schofield</t>
        </is>
      </c>
      <c r="E259" s="220" t="inlineStr">
        <is>
          <t>Head of Service Operatoins &amp; Assurance</t>
        </is>
      </c>
      <c r="F259" s="220" t="inlineStr">
        <is>
          <t>Partnering &amp; Transformation</t>
        </is>
      </c>
      <c r="G259" s="220" t="inlineStr">
        <is>
          <t>Transformation</t>
        </is>
      </c>
      <c r="H259" s="220" t="inlineStr">
        <is>
          <t>NA</t>
        </is>
      </c>
      <c r="I259" s="220" t="inlineStr">
        <is>
          <t>NA</t>
        </is>
      </c>
      <c r="J259" s="220" t="inlineStr">
        <is>
          <t>NA</t>
        </is>
      </c>
      <c r="K259" s="220" t="inlineStr">
        <is>
          <t>NA</t>
        </is>
      </c>
      <c r="L259" s="251" t="n"/>
      <c r="M259" s="252" t="n"/>
      <c r="N259" t="inlineStr">
        <is>
          <t>COE</t>
        </is>
      </c>
      <c r="O259" t="inlineStr">
        <is>
          <t>COE - Transformation</t>
        </is>
      </c>
      <c r="P259" t="inlineStr">
        <is>
          <t>COE - Transformation</t>
        </is>
      </c>
      <c r="Q259" t="inlineStr">
        <is>
          <t>COE</t>
        </is>
      </c>
      <c r="R259" t="inlineStr">
        <is>
          <t>Vacant</t>
        </is>
      </c>
    </row>
    <row r="260" ht="18" customHeight="1" s="849">
      <c r="A260" s="250" t="n"/>
      <c r="B260" s="220" t="inlineStr">
        <is>
          <t>Vacant</t>
        </is>
      </c>
      <c r="C260" s="220" t="inlineStr">
        <is>
          <t>Commercial Director</t>
        </is>
      </c>
      <c r="D260" s="220" t="inlineStr">
        <is>
          <t>Michael Schofield</t>
        </is>
      </c>
      <c r="E260" s="220" t="inlineStr">
        <is>
          <t>GM TDD, Partnering &amp; Transformation</t>
        </is>
      </c>
      <c r="F260" s="220" t="inlineStr">
        <is>
          <t>Partnering &amp; Transformation</t>
        </is>
      </c>
      <c r="G260" s="220" t="inlineStr">
        <is>
          <t>Commercial</t>
        </is>
      </c>
      <c r="H260" s="220" t="inlineStr">
        <is>
          <t>NA</t>
        </is>
      </c>
      <c r="I260" s="220" t="inlineStr">
        <is>
          <t>NA</t>
        </is>
      </c>
      <c r="J260" s="220" t="inlineStr">
        <is>
          <t>NA</t>
        </is>
      </c>
      <c r="K260" s="220" t="inlineStr">
        <is>
          <t>NA</t>
        </is>
      </c>
      <c r="L260" s="251" t="n"/>
      <c r="M260" s="252" t="n"/>
      <c r="N260" t="inlineStr">
        <is>
          <t>COE</t>
        </is>
      </c>
      <c r="O260" t="inlineStr">
        <is>
          <t>COE - Business Partnering</t>
        </is>
      </c>
      <c r="P260" t="inlineStr">
        <is>
          <t>COE - Business Partnering</t>
        </is>
      </c>
      <c r="Q260" t="inlineStr">
        <is>
          <t>COE</t>
        </is>
      </c>
      <c r="R260" t="inlineStr">
        <is>
          <t>Vacant</t>
        </is>
      </c>
    </row>
    <row r="261" ht="18" customHeight="1" s="849">
      <c r="A261" s="250" t="n"/>
      <c r="B261" s="220" t="inlineStr">
        <is>
          <t>Vacant</t>
        </is>
      </c>
      <c r="C261" s="220" t="inlineStr">
        <is>
          <t>Delivery Systems Analyst</t>
        </is>
      </c>
      <c r="D261" t="inlineStr">
        <is>
          <t>Ruth Chou</t>
        </is>
      </c>
      <c r="E261" s="220" t="inlineStr">
        <is>
          <t>Portfolio Reporting Manger</t>
        </is>
      </c>
      <c r="F261" s="220" t="inlineStr">
        <is>
          <t>Partnering &amp; Transformation</t>
        </is>
      </c>
      <c r="G261" s="220" t="inlineStr">
        <is>
          <t>Transformation</t>
        </is>
      </c>
      <c r="H261" s="220" t="inlineStr">
        <is>
          <t>NA</t>
        </is>
      </c>
      <c r="I261" s="220" t="inlineStr">
        <is>
          <t>NA</t>
        </is>
      </c>
      <c r="J261" s="220" t="inlineStr">
        <is>
          <t>NA</t>
        </is>
      </c>
      <c r="K261" s="220" t="inlineStr">
        <is>
          <t>NA</t>
        </is>
      </c>
      <c r="L261" s="251" t="n"/>
      <c r="M261" s="252" t="n"/>
      <c r="N261" t="inlineStr">
        <is>
          <t>COE</t>
        </is>
      </c>
      <c r="O261" t="inlineStr">
        <is>
          <t>COE - Transformation</t>
        </is>
      </c>
      <c r="P261" t="inlineStr">
        <is>
          <t>COE - Transformation</t>
        </is>
      </c>
      <c r="Q261" t="inlineStr">
        <is>
          <t>COE</t>
        </is>
      </c>
      <c r="R261" t="inlineStr">
        <is>
          <t>Vacant</t>
        </is>
      </c>
    </row>
    <row r="262" ht="18" customHeight="1" s="849">
      <c r="A262" s="250" t="n"/>
      <c r="B262" s="220" t="inlineStr">
        <is>
          <t xml:space="preserve">Vacant </t>
        </is>
      </c>
      <c r="C262" s="220" t="inlineStr">
        <is>
          <t>Portfolio Analyst</t>
        </is>
      </c>
      <c r="D262" s="220" t="inlineStr">
        <is>
          <t>Ruth Chou</t>
        </is>
      </c>
      <c r="E262" s="220" t="inlineStr">
        <is>
          <t xml:space="preserve">Manager Service Perforance &amp; Assurance </t>
        </is>
      </c>
      <c r="F262" s="220" t="inlineStr">
        <is>
          <t>Partnering &amp; Transformation</t>
        </is>
      </c>
      <c r="G262" s="220" t="inlineStr">
        <is>
          <t>Transformation</t>
        </is>
      </c>
      <c r="H262" s="220" t="inlineStr">
        <is>
          <t>NA</t>
        </is>
      </c>
      <c r="I262" s="220" t="inlineStr">
        <is>
          <t>NA</t>
        </is>
      </c>
      <c r="J262" s="220" t="inlineStr">
        <is>
          <t>NA</t>
        </is>
      </c>
      <c r="K262" s="220" t="inlineStr">
        <is>
          <t>NA</t>
        </is>
      </c>
      <c r="L262" s="251" t="n"/>
      <c r="M262" s="252" t="n"/>
      <c r="N262" t="inlineStr">
        <is>
          <t>COE</t>
        </is>
      </c>
      <c r="O262" t="inlineStr">
        <is>
          <t>COE - Transformation</t>
        </is>
      </c>
      <c r="P262" t="inlineStr">
        <is>
          <t>COE - Transformation</t>
        </is>
      </c>
      <c r="Q262" t="inlineStr">
        <is>
          <t>COE</t>
        </is>
      </c>
      <c r="R262" t="inlineStr">
        <is>
          <t>Vacant</t>
        </is>
      </c>
    </row>
    <row r="263" ht="18" customHeight="1" s="849">
      <c r="A263" s="250" t="n"/>
      <c r="B263" s="220" t="inlineStr">
        <is>
          <t xml:space="preserve">Vacant </t>
        </is>
      </c>
      <c r="C263" s="220" t="inlineStr">
        <is>
          <t>Portfolio Analyst</t>
        </is>
      </c>
      <c r="D263" s="220" t="inlineStr">
        <is>
          <t>Ruth Chou</t>
        </is>
      </c>
      <c r="E263" s="220" t="inlineStr">
        <is>
          <t xml:space="preserve">Manager Service Perforance &amp; Assurance </t>
        </is>
      </c>
      <c r="F263" s="220" t="inlineStr">
        <is>
          <t>Partnering &amp; Transformation</t>
        </is>
      </c>
      <c r="G263" s="220" t="inlineStr">
        <is>
          <t>Transformation</t>
        </is>
      </c>
      <c r="H263" s="220" t="inlineStr">
        <is>
          <t>NA</t>
        </is>
      </c>
      <c r="I263" s="220" t="inlineStr">
        <is>
          <t>NA</t>
        </is>
      </c>
      <c r="J263" s="220" t="inlineStr">
        <is>
          <t>NA</t>
        </is>
      </c>
      <c r="K263" s="220" t="inlineStr">
        <is>
          <t>NA</t>
        </is>
      </c>
      <c r="L263" s="251" t="n"/>
      <c r="M263" s="252" t="n"/>
      <c r="N263" t="inlineStr">
        <is>
          <t>COE</t>
        </is>
      </c>
      <c r="O263" t="inlineStr">
        <is>
          <t>COE - Transformation</t>
        </is>
      </c>
      <c r="P263" t="inlineStr">
        <is>
          <t>COE - Transformation</t>
        </is>
      </c>
      <c r="Q263" t="inlineStr">
        <is>
          <t>COE</t>
        </is>
      </c>
      <c r="R263" t="inlineStr">
        <is>
          <t>Vacant</t>
        </is>
      </c>
    </row>
    <row r="264" ht="18" customHeight="1" s="849">
      <c r="A264" s="250" t="n">
        <v>12992</v>
      </c>
      <c r="B264" s="220" t="inlineStr">
        <is>
          <t>Jeannie Chu</t>
        </is>
      </c>
      <c r="C264" s="220" t="inlineStr">
        <is>
          <t>Snr Finance Support Administrator</t>
        </is>
      </c>
      <c r="D264" t="inlineStr">
        <is>
          <t>Sam Chan</t>
        </is>
      </c>
      <c r="E264" s="220" t="inlineStr">
        <is>
          <t>Fin Ops Manager</t>
        </is>
      </c>
      <c r="F264" s="220" t="inlineStr">
        <is>
          <t>Partnering &amp; Transformation</t>
        </is>
      </c>
      <c r="G264" s="220" t="inlineStr">
        <is>
          <t>Transformation</t>
        </is>
      </c>
      <c r="H264" s="220" t="inlineStr">
        <is>
          <t>NA</t>
        </is>
      </c>
      <c r="I264" s="220" t="inlineStr">
        <is>
          <t>NA</t>
        </is>
      </c>
      <c r="J264" s="220" t="inlineStr">
        <is>
          <t>NA</t>
        </is>
      </c>
      <c r="K264" s="220" t="inlineStr">
        <is>
          <t>NA</t>
        </is>
      </c>
      <c r="L264" s="251" t="n"/>
      <c r="M264" s="252" t="inlineStr">
        <is>
          <t>Australia</t>
        </is>
      </c>
      <c r="N264" t="inlineStr">
        <is>
          <t>COE</t>
        </is>
      </c>
      <c r="O264" t="inlineStr">
        <is>
          <t>COE - Transformation</t>
        </is>
      </c>
      <c r="P264" t="inlineStr">
        <is>
          <t>COE - Transformation</t>
        </is>
      </c>
      <c r="Q264" t="inlineStr">
        <is>
          <t>COE</t>
        </is>
      </c>
      <c r="R264" t="inlineStr">
        <is>
          <t>Filled</t>
        </is>
      </c>
    </row>
    <row r="265" ht="18" customHeight="1" s="849">
      <c r="A265" s="250" t="n">
        <v>5607</v>
      </c>
      <c r="B265" s="220" t="inlineStr">
        <is>
          <t>Maria Somera</t>
        </is>
      </c>
      <c r="C265" s="220" t="inlineStr">
        <is>
          <t>Technology Finance Analyst</t>
        </is>
      </c>
      <c r="D265" s="220" t="inlineStr">
        <is>
          <t>Sam Chan</t>
        </is>
      </c>
      <c r="E265" s="220" t="inlineStr">
        <is>
          <t>Fin Ops Manager</t>
        </is>
      </c>
      <c r="F265" s="220" t="inlineStr">
        <is>
          <t>Partnering &amp; Transformation</t>
        </is>
      </c>
      <c r="G265" s="220" t="inlineStr">
        <is>
          <t>Transformation</t>
        </is>
      </c>
      <c r="H265" s="220" t="inlineStr">
        <is>
          <t>NA</t>
        </is>
      </c>
      <c r="I265" s="220" t="inlineStr">
        <is>
          <t>NA</t>
        </is>
      </c>
      <c r="J265" s="220" t="inlineStr">
        <is>
          <t>NA</t>
        </is>
      </c>
      <c r="K265" s="220" t="inlineStr">
        <is>
          <t>NA</t>
        </is>
      </c>
      <c r="L265" s="251" t="n"/>
      <c r="M265" s="252" t="inlineStr">
        <is>
          <t>Australia</t>
        </is>
      </c>
      <c r="N265" t="inlineStr">
        <is>
          <t>COE</t>
        </is>
      </c>
      <c r="O265" t="inlineStr">
        <is>
          <t>COE - Transformation</t>
        </is>
      </c>
      <c r="P265" t="inlineStr">
        <is>
          <t>COE - Transformation</t>
        </is>
      </c>
      <c r="Q265" t="inlineStr">
        <is>
          <t>COE</t>
        </is>
      </c>
      <c r="R265" t="inlineStr">
        <is>
          <t>Filled</t>
        </is>
      </c>
    </row>
    <row r="266" ht="18" customHeight="1" s="849">
      <c r="A266" s="250" t="n">
        <v>83658</v>
      </c>
      <c r="B266" s="220" t="inlineStr">
        <is>
          <t>Sam Chan</t>
        </is>
      </c>
      <c r="C266" s="220" t="inlineStr">
        <is>
          <t>FinOps Manager</t>
        </is>
      </c>
      <c r="D266" s="251" t="inlineStr">
        <is>
          <t>vacant</t>
        </is>
      </c>
      <c r="E266" s="220" t="inlineStr">
        <is>
          <t xml:space="preserve">Manager Cyber Security Operations </t>
        </is>
      </c>
      <c r="F266" s="220" t="inlineStr">
        <is>
          <t>Partnering &amp; Transformation</t>
        </is>
      </c>
      <c r="G266" s="220" t="inlineStr">
        <is>
          <t>Transformation</t>
        </is>
      </c>
      <c r="H266" s="220" t="inlineStr">
        <is>
          <t>NA</t>
        </is>
      </c>
      <c r="I266" s="220" t="inlineStr">
        <is>
          <t>NA</t>
        </is>
      </c>
      <c r="J266" s="220" t="inlineStr">
        <is>
          <t>NA</t>
        </is>
      </c>
      <c r="K266" s="220" t="inlineStr">
        <is>
          <t>NA</t>
        </is>
      </c>
      <c r="L266" s="251" t="n"/>
      <c r="M266" s="252" t="inlineStr">
        <is>
          <t>Australia</t>
        </is>
      </c>
      <c r="N266" t="inlineStr">
        <is>
          <t>COE</t>
        </is>
      </c>
      <c r="O266" t="inlineStr">
        <is>
          <t>COE - Transformation</t>
        </is>
      </c>
      <c r="P266" t="inlineStr">
        <is>
          <t>COE - Transformation</t>
        </is>
      </c>
      <c r="Q266" t="inlineStr">
        <is>
          <t>COE</t>
        </is>
      </c>
      <c r="R266" t="inlineStr">
        <is>
          <t>Filled</t>
        </is>
      </c>
    </row>
    <row r="267" ht="18" customHeight="1" s="849">
      <c r="A267" s="250" t="n">
        <v>116540</v>
      </c>
      <c r="B267" s="220" t="inlineStr">
        <is>
          <t>Neil Reilly</t>
        </is>
      </c>
      <c r="C267" s="220" t="inlineStr">
        <is>
          <t>TDD BP - T&amp;S</t>
        </is>
      </c>
      <c r="D267" s="220" t="inlineStr">
        <is>
          <t>Vacant</t>
        </is>
      </c>
      <c r="E267" s="220" t="inlineStr">
        <is>
          <t>GM TDD, Partnering &amp; Transformation</t>
        </is>
      </c>
      <c r="F267" s="220" t="inlineStr">
        <is>
          <t>Partnering &amp; Transformation</t>
        </is>
      </c>
      <c r="G267" s="220" t="inlineStr">
        <is>
          <t>TDD Business Partner</t>
        </is>
      </c>
      <c r="H267" s="220" t="inlineStr">
        <is>
          <t>NA</t>
        </is>
      </c>
      <c r="I267" s="220" t="inlineStr">
        <is>
          <t>NA</t>
        </is>
      </c>
      <c r="J267" s="220" t="inlineStr">
        <is>
          <t>NA</t>
        </is>
      </c>
      <c r="K267" s="220" t="inlineStr">
        <is>
          <t>NA</t>
        </is>
      </c>
      <c r="L267" s="251" t="n"/>
      <c r="M267" s="252" t="inlineStr">
        <is>
          <t>Singapore</t>
        </is>
      </c>
      <c r="N267" t="inlineStr">
        <is>
          <t>COE</t>
        </is>
      </c>
      <c r="O267" t="inlineStr">
        <is>
          <t>COE - Business Partnering</t>
        </is>
      </c>
      <c r="P267" t="inlineStr">
        <is>
          <t>COE - Business Partnering</t>
        </is>
      </c>
      <c r="Q267" t="inlineStr">
        <is>
          <t>COE</t>
        </is>
      </c>
      <c r="R267" t="inlineStr">
        <is>
          <t>Filled</t>
        </is>
      </c>
    </row>
    <row r="268" ht="18" customHeight="1" s="849">
      <c r="A268" s="250" t="n"/>
      <c r="B268" s="220" t="inlineStr">
        <is>
          <t>Vacant</t>
        </is>
      </c>
      <c r="C268" s="220" t="inlineStr">
        <is>
          <t>Business Analysis Practice Lead</t>
        </is>
      </c>
      <c r="D268" s="251" t="inlineStr">
        <is>
          <t>vacant</t>
        </is>
      </c>
      <c r="E268" s="220" t="inlineStr">
        <is>
          <t>Delivery Excellence Manager</t>
        </is>
      </c>
      <c r="F268" s="220" t="inlineStr">
        <is>
          <t>Partnering &amp; Transformation</t>
        </is>
      </c>
      <c r="G268" s="220" t="inlineStr">
        <is>
          <t>Transformation</t>
        </is>
      </c>
      <c r="H268" s="220" t="inlineStr">
        <is>
          <t>NA</t>
        </is>
      </c>
      <c r="I268" s="220" t="inlineStr">
        <is>
          <t>NA</t>
        </is>
      </c>
      <c r="J268" s="220" t="inlineStr">
        <is>
          <t>NA</t>
        </is>
      </c>
      <c r="K268" s="220" t="inlineStr">
        <is>
          <t>NA</t>
        </is>
      </c>
      <c r="L268" s="251" t="n"/>
      <c r="M268" s="252" t="n"/>
      <c r="N268" t="inlineStr">
        <is>
          <t>COE</t>
        </is>
      </c>
      <c r="O268" t="inlineStr">
        <is>
          <t>COE - Transformation</t>
        </is>
      </c>
      <c r="P268" t="inlineStr">
        <is>
          <t>COE - Transformation</t>
        </is>
      </c>
      <c r="Q268" t="inlineStr">
        <is>
          <t>COE</t>
        </is>
      </c>
      <c r="R268" t="inlineStr">
        <is>
          <t>Vacant</t>
        </is>
      </c>
    </row>
    <row r="269" ht="18" customHeight="1" s="849">
      <c r="A269" s="250" t="n">
        <v>95835</v>
      </c>
      <c r="B269" s="220" t="inlineStr">
        <is>
          <t>Briony Scott</t>
        </is>
      </c>
      <c r="C269" s="220" t="inlineStr">
        <is>
          <t>Service &amp; Contract Specialist AU</t>
        </is>
      </c>
      <c r="D269" s="251" t="inlineStr">
        <is>
          <t>vacant</t>
        </is>
      </c>
      <c r="E269" s="220" t="inlineStr">
        <is>
          <t>Commercial Director</t>
        </is>
      </c>
      <c r="F269" s="220" t="inlineStr">
        <is>
          <t>Partnering &amp; Transformation</t>
        </is>
      </c>
      <c r="G269" s="220" t="inlineStr">
        <is>
          <t>Commercial</t>
        </is>
      </c>
      <c r="H269" s="220" t="inlineStr">
        <is>
          <t>NA</t>
        </is>
      </c>
      <c r="I269" s="220" t="inlineStr">
        <is>
          <t>NA</t>
        </is>
      </c>
      <c r="J269" s="220" t="inlineStr">
        <is>
          <t>NA</t>
        </is>
      </c>
      <c r="K269" s="220" t="inlineStr">
        <is>
          <t>NA</t>
        </is>
      </c>
      <c r="L269" s="251" t="n"/>
      <c r="M269" s="252" t="inlineStr">
        <is>
          <t>Australia</t>
        </is>
      </c>
      <c r="N269" t="inlineStr">
        <is>
          <t>COE</t>
        </is>
      </c>
      <c r="O269" t="inlineStr">
        <is>
          <t>COE - Business Partnering</t>
        </is>
      </c>
      <c r="P269" t="inlineStr">
        <is>
          <t>COE - Business Partnering</t>
        </is>
      </c>
      <c r="Q269" t="inlineStr">
        <is>
          <t>COE</t>
        </is>
      </c>
      <c r="R269" t="inlineStr">
        <is>
          <t>Filled</t>
        </is>
      </c>
    </row>
    <row r="270" ht="18" customHeight="1" s="849">
      <c r="A270" s="250" t="n">
        <v>99999170371</v>
      </c>
      <c r="B270" s="220" t="inlineStr">
        <is>
          <t>Helen Ngu</t>
        </is>
      </c>
      <c r="C270" s="220" t="inlineStr">
        <is>
          <t>Service &amp; Contract Specialist NZ</t>
        </is>
      </c>
      <c r="D270" s="251" t="inlineStr">
        <is>
          <t>vacant</t>
        </is>
      </c>
      <c r="E270" s="220" t="inlineStr">
        <is>
          <t>Commercial Director</t>
        </is>
      </c>
      <c r="F270" s="220" t="inlineStr">
        <is>
          <t>Partnering &amp; Transformation</t>
        </is>
      </c>
      <c r="G270" s="220" t="inlineStr">
        <is>
          <t>Commercial</t>
        </is>
      </c>
      <c r="H270" s="220" t="inlineStr">
        <is>
          <t>NA</t>
        </is>
      </c>
      <c r="I270" s="220" t="inlineStr">
        <is>
          <t>NA</t>
        </is>
      </c>
      <c r="J270" s="220" t="inlineStr">
        <is>
          <t>NA</t>
        </is>
      </c>
      <c r="K270" s="220" t="inlineStr">
        <is>
          <t>NA</t>
        </is>
      </c>
      <c r="L270" s="251" t="n"/>
      <c r="M270" s="252" t="inlineStr">
        <is>
          <t>NZ</t>
        </is>
      </c>
      <c r="N270" t="inlineStr">
        <is>
          <t>COE</t>
        </is>
      </c>
      <c r="O270" t="inlineStr">
        <is>
          <t>COE - Business Partnering</t>
        </is>
      </c>
      <c r="P270" t="inlineStr">
        <is>
          <t>COE - Business Partnering</t>
        </is>
      </c>
      <c r="Q270" t="inlineStr">
        <is>
          <t>COE</t>
        </is>
      </c>
      <c r="R270" t="inlineStr">
        <is>
          <t>Filled</t>
        </is>
      </c>
    </row>
    <row r="271" ht="18" customHeight="1" s="849">
      <c r="A271" s="250" t="n">
        <v>101862</v>
      </c>
      <c r="B271" s="220" t="inlineStr">
        <is>
          <t>Vaughn Scott</t>
        </is>
      </c>
      <c r="C271" s="220" t="inlineStr">
        <is>
          <t>TDD BP - ES</t>
        </is>
      </c>
      <c r="D271" s="220" t="inlineStr">
        <is>
          <t>Vacant</t>
        </is>
      </c>
      <c r="E271" s="220" t="inlineStr">
        <is>
          <t>GM TDD, Partnering &amp; Transformation</t>
        </is>
      </c>
      <c r="F271" s="220" t="inlineStr">
        <is>
          <t>Partnering &amp; Transformation</t>
        </is>
      </c>
      <c r="G271" s="220" t="inlineStr">
        <is>
          <t>TDD Business Partner</t>
        </is>
      </c>
      <c r="H271" t="inlineStr">
        <is>
          <t>NA</t>
        </is>
      </c>
      <c r="I271" s="220" t="inlineStr">
        <is>
          <t>NA</t>
        </is>
      </c>
      <c r="J271" s="220" t="inlineStr">
        <is>
          <t>NA</t>
        </is>
      </c>
      <c r="K271" s="220" t="inlineStr">
        <is>
          <t>NA</t>
        </is>
      </c>
      <c r="L271" s="251" t="n"/>
      <c r="M271" s="252" t="inlineStr">
        <is>
          <t>Australia</t>
        </is>
      </c>
      <c r="N271" t="inlineStr">
        <is>
          <t>COE</t>
        </is>
      </c>
      <c r="O271" t="inlineStr">
        <is>
          <t>COE - Business Partnering</t>
        </is>
      </c>
      <c r="P271" t="inlineStr">
        <is>
          <t>COE - Business Partnering</t>
        </is>
      </c>
      <c r="Q271" t="inlineStr">
        <is>
          <t>COE</t>
        </is>
      </c>
      <c r="R271" t="inlineStr">
        <is>
          <t>Filled</t>
        </is>
      </c>
    </row>
    <row r="272" ht="18" customHeight="1" s="849">
      <c r="A272" s="250" t="n">
        <v>82561</v>
      </c>
      <c r="B272" s="220" t="inlineStr">
        <is>
          <t>Jenny Chan</t>
        </is>
      </c>
      <c r="C272" s="220" t="inlineStr">
        <is>
          <t>Project Finance Lead</t>
        </is>
      </c>
      <c r="D272" s="220" t="inlineStr">
        <is>
          <t>Vacant</t>
        </is>
      </c>
      <c r="E272" s="220" t="inlineStr">
        <is>
          <t xml:space="preserve">Manager Risk &amp; Resilience </t>
        </is>
      </c>
      <c r="F272" s="220" t="inlineStr">
        <is>
          <t>Partnering &amp; Transformation</t>
        </is>
      </c>
      <c r="G272" s="220" t="inlineStr">
        <is>
          <t>Transformation</t>
        </is>
      </c>
      <c r="H272" s="220" t="inlineStr">
        <is>
          <t>Technology, CF Engineering</t>
        </is>
      </c>
      <c r="I272" s="220" t="inlineStr">
        <is>
          <t>NA</t>
        </is>
      </c>
      <c r="J272" s="220" t="inlineStr">
        <is>
          <t>NA</t>
        </is>
      </c>
      <c r="K272" s="220" t="inlineStr">
        <is>
          <t>NA</t>
        </is>
      </c>
      <c r="L272" s="251" t="n"/>
      <c r="M272" s="252" t="inlineStr">
        <is>
          <t>Australia</t>
        </is>
      </c>
      <c r="N272" t="inlineStr">
        <is>
          <t>COE</t>
        </is>
      </c>
      <c r="O272" t="inlineStr">
        <is>
          <t>COE - Transformation</t>
        </is>
      </c>
      <c r="P272" t="inlineStr">
        <is>
          <t>COE - Transformation</t>
        </is>
      </c>
      <c r="Q272" t="inlineStr">
        <is>
          <t>COE</t>
        </is>
      </c>
      <c r="R272" t="inlineStr">
        <is>
          <t>Filled</t>
        </is>
      </c>
    </row>
    <row r="273" ht="18" customHeight="1" s="849">
      <c r="A273" s="250" t="n"/>
      <c r="B273" s="220" t="inlineStr">
        <is>
          <t>Vacant</t>
        </is>
      </c>
      <c r="C273" s="220" t="inlineStr">
        <is>
          <t>Scrum Master</t>
        </is>
      </c>
      <c r="D273" s="251" t="inlineStr">
        <is>
          <t>Vacant</t>
        </is>
      </c>
      <c r="E273" s="220" t="inlineStr">
        <is>
          <t xml:space="preserve">Lead Technology Support </t>
        </is>
      </c>
      <c r="F273" s="220" t="inlineStr">
        <is>
          <t>Partnering &amp; Transformation</t>
        </is>
      </c>
      <c r="G273" s="220" t="inlineStr">
        <is>
          <t>Loyalty &amp; Martech</t>
        </is>
      </c>
      <c r="H273" s="220" t="inlineStr">
        <is>
          <t>NA</t>
        </is>
      </c>
      <c r="I273" s="220" t="inlineStr">
        <is>
          <t>NA</t>
        </is>
      </c>
      <c r="J273" s="220" t="inlineStr">
        <is>
          <t>NA</t>
        </is>
      </c>
      <c r="K273" s="220" t="inlineStr">
        <is>
          <t>NA</t>
        </is>
      </c>
      <c r="L273" s="251" t="n"/>
      <c r="M273" s="252" t="n"/>
      <c r="N273" t="inlineStr">
        <is>
          <t>Customer</t>
        </is>
      </c>
      <c r="O273" t="inlineStr">
        <is>
          <t>Group Customer Platforms</t>
        </is>
      </c>
      <c r="P273" t="inlineStr">
        <is>
          <t>AU CRM &amp; Martech</t>
        </is>
      </c>
      <c r="Q273" t="inlineStr">
        <is>
          <t>Squad</t>
        </is>
      </c>
      <c r="R273" t="inlineStr">
        <is>
          <t>Vacant</t>
        </is>
      </c>
    </row>
    <row r="274" ht="18" customHeight="1" s="849">
      <c r="A274" s="250" t="n">
        <v>99999102029</v>
      </c>
      <c r="B274" s="220" t="inlineStr">
        <is>
          <t>Matt Saunders</t>
        </is>
      </c>
      <c r="C274" s="220" t="inlineStr">
        <is>
          <t>Scrum Master</t>
        </is>
      </c>
      <c r="D274" s="251" t="inlineStr">
        <is>
          <t>Vacant</t>
        </is>
      </c>
      <c r="E274" s="220" t="inlineStr">
        <is>
          <t xml:space="preserve">Lead Technology Support </t>
        </is>
      </c>
      <c r="F274" s="220" t="inlineStr">
        <is>
          <t>Partnering &amp; Transformation</t>
        </is>
      </c>
      <c r="G274" s="220" t="inlineStr">
        <is>
          <t>Transformation</t>
        </is>
      </c>
      <c r="H274" s="220" t="inlineStr">
        <is>
          <t>NA</t>
        </is>
      </c>
      <c r="I274" s="220" t="inlineStr">
        <is>
          <t>NA</t>
        </is>
      </c>
      <c r="J274" s="220" t="inlineStr">
        <is>
          <t>NA</t>
        </is>
      </c>
      <c r="K274" s="220" t="inlineStr">
        <is>
          <t>NA</t>
        </is>
      </c>
      <c r="L274" s="251" t="n"/>
      <c r="M274" s="252" t="inlineStr">
        <is>
          <t>NZ</t>
        </is>
      </c>
      <c r="N274" t="inlineStr">
        <is>
          <t>COE</t>
        </is>
      </c>
      <c r="O274" t="inlineStr">
        <is>
          <t>COE - Transformation</t>
        </is>
      </c>
      <c r="P274" t="inlineStr">
        <is>
          <t>COE - Transformation</t>
        </is>
      </c>
      <c r="Q274" t="inlineStr">
        <is>
          <t>COE</t>
        </is>
      </c>
      <c r="R274" t="inlineStr">
        <is>
          <t>Filled</t>
        </is>
      </c>
    </row>
    <row r="275" ht="18" customHeight="1" s="849">
      <c r="A275" s="250" t="n">
        <v>0</v>
      </c>
      <c r="B275" s="220" t="inlineStr">
        <is>
          <t>Malcolm Deare</t>
        </is>
      </c>
      <c r="C275" s="220" t="inlineStr">
        <is>
          <t>TDD BP, Group Functions</t>
        </is>
      </c>
      <c r="D275" s="220" t="inlineStr">
        <is>
          <t>Vacant</t>
        </is>
      </c>
      <c r="E275" s="220" t="inlineStr">
        <is>
          <t>GM TDD, Partnering &amp; Transformation</t>
        </is>
      </c>
      <c r="F275" s="220" t="inlineStr">
        <is>
          <t>Partnering &amp; Transformation</t>
        </is>
      </c>
      <c r="G275" s="220" t="inlineStr">
        <is>
          <t>TDD Business Partner</t>
        </is>
      </c>
      <c r="H275" s="220" t="inlineStr">
        <is>
          <t>NA</t>
        </is>
      </c>
      <c r="I275" s="220" t="inlineStr">
        <is>
          <t>NA</t>
        </is>
      </c>
      <c r="J275" s="220" t="inlineStr">
        <is>
          <t>NA</t>
        </is>
      </c>
      <c r="K275" s="220" t="inlineStr">
        <is>
          <t>NA</t>
        </is>
      </c>
      <c r="L275" s="251" t="n"/>
      <c r="M275" s="252" t="n">
        <v>0</v>
      </c>
      <c r="N275" t="inlineStr">
        <is>
          <t>COE</t>
        </is>
      </c>
      <c r="O275" t="inlineStr">
        <is>
          <t>COE - Business Partnering</t>
        </is>
      </c>
      <c r="P275" t="inlineStr">
        <is>
          <t>COE - Business Partnering</t>
        </is>
      </c>
      <c r="Q275" t="inlineStr">
        <is>
          <t>COE</t>
        </is>
      </c>
      <c r="R275" t="inlineStr">
        <is>
          <t>Filled</t>
        </is>
      </c>
    </row>
    <row r="276" ht="18" customHeight="1" s="849">
      <c r="A276" s="250" t="n">
        <v>113835</v>
      </c>
      <c r="B276" s="220" t="inlineStr">
        <is>
          <t>Ruth Chou</t>
        </is>
      </c>
      <c r="C276" s="220" t="inlineStr">
        <is>
          <t>Portfolio Reporting Manager</t>
        </is>
      </c>
      <c r="D276" s="251" t="inlineStr">
        <is>
          <t>vacant</t>
        </is>
      </c>
      <c r="E276" s="220" t="inlineStr">
        <is>
          <t xml:space="preserve">Manager Service Perforance &amp; Assurance </t>
        </is>
      </c>
      <c r="F276" s="220" t="inlineStr">
        <is>
          <t>Partnering &amp; Transformation</t>
        </is>
      </c>
      <c r="G276" s="220" t="inlineStr">
        <is>
          <t>Loyalty &amp; Martech</t>
        </is>
      </c>
      <c r="H276" s="220" t="inlineStr">
        <is>
          <t>NA</t>
        </is>
      </c>
      <c r="I276" s="220" t="inlineStr">
        <is>
          <t>NA</t>
        </is>
      </c>
      <c r="J276" s="220" t="inlineStr">
        <is>
          <t>NA</t>
        </is>
      </c>
      <c r="K276" s="220" t="inlineStr">
        <is>
          <t>NA</t>
        </is>
      </c>
      <c r="L276" s="251" t="n"/>
      <c r="M276" s="252" t="inlineStr">
        <is>
          <t>Australia</t>
        </is>
      </c>
      <c r="N276" t="inlineStr">
        <is>
          <t>Customer</t>
        </is>
      </c>
      <c r="O276" t="inlineStr">
        <is>
          <t>Group Customer Platforms</t>
        </is>
      </c>
      <c r="P276" t="inlineStr">
        <is>
          <t>AU CRM &amp; Martech</t>
        </is>
      </c>
      <c r="Q276" t="inlineStr">
        <is>
          <t>Squad</t>
        </is>
      </c>
      <c r="R276" t="inlineStr">
        <is>
          <t>Filled</t>
        </is>
      </c>
    </row>
    <row r="277" ht="18" customHeight="1" s="849">
      <c r="A277" s="250" t="n"/>
      <c r="B277" s="220" t="inlineStr">
        <is>
          <t>Vacant</t>
        </is>
      </c>
      <c r="C277" s="220" t="inlineStr">
        <is>
          <t>Delivery Capacity &amp; Assurance Lead</t>
        </is>
      </c>
      <c r="D277" s="275" t="inlineStr">
        <is>
          <t>Vacant</t>
        </is>
      </c>
      <c r="E277" s="251" t="inlineStr">
        <is>
          <t>vacant</t>
        </is>
      </c>
      <c r="F277" s="220" t="inlineStr">
        <is>
          <t>Partnering &amp; Transformation</t>
        </is>
      </c>
      <c r="G277" s="220" t="inlineStr">
        <is>
          <t>Transformation</t>
        </is>
      </c>
      <c r="H277" t="inlineStr">
        <is>
          <t>NA</t>
        </is>
      </c>
      <c r="I277" s="220" t="inlineStr">
        <is>
          <t>NA</t>
        </is>
      </c>
      <c r="J277" s="220" t="inlineStr">
        <is>
          <t>NA</t>
        </is>
      </c>
      <c r="K277" s="220" t="inlineStr">
        <is>
          <t>NA</t>
        </is>
      </c>
      <c r="L277" s="251" t="n"/>
      <c r="M277" s="252" t="n"/>
      <c r="N277" t="inlineStr">
        <is>
          <t>COE</t>
        </is>
      </c>
      <c r="O277" t="inlineStr">
        <is>
          <t>COE - Transformation</t>
        </is>
      </c>
      <c r="P277" t="inlineStr">
        <is>
          <t>COE - Transformation</t>
        </is>
      </c>
      <c r="Q277" t="inlineStr">
        <is>
          <t>COE</t>
        </is>
      </c>
      <c r="R277" t="inlineStr">
        <is>
          <t>Vacant</t>
        </is>
      </c>
    </row>
    <row r="278" ht="18" customHeight="1" s="849">
      <c r="A278" s="250" t="n">
        <v>99999102144</v>
      </c>
      <c r="B278" s="220" t="inlineStr">
        <is>
          <t>Shelley Crawford</t>
        </is>
      </c>
      <c r="C278" s="220" t="inlineStr">
        <is>
          <t>TDD BP - Z</t>
        </is>
      </c>
      <c r="D278" s="220" t="inlineStr">
        <is>
          <t>Vacant</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251" t="n"/>
      <c r="M278" s="252" t="inlineStr">
        <is>
          <t>NZ</t>
        </is>
      </c>
      <c r="N278" t="inlineStr">
        <is>
          <t>COE</t>
        </is>
      </c>
      <c r="O278" t="inlineStr">
        <is>
          <t>COE - Business Partnering</t>
        </is>
      </c>
      <c r="P278" t="inlineStr">
        <is>
          <t>COE - Business Partnering</t>
        </is>
      </c>
      <c r="Q278" t="inlineStr">
        <is>
          <t>COE</t>
        </is>
      </c>
      <c r="R278" t="inlineStr">
        <is>
          <t>Filled</t>
        </is>
      </c>
    </row>
    <row r="279" ht="18" customHeight="1" s="849">
      <c r="A279" s="250" t="n">
        <v>102411</v>
      </c>
      <c r="B279" s="220" t="inlineStr">
        <is>
          <t>Vacant</t>
        </is>
      </c>
      <c r="C279" s="220" t="inlineStr">
        <is>
          <t>TDD BP - Infrastructure</t>
        </is>
      </c>
      <c r="D279" s="220" t="inlineStr">
        <is>
          <t>Vacant</t>
        </is>
      </c>
      <c r="E279" s="220" t="inlineStr">
        <is>
          <t>GM TDD, Partnering &amp; Transformation</t>
        </is>
      </c>
      <c r="F279" s="220" t="inlineStr">
        <is>
          <t>Partnering &amp; Transformation</t>
        </is>
      </c>
      <c r="G279" s="220" t="inlineStr">
        <is>
          <t>TDD Business Partner</t>
        </is>
      </c>
      <c r="H279" s="220" t="inlineStr">
        <is>
          <t>NA</t>
        </is>
      </c>
      <c r="I279" s="220" t="inlineStr">
        <is>
          <t>NA</t>
        </is>
      </c>
      <c r="J279" s="220" t="inlineStr">
        <is>
          <t>NA</t>
        </is>
      </c>
      <c r="K279" s="220" t="inlineStr">
        <is>
          <t>NA</t>
        </is>
      </c>
      <c r="L279" s="251" t="n"/>
      <c r="M279" s="252" t="inlineStr">
        <is>
          <t>Australia</t>
        </is>
      </c>
      <c r="N279" t="inlineStr">
        <is>
          <t>COE</t>
        </is>
      </c>
      <c r="O279" t="inlineStr">
        <is>
          <t>COE - Business Partnering</t>
        </is>
      </c>
      <c r="P279" t="inlineStr">
        <is>
          <t>COE - Business Partnering</t>
        </is>
      </c>
      <c r="Q279" t="inlineStr">
        <is>
          <t>COE</t>
        </is>
      </c>
      <c r="R279" t="inlineStr">
        <is>
          <t>Vacant</t>
        </is>
      </c>
    </row>
    <row r="280" ht="18" customHeight="1" s="849">
      <c r="A280" s="250" t="n"/>
      <c r="B280" s="251" t="inlineStr">
        <is>
          <t>Vacant</t>
        </is>
      </c>
      <c r="C280" s="251" t="inlineStr">
        <is>
          <t>Delivery Assurance Manager</t>
        </is>
      </c>
      <c r="D280" s="251" t="inlineStr">
        <is>
          <t>vacant</t>
        </is>
      </c>
      <c r="E280" s="251" t="inlineStr">
        <is>
          <t xml:space="preserve">Manager Identity &amp; Access Management </t>
        </is>
      </c>
      <c r="F280" s="220" t="inlineStr">
        <is>
          <t>Partnering &amp; Transformation</t>
        </is>
      </c>
      <c r="G280" s="251" t="inlineStr">
        <is>
          <t>Transformation</t>
        </is>
      </c>
      <c r="H280" s="220" t="inlineStr">
        <is>
          <t>NA</t>
        </is>
      </c>
      <c r="I280" s="220" t="inlineStr">
        <is>
          <t>NA</t>
        </is>
      </c>
      <c r="J280" s="220" t="inlineStr">
        <is>
          <t>NA</t>
        </is>
      </c>
      <c r="K280" s="220" t="inlineStr">
        <is>
          <t>NA</t>
        </is>
      </c>
      <c r="L280" s="251" t="n"/>
      <c r="M280" s="252" t="n"/>
      <c r="N280" t="inlineStr">
        <is>
          <t>COE</t>
        </is>
      </c>
      <c r="O280" t="inlineStr">
        <is>
          <t>COE - Transformation</t>
        </is>
      </c>
      <c r="P280" t="inlineStr">
        <is>
          <t>COE - Transformation</t>
        </is>
      </c>
      <c r="Q280" t="inlineStr">
        <is>
          <t>COE</t>
        </is>
      </c>
      <c r="R280" t="inlineStr">
        <is>
          <t>Vacant</t>
        </is>
      </c>
    </row>
    <row r="281" ht="18" customHeight="1" s="849">
      <c r="A281" s="250" t="n">
        <v>113362</v>
      </c>
      <c r="B281" s="220" t="inlineStr">
        <is>
          <t>Vacant</t>
        </is>
      </c>
      <c r="C281" s="220" t="inlineStr">
        <is>
          <t>Software Asset Specialist</t>
        </is>
      </c>
      <c r="D281" s="251" t="inlineStr">
        <is>
          <t>vacant</t>
        </is>
      </c>
      <c r="E281" s="220" t="inlineStr">
        <is>
          <t>Commercial Director</t>
        </is>
      </c>
      <c r="F281" s="220" t="inlineStr">
        <is>
          <t>Partnering &amp; Transformation</t>
        </is>
      </c>
      <c r="G281" s="220" t="inlineStr">
        <is>
          <t>Commercial</t>
        </is>
      </c>
      <c r="H281" s="220" t="inlineStr">
        <is>
          <t>NA</t>
        </is>
      </c>
      <c r="I281" s="220" t="inlineStr">
        <is>
          <t>NA</t>
        </is>
      </c>
      <c r="J281" s="220" t="inlineStr">
        <is>
          <t>NA</t>
        </is>
      </c>
      <c r="K281" s="220" t="inlineStr">
        <is>
          <t>NA</t>
        </is>
      </c>
      <c r="L281" s="251" t="n"/>
      <c r="M281" s="252" t="inlineStr">
        <is>
          <t>Australia</t>
        </is>
      </c>
      <c r="N281" t="inlineStr">
        <is>
          <t>COE</t>
        </is>
      </c>
      <c r="O281" t="inlineStr">
        <is>
          <t>COE - Business Partnering</t>
        </is>
      </c>
      <c r="P281" t="inlineStr">
        <is>
          <t>COE - Business Partnering</t>
        </is>
      </c>
      <c r="Q281" t="inlineStr">
        <is>
          <t>COE</t>
        </is>
      </c>
      <c r="R281" t="inlineStr">
        <is>
          <t>Vacant</t>
        </is>
      </c>
    </row>
    <row r="282" ht="18" customHeight="1" s="849">
      <c r="A282" s="250" t="n"/>
      <c r="B282" s="220" t="inlineStr">
        <is>
          <t>Vacant</t>
        </is>
      </c>
      <c r="C282" s="220" t="inlineStr">
        <is>
          <t>Delivery Excellence Manager</t>
        </is>
      </c>
      <c r="D282" s="251" t="inlineStr">
        <is>
          <t>vacant</t>
        </is>
      </c>
      <c r="E282" s="220" t="inlineStr">
        <is>
          <t xml:space="preserve">CISO </t>
        </is>
      </c>
      <c r="F282" s="220" t="inlineStr">
        <is>
          <t>Partnering &amp; Transformation</t>
        </is>
      </c>
      <c r="G282" s="220" t="inlineStr">
        <is>
          <t>Transformation</t>
        </is>
      </c>
      <c r="H282" s="220" t="inlineStr">
        <is>
          <t>NA</t>
        </is>
      </c>
      <c r="I282" s="220" t="inlineStr">
        <is>
          <t>NA</t>
        </is>
      </c>
      <c r="J282" s="220" t="inlineStr">
        <is>
          <t>NA</t>
        </is>
      </c>
      <c r="K282" s="220" t="inlineStr">
        <is>
          <t>NA</t>
        </is>
      </c>
      <c r="L282" s="251" t="n"/>
      <c r="M282" s="252" t="n"/>
      <c r="N282" t="inlineStr">
        <is>
          <t>COE</t>
        </is>
      </c>
      <c r="O282" t="inlineStr">
        <is>
          <t>COE - Transformation</t>
        </is>
      </c>
      <c r="P282" t="inlineStr">
        <is>
          <t>COE - Transformation</t>
        </is>
      </c>
      <c r="Q282" t="inlineStr">
        <is>
          <t>COE</t>
        </is>
      </c>
      <c r="R282" t="inlineStr">
        <is>
          <t>Vacant</t>
        </is>
      </c>
    </row>
    <row r="283" ht="18" customHeight="1" s="849">
      <c r="A283" s="250" t="n"/>
      <c r="B283" s="220" t="inlineStr">
        <is>
          <t>Vacant</t>
        </is>
      </c>
      <c r="C283" s="220" t="inlineStr">
        <is>
          <t>Service Transition Lead</t>
        </is>
      </c>
      <c r="D283" s="220" t="inlineStr">
        <is>
          <t>Deepali Mahajan</t>
        </is>
      </c>
      <c r="E283" s="220" t="inlineStr">
        <is>
          <t>Data Operations Manager</t>
        </is>
      </c>
      <c r="F283" s="260" t="inlineStr">
        <is>
          <t>Strategy, Architecture &amp; Data</t>
        </is>
      </c>
      <c r="G283" s="251" t="inlineStr">
        <is>
          <t>Group Data</t>
        </is>
      </c>
      <c r="H283" s="260" t="inlineStr">
        <is>
          <t>Data Operations</t>
        </is>
      </c>
      <c r="I283" s="260" t="inlineStr">
        <is>
          <t>Enterprise Data</t>
        </is>
      </c>
      <c r="J283" s="251" t="n"/>
      <c r="K283" s="251" t="inlineStr">
        <is>
          <t>COE, Data Operations</t>
        </is>
      </c>
      <c r="L283" s="251" t="n"/>
      <c r="M283" s="252" t="n"/>
      <c r="N283" t="inlineStr">
        <is>
          <t>Enterprise Data</t>
        </is>
      </c>
      <c r="O283" t="inlineStr">
        <is>
          <t>Group Data</t>
        </is>
      </c>
      <c r="P283" t="inlineStr">
        <is>
          <t>Operations</t>
        </is>
      </c>
      <c r="Q283" t="inlineStr">
        <is>
          <t>Squad</t>
        </is>
      </c>
      <c r="R283" t="inlineStr">
        <is>
          <t>Vacant</t>
        </is>
      </c>
    </row>
    <row r="284" ht="18" customHeight="1" s="849">
      <c r="A284" s="250" t="n"/>
      <c r="B284" s="220" t="inlineStr">
        <is>
          <t>Vacant</t>
        </is>
      </c>
      <c r="C284" s="220" t="inlineStr">
        <is>
          <t>Engineer Data - Reporting</t>
        </is>
      </c>
      <c r="D284" s="220" t="inlineStr">
        <is>
          <t>Dinesh Chandrasekaran</t>
        </is>
      </c>
      <c r="E284" s="220" t="inlineStr">
        <is>
          <t>Lead Engineer (Snowflake)</t>
        </is>
      </c>
      <c r="F284" s="260" t="inlineStr">
        <is>
          <t>Strategy, Architecture &amp; Data</t>
        </is>
      </c>
      <c r="G284" s="251" t="inlineStr">
        <is>
          <t>Group Data</t>
        </is>
      </c>
      <c r="H284" s="260" t="inlineStr">
        <is>
          <t>Data Engineering &amp; Platforms</t>
        </is>
      </c>
      <c r="I284" s="260" t="inlineStr">
        <is>
          <t>Enterprise Data</t>
        </is>
      </c>
      <c r="J284" s="260" t="inlineStr">
        <is>
          <t>Group Data</t>
        </is>
      </c>
      <c r="K284" s="260" t="inlineStr">
        <is>
          <t>Reporting &amp; Analytics</t>
        </is>
      </c>
      <c r="L284" s="251" t="n"/>
      <c r="M284" s="252" t="n"/>
      <c r="N284" t="inlineStr">
        <is>
          <t>Enterprise Data</t>
        </is>
      </c>
      <c r="O284" t="inlineStr">
        <is>
          <t>Group Data</t>
        </is>
      </c>
      <c r="P284" t="inlineStr">
        <is>
          <t>Reporting &amp; Analytics</t>
        </is>
      </c>
      <c r="Q284" t="inlineStr">
        <is>
          <t>Squad</t>
        </is>
      </c>
      <c r="R284" t="inlineStr">
        <is>
          <t>Vacant</t>
        </is>
      </c>
    </row>
    <row r="285" ht="18" customHeight="1" s="849">
      <c r="A285" s="250" t="n"/>
      <c r="B285" s="220" t="inlineStr">
        <is>
          <t>Vacant</t>
        </is>
      </c>
      <c r="C285" s="220" t="inlineStr">
        <is>
          <t xml:space="preserve">Engineer Data  </t>
        </is>
      </c>
      <c r="D285" s="220" t="inlineStr">
        <is>
          <t>Dinesh Chandrasekaran</t>
        </is>
      </c>
      <c r="E285" s="220" t="inlineStr">
        <is>
          <t>Lead Engineer (Snowflake)</t>
        </is>
      </c>
      <c r="F285" s="260" t="inlineStr">
        <is>
          <t>Strategy, Architecture &amp; Data</t>
        </is>
      </c>
      <c r="G285" s="251" t="inlineStr">
        <is>
          <t>Group Data</t>
        </is>
      </c>
      <c r="H285" s="260" t="inlineStr">
        <is>
          <t>Data Engineering &amp; Platforms</t>
        </is>
      </c>
      <c r="I285" s="251" t="inlineStr">
        <is>
          <t>Enterprise Data</t>
        </is>
      </c>
      <c r="J285" s="260" t="inlineStr">
        <is>
          <t>Group Data</t>
        </is>
      </c>
      <c r="K285" s="251" t="inlineStr">
        <is>
          <t>Data Platform</t>
        </is>
      </c>
      <c r="L285" s="251" t="n"/>
      <c r="M285" s="252" t="n"/>
      <c r="N285" t="inlineStr">
        <is>
          <t>Enterprise Data</t>
        </is>
      </c>
      <c r="O285" t="inlineStr">
        <is>
          <t>Group Data</t>
        </is>
      </c>
      <c r="P285" t="inlineStr">
        <is>
          <t>Data Platforms</t>
        </is>
      </c>
      <c r="Q285" t="inlineStr">
        <is>
          <t>Squad</t>
        </is>
      </c>
      <c r="R285" t="inlineStr">
        <is>
          <t>Vacant</t>
        </is>
      </c>
    </row>
    <row r="286" ht="18" customHeight="1" s="849">
      <c r="A286" s="250" t="n">
        <v>113559</v>
      </c>
      <c r="B286" s="220" t="inlineStr">
        <is>
          <t>John Forde</t>
        </is>
      </c>
      <c r="C286" s="220" t="inlineStr">
        <is>
          <t>Enterprise Architect</t>
        </is>
      </c>
      <c r="D286" s="220" t="inlineStr">
        <is>
          <t>Ed Tacey</t>
        </is>
      </c>
      <c r="E286" s="220" t="inlineStr">
        <is>
          <t>Head of Architecture</t>
        </is>
      </c>
      <c r="F286" s="260" t="inlineStr">
        <is>
          <t>Strategy, Architecture &amp; Data</t>
        </is>
      </c>
      <c r="G286" s="251" t="inlineStr">
        <is>
          <t>Architecture</t>
        </is>
      </c>
      <c r="H286" s="260" t="inlineStr">
        <is>
          <t>Architecture</t>
        </is>
      </c>
      <c r="I286" s="260" t="n"/>
      <c r="J286" s="260" t="n"/>
      <c r="K286" s="251" t="inlineStr">
        <is>
          <t>COE, Architecture</t>
        </is>
      </c>
      <c r="L286" s="251" t="n"/>
      <c r="M286" s="252" t="n"/>
      <c r="N286" t="inlineStr">
        <is>
          <t>COE</t>
        </is>
      </c>
      <c r="O286" t="inlineStr">
        <is>
          <t>COE - Strategy Architecture</t>
        </is>
      </c>
      <c r="P286" t="inlineStr">
        <is>
          <t>COE - Strategy Architecture</t>
        </is>
      </c>
      <c r="Q286" t="inlineStr">
        <is>
          <t>COE</t>
        </is>
      </c>
      <c r="R286" t="inlineStr">
        <is>
          <t>Filled</t>
        </is>
      </c>
    </row>
    <row r="287" ht="18" customHeight="1" s="849">
      <c r="A287" s="250" t="n"/>
      <c r="B287" s="220" t="inlineStr">
        <is>
          <t>ring fenced</t>
        </is>
      </c>
      <c r="C287" s="220" t="inlineStr">
        <is>
          <t>Domain Architect - Customer &amp; Digital Tech</t>
        </is>
      </c>
      <c r="D287" s="220" t="inlineStr">
        <is>
          <t>Ed Tacey</t>
        </is>
      </c>
      <c r="E287" s="220" t="inlineStr">
        <is>
          <t>Head of Architecture</t>
        </is>
      </c>
      <c r="F287" s="260" t="inlineStr">
        <is>
          <t>Strategy, Architecture &amp; Data</t>
        </is>
      </c>
      <c r="G287" s="251" t="inlineStr">
        <is>
          <t>Architecture</t>
        </is>
      </c>
      <c r="H287" s="260" t="inlineStr">
        <is>
          <t>Architecture</t>
        </is>
      </c>
      <c r="I287" s="260" t="n"/>
      <c r="J287" s="260" t="n"/>
      <c r="K287" s="251" t="inlineStr">
        <is>
          <t>COE, Architecture</t>
        </is>
      </c>
      <c r="L287" s="251" t="n"/>
      <c r="M287" s="252" t="n"/>
      <c r="N287" t="inlineStr">
        <is>
          <t>COE</t>
        </is>
      </c>
      <c r="O287" t="inlineStr">
        <is>
          <t>COE - Strategy Architecture</t>
        </is>
      </c>
      <c r="P287" t="inlineStr">
        <is>
          <t>COE - Strategy Architecture</t>
        </is>
      </c>
      <c r="Q287" t="inlineStr">
        <is>
          <t>COE</t>
        </is>
      </c>
      <c r="R287" t="inlineStr">
        <is>
          <t>Filled</t>
        </is>
      </c>
    </row>
    <row r="288" ht="18" customHeight="1" s="849">
      <c r="A288" s="250" t="n">
        <v>115483</v>
      </c>
      <c r="B288" s="220" t="inlineStr">
        <is>
          <t>Craig Ambrose</t>
        </is>
      </c>
      <c r="C288" s="220" t="inlineStr">
        <is>
          <t>Domain Architect - Group Functions</t>
        </is>
      </c>
      <c r="D288" s="220" t="inlineStr">
        <is>
          <t>Ed Tacey</t>
        </is>
      </c>
      <c r="E288" s="220" t="inlineStr">
        <is>
          <t>Head of Architecture</t>
        </is>
      </c>
      <c r="F288" s="260" t="inlineStr">
        <is>
          <t>Strategy, Architecture &amp; Data</t>
        </is>
      </c>
      <c r="G288" s="251" t="inlineStr">
        <is>
          <t>Architecture</t>
        </is>
      </c>
      <c r="H288" s="260" t="inlineStr">
        <is>
          <t>Architecture</t>
        </is>
      </c>
      <c r="I288" s="260" t="n"/>
      <c r="J288" s="260" t="n"/>
      <c r="K288" s="251" t="inlineStr">
        <is>
          <t>COE, Architecture</t>
        </is>
      </c>
      <c r="L288" s="251" t="n"/>
      <c r="M288" s="252" t="n"/>
      <c r="N288" t="inlineStr">
        <is>
          <t>COE</t>
        </is>
      </c>
      <c r="O288" t="inlineStr">
        <is>
          <t>COE - Strategy Architecture</t>
        </is>
      </c>
      <c r="P288" t="inlineStr">
        <is>
          <t>COE - Strategy Architecture</t>
        </is>
      </c>
      <c r="Q288" t="inlineStr">
        <is>
          <t>COE</t>
        </is>
      </c>
      <c r="R288" t="inlineStr">
        <is>
          <t>Filled</t>
        </is>
      </c>
    </row>
    <row r="289" ht="18" customHeight="1" s="849">
      <c r="A289" s="250" t="n"/>
      <c r="B289" s="220" t="inlineStr">
        <is>
          <t>ring fenced</t>
        </is>
      </c>
      <c r="C289" s="220" t="inlineStr">
        <is>
          <t>Domain Architect - TDD</t>
        </is>
      </c>
      <c r="D289" s="220" t="inlineStr">
        <is>
          <t>Ed Tacey</t>
        </is>
      </c>
      <c r="E289" s="220" t="inlineStr">
        <is>
          <t>Head of Architecture</t>
        </is>
      </c>
      <c r="F289" s="260" t="inlineStr">
        <is>
          <t>Strategy, Architecture &amp; Data</t>
        </is>
      </c>
      <c r="G289" s="251" t="inlineStr">
        <is>
          <t>Architecture</t>
        </is>
      </c>
      <c r="H289" s="260" t="inlineStr">
        <is>
          <t>Architecture</t>
        </is>
      </c>
      <c r="I289" s="260" t="n"/>
      <c r="J289" s="260" t="n"/>
      <c r="K289" s="251" t="inlineStr">
        <is>
          <t>COE, Architecture</t>
        </is>
      </c>
      <c r="L289" s="251" t="n"/>
      <c r="M289" s="252" t="n"/>
      <c r="N289" t="inlineStr">
        <is>
          <t>COE</t>
        </is>
      </c>
      <c r="O289" t="inlineStr">
        <is>
          <t>COE - Strategy Architecture</t>
        </is>
      </c>
      <c r="P289" t="inlineStr">
        <is>
          <t>COE - Strategy Architecture</t>
        </is>
      </c>
      <c r="Q289" t="inlineStr">
        <is>
          <t>COE</t>
        </is>
      </c>
      <c r="R289" t="inlineStr">
        <is>
          <t>Filled</t>
        </is>
      </c>
    </row>
    <row r="290" ht="18" customHeight="1" s="849">
      <c r="A290" s="250" t="n">
        <v>110144</v>
      </c>
      <c r="B290" s="220" t="inlineStr">
        <is>
          <t>Sanjay Tikoo</t>
        </is>
      </c>
      <c r="C290" s="220" t="inlineStr">
        <is>
          <t>Principal, Data Architecture &amp; Governance</t>
        </is>
      </c>
      <c r="D290" s="220" t="inlineStr">
        <is>
          <t>James Holgate</t>
        </is>
      </c>
      <c r="E290" s="220" t="inlineStr">
        <is>
          <t>Head of Technology,  Group Data</t>
        </is>
      </c>
      <c r="F290" s="260" t="inlineStr">
        <is>
          <t>Strategy, Architecture &amp; Data</t>
        </is>
      </c>
      <c r="G290" s="251" t="inlineStr">
        <is>
          <t>Group Data</t>
        </is>
      </c>
      <c r="H290" s="251" t="inlineStr">
        <is>
          <t>Data Capability</t>
        </is>
      </c>
      <c r="I290" s="251" t="n"/>
      <c r="J290" s="260" t="n"/>
      <c r="K290" s="251" t="inlineStr">
        <is>
          <t>COE, Leadership</t>
        </is>
      </c>
      <c r="L290" s="251" t="n"/>
      <c r="M290" s="252" t="inlineStr">
        <is>
          <t>Australia</t>
        </is>
      </c>
      <c r="N290" t="inlineStr">
        <is>
          <t>COE</t>
        </is>
      </c>
      <c r="O290" t="inlineStr">
        <is>
          <t>COE - Data</t>
        </is>
      </c>
      <c r="P290" t="inlineStr">
        <is>
          <t>COE - Data</t>
        </is>
      </c>
      <c r="Q290" t="inlineStr">
        <is>
          <t>COE</t>
        </is>
      </c>
      <c r="R290" t="inlineStr">
        <is>
          <t>Filled</t>
        </is>
      </c>
    </row>
    <row r="291" ht="18" customHeight="1" s="849">
      <c r="A291" s="250" t="n">
        <v>99999102152</v>
      </c>
      <c r="B291" s="220" t="inlineStr">
        <is>
          <t>Vacant</t>
        </is>
      </c>
      <c r="C291" s="220" t="inlineStr">
        <is>
          <t>Technology Manager, Data Engineering &amp; Platforms</t>
        </is>
      </c>
      <c r="D291" s="220" t="inlineStr">
        <is>
          <t>James Holgate</t>
        </is>
      </c>
      <c r="E291" s="220" t="inlineStr">
        <is>
          <t>Head of Technology,  Group Data</t>
        </is>
      </c>
      <c r="F291" s="260" t="inlineStr">
        <is>
          <t>Strategy, Architecture &amp; Data</t>
        </is>
      </c>
      <c r="G291" s="251" t="inlineStr">
        <is>
          <t>Group Data</t>
        </is>
      </c>
      <c r="H291" s="260" t="inlineStr">
        <is>
          <t>Data Engineering &amp; Platforms</t>
        </is>
      </c>
      <c r="I291" s="260" t="inlineStr">
        <is>
          <t>Enterprise Data</t>
        </is>
      </c>
      <c r="J291" s="260" t="inlineStr">
        <is>
          <t>Group Data</t>
        </is>
      </c>
      <c r="K291" s="251" t="inlineStr">
        <is>
          <t>COE, Leadership</t>
        </is>
      </c>
      <c r="L291" s="251" t="n"/>
      <c r="M291" s="252" t="inlineStr">
        <is>
          <t>NZ</t>
        </is>
      </c>
      <c r="N291" t="inlineStr">
        <is>
          <t>COE</t>
        </is>
      </c>
      <c r="O291" t="inlineStr">
        <is>
          <t>Leadership</t>
        </is>
      </c>
      <c r="P291" t="inlineStr">
        <is>
          <t>Leadership</t>
        </is>
      </c>
      <c r="Q291" t="inlineStr">
        <is>
          <t>Leadership</t>
        </is>
      </c>
      <c r="R291" t="inlineStr">
        <is>
          <t>Vacant</t>
        </is>
      </c>
    </row>
    <row r="292" ht="18" customHeight="1" s="849">
      <c r="A292" s="250" t="n">
        <v>113956</v>
      </c>
      <c r="B292" s="220" t="inlineStr">
        <is>
          <t>Deepali Mahajan</t>
        </is>
      </c>
      <c r="C292" s="220" t="inlineStr">
        <is>
          <t>Data Operations Manager</t>
        </is>
      </c>
      <c r="D292" s="220" t="inlineStr">
        <is>
          <t>James Holgate</t>
        </is>
      </c>
      <c r="E292" s="220" t="inlineStr">
        <is>
          <t>Head of Technology,  Group Data</t>
        </is>
      </c>
      <c r="F292" s="260" t="inlineStr">
        <is>
          <t>Strategy, Architecture &amp; Data</t>
        </is>
      </c>
      <c r="G292" s="251" t="inlineStr">
        <is>
          <t>Group Data</t>
        </is>
      </c>
      <c r="H292" s="251" t="inlineStr">
        <is>
          <t>Data Operations</t>
        </is>
      </c>
      <c r="I292" s="260" t="inlineStr">
        <is>
          <t>Enterprise Data</t>
        </is>
      </c>
      <c r="J292" s="260" t="n"/>
      <c r="K292" s="251" t="inlineStr">
        <is>
          <t>COE, Data Operations</t>
        </is>
      </c>
      <c r="L292" s="251" t="n"/>
      <c r="M292" s="252" t="inlineStr">
        <is>
          <t>Australia</t>
        </is>
      </c>
      <c r="N292" t="inlineStr">
        <is>
          <t>Enterprise Data</t>
        </is>
      </c>
      <c r="O292" t="inlineStr">
        <is>
          <t>Group Data</t>
        </is>
      </c>
      <c r="P292" t="inlineStr">
        <is>
          <t>Operations</t>
        </is>
      </c>
      <c r="Q292" t="inlineStr">
        <is>
          <t>Squad</t>
        </is>
      </c>
      <c r="R292" t="inlineStr">
        <is>
          <t>Filled</t>
        </is>
      </c>
    </row>
    <row r="293" ht="18" customHeight="1" s="849">
      <c r="A293" s="250" t="n"/>
      <c r="B293" s="220" t="inlineStr">
        <is>
          <t>Vacant</t>
        </is>
      </c>
      <c r="C293" s="220" t="inlineStr">
        <is>
          <t>Engineer - DevOps</t>
        </is>
      </c>
      <c r="D293" s="220" t="inlineStr">
        <is>
          <t>Jason Gleason</t>
        </is>
      </c>
      <c r="E293" s="220" t="inlineStr">
        <is>
          <t>Technology Manager, Data Engineering &amp; Platforms</t>
        </is>
      </c>
      <c r="F293" s="260" t="inlineStr">
        <is>
          <t>Strategy, Architecture &amp; Data</t>
        </is>
      </c>
      <c r="G293" s="251" t="inlineStr">
        <is>
          <t>Group Data</t>
        </is>
      </c>
      <c r="H293" s="260" t="inlineStr">
        <is>
          <t>Data Engineering &amp; Platforms</t>
        </is>
      </c>
      <c r="I293" s="251" t="inlineStr">
        <is>
          <t>Enterprise Data</t>
        </is>
      </c>
      <c r="J293" s="260" t="inlineStr">
        <is>
          <t>Group Data</t>
        </is>
      </c>
      <c r="K293" s="251" t="inlineStr">
        <is>
          <t>Data Platform</t>
        </is>
      </c>
      <c r="L293" s="251" t="n"/>
      <c r="M293" s="252" t="n"/>
      <c r="N293" t="inlineStr">
        <is>
          <t>Enterprise Data</t>
        </is>
      </c>
      <c r="O293" t="inlineStr">
        <is>
          <t>Group Data</t>
        </is>
      </c>
      <c r="P293" t="inlineStr">
        <is>
          <t>Data Platforms</t>
        </is>
      </c>
      <c r="Q293" t="inlineStr">
        <is>
          <t>Squad</t>
        </is>
      </c>
      <c r="R293" t="inlineStr">
        <is>
          <t>Vacant</t>
        </is>
      </c>
    </row>
    <row r="294" ht="18" customHeight="1" s="849">
      <c r="A294" s="250" t="n">
        <v>114147</v>
      </c>
      <c r="B294" s="220" t="inlineStr">
        <is>
          <t>Sumathi Manikkampichai</t>
        </is>
      </c>
      <c r="C294" s="220" t="inlineStr">
        <is>
          <t>Data Architect</t>
        </is>
      </c>
      <c r="D294" s="220" t="inlineStr">
        <is>
          <t>Jason Gleason</t>
        </is>
      </c>
      <c r="E294" s="220" t="inlineStr">
        <is>
          <t>Technology Manager, Data Engineering &amp; Platforms</t>
        </is>
      </c>
      <c r="F294" s="260" t="inlineStr">
        <is>
          <t>Strategy, Architecture &amp; Data</t>
        </is>
      </c>
      <c r="G294" s="251" t="inlineStr">
        <is>
          <t>Group Data</t>
        </is>
      </c>
      <c r="H294" s="260" t="inlineStr">
        <is>
          <t>Data Engineering &amp; Platforms</t>
        </is>
      </c>
      <c r="I294" s="260" t="inlineStr">
        <is>
          <t>Enterprise Data</t>
        </is>
      </c>
      <c r="J294" s="260" t="inlineStr">
        <is>
          <t>EGI</t>
        </is>
      </c>
      <c r="K294" s="260" t="inlineStr">
        <is>
          <t>Reporting &amp; Analytics</t>
        </is>
      </c>
      <c r="L294" s="251" t="n"/>
      <c r="M294" s="252" t="inlineStr">
        <is>
          <t>Australia</t>
        </is>
      </c>
      <c r="N294" t="inlineStr">
        <is>
          <t>Enterprise Data</t>
        </is>
      </c>
      <c r="O294" t="inlineStr">
        <is>
          <t>Group Data</t>
        </is>
      </c>
      <c r="P294" t="inlineStr">
        <is>
          <t>Reporting &amp; Analytics</t>
        </is>
      </c>
      <c r="Q294" t="inlineStr">
        <is>
          <t>Squad</t>
        </is>
      </c>
      <c r="R294" t="inlineStr">
        <is>
          <t>Filled</t>
        </is>
      </c>
    </row>
    <row r="295" ht="18" customHeight="1" s="849">
      <c r="A295" s="250" t="n">
        <v>99999101674</v>
      </c>
      <c r="B295" s="220" t="inlineStr">
        <is>
          <t>Roozbeh Shahbazirad</t>
        </is>
      </c>
      <c r="C295" s="220" t="inlineStr">
        <is>
          <t>Lead Engineer</t>
        </is>
      </c>
      <c r="D295" s="220" t="inlineStr">
        <is>
          <t>Jason Gleason</t>
        </is>
      </c>
      <c r="E295" s="220" t="inlineStr">
        <is>
          <t>Technology Manager, Data Engineering &amp; Platforms</t>
        </is>
      </c>
      <c r="F295" s="260" t="inlineStr">
        <is>
          <t>Strategy, Architecture &amp; Data</t>
        </is>
      </c>
      <c r="G295" s="251" t="inlineStr">
        <is>
          <t>Group Data</t>
        </is>
      </c>
      <c r="H295" s="260" t="inlineStr">
        <is>
          <t>Data Engineering &amp; Platforms</t>
        </is>
      </c>
      <c r="I295" s="251" t="inlineStr">
        <is>
          <t>Enterprise Data</t>
        </is>
      </c>
      <c r="J295" s="260" t="inlineStr">
        <is>
          <t>An</t>
        </is>
      </c>
      <c r="K295" s="251" t="inlineStr">
        <is>
          <t>Data Platform</t>
        </is>
      </c>
      <c r="L295" s="251" t="n"/>
      <c r="M295" s="252" t="inlineStr">
        <is>
          <t>NZ</t>
        </is>
      </c>
      <c r="N295" t="inlineStr">
        <is>
          <t>Enterprise Data</t>
        </is>
      </c>
      <c r="O295" t="inlineStr">
        <is>
          <t>Group Data</t>
        </is>
      </c>
      <c r="P295" t="inlineStr">
        <is>
          <t>Data Platforms</t>
        </is>
      </c>
      <c r="Q295" t="inlineStr">
        <is>
          <t>Squad</t>
        </is>
      </c>
      <c r="R295" t="inlineStr">
        <is>
          <t>Filled</t>
        </is>
      </c>
    </row>
    <row r="296" ht="18" customHeight="1" s="849">
      <c r="A296" s="250" t="n"/>
      <c r="B296" s="220" t="inlineStr">
        <is>
          <t>Vacant</t>
        </is>
      </c>
      <c r="C296" s="220" t="inlineStr">
        <is>
          <t>Business Analyst</t>
        </is>
      </c>
      <c r="D296" s="220" t="inlineStr">
        <is>
          <t>Joel Vijayakumar</t>
        </is>
      </c>
      <c r="E296" s="220" t="inlineStr">
        <is>
          <t>Delivery Manager, Strategy, Architecture &amp; Data</t>
        </is>
      </c>
      <c r="F296" s="260" t="inlineStr">
        <is>
          <t>Strategy, Architecture &amp; Data</t>
        </is>
      </c>
      <c r="G296" s="251" t="inlineStr">
        <is>
          <t>Delivery, SADA</t>
        </is>
      </c>
      <c r="H296" s="251" t="n"/>
      <c r="I296" s="260" t="inlineStr">
        <is>
          <t>Enterprise Data</t>
        </is>
      </c>
      <c r="J296" s="260" t="inlineStr">
        <is>
          <t>EGI</t>
        </is>
      </c>
      <c r="K296" s="260" t="inlineStr">
        <is>
          <t>Reporting &amp; Analytics</t>
        </is>
      </c>
      <c r="L296" s="251" t="n"/>
      <c r="M296" s="252" t="n"/>
      <c r="N296" t="inlineStr">
        <is>
          <t>COE</t>
        </is>
      </c>
      <c r="O296" t="inlineStr">
        <is>
          <t>COE - Strategy Architecture</t>
        </is>
      </c>
      <c r="P296" t="inlineStr">
        <is>
          <t>COE - Strategy Architecture</t>
        </is>
      </c>
      <c r="Q296" t="inlineStr">
        <is>
          <t>COE</t>
        </is>
      </c>
      <c r="R296" t="inlineStr">
        <is>
          <t>Vacant</t>
        </is>
      </c>
    </row>
    <row r="297" ht="18" customHeight="1" s="849">
      <c r="A297" s="250" t="n">
        <v>80477</v>
      </c>
      <c r="B297" s="220" t="inlineStr">
        <is>
          <t>Vacant</t>
        </is>
      </c>
      <c r="C297" s="220" t="inlineStr">
        <is>
          <t>Delivery Lead</t>
        </is>
      </c>
      <c r="D297" s="220" t="inlineStr">
        <is>
          <t>Joel Vijayakumar</t>
        </is>
      </c>
      <c r="E297" s="220" t="inlineStr">
        <is>
          <t>Delivery Manager, Strategy, Architecture &amp; Data</t>
        </is>
      </c>
      <c r="F297" s="260" t="inlineStr">
        <is>
          <t>Strategy, Architecture &amp; Data</t>
        </is>
      </c>
      <c r="G297" s="251" t="inlineStr">
        <is>
          <t>Delivery, SADA</t>
        </is>
      </c>
      <c r="H297" s="251" t="n"/>
      <c r="I297" s="260" t="inlineStr">
        <is>
          <t>Enterprise Data</t>
        </is>
      </c>
      <c r="J297" s="260" t="inlineStr">
        <is>
          <t>Group Data</t>
        </is>
      </c>
      <c r="K297" s="260" t="inlineStr">
        <is>
          <t>Reporting &amp; Analytics</t>
        </is>
      </c>
      <c r="L297" s="251" t="n"/>
      <c r="M297" s="252" t="inlineStr">
        <is>
          <t>Australia</t>
        </is>
      </c>
      <c r="N297" t="inlineStr">
        <is>
          <t>Enterprise Data</t>
        </is>
      </c>
      <c r="O297" t="inlineStr">
        <is>
          <t>Group Data</t>
        </is>
      </c>
      <c r="P297" t="inlineStr">
        <is>
          <t>Reporting &amp; Analytics</t>
        </is>
      </c>
      <c r="Q297" t="inlineStr">
        <is>
          <t>Squad</t>
        </is>
      </c>
      <c r="R297" t="inlineStr">
        <is>
          <t>Vacant</t>
        </is>
      </c>
    </row>
    <row r="298" ht="18" customHeight="1" s="849">
      <c r="A298" s="250" t="n">
        <v>94631</v>
      </c>
      <c r="B298" s="220" t="inlineStr">
        <is>
          <t>Rihan Schalkwyk</t>
        </is>
      </c>
      <c r="C298" s="220" t="inlineStr">
        <is>
          <t>Senior Business Analyst</t>
        </is>
      </c>
      <c r="D298" s="220" t="inlineStr">
        <is>
          <t>Joel Vijayakumar</t>
        </is>
      </c>
      <c r="E298" s="220" t="inlineStr">
        <is>
          <t>Delivery Manager, Strategy, Architecture &amp; Data</t>
        </is>
      </c>
      <c r="F298" s="260" t="inlineStr">
        <is>
          <t>Strategy, Architecture &amp; Data</t>
        </is>
      </c>
      <c r="G298" s="251" t="inlineStr">
        <is>
          <t>Delivery, SADA</t>
        </is>
      </c>
      <c r="H298" s="251" t="n"/>
      <c r="I298" s="251" t="n"/>
      <c r="J298" s="260" t="n"/>
      <c r="K298" s="251" t="inlineStr">
        <is>
          <t>COE</t>
        </is>
      </c>
      <c r="L298" s="251" t="n"/>
      <c r="M298" s="252" t="inlineStr">
        <is>
          <t>Australia</t>
        </is>
      </c>
      <c r="N298" t="inlineStr">
        <is>
          <t>COE</t>
        </is>
      </c>
      <c r="O298" t="inlineStr">
        <is>
          <t>COE - Strategy Architecture</t>
        </is>
      </c>
      <c r="P298" t="inlineStr">
        <is>
          <t>COE - Strategy Architecture</t>
        </is>
      </c>
      <c r="Q298" t="inlineStr">
        <is>
          <t>COE</t>
        </is>
      </c>
      <c r="R298" t="inlineStr">
        <is>
          <t>Filled</t>
        </is>
      </c>
    </row>
    <row r="299" ht="18" customHeight="1" s="849">
      <c r="A299" s="250" t="n"/>
      <c r="B299" s="220" t="inlineStr">
        <is>
          <t>Vacant</t>
        </is>
      </c>
      <c r="C299" s="220" t="inlineStr">
        <is>
          <t>Business Analyst</t>
        </is>
      </c>
      <c r="D299" s="220" t="inlineStr">
        <is>
          <t>Joel Vijayakumar</t>
        </is>
      </c>
      <c r="E299" s="220" t="inlineStr">
        <is>
          <t>Delivery Manager, Strategy, Architecture &amp; Data</t>
        </is>
      </c>
      <c r="F299" s="260" t="inlineStr">
        <is>
          <t>Strategy, Architecture &amp; Data</t>
        </is>
      </c>
      <c r="G299" s="251" t="inlineStr">
        <is>
          <t>Delivery, SADA</t>
        </is>
      </c>
      <c r="H299" s="251" t="n"/>
      <c r="I299" s="251" t="inlineStr">
        <is>
          <t>Enterprise Data</t>
        </is>
      </c>
      <c r="J299" s="260" t="inlineStr">
        <is>
          <t>Group Data</t>
        </is>
      </c>
      <c r="K299" s="251" t="inlineStr">
        <is>
          <t>Data Platform</t>
        </is>
      </c>
      <c r="L299" s="251" t="n"/>
      <c r="M299" s="252" t="n"/>
      <c r="N299" t="inlineStr">
        <is>
          <t>Enterprise Data</t>
        </is>
      </c>
      <c r="O299" t="inlineStr">
        <is>
          <t>Group Data</t>
        </is>
      </c>
      <c r="P299" t="inlineStr">
        <is>
          <t>Data Platforms</t>
        </is>
      </c>
      <c r="Q299" t="inlineStr">
        <is>
          <t>Squad</t>
        </is>
      </c>
      <c r="R299" t="inlineStr">
        <is>
          <t>Vacant</t>
        </is>
      </c>
    </row>
    <row r="300" ht="18" customHeight="1" s="849">
      <c r="A300" s="250" t="n">
        <v>99999101251</v>
      </c>
      <c r="B300" s="220" t="inlineStr">
        <is>
          <t>Tim Snedden</t>
        </is>
      </c>
      <c r="C300" s="220" t="inlineStr">
        <is>
          <t>Delivery Lead</t>
        </is>
      </c>
      <c r="D300" s="220" t="inlineStr">
        <is>
          <t>Joel Vijayakumar</t>
        </is>
      </c>
      <c r="E300" s="220" t="inlineStr">
        <is>
          <t>Delivery Manager, Strategy, Architecture &amp; Data</t>
        </is>
      </c>
      <c r="F300" s="260" t="inlineStr">
        <is>
          <t>Strategy, Architecture &amp; Data</t>
        </is>
      </c>
      <c r="G300" s="251" t="inlineStr">
        <is>
          <t>Delivery, SADA</t>
        </is>
      </c>
      <c r="H300" s="251" t="n"/>
      <c r="I300" s="251" t="inlineStr">
        <is>
          <t>Enterprise Data</t>
        </is>
      </c>
      <c r="J300" s="260" t="inlineStr">
        <is>
          <t>Group Data</t>
        </is>
      </c>
      <c r="K300" s="251" t="inlineStr">
        <is>
          <t>Data Platform</t>
        </is>
      </c>
      <c r="L300" s="251" t="n"/>
      <c r="M300" s="252" t="inlineStr">
        <is>
          <t>NZ</t>
        </is>
      </c>
      <c r="N300" t="inlineStr">
        <is>
          <t>COE</t>
        </is>
      </c>
      <c r="O300" t="inlineStr">
        <is>
          <t>COE - Strategy Architecture</t>
        </is>
      </c>
      <c r="P300" t="inlineStr">
        <is>
          <t>COE - Strategy Architecture</t>
        </is>
      </c>
      <c r="Q300" t="inlineStr">
        <is>
          <t>COE</t>
        </is>
      </c>
      <c r="R300" t="inlineStr">
        <is>
          <t>Filled</t>
        </is>
      </c>
    </row>
    <row r="301" ht="18" customHeight="1" s="849">
      <c r="A301" s="250" t="n">
        <v>101166</v>
      </c>
      <c r="B301" s="251" t="inlineStr">
        <is>
          <t>Yu Chen</t>
        </is>
      </c>
      <c r="C301" s="251" t="inlineStr">
        <is>
          <t>Senior Data Scientist</t>
        </is>
      </c>
      <c r="D301" s="220" t="inlineStr">
        <is>
          <t>Jonathan Robinson</t>
        </is>
      </c>
      <c r="E301" s="220" t="inlineStr">
        <is>
          <t>Technology Manager, Data Science</t>
        </is>
      </c>
      <c r="F301" s="260" t="inlineStr">
        <is>
          <t>Strategy, Architecture &amp; Data</t>
        </is>
      </c>
      <c r="G301" s="251" t="inlineStr">
        <is>
          <t>Group Data</t>
        </is>
      </c>
      <c r="H301" s="260" t="inlineStr">
        <is>
          <t>Data Science</t>
        </is>
      </c>
      <c r="I301" s="260" t="inlineStr">
        <is>
          <t>Enterprise Data</t>
        </is>
      </c>
      <c r="J301" s="260" t="inlineStr">
        <is>
          <t>Group Data</t>
        </is>
      </c>
      <c r="K301" s="251" t="inlineStr">
        <is>
          <t>COE, Data Science</t>
        </is>
      </c>
      <c r="L301" s="251" t="n"/>
      <c r="M301" s="252" t="inlineStr">
        <is>
          <t>Australia</t>
        </is>
      </c>
      <c r="N301" t="inlineStr">
        <is>
          <t>Enterprise Data</t>
        </is>
      </c>
      <c r="O301" t="inlineStr">
        <is>
          <t>Group Data</t>
        </is>
      </c>
      <c r="P301" t="inlineStr">
        <is>
          <t>Data Science</t>
        </is>
      </c>
      <c r="Q301" t="inlineStr">
        <is>
          <t>Squad</t>
        </is>
      </c>
      <c r="R301" t="inlineStr">
        <is>
          <t>Filled</t>
        </is>
      </c>
    </row>
    <row r="302" ht="18" customHeight="1" s="849">
      <c r="A302" s="250" t="n"/>
      <c r="B302" s="220" t="inlineStr">
        <is>
          <t>vacant</t>
        </is>
      </c>
      <c r="C302" s="220" t="inlineStr">
        <is>
          <t>Data Analyst</t>
        </is>
      </c>
      <c r="D302" s="220" t="inlineStr">
        <is>
          <t>Jonathan Robinson</t>
        </is>
      </c>
      <c r="E302" s="220" t="inlineStr">
        <is>
          <t>Technology Manager, Data Science</t>
        </is>
      </c>
      <c r="F302" s="260" t="inlineStr">
        <is>
          <t>Strategy, Architecture &amp; Data</t>
        </is>
      </c>
      <c r="G302" s="251" t="inlineStr">
        <is>
          <t>Group Data</t>
        </is>
      </c>
      <c r="H302" s="260" t="inlineStr">
        <is>
          <t>Ampol Retail, Store Platforms</t>
        </is>
      </c>
      <c r="I302" s="260" t="inlineStr">
        <is>
          <t>Enterprise Data</t>
        </is>
      </c>
      <c r="J302" s="260" t="inlineStr">
        <is>
          <t>Group Data</t>
        </is>
      </c>
      <c r="K302" s="251" t="inlineStr">
        <is>
          <t>COE, Data Science</t>
        </is>
      </c>
      <c r="L302" s="251" t="n"/>
      <c r="M302" s="252" t="n"/>
      <c r="N302" t="inlineStr">
        <is>
          <t>Enterprise Data</t>
        </is>
      </c>
      <c r="O302" t="inlineStr">
        <is>
          <t>Group Data</t>
        </is>
      </c>
      <c r="P302" t="inlineStr">
        <is>
          <t>Data Science</t>
        </is>
      </c>
      <c r="Q302" t="inlineStr">
        <is>
          <t>Squad</t>
        </is>
      </c>
      <c r="R302" t="inlineStr">
        <is>
          <t>Vacant</t>
        </is>
      </c>
    </row>
    <row r="303" ht="18" customHeight="1" s="849">
      <c r="A303" s="250" t="n">
        <v>107048</v>
      </c>
      <c r="B303" s="220" t="inlineStr">
        <is>
          <t>Om Singh</t>
        </is>
      </c>
      <c r="C303" s="220" t="inlineStr">
        <is>
          <t>Data Scientist</t>
        </is>
      </c>
      <c r="D303" s="220" t="inlineStr">
        <is>
          <t>Jonathan Robinson</t>
        </is>
      </c>
      <c r="E303" s="220" t="inlineStr">
        <is>
          <t>Technology Manager, Data Science</t>
        </is>
      </c>
      <c r="F303" s="260" t="inlineStr">
        <is>
          <t>Strategy, Architecture &amp; Data</t>
        </is>
      </c>
      <c r="G303" s="251" t="inlineStr">
        <is>
          <t>Group Data</t>
        </is>
      </c>
      <c r="H303" s="260" t="inlineStr">
        <is>
          <t>Data Science</t>
        </is>
      </c>
      <c r="I303" s="260" t="inlineStr">
        <is>
          <t>Enterprise Data</t>
        </is>
      </c>
      <c r="J303" s="260" t="inlineStr">
        <is>
          <t>Group Data</t>
        </is>
      </c>
      <c r="K303" s="251" t="inlineStr">
        <is>
          <t>COE, Data Science</t>
        </is>
      </c>
      <c r="L303" s="251" t="n"/>
      <c r="M303" s="252" t="inlineStr">
        <is>
          <t>Australia</t>
        </is>
      </c>
      <c r="N303" t="inlineStr">
        <is>
          <t>Enterprise Data</t>
        </is>
      </c>
      <c r="O303" t="inlineStr">
        <is>
          <t>Group Data</t>
        </is>
      </c>
      <c r="P303" t="inlineStr">
        <is>
          <t>Data Science</t>
        </is>
      </c>
      <c r="Q303" t="inlineStr">
        <is>
          <t>Squad</t>
        </is>
      </c>
      <c r="R303" t="inlineStr">
        <is>
          <t>Filled</t>
        </is>
      </c>
    </row>
    <row r="304" ht="18" customHeight="1" s="849">
      <c r="A304" s="250" t="n"/>
      <c r="B304" s="220" t="inlineStr">
        <is>
          <t>vacant</t>
        </is>
      </c>
      <c r="C304" s="220" t="inlineStr">
        <is>
          <t>Data Scientist</t>
        </is>
      </c>
      <c r="D304" s="220" t="inlineStr">
        <is>
          <t>Jonathan Robinson</t>
        </is>
      </c>
      <c r="E304" s="220" t="inlineStr">
        <is>
          <t>Technology Manager, Data Science</t>
        </is>
      </c>
      <c r="F304" s="260" t="inlineStr">
        <is>
          <t>Strategy, Architecture &amp; Data</t>
        </is>
      </c>
      <c r="G304" s="251" t="inlineStr">
        <is>
          <t>Group Data</t>
        </is>
      </c>
      <c r="H304" s="260" t="inlineStr">
        <is>
          <t>Data Science</t>
        </is>
      </c>
      <c r="I304" s="260" t="inlineStr">
        <is>
          <t>Enterprise Data</t>
        </is>
      </c>
      <c r="J304" s="260" t="inlineStr">
        <is>
          <t>Group Data</t>
        </is>
      </c>
      <c r="K304" s="251" t="inlineStr">
        <is>
          <t>COE, Data Science</t>
        </is>
      </c>
      <c r="L304" s="251" t="n"/>
      <c r="M304" s="252" t="n"/>
      <c r="N304" t="inlineStr">
        <is>
          <t>Enterprise Data</t>
        </is>
      </c>
      <c r="O304" t="inlineStr">
        <is>
          <t>Group Data</t>
        </is>
      </c>
      <c r="P304" t="inlineStr">
        <is>
          <t>Data Science</t>
        </is>
      </c>
      <c r="Q304" t="inlineStr">
        <is>
          <t>Squad</t>
        </is>
      </c>
      <c r="R304" t="inlineStr">
        <is>
          <t>Vacant</t>
        </is>
      </c>
    </row>
    <row r="305" ht="18" customHeight="1" s="849">
      <c r="A305" s="250" t="n">
        <v>99999101507</v>
      </c>
      <c r="B305" s="220" t="inlineStr">
        <is>
          <t>Vacant</t>
        </is>
      </c>
      <c r="C305" s="220" t="inlineStr">
        <is>
          <t>Senior Data Scientist</t>
        </is>
      </c>
      <c r="D305" s="220" t="inlineStr">
        <is>
          <t>Jonathan Robinson</t>
        </is>
      </c>
      <c r="E305" s="220" t="inlineStr">
        <is>
          <t>Technology Manager, Data Science</t>
        </is>
      </c>
      <c r="F305" s="260" t="inlineStr">
        <is>
          <t>Strategy, Architecture &amp; Data</t>
        </is>
      </c>
      <c r="G305" s="251" t="inlineStr">
        <is>
          <t>Group Data</t>
        </is>
      </c>
      <c r="H305" s="260" t="inlineStr">
        <is>
          <t>Data Science</t>
        </is>
      </c>
      <c r="I305" s="260" t="inlineStr">
        <is>
          <t>Enterprise Data</t>
        </is>
      </c>
      <c r="J305" s="260" t="inlineStr">
        <is>
          <t>Group Data</t>
        </is>
      </c>
      <c r="K305" s="251" t="inlineStr">
        <is>
          <t>COE, Data Science</t>
        </is>
      </c>
      <c r="L305" s="251" t="n"/>
      <c r="M305" s="252" t="inlineStr">
        <is>
          <t>NZ</t>
        </is>
      </c>
      <c r="N305" t="inlineStr">
        <is>
          <t>Enterprise Data</t>
        </is>
      </c>
      <c r="O305" t="inlineStr">
        <is>
          <t>Group Data</t>
        </is>
      </c>
      <c r="P305" t="inlineStr">
        <is>
          <t>Data Science</t>
        </is>
      </c>
      <c r="Q305" t="inlineStr">
        <is>
          <t>Squad</t>
        </is>
      </c>
      <c r="R305" t="inlineStr">
        <is>
          <t>Vacant</t>
        </is>
      </c>
    </row>
    <row r="306" ht="18" customHeight="1" s="849">
      <c r="A306" s="250" t="n"/>
      <c r="B306" s="220" t="inlineStr">
        <is>
          <t>Vacant</t>
        </is>
      </c>
      <c r="C306" s="220" t="inlineStr">
        <is>
          <t>Senior Communications Advisor</t>
        </is>
      </c>
      <c r="D306" s="220" t="inlineStr">
        <is>
          <t>Matt Ashley</t>
        </is>
      </c>
      <c r="E306" s="220" t="inlineStr">
        <is>
          <t>GM TDD, Strategy, Architecture, Data</t>
        </is>
      </c>
      <c r="F306" s="260" t="inlineStr">
        <is>
          <t>Strategy, Architecture &amp; Data</t>
        </is>
      </c>
      <c r="G306" s="251" t="inlineStr">
        <is>
          <t>na</t>
        </is>
      </c>
      <c r="H306" s="251" t="n"/>
      <c r="I306" s="251" t="n"/>
      <c r="J306" s="260" t="n"/>
      <c r="K306" s="260" t="inlineStr">
        <is>
          <t>Leadership</t>
        </is>
      </c>
      <c r="L306" s="251" t="n"/>
      <c r="M306" s="252" t="n"/>
      <c r="N306" t="inlineStr">
        <is>
          <t>COE</t>
        </is>
      </c>
      <c r="O306" t="inlineStr">
        <is>
          <t>COE - Strategy Architecture</t>
        </is>
      </c>
      <c r="P306" t="inlineStr">
        <is>
          <t>COE - Strategy Architecture</t>
        </is>
      </c>
      <c r="Q306" t="inlineStr">
        <is>
          <t>COE</t>
        </is>
      </c>
      <c r="R306" t="inlineStr">
        <is>
          <t>Vacant</t>
        </is>
      </c>
    </row>
    <row r="307" ht="18" customHeight="1" s="849">
      <c r="A307" s="250" t="n">
        <v>80469</v>
      </c>
      <c r="B307" s="220" t="inlineStr">
        <is>
          <t>James Holgate</t>
        </is>
      </c>
      <c r="C307" s="220" t="inlineStr">
        <is>
          <t>Head of Technology,  Group Data</t>
        </is>
      </c>
      <c r="D307" s="220" t="inlineStr">
        <is>
          <t>Matt Ashley</t>
        </is>
      </c>
      <c r="E307" s="220" t="inlineStr">
        <is>
          <t>GM TDD, Strategy, Architecture, Data</t>
        </is>
      </c>
      <c r="F307" s="260" t="inlineStr">
        <is>
          <t>Strategy, Architecture &amp; Data</t>
        </is>
      </c>
      <c r="G307" s="251" t="inlineStr">
        <is>
          <t>Group Data</t>
        </is>
      </c>
      <c r="H307" s="260" t="n"/>
      <c r="I307" s="251" t="n"/>
      <c r="J307" s="260" t="n"/>
      <c r="K307" s="260" t="inlineStr">
        <is>
          <t>Leadership</t>
        </is>
      </c>
      <c r="L307" s="251" t="n"/>
      <c r="M307" s="252" t="inlineStr">
        <is>
          <t>Australia</t>
        </is>
      </c>
      <c r="N307" t="inlineStr">
        <is>
          <t>COE</t>
        </is>
      </c>
      <c r="O307" t="inlineStr">
        <is>
          <t>COE - Data</t>
        </is>
      </c>
      <c r="P307" t="inlineStr">
        <is>
          <t>COE - Data</t>
        </is>
      </c>
      <c r="Q307" t="inlineStr">
        <is>
          <t>COE</t>
        </is>
      </c>
      <c r="R307" t="inlineStr">
        <is>
          <t>Filled</t>
        </is>
      </c>
    </row>
    <row r="308" ht="18" customHeight="1" s="849">
      <c r="A308" s="250" t="n">
        <v>113381</v>
      </c>
      <c r="B308" s="220" t="inlineStr">
        <is>
          <t>Joel Vijayakumar</t>
        </is>
      </c>
      <c r="C308" s="220" t="inlineStr">
        <is>
          <t>Delivery Manager, Strategy, Architecture &amp; Data</t>
        </is>
      </c>
      <c r="D308" s="220" t="inlineStr">
        <is>
          <t>Matt Ashley</t>
        </is>
      </c>
      <c r="E308" s="220" t="inlineStr">
        <is>
          <t>GM TDD, Strategy, Architecture, Data</t>
        </is>
      </c>
      <c r="F308" s="260" t="inlineStr">
        <is>
          <t>Strategy, Architecture &amp; Data</t>
        </is>
      </c>
      <c r="G308" s="251" t="inlineStr">
        <is>
          <t>Delivery, SADA</t>
        </is>
      </c>
      <c r="H308" s="251" t="n"/>
      <c r="I308" s="251" t="n"/>
      <c r="J308" s="260" t="n"/>
      <c r="K308" s="260" t="inlineStr">
        <is>
          <t>Leadership</t>
        </is>
      </c>
      <c r="L308" s="251" t="n"/>
      <c r="M308" s="252" t="inlineStr">
        <is>
          <t>Australia</t>
        </is>
      </c>
      <c r="N308" t="inlineStr">
        <is>
          <t>COE</t>
        </is>
      </c>
      <c r="O308" t="inlineStr">
        <is>
          <t>COE - Strategy Architecture</t>
        </is>
      </c>
      <c r="P308" t="inlineStr">
        <is>
          <t>COE - Strategy Architecture</t>
        </is>
      </c>
      <c r="Q308" t="inlineStr">
        <is>
          <t>COE</t>
        </is>
      </c>
      <c r="R308" t="inlineStr">
        <is>
          <t>Filled</t>
        </is>
      </c>
    </row>
    <row r="309" ht="18" customHeight="1" s="849">
      <c r="A309" s="250" t="n"/>
      <c r="B309" s="220" t="inlineStr">
        <is>
          <t>Vacant</t>
        </is>
      </c>
      <c r="C309" s="220" t="inlineStr">
        <is>
          <t>Head of Technology Strategy &amp; AI Capability</t>
        </is>
      </c>
      <c r="D309" s="220" t="inlineStr">
        <is>
          <t>Matt Ashley</t>
        </is>
      </c>
      <c r="E309" s="220" t="inlineStr">
        <is>
          <t>GM TDD, Strategy, Architecture, Data</t>
        </is>
      </c>
      <c r="F309" s="260" t="inlineStr">
        <is>
          <t>Strategy, Architecture &amp; Data</t>
        </is>
      </c>
      <c r="G309" s="251" t="inlineStr">
        <is>
          <t>Technology Strategy &amp; AI Capability</t>
        </is>
      </c>
      <c r="H309" s="251" t="n"/>
      <c r="I309" s="251" t="n"/>
      <c r="J309" s="260" t="n"/>
      <c r="K309" s="260" t="inlineStr">
        <is>
          <t>Leadership</t>
        </is>
      </c>
      <c r="L309" s="251" t="n"/>
      <c r="M309" s="252" t="n"/>
      <c r="N309" t="inlineStr">
        <is>
          <t>COE</t>
        </is>
      </c>
      <c r="O309" t="inlineStr">
        <is>
          <t>COE - Strategy Architecture</t>
        </is>
      </c>
      <c r="P309" t="inlineStr">
        <is>
          <t>COE - Strategy Architecture</t>
        </is>
      </c>
      <c r="Q309" t="inlineStr">
        <is>
          <t>COE</t>
        </is>
      </c>
      <c r="R309" t="inlineStr">
        <is>
          <t>Vacant</t>
        </is>
      </c>
    </row>
    <row r="310" ht="18" customHeight="1" s="849">
      <c r="A310" s="250" t="n"/>
      <c r="B310" s="220" t="inlineStr">
        <is>
          <t>Vacant (contract)</t>
        </is>
      </c>
      <c r="C310" s="220" t="inlineStr">
        <is>
          <t>Reporting analysts - Strategic Programs</t>
        </is>
      </c>
      <c r="D310" s="220" t="inlineStr">
        <is>
          <t>Prashanth Krishnankutty</t>
        </is>
      </c>
      <c r="E310" s="220" t="inlineStr">
        <is>
          <t>Lead, Reporting &amp; Insights</t>
        </is>
      </c>
      <c r="F310" s="260" t="inlineStr">
        <is>
          <t>Strategy, Architecture &amp; Data</t>
        </is>
      </c>
      <c r="G310" s="251" t="inlineStr">
        <is>
          <t>Group Data</t>
        </is>
      </c>
      <c r="H310" s="260" t="inlineStr">
        <is>
          <t>Data Engineering &amp; Platforms</t>
        </is>
      </c>
      <c r="I310" s="251" t="inlineStr">
        <is>
          <t>Enterprise Data</t>
        </is>
      </c>
      <c r="J310" s="260" t="inlineStr">
        <is>
          <t>Group Data</t>
        </is>
      </c>
      <c r="K310" s="260" t="inlineStr">
        <is>
          <t>Reporting &amp; Analytics</t>
        </is>
      </c>
      <c r="L310" s="251" t="n"/>
      <c r="M310" s="252" t="n"/>
      <c r="N310" t="inlineStr">
        <is>
          <t>Enterprise Data</t>
        </is>
      </c>
      <c r="O310" t="inlineStr">
        <is>
          <t>Group Data</t>
        </is>
      </c>
      <c r="P310" t="inlineStr">
        <is>
          <t>Reporting &amp; Analytics</t>
        </is>
      </c>
      <c r="Q310" t="inlineStr">
        <is>
          <t>Squad</t>
        </is>
      </c>
      <c r="R310" t="inlineStr">
        <is>
          <t>Filled</t>
        </is>
      </c>
    </row>
    <row r="311" ht="18" customHeight="1" s="849">
      <c r="A311" s="250" t="n">
        <v>106026</v>
      </c>
      <c r="B311" s="220" t="inlineStr">
        <is>
          <t>Vincent Lu</t>
        </is>
      </c>
      <c r="C311" s="220" t="inlineStr">
        <is>
          <t>Reporting Analyst</t>
        </is>
      </c>
      <c r="D311" s="220" t="inlineStr">
        <is>
          <t>Prashanth Krishnankutty</t>
        </is>
      </c>
      <c r="E311" s="220" t="inlineStr">
        <is>
          <t>Lead, Reporting &amp; Insights</t>
        </is>
      </c>
      <c r="F311" s="260" t="inlineStr">
        <is>
          <t>Strategy, Architecture &amp; Data</t>
        </is>
      </c>
      <c r="G311" s="251" t="inlineStr">
        <is>
          <t>Group Data</t>
        </is>
      </c>
      <c r="H311" s="260" t="inlineStr">
        <is>
          <t>Data Engineering &amp; Platforms</t>
        </is>
      </c>
      <c r="I311" s="260" t="inlineStr">
        <is>
          <t>Enterprise Data</t>
        </is>
      </c>
      <c r="J311" s="260" t="inlineStr">
        <is>
          <t>Group Data</t>
        </is>
      </c>
      <c r="K311" s="260" t="inlineStr">
        <is>
          <t>Reporting &amp; Analytics</t>
        </is>
      </c>
      <c r="L311" s="251" t="n"/>
      <c r="M311" s="252" t="inlineStr">
        <is>
          <t>Australia</t>
        </is>
      </c>
      <c r="N311" t="inlineStr">
        <is>
          <t>Enterprise Data</t>
        </is>
      </c>
      <c r="O311" t="inlineStr">
        <is>
          <t>Group Data</t>
        </is>
      </c>
      <c r="P311" t="inlineStr">
        <is>
          <t>Reporting &amp; Analytics</t>
        </is>
      </c>
      <c r="Q311" t="inlineStr">
        <is>
          <t>Squad</t>
        </is>
      </c>
      <c r="R311" t="inlineStr">
        <is>
          <t>Filled</t>
        </is>
      </c>
    </row>
    <row r="312" ht="18" customHeight="1" s="849">
      <c r="A312" s="250" t="n"/>
      <c r="B312" s="220" t="inlineStr">
        <is>
          <t>vacant  (Contract)</t>
        </is>
      </c>
      <c r="C312" s="220" t="inlineStr">
        <is>
          <t>Applications Specialist - Strategic Programs</t>
        </is>
      </c>
      <c r="D312" s="220" t="inlineStr">
        <is>
          <t>Sai Konka</t>
        </is>
      </c>
      <c r="E312" s="220" t="inlineStr">
        <is>
          <t>Applications &amp; Analytics Manager</t>
        </is>
      </c>
      <c r="F312" s="260" t="inlineStr">
        <is>
          <t>Strategy, Architecture &amp; Data</t>
        </is>
      </c>
      <c r="G312" s="251" t="inlineStr">
        <is>
          <t>Group Data</t>
        </is>
      </c>
      <c r="H312" s="260" t="inlineStr">
        <is>
          <t>Data Engineering &amp; Platforms</t>
        </is>
      </c>
      <c r="I312" s="251" t="inlineStr">
        <is>
          <t>Enterprise Data</t>
        </is>
      </c>
      <c r="J312" s="260" t="inlineStr">
        <is>
          <t>EGI</t>
        </is>
      </c>
      <c r="K312" s="260" t="inlineStr">
        <is>
          <t>Reporting &amp; Analytics</t>
        </is>
      </c>
      <c r="L312" s="251" t="n"/>
      <c r="M312" s="252" t="n"/>
      <c r="N312" t="inlineStr">
        <is>
          <t>Enterprise Data</t>
        </is>
      </c>
      <c r="O312" t="inlineStr">
        <is>
          <t>Group Data</t>
        </is>
      </c>
      <c r="P312" t="inlineStr">
        <is>
          <t>Reporting &amp; Analytics</t>
        </is>
      </c>
      <c r="Q312" t="inlineStr">
        <is>
          <t>Squad</t>
        </is>
      </c>
      <c r="R312" t="inlineStr">
        <is>
          <t>Filled</t>
        </is>
      </c>
    </row>
    <row r="313" ht="18" customHeight="1" s="849">
      <c r="A313" s="250" t="n">
        <v>116032</v>
      </c>
      <c r="B313" s="251" t="inlineStr">
        <is>
          <t>Abdul Ghaffar</t>
        </is>
      </c>
      <c r="C313" s="251" t="inlineStr">
        <is>
          <t>Applications Specialist - Demand Planning</t>
        </is>
      </c>
      <c r="D313" s="220" t="inlineStr">
        <is>
          <t>Sai Konka</t>
        </is>
      </c>
      <c r="E313" s="220" t="inlineStr">
        <is>
          <t>Applications &amp; Analytics Manager</t>
        </is>
      </c>
      <c r="F313" s="260" t="inlineStr">
        <is>
          <t>Strategy, Architecture &amp; Data</t>
        </is>
      </c>
      <c r="G313" s="251" t="inlineStr">
        <is>
          <t>Group Data</t>
        </is>
      </c>
      <c r="H313" s="260" t="inlineStr">
        <is>
          <t>Data Engineering &amp; Platforms</t>
        </is>
      </c>
      <c r="I313" s="260" t="inlineStr">
        <is>
          <t>Enterprise Data</t>
        </is>
      </c>
      <c r="J313" s="260" t="inlineStr">
        <is>
          <t>EGI</t>
        </is>
      </c>
      <c r="K313" s="260" t="inlineStr">
        <is>
          <t>Reporting &amp; Analytics</t>
        </is>
      </c>
      <c r="L313" s="251" t="n"/>
      <c r="M313" s="252" t="inlineStr">
        <is>
          <t>Australia</t>
        </is>
      </c>
      <c r="N313" t="inlineStr">
        <is>
          <t>Enterprise Data</t>
        </is>
      </c>
      <c r="O313" t="inlineStr">
        <is>
          <t>Group Data</t>
        </is>
      </c>
      <c r="P313" t="inlineStr">
        <is>
          <t>Reporting &amp; Analytics</t>
        </is>
      </c>
      <c r="Q313" t="inlineStr">
        <is>
          <t>Squad</t>
        </is>
      </c>
      <c r="R313" t="inlineStr">
        <is>
          <t>Filled</t>
        </is>
      </c>
    </row>
    <row r="314" ht="18" customHeight="1" s="849">
      <c r="A314" s="250" t="n">
        <v>80549</v>
      </c>
      <c r="B314" s="220" t="inlineStr">
        <is>
          <t>Steve Murray</t>
        </is>
      </c>
      <c r="C314" s="220" t="inlineStr">
        <is>
          <t>Applications Specialist</t>
        </is>
      </c>
      <c r="D314" s="220" t="inlineStr">
        <is>
          <t>Sai Konka</t>
        </is>
      </c>
      <c r="E314" s="220" t="inlineStr">
        <is>
          <t>Applications &amp; Analytics Manager</t>
        </is>
      </c>
      <c r="F314" s="260" t="inlineStr">
        <is>
          <t>Strategy, Architecture &amp; Data</t>
        </is>
      </c>
      <c r="G314" s="251" t="inlineStr">
        <is>
          <t>Group Data</t>
        </is>
      </c>
      <c r="H314" s="260" t="inlineStr">
        <is>
          <t>Data Engineering &amp; Platforms</t>
        </is>
      </c>
      <c r="I314" s="260" t="inlineStr">
        <is>
          <t>Enterprise Data</t>
        </is>
      </c>
      <c r="J314" s="260" t="inlineStr">
        <is>
          <t>EGI</t>
        </is>
      </c>
      <c r="K314" s="260" t="inlineStr">
        <is>
          <t>Reporting &amp; Analytics</t>
        </is>
      </c>
      <c r="L314" s="251" t="n"/>
      <c r="M314" s="252" t="inlineStr">
        <is>
          <t>Australia</t>
        </is>
      </c>
      <c r="N314" t="inlineStr">
        <is>
          <t>Enterprise Data</t>
        </is>
      </c>
      <c r="O314" t="inlineStr">
        <is>
          <t>Group Data</t>
        </is>
      </c>
      <c r="P314" t="inlineStr">
        <is>
          <t>Reporting &amp; Analytics</t>
        </is>
      </c>
      <c r="Q314" t="inlineStr">
        <is>
          <t>Squad</t>
        </is>
      </c>
      <c r="R314" t="inlineStr">
        <is>
          <t>Filled</t>
        </is>
      </c>
    </row>
    <row r="315" ht="18" customHeight="1" s="849">
      <c r="A315" s="250" t="n">
        <v>83092</v>
      </c>
      <c r="B315" s="220" t="inlineStr">
        <is>
          <t>Rakshit Kaul</t>
        </is>
      </c>
      <c r="C315" s="220" t="inlineStr">
        <is>
          <t>Applications Specialist</t>
        </is>
      </c>
      <c r="D315" s="220" t="inlineStr">
        <is>
          <t>Sai Konka</t>
        </is>
      </c>
      <c r="E315" s="220" t="inlineStr">
        <is>
          <t>Applications &amp; Analytics Manager</t>
        </is>
      </c>
      <c r="F315" s="260" t="inlineStr">
        <is>
          <t>Strategy, Architecture &amp; Data</t>
        </is>
      </c>
      <c r="G315" s="251" t="inlineStr">
        <is>
          <t>Group Data</t>
        </is>
      </c>
      <c r="H315" s="260" t="inlineStr">
        <is>
          <t>Data Engineering &amp; Platforms</t>
        </is>
      </c>
      <c r="I315" s="260" t="inlineStr">
        <is>
          <t>Enterprise Data</t>
        </is>
      </c>
      <c r="J315" s="260" t="inlineStr">
        <is>
          <t>EGI</t>
        </is>
      </c>
      <c r="K315" s="260" t="inlineStr">
        <is>
          <t>Reporting &amp; Analytics</t>
        </is>
      </c>
      <c r="L315" s="251" t="n"/>
      <c r="M315" s="252" t="inlineStr">
        <is>
          <t>Australia</t>
        </is>
      </c>
      <c r="N315" t="inlineStr">
        <is>
          <t>Enterprise Data</t>
        </is>
      </c>
      <c r="O315" t="inlineStr">
        <is>
          <t>Group Data</t>
        </is>
      </c>
      <c r="P315" t="inlineStr">
        <is>
          <t>Reporting &amp; Analytics</t>
        </is>
      </c>
      <c r="Q315" t="inlineStr">
        <is>
          <t>Squad</t>
        </is>
      </c>
      <c r="R315" t="inlineStr">
        <is>
          <t>Filled</t>
        </is>
      </c>
    </row>
    <row r="316" ht="18" customHeight="1" s="849">
      <c r="A316" s="250" t="n">
        <v>98599</v>
      </c>
      <c r="B316" s="220" t="inlineStr">
        <is>
          <t>Raymond Bai</t>
        </is>
      </c>
      <c r="C316" s="220" t="inlineStr">
        <is>
          <t>Data Adoption Specialist</t>
        </is>
      </c>
      <c r="D316" s="251" t="inlineStr">
        <is>
          <t>Sanjay Tikoo</t>
        </is>
      </c>
      <c r="E316" s="220" t="inlineStr">
        <is>
          <t>Lead Engineer (Databricks)</t>
        </is>
      </c>
      <c r="F316" s="260" t="inlineStr">
        <is>
          <t>Strategy, Architecture &amp; Data</t>
        </is>
      </c>
      <c r="G316" s="251" t="inlineStr">
        <is>
          <t>Group Data</t>
        </is>
      </c>
      <c r="H316" s="260" t="inlineStr">
        <is>
          <t>Data Capability</t>
        </is>
      </c>
      <c r="I316" s="251" t="inlineStr">
        <is>
          <t>Enterprise Data</t>
        </is>
      </c>
      <c r="J316" s="260" t="inlineStr">
        <is>
          <t>Group Data</t>
        </is>
      </c>
      <c r="K316" s="251" t="inlineStr">
        <is>
          <t>COE, Data Capability</t>
        </is>
      </c>
      <c r="L316" s="251" t="n"/>
      <c r="M316" s="252" t="inlineStr">
        <is>
          <t>Australia</t>
        </is>
      </c>
      <c r="N316" t="inlineStr">
        <is>
          <t>COE</t>
        </is>
      </c>
      <c r="O316" t="inlineStr">
        <is>
          <t>COE - Data</t>
        </is>
      </c>
      <c r="P316" t="inlineStr">
        <is>
          <t>COE - Data</t>
        </is>
      </c>
      <c r="Q316" t="inlineStr">
        <is>
          <t>COE</t>
        </is>
      </c>
      <c r="R316" t="inlineStr">
        <is>
          <t>Filled</t>
        </is>
      </c>
    </row>
    <row r="317" ht="18" customHeight="1" s="849">
      <c r="A317" s="250" t="n">
        <v>99522</v>
      </c>
      <c r="B317" s="220" t="inlineStr">
        <is>
          <t>Mitchell Clarke</t>
        </is>
      </c>
      <c r="C317" s="220" t="inlineStr">
        <is>
          <t>Snr Data Governance Specialist</t>
        </is>
      </c>
      <c r="D317" s="251" t="inlineStr">
        <is>
          <t>Sanjay Tikoo</t>
        </is>
      </c>
      <c r="E317" s="220" t="inlineStr">
        <is>
          <t>Data Capability Manager</t>
        </is>
      </c>
      <c r="F317" s="260" t="inlineStr">
        <is>
          <t>Strategy, Architecture &amp; Data</t>
        </is>
      </c>
      <c r="G317" s="251" t="inlineStr">
        <is>
          <t>Group Data</t>
        </is>
      </c>
      <c r="H317" s="251" t="inlineStr">
        <is>
          <t>Delivery, Commercial Fuels</t>
        </is>
      </c>
      <c r="I317" s="260" t="inlineStr">
        <is>
          <t>Enterprise Data</t>
        </is>
      </c>
      <c r="J317" s="260" t="inlineStr">
        <is>
          <t>Leadership</t>
        </is>
      </c>
      <c r="K317" s="251" t="inlineStr">
        <is>
          <t>Leadership</t>
        </is>
      </c>
      <c r="L317" s="251" t="n"/>
      <c r="M317" s="252" t="inlineStr">
        <is>
          <t>Australia</t>
        </is>
      </c>
      <c r="N317" t="inlineStr">
        <is>
          <t>COE</t>
        </is>
      </c>
      <c r="O317" t="inlineStr">
        <is>
          <t>COE - Data</t>
        </is>
      </c>
      <c r="P317" t="inlineStr">
        <is>
          <t>COE - Data</t>
        </is>
      </c>
      <c r="Q317" t="inlineStr">
        <is>
          <t>COE</t>
        </is>
      </c>
      <c r="R317" t="inlineStr">
        <is>
          <t>Filled</t>
        </is>
      </c>
    </row>
    <row r="318" ht="18" customHeight="1" s="849">
      <c r="A318" s="250" t="n"/>
      <c r="B318" s="220" t="inlineStr">
        <is>
          <t>Vacant</t>
        </is>
      </c>
      <c r="C318" s="220" t="inlineStr">
        <is>
          <t>Data Governance Lead</t>
        </is>
      </c>
      <c r="D318" s="251" t="inlineStr">
        <is>
          <t>Sanjay Tikoo</t>
        </is>
      </c>
      <c r="E318" s="220" t="inlineStr">
        <is>
          <t>Data Capability Manager</t>
        </is>
      </c>
      <c r="F318" s="260" t="inlineStr">
        <is>
          <t>Strategy, Architecture &amp; Data</t>
        </is>
      </c>
      <c r="G318" s="275" t="inlineStr">
        <is>
          <t>Group Data</t>
        </is>
      </c>
      <c r="H318" s="276" t="inlineStr">
        <is>
          <t>Data Capability</t>
        </is>
      </c>
      <c r="I318" s="260" t="inlineStr">
        <is>
          <t>Enterprise Data</t>
        </is>
      </c>
      <c r="J318" s="260" t="n"/>
      <c r="K318" s="251" t="inlineStr">
        <is>
          <t>COE, Data Capability</t>
        </is>
      </c>
      <c r="L318" s="251" t="n"/>
      <c r="M318" s="252" t="n"/>
      <c r="N318" t="inlineStr">
        <is>
          <t>COE</t>
        </is>
      </c>
      <c r="O318" t="inlineStr">
        <is>
          <t>COE - Data</t>
        </is>
      </c>
      <c r="P318" t="inlineStr">
        <is>
          <t>COE - Data</t>
        </is>
      </c>
      <c r="Q318" t="inlineStr">
        <is>
          <t>COE</t>
        </is>
      </c>
      <c r="R318" t="inlineStr">
        <is>
          <t>Vacant</t>
        </is>
      </c>
    </row>
    <row r="319" ht="18" customHeight="1" s="849">
      <c r="A319" s="250" t="n">
        <v>99999101535</v>
      </c>
      <c r="B319" s="220" t="inlineStr">
        <is>
          <t>Lynn Yiew</t>
        </is>
      </c>
      <c r="C319" s="220" t="inlineStr">
        <is>
          <t>Data Governance Specialist</t>
        </is>
      </c>
      <c r="D319" s="251" t="inlineStr">
        <is>
          <t>Sanjay Tikoo</t>
        </is>
      </c>
      <c r="E319" s="220" t="inlineStr">
        <is>
          <t>Data Capability Manager</t>
        </is>
      </c>
      <c r="F319" s="260" t="inlineStr">
        <is>
          <t>Strategy, Architecture &amp; Data</t>
        </is>
      </c>
      <c r="G319" s="251" t="inlineStr">
        <is>
          <t>Group Data</t>
        </is>
      </c>
      <c r="H319" s="251" t="inlineStr">
        <is>
          <t>Data Capability</t>
        </is>
      </c>
      <c r="I319" s="260" t="inlineStr">
        <is>
          <t>Enterprise Data</t>
        </is>
      </c>
      <c r="J319" s="260" t="n"/>
      <c r="K319" s="251" t="inlineStr">
        <is>
          <t>COE, Data Capability</t>
        </is>
      </c>
      <c r="L319" s="251" t="n"/>
      <c r="M319" s="252" t="inlineStr">
        <is>
          <t>NZ</t>
        </is>
      </c>
      <c r="N319" t="inlineStr">
        <is>
          <t>COE</t>
        </is>
      </c>
      <c r="O319" t="inlineStr">
        <is>
          <t>COE - Data</t>
        </is>
      </c>
      <c r="P319" t="inlineStr">
        <is>
          <t>COE - Data</t>
        </is>
      </c>
      <c r="Q319" t="inlineStr">
        <is>
          <t>COE</t>
        </is>
      </c>
      <c r="R319" t="inlineStr">
        <is>
          <t>Filled</t>
        </is>
      </c>
    </row>
    <row r="320" ht="18" customHeight="1" s="849">
      <c r="A320" s="250" t="n">
        <v>110146</v>
      </c>
      <c r="B320" s="220" t="inlineStr">
        <is>
          <t>Renosh Matthew Thomas</t>
        </is>
      </c>
      <c r="C320" s="220" t="inlineStr">
        <is>
          <t>Data Enablement Lead</t>
        </is>
      </c>
      <c r="D320" s="251" t="inlineStr">
        <is>
          <t>Sanjay Tikoo</t>
        </is>
      </c>
      <c r="E320" s="220" t="inlineStr">
        <is>
          <t>Data Capability Manager</t>
        </is>
      </c>
      <c r="F320" s="260" t="inlineStr">
        <is>
          <t>Strategy, Architecture &amp; Data</t>
        </is>
      </c>
      <c r="G320" s="251" t="inlineStr">
        <is>
          <t>Group Data</t>
        </is>
      </c>
      <c r="H320" s="251" t="inlineStr">
        <is>
          <t>Data Capability</t>
        </is>
      </c>
      <c r="I320" s="260" t="inlineStr">
        <is>
          <t>Enterprise Data</t>
        </is>
      </c>
      <c r="J320" s="260" t="inlineStr">
        <is>
          <t>Group Data</t>
        </is>
      </c>
      <c r="K320" s="251" t="inlineStr">
        <is>
          <t>COE, Data Capability</t>
        </is>
      </c>
      <c r="L320" s="251" t="n"/>
      <c r="M320" s="252" t="inlineStr">
        <is>
          <t>Australia</t>
        </is>
      </c>
      <c r="N320" t="inlineStr">
        <is>
          <t>COE</t>
        </is>
      </c>
      <c r="O320" t="inlineStr">
        <is>
          <t>COE - Data</t>
        </is>
      </c>
      <c r="P320" t="inlineStr">
        <is>
          <t>COE - Data</t>
        </is>
      </c>
      <c r="Q320" t="inlineStr">
        <is>
          <t>COE</t>
        </is>
      </c>
      <c r="R320" t="inlineStr">
        <is>
          <t>Filled</t>
        </is>
      </c>
    </row>
    <row r="321" ht="18" customHeight="1" s="849">
      <c r="A321" s="250" t="n">
        <v>100330</v>
      </c>
      <c r="B321" s="220" t="inlineStr">
        <is>
          <t>Milan Patel</t>
        </is>
      </c>
      <c r="C321" s="220" t="inlineStr">
        <is>
          <t>Platform Architect</t>
        </is>
      </c>
      <c r="D321" s="251" t="inlineStr">
        <is>
          <t>Sanjay Tikoo</t>
        </is>
      </c>
      <c r="E321" s="220" t="inlineStr">
        <is>
          <t>Data Capability Manager</t>
        </is>
      </c>
      <c r="F321" s="260" t="inlineStr">
        <is>
          <t>Strategy, Architecture &amp; Data</t>
        </is>
      </c>
      <c r="G321" s="251" t="inlineStr">
        <is>
          <t>Group Data</t>
        </is>
      </c>
      <c r="H321" s="251" t="inlineStr">
        <is>
          <t>Data Capability</t>
        </is>
      </c>
      <c r="I321" s="260" t="n"/>
      <c r="J321" s="260" t="n"/>
      <c r="K321" s="251" t="inlineStr">
        <is>
          <t>Data Platform</t>
        </is>
      </c>
      <c r="L321" s="251" t="n"/>
      <c r="M321" s="252" t="inlineStr">
        <is>
          <t>Australia</t>
        </is>
      </c>
      <c r="N321" t="inlineStr">
        <is>
          <t>COE</t>
        </is>
      </c>
      <c r="O321" t="inlineStr">
        <is>
          <t>COE - Data</t>
        </is>
      </c>
      <c r="P321" t="inlineStr">
        <is>
          <t>COE - Data</t>
        </is>
      </c>
      <c r="Q321" t="inlineStr">
        <is>
          <t>COE</t>
        </is>
      </c>
      <c r="R321" t="inlineStr">
        <is>
          <t>Filled</t>
        </is>
      </c>
    </row>
    <row r="322" ht="18" customHeight="1" s="849">
      <c r="A322" s="277" t="n"/>
      <c r="B322" s="278" t="inlineStr">
        <is>
          <t>Vacant</t>
        </is>
      </c>
      <c r="C322" s="278" t="inlineStr">
        <is>
          <t>Enterprise Data Architect</t>
        </is>
      </c>
      <c r="D322" s="279" t="inlineStr">
        <is>
          <t>Vacant</t>
        </is>
      </c>
      <c r="E322" s="278" t="inlineStr">
        <is>
          <t>Lead – Asset &amp; Configuration (Vacant)</t>
        </is>
      </c>
      <c r="F322" s="280" t="inlineStr">
        <is>
          <t>Strategy, Architecture &amp; Data</t>
        </is>
      </c>
      <c r="G322" s="279" t="inlineStr">
        <is>
          <t>Group Data</t>
        </is>
      </c>
      <c r="H322" s="279" t="inlineStr">
        <is>
          <t>Data Capability</t>
        </is>
      </c>
      <c r="I322" s="280" t="n"/>
      <c r="J322" s="280" t="n"/>
      <c r="K322" s="279" t="inlineStr">
        <is>
          <t>COE</t>
        </is>
      </c>
      <c r="L322" s="279" t="n"/>
      <c r="M322" s="281" t="n"/>
      <c r="N322" t="inlineStr">
        <is>
          <t>COE</t>
        </is>
      </c>
      <c r="O322" t="inlineStr">
        <is>
          <t>COE - Data</t>
        </is>
      </c>
      <c r="P322" t="inlineStr">
        <is>
          <t>COE - Data</t>
        </is>
      </c>
      <c r="Q322" t="inlineStr">
        <is>
          <t>COE</t>
        </is>
      </c>
      <c r="R322" t="inlineStr">
        <is>
          <t>Vacant</t>
        </is>
      </c>
    </row>
    <row r="323" ht="18" customHeight="1" s="849">
      <c r="A323" s="250" t="n">
        <v>114067</v>
      </c>
      <c r="B323" s="220" t="inlineStr">
        <is>
          <t>Jonathan Robinson</t>
        </is>
      </c>
      <c r="C323" s="220" t="inlineStr">
        <is>
          <t>Technology Manager  Data Science</t>
        </is>
      </c>
      <c r="D323" s="220" t="inlineStr">
        <is>
          <t>Vacant</t>
        </is>
      </c>
      <c r="E323" s="220" t="inlineStr">
        <is>
          <t>Head of Technology,  Group Data</t>
        </is>
      </c>
      <c r="F323" s="260" t="inlineStr">
        <is>
          <t>Strategy, Architecture &amp; Data</t>
        </is>
      </c>
      <c r="G323" s="251" t="inlineStr">
        <is>
          <t>Group Data</t>
        </is>
      </c>
      <c r="H323" s="251" t="inlineStr">
        <is>
          <t>Data Science</t>
        </is>
      </c>
      <c r="I323" s="260" t="inlineStr">
        <is>
          <t>Enterprise Data</t>
        </is>
      </c>
      <c r="J323" s="260" t="inlineStr">
        <is>
          <t>Group Data</t>
        </is>
      </c>
      <c r="K323" s="251" t="inlineStr">
        <is>
          <t>COE, Leadership</t>
        </is>
      </c>
      <c r="L323" s="251" t="n"/>
      <c r="M323" s="252" t="inlineStr">
        <is>
          <t>Australia</t>
        </is>
      </c>
      <c r="N323" t="inlineStr">
        <is>
          <t>COE</t>
        </is>
      </c>
      <c r="O323" t="inlineStr">
        <is>
          <t>Leadership</t>
        </is>
      </c>
      <c r="P323" t="inlineStr">
        <is>
          <t>Leadership</t>
        </is>
      </c>
      <c r="Q323" t="inlineStr">
        <is>
          <t>Leadership</t>
        </is>
      </c>
      <c r="R323" t="inlineStr">
        <is>
          <t>Filled</t>
        </is>
      </c>
    </row>
    <row r="324" ht="18" customHeight="1" s="849">
      <c r="A324" s="250" t="n"/>
      <c r="B324" s="220" t="inlineStr">
        <is>
          <t>Vacant</t>
        </is>
      </c>
      <c r="C324" s="220" t="inlineStr">
        <is>
          <t xml:space="preserve">Reporting Lead </t>
        </is>
      </c>
      <c r="D324" s="220" t="inlineStr">
        <is>
          <t>Vacant</t>
        </is>
      </c>
      <c r="E324" s="220" t="inlineStr">
        <is>
          <t>Lead, Reporting &amp; Insights</t>
        </is>
      </c>
      <c r="F324" s="260" t="inlineStr">
        <is>
          <t>Strategy, Architecture &amp; Data</t>
        </is>
      </c>
      <c r="G324" s="251" t="inlineStr">
        <is>
          <t>Loyalty &amp; Martech</t>
        </is>
      </c>
      <c r="H324" s="260" t="inlineStr">
        <is>
          <t>Data Engineering &amp; Platforms</t>
        </is>
      </c>
      <c r="I324" s="260" t="inlineStr">
        <is>
          <t>Enterprise Data</t>
        </is>
      </c>
      <c r="J324" s="260" t="inlineStr">
        <is>
          <t>Group Data</t>
        </is>
      </c>
      <c r="K324" s="260" t="inlineStr">
        <is>
          <t>Reporting &amp; Analytics</t>
        </is>
      </c>
      <c r="L324" s="251" t="n"/>
      <c r="M324" s="252" t="n"/>
      <c r="N324" t="inlineStr">
        <is>
          <t>Enterprise Data</t>
        </is>
      </c>
      <c r="O324" t="inlineStr">
        <is>
          <t>Group Data</t>
        </is>
      </c>
      <c r="P324" t="inlineStr">
        <is>
          <t>Reporting &amp; Analytics</t>
        </is>
      </c>
      <c r="Q324" t="inlineStr">
        <is>
          <t>Squad</t>
        </is>
      </c>
      <c r="R324" t="inlineStr">
        <is>
          <t>Vacant</t>
        </is>
      </c>
    </row>
    <row r="325" ht="20.15" customHeight="1" s="849">
      <c r="A325" s="250" t="n">
        <v>107154</v>
      </c>
      <c r="B325" s="220" t="inlineStr">
        <is>
          <t>Prashant Tataskar</t>
        </is>
      </c>
      <c r="C325" s="220" t="inlineStr">
        <is>
          <t>Data Scientist</t>
        </is>
      </c>
      <c r="D325" s="220" t="inlineStr">
        <is>
          <t>Vacant</t>
        </is>
      </c>
      <c r="E325" s="220" t="inlineStr">
        <is>
          <t>Technology Manager, Data Science</t>
        </is>
      </c>
      <c r="F325" s="260" t="inlineStr">
        <is>
          <t>Strategy, Architecture &amp; Data</t>
        </is>
      </c>
      <c r="G325" s="251" t="inlineStr">
        <is>
          <t>Group Data</t>
        </is>
      </c>
      <c r="H325" s="260" t="inlineStr">
        <is>
          <t>Data Science</t>
        </is>
      </c>
      <c r="I325" s="260" t="inlineStr">
        <is>
          <t>Enterprise Data</t>
        </is>
      </c>
      <c r="J325" s="260" t="inlineStr">
        <is>
          <t>Group Data</t>
        </is>
      </c>
      <c r="K325" s="251" t="inlineStr">
        <is>
          <t>COE, Data Science</t>
        </is>
      </c>
      <c r="L325" s="251" t="n"/>
      <c r="M325" s="252" t="inlineStr">
        <is>
          <t>Australia</t>
        </is>
      </c>
      <c r="N325" t="inlineStr">
        <is>
          <t>Enterprise Data</t>
        </is>
      </c>
      <c r="O325" t="inlineStr">
        <is>
          <t>Group Data</t>
        </is>
      </c>
      <c r="P325" t="inlineStr">
        <is>
          <t>Data Science</t>
        </is>
      </c>
      <c r="Q325" t="inlineStr">
        <is>
          <t>Squad</t>
        </is>
      </c>
      <c r="R325" t="inlineStr">
        <is>
          <t>Filled</t>
        </is>
      </c>
    </row>
    <row r="326" ht="18" customHeight="1" s="849">
      <c r="A326" s="250" t="n">
        <v>113595</v>
      </c>
      <c r="B326" s="220" t="inlineStr">
        <is>
          <t>Mike Gilbert</t>
        </is>
      </c>
      <c r="C326" s="220" t="inlineStr">
        <is>
          <t xml:space="preserve">Domain Architect - CFE &amp; Infrastructure </t>
        </is>
      </c>
      <c r="D326" s="220" t="inlineStr">
        <is>
          <t>Vacant</t>
        </is>
      </c>
      <c r="E326" s="220" t="inlineStr">
        <is>
          <t>Head of Architecture</t>
        </is>
      </c>
      <c r="F326" s="260" t="inlineStr">
        <is>
          <t>Strategy, Architecture &amp; Data</t>
        </is>
      </c>
      <c r="G326" s="251" t="inlineStr">
        <is>
          <t>Architecture</t>
        </is>
      </c>
      <c r="H326" s="276" t="inlineStr">
        <is>
          <t>Architecture</t>
        </is>
      </c>
      <c r="I326" s="260" t="n"/>
      <c r="J326" s="260" t="n"/>
      <c r="K326" s="251" t="inlineStr">
        <is>
          <t>COE, Architecture</t>
        </is>
      </c>
      <c r="L326" s="251" t="n"/>
      <c r="M326" s="252" t="n"/>
      <c r="N326" t="inlineStr">
        <is>
          <t>COE</t>
        </is>
      </c>
      <c r="O326" t="inlineStr">
        <is>
          <t>COE - Strategy Architecture</t>
        </is>
      </c>
      <c r="P326" t="inlineStr">
        <is>
          <t>COE - Strategy Architecture</t>
        </is>
      </c>
      <c r="Q326" t="inlineStr">
        <is>
          <t>COE</t>
        </is>
      </c>
      <c r="R326" t="inlineStr">
        <is>
          <t>Filled</t>
        </is>
      </c>
    </row>
    <row r="327" ht="18" customHeight="1" s="849">
      <c r="A327" s="250" t="n"/>
      <c r="B327" s="220" t="inlineStr">
        <is>
          <t>Vacant</t>
        </is>
      </c>
      <c r="C327" s="220" t="inlineStr">
        <is>
          <t>AI Capability Lead</t>
        </is>
      </c>
      <c r="D327" s="220" t="inlineStr">
        <is>
          <t>Vacant</t>
        </is>
      </c>
      <c r="E327" s="220" t="inlineStr">
        <is>
          <t>Head of Technology  Strategy &amp; AI Capability</t>
        </is>
      </c>
      <c r="F327" s="260" t="inlineStr">
        <is>
          <t>Strategy, Architecture &amp; Data</t>
        </is>
      </c>
      <c r="G327" s="251" t="inlineStr">
        <is>
          <t>Technology Strategy &amp; AI Capability</t>
        </is>
      </c>
      <c r="H327" s="251" t="inlineStr">
        <is>
          <t>Technology Strategy &amp; AI Capability</t>
        </is>
      </c>
      <c r="I327" s="260" t="n"/>
      <c r="J327" s="260" t="n"/>
      <c r="K327" s="251" t="inlineStr">
        <is>
          <t>COE</t>
        </is>
      </c>
      <c r="L327" s="251" t="n"/>
      <c r="M327" s="252" t="n"/>
      <c r="N327" t="inlineStr">
        <is>
          <t>COE</t>
        </is>
      </c>
      <c r="O327" t="inlineStr">
        <is>
          <t>COE - Strategy Architecture</t>
        </is>
      </c>
      <c r="P327" t="inlineStr">
        <is>
          <t>COE - Strategy Architecture</t>
        </is>
      </c>
      <c r="Q327" t="inlineStr">
        <is>
          <t>COE</t>
        </is>
      </c>
      <c r="R327" t="inlineStr">
        <is>
          <t>Vacant</t>
        </is>
      </c>
    </row>
    <row r="328" ht="18" customHeight="1" s="849">
      <c r="A328" s="250" t="n">
        <v>12010</v>
      </c>
      <c r="B328" s="220" t="inlineStr">
        <is>
          <t>Sai Konka</t>
        </is>
      </c>
      <c r="C328" s="220" t="inlineStr">
        <is>
          <t>Application &amp; Analytics Manager</t>
        </is>
      </c>
      <c r="D328" s="220" t="inlineStr">
        <is>
          <t>Vacant</t>
        </is>
      </c>
      <c r="E328" s="220" t="inlineStr">
        <is>
          <t>Technology Manager, Data Engineering &amp; Platforms</t>
        </is>
      </c>
      <c r="F328" s="260" t="inlineStr">
        <is>
          <t>Strategy, Architecture &amp; Data</t>
        </is>
      </c>
      <c r="G328" s="251" t="inlineStr">
        <is>
          <t>Group Data</t>
        </is>
      </c>
      <c r="H328" s="260" t="inlineStr">
        <is>
          <t>Data Engineering &amp; Platforms</t>
        </is>
      </c>
      <c r="I328" s="260" t="inlineStr">
        <is>
          <t>Enterprise Data</t>
        </is>
      </c>
      <c r="J328" s="260" t="inlineStr">
        <is>
          <t>EGI</t>
        </is>
      </c>
      <c r="K328" s="260" t="inlineStr">
        <is>
          <t>Reporting &amp; Analytics</t>
        </is>
      </c>
      <c r="L328" s="251" t="n"/>
      <c r="M328" s="252" t="inlineStr">
        <is>
          <t>Australia</t>
        </is>
      </c>
      <c r="N328" t="inlineStr">
        <is>
          <t>Enterprise Data</t>
        </is>
      </c>
      <c r="O328" t="inlineStr">
        <is>
          <t>Group Data</t>
        </is>
      </c>
      <c r="P328" t="inlineStr">
        <is>
          <t>Reporting &amp; Analytics</t>
        </is>
      </c>
      <c r="Q328" t="inlineStr">
        <is>
          <t>Squad</t>
        </is>
      </c>
      <c r="R328" t="inlineStr">
        <is>
          <t>Filled</t>
        </is>
      </c>
    </row>
    <row r="329" ht="18" customHeight="1" s="849">
      <c r="A329" s="250" t="n"/>
      <c r="B329" s="220" t="inlineStr">
        <is>
          <t>Vacant</t>
        </is>
      </c>
      <c r="C329" s="220" t="inlineStr">
        <is>
          <t>Quality Assurance</t>
        </is>
      </c>
      <c r="D329" s="220" t="inlineStr">
        <is>
          <t>Vacant</t>
        </is>
      </c>
      <c r="E329" s="220" t="inlineStr">
        <is>
          <t>Lead Engineer (Snowflake)</t>
        </is>
      </c>
      <c r="F329" s="260" t="inlineStr">
        <is>
          <t>Strategy, Architecture &amp; Data</t>
        </is>
      </c>
      <c r="G329" s="251" t="inlineStr">
        <is>
          <t>Group Data</t>
        </is>
      </c>
      <c r="H329" s="260" t="inlineStr">
        <is>
          <t>Data Engineering &amp; Platforms</t>
        </is>
      </c>
      <c r="I329" s="251" t="inlineStr">
        <is>
          <t>Enterprise Data</t>
        </is>
      </c>
      <c r="J329" s="260" t="inlineStr">
        <is>
          <t>Group Data</t>
        </is>
      </c>
      <c r="K329" s="251" t="inlineStr">
        <is>
          <t>Data Platform</t>
        </is>
      </c>
      <c r="L329" s="251" t="n"/>
      <c r="M329" s="252" t="n"/>
      <c r="N329" t="inlineStr">
        <is>
          <t>Enterprise Data</t>
        </is>
      </c>
      <c r="O329" t="inlineStr">
        <is>
          <t>Group Data</t>
        </is>
      </c>
      <c r="P329" t="inlineStr">
        <is>
          <t>Data Platforms</t>
        </is>
      </c>
      <c r="Q329" t="inlineStr">
        <is>
          <t>Squad</t>
        </is>
      </c>
      <c r="R329" t="inlineStr">
        <is>
          <t>Vacant</t>
        </is>
      </c>
    </row>
    <row r="330" ht="18" customHeight="1" s="849">
      <c r="A330" s="250" t="n"/>
      <c r="B330" s="220" t="inlineStr">
        <is>
          <t>vacant</t>
        </is>
      </c>
      <c r="C330" s="220" t="inlineStr">
        <is>
          <t>Quality Assurance</t>
        </is>
      </c>
      <c r="D330" s="220" t="inlineStr">
        <is>
          <t>Vacant</t>
        </is>
      </c>
      <c r="E330" s="220" t="inlineStr">
        <is>
          <t>Lead Engineer (Databricks)</t>
        </is>
      </c>
      <c r="F330" s="260" t="inlineStr">
        <is>
          <t>Strategy, Architecture &amp; Data</t>
        </is>
      </c>
      <c r="G330" s="251" t="inlineStr">
        <is>
          <t>Group Data</t>
        </is>
      </c>
      <c r="H330" s="260" t="inlineStr">
        <is>
          <t>Data Engineering &amp; Platforms</t>
        </is>
      </c>
      <c r="I330" s="251" t="inlineStr">
        <is>
          <t>Enterprise Data</t>
        </is>
      </c>
      <c r="J330" s="260" t="inlineStr">
        <is>
          <t>EGI</t>
        </is>
      </c>
      <c r="K330" s="251" t="inlineStr">
        <is>
          <t>Data Platform</t>
        </is>
      </c>
      <c r="L330" s="251" t="n"/>
      <c r="M330" s="252" t="n"/>
      <c r="N330" t="inlineStr">
        <is>
          <t>Enterprise Data</t>
        </is>
      </c>
      <c r="O330" t="inlineStr">
        <is>
          <t>Group Data</t>
        </is>
      </c>
      <c r="P330" t="inlineStr">
        <is>
          <t>Data Platforms</t>
        </is>
      </c>
      <c r="Q330" t="inlineStr">
        <is>
          <t>Squad</t>
        </is>
      </c>
      <c r="R330" t="inlineStr">
        <is>
          <t>Vacant</t>
        </is>
      </c>
    </row>
    <row r="331" ht="18" customHeight="1" s="849">
      <c r="A331" s="250" t="n">
        <v>109802</v>
      </c>
      <c r="B331" s="220" t="inlineStr">
        <is>
          <t>Roger Blazey</t>
        </is>
      </c>
      <c r="C331" s="220" t="inlineStr">
        <is>
          <t>Architect (AI Innovation)</t>
        </is>
      </c>
      <c r="D331" s="220" t="inlineStr">
        <is>
          <t>Vacant</t>
        </is>
      </c>
      <c r="E331" s="220" t="inlineStr">
        <is>
          <t>Head of Technology  Strategy &amp; AI Capability</t>
        </is>
      </c>
      <c r="F331" s="260" t="inlineStr">
        <is>
          <t>Strategy, Architecture &amp; Data</t>
        </is>
      </c>
      <c r="G331" s="251" t="inlineStr">
        <is>
          <t>Technology Strategy &amp; AI Capability</t>
        </is>
      </c>
      <c r="H331" s="251" t="inlineStr">
        <is>
          <t>Technology Strategy &amp; AI Capability</t>
        </is>
      </c>
      <c r="I331" s="260" t="n"/>
      <c r="J331" s="260" t="n"/>
      <c r="K331" s="251" t="inlineStr">
        <is>
          <t>COE</t>
        </is>
      </c>
      <c r="L331" s="251" t="n"/>
      <c r="M331" s="252" t="inlineStr">
        <is>
          <t>Australia</t>
        </is>
      </c>
      <c r="N331" t="inlineStr">
        <is>
          <t>COE</t>
        </is>
      </c>
      <c r="O331" t="inlineStr">
        <is>
          <t>COE - Strategy Architecture</t>
        </is>
      </c>
      <c r="P331" t="inlineStr">
        <is>
          <t>COE - Strategy Architecture</t>
        </is>
      </c>
      <c r="Q331" t="inlineStr">
        <is>
          <t>COE</t>
        </is>
      </c>
      <c r="R331" t="inlineStr">
        <is>
          <t>Filled</t>
        </is>
      </c>
    </row>
    <row r="332" ht="18" customHeight="1" s="849">
      <c r="A332" s="250" t="n"/>
      <c r="B332" s="220" t="inlineStr">
        <is>
          <t>vacant</t>
        </is>
      </c>
      <c r="C332" s="220" t="inlineStr">
        <is>
          <t>Engineer - Data</t>
        </is>
      </c>
      <c r="D332" s="220" t="inlineStr">
        <is>
          <t>Vacant</t>
        </is>
      </c>
      <c r="E332" s="220" t="inlineStr">
        <is>
          <t>Lead Engineer (Databricks)</t>
        </is>
      </c>
      <c r="F332" s="260" t="inlineStr">
        <is>
          <t>Strategy, Architecture &amp; Data</t>
        </is>
      </c>
      <c r="G332" s="251" t="inlineStr">
        <is>
          <t>Group Data</t>
        </is>
      </c>
      <c r="H332" s="260" t="inlineStr">
        <is>
          <t>Data Engineering &amp; Platforms</t>
        </is>
      </c>
      <c r="I332" s="251" t="inlineStr">
        <is>
          <t>Enterprise Data</t>
        </is>
      </c>
      <c r="J332" s="260" t="inlineStr">
        <is>
          <t>Group Data</t>
        </is>
      </c>
      <c r="K332" s="251" t="inlineStr">
        <is>
          <t>Data Platform</t>
        </is>
      </c>
      <c r="L332" s="251" t="n"/>
      <c r="M332" s="252" t="n"/>
      <c r="N332" t="inlineStr">
        <is>
          <t>Enterprise Data</t>
        </is>
      </c>
      <c r="O332" t="inlineStr">
        <is>
          <t>Group Data</t>
        </is>
      </c>
      <c r="P332" t="inlineStr">
        <is>
          <t>Data Platforms</t>
        </is>
      </c>
      <c r="Q332" t="inlineStr">
        <is>
          <t>Squad</t>
        </is>
      </c>
      <c r="R332" t="inlineStr">
        <is>
          <t>Vacant</t>
        </is>
      </c>
    </row>
    <row r="333" ht="18" customHeight="1" s="849">
      <c r="A333" s="250" t="n"/>
      <c r="B333" s="220" t="inlineStr">
        <is>
          <t>Vacant</t>
        </is>
      </c>
      <c r="C333" s="220" t="inlineStr">
        <is>
          <t>Enterprise Process Lead</t>
        </is>
      </c>
      <c r="D333" s="220" t="inlineStr">
        <is>
          <t>Vacant</t>
        </is>
      </c>
      <c r="E333" s="220" t="inlineStr">
        <is>
          <t>Head of Technology  Strategy &amp; AI Capability</t>
        </is>
      </c>
      <c r="F333" s="260" t="inlineStr">
        <is>
          <t>Strategy, Architecture &amp; Data</t>
        </is>
      </c>
      <c r="G333" s="251" t="inlineStr">
        <is>
          <t>Technology Strategy &amp; AI Capability</t>
        </is>
      </c>
      <c r="H333" s="251" t="inlineStr">
        <is>
          <t>Technology Strategy &amp; AI Capability</t>
        </is>
      </c>
      <c r="I333" s="260" t="n"/>
      <c r="J333" s="260" t="n"/>
      <c r="K333" s="251" t="inlineStr">
        <is>
          <t>COE</t>
        </is>
      </c>
      <c r="L333" s="251" t="n"/>
      <c r="M333" s="252" t="n"/>
      <c r="N333" t="inlineStr">
        <is>
          <t>COE</t>
        </is>
      </c>
      <c r="O333" t="inlineStr">
        <is>
          <t>COE - Strategy Architecture</t>
        </is>
      </c>
      <c r="P333" t="inlineStr">
        <is>
          <t>COE - Strategy Architecture</t>
        </is>
      </c>
      <c r="Q333" t="inlineStr">
        <is>
          <t>COE</t>
        </is>
      </c>
      <c r="R333" t="inlineStr">
        <is>
          <t>Vacant</t>
        </is>
      </c>
    </row>
    <row r="334" ht="18" customHeight="1" s="849">
      <c r="A334" s="250" t="n"/>
      <c r="B334" s="220" t="inlineStr">
        <is>
          <t>Vacant</t>
        </is>
      </c>
      <c r="C334" s="220" t="inlineStr">
        <is>
          <t>EnterpriseProcess Analyst</t>
        </is>
      </c>
      <c r="D334" s="251" t="inlineStr">
        <is>
          <t>vacant</t>
        </is>
      </c>
      <c r="E334" s="220" t="inlineStr">
        <is>
          <t>Enterprise Process Lead</t>
        </is>
      </c>
      <c r="F334" s="260" t="inlineStr">
        <is>
          <t>Strategy, Architecture &amp; Data</t>
        </is>
      </c>
      <c r="G334" s="251" t="inlineStr">
        <is>
          <t>Technology Strategy &amp; AI Capability</t>
        </is>
      </c>
      <c r="H334" s="251" t="inlineStr">
        <is>
          <t>Technology Strategy &amp; AI Capability</t>
        </is>
      </c>
      <c r="I334" s="260" t="n"/>
      <c r="J334" s="260" t="n"/>
      <c r="K334" s="251" t="inlineStr">
        <is>
          <t>COE</t>
        </is>
      </c>
      <c r="L334" s="251" t="n"/>
      <c r="M334" s="252" t="n"/>
      <c r="N334" t="inlineStr">
        <is>
          <t>COE</t>
        </is>
      </c>
      <c r="O334" t="inlineStr">
        <is>
          <t>COE - Strategy Architecture</t>
        </is>
      </c>
      <c r="P334" t="inlineStr">
        <is>
          <t>COE - Strategy Architecture</t>
        </is>
      </c>
      <c r="Q334" t="inlineStr">
        <is>
          <t>COE</t>
        </is>
      </c>
      <c r="R334" t="inlineStr">
        <is>
          <t>Vacant</t>
        </is>
      </c>
    </row>
    <row r="335" ht="18" customHeight="1" s="849">
      <c r="A335" s="250" t="n">
        <v>102098</v>
      </c>
      <c r="B335" s="220" t="inlineStr">
        <is>
          <t>Bobby Mason</t>
        </is>
      </c>
      <c r="C335" s="220" t="inlineStr">
        <is>
          <t>Reporting Analyst</t>
        </is>
      </c>
      <c r="D335" t="inlineStr">
        <is>
          <t>Vacant</t>
        </is>
      </c>
      <c r="E335" s="220" t="inlineStr">
        <is>
          <t>Lead, Reporting &amp; Insights</t>
        </is>
      </c>
      <c r="F335" s="260" t="inlineStr">
        <is>
          <t>Strategy, Architecture &amp; Data</t>
        </is>
      </c>
      <c r="G335" s="251" t="inlineStr">
        <is>
          <t>Group Data</t>
        </is>
      </c>
      <c r="H335" s="251" t="inlineStr">
        <is>
          <t>Technology, CF Engineering</t>
        </is>
      </c>
      <c r="I335" s="260" t="inlineStr">
        <is>
          <t>Enterprise Data</t>
        </is>
      </c>
      <c r="J335" s="260" t="inlineStr">
        <is>
          <t>Group Data</t>
        </is>
      </c>
      <c r="K335" s="260" t="inlineStr">
        <is>
          <t>Reporting &amp; Analytics</t>
        </is>
      </c>
      <c r="L335" s="251" t="n"/>
      <c r="M335" s="252" t="inlineStr">
        <is>
          <t>Australia</t>
        </is>
      </c>
      <c r="N335" t="inlineStr">
        <is>
          <t>Enterprise Data</t>
        </is>
      </c>
      <c r="O335" t="inlineStr">
        <is>
          <t>Group Data</t>
        </is>
      </c>
      <c r="P335" t="inlineStr">
        <is>
          <t>Reporting &amp; Analytics</t>
        </is>
      </c>
      <c r="Q335" t="inlineStr">
        <is>
          <t>Squad</t>
        </is>
      </c>
      <c r="R335" t="inlineStr">
        <is>
          <t>Filled</t>
        </is>
      </c>
    </row>
    <row r="336" ht="18" customHeight="1" s="849">
      <c r="A336" s="250" t="n"/>
      <c r="B336" s="220" t="inlineStr">
        <is>
          <t>Vacant</t>
        </is>
      </c>
      <c r="C336" s="220" t="inlineStr">
        <is>
          <t>Data Analyst</t>
        </is>
      </c>
      <c r="D336" t="inlineStr">
        <is>
          <t>Vacant</t>
        </is>
      </c>
      <c r="E336" s="220" t="inlineStr">
        <is>
          <t>Technology Manager, Data Science</t>
        </is>
      </c>
      <c r="F336" s="260" t="inlineStr">
        <is>
          <t>Strategy, Architecture &amp; Data</t>
        </is>
      </c>
      <c r="G336" s="251" t="inlineStr">
        <is>
          <t>Group Data</t>
        </is>
      </c>
      <c r="H336" s="260" t="inlineStr">
        <is>
          <t>Data Science</t>
        </is>
      </c>
      <c r="I336" s="260" t="inlineStr">
        <is>
          <t>Enterprise Data</t>
        </is>
      </c>
      <c r="J336" s="260" t="inlineStr">
        <is>
          <t>Group Data</t>
        </is>
      </c>
      <c r="K336" s="251" t="inlineStr">
        <is>
          <t>COE, Data Science</t>
        </is>
      </c>
      <c r="L336" s="251" t="n"/>
      <c r="M336" s="252" t="n"/>
      <c r="N336" t="inlineStr">
        <is>
          <t>Enterprise Data</t>
        </is>
      </c>
      <c r="O336" t="inlineStr">
        <is>
          <t>Group Data</t>
        </is>
      </c>
      <c r="P336" t="inlineStr">
        <is>
          <t>Data Science</t>
        </is>
      </c>
      <c r="Q336" t="inlineStr">
        <is>
          <t>Squad</t>
        </is>
      </c>
      <c r="R336" t="inlineStr">
        <is>
          <t>Vacant</t>
        </is>
      </c>
    </row>
    <row r="337" ht="18" customHeight="1" s="849">
      <c r="A337" s="250" t="n">
        <v>0</v>
      </c>
      <c r="B337" s="220" t="inlineStr">
        <is>
          <t>Dinesh Chandrasekaran</t>
        </is>
      </c>
      <c r="C337" s="220" t="inlineStr">
        <is>
          <t>Lead Engineer (Snowflake)</t>
        </is>
      </c>
      <c r="D337" t="inlineStr">
        <is>
          <t>Vacant</t>
        </is>
      </c>
      <c r="E337" s="220" t="inlineStr">
        <is>
          <t>Technology Manager, Data Engineering &amp; Platforms</t>
        </is>
      </c>
      <c r="F337" s="220" t="inlineStr">
        <is>
          <t>Strategy, Architecture &amp; Data</t>
        </is>
      </c>
      <c r="G337" s="220" t="inlineStr">
        <is>
          <t>Group Data</t>
        </is>
      </c>
      <c r="H337" s="260" t="inlineStr">
        <is>
          <t>Data Engineering &amp; Platforms</t>
        </is>
      </c>
      <c r="I337" s="251" t="inlineStr">
        <is>
          <t>Enterprise Data</t>
        </is>
      </c>
      <c r="J337" s="260" t="inlineStr">
        <is>
          <t>Group Data</t>
        </is>
      </c>
      <c r="K337" s="251" t="inlineStr">
        <is>
          <t>Data Platform</t>
        </is>
      </c>
      <c r="L337" s="251" t="n"/>
      <c r="M337" s="252" t="n">
        <v>0</v>
      </c>
      <c r="N337" t="inlineStr">
        <is>
          <t>Enterprise Data</t>
        </is>
      </c>
      <c r="O337" t="inlineStr">
        <is>
          <t>Group Data</t>
        </is>
      </c>
      <c r="P337" t="inlineStr">
        <is>
          <t>Data Platforms</t>
        </is>
      </c>
      <c r="Q337" t="inlineStr">
        <is>
          <t>Squad</t>
        </is>
      </c>
      <c r="R337" t="inlineStr">
        <is>
          <t>Filled</t>
        </is>
      </c>
    </row>
    <row r="338" ht="18" customHeight="1" s="849">
      <c r="A338" s="250" t="n">
        <v>113451</v>
      </c>
      <c r="B338" s="220" t="inlineStr">
        <is>
          <t>Prashanth Krishnankutty</t>
        </is>
      </c>
      <c r="C338" s="220" t="inlineStr">
        <is>
          <t>Lead Reporting &amp; Insights</t>
        </is>
      </c>
      <c r="D338" t="inlineStr">
        <is>
          <t>Vacant</t>
        </is>
      </c>
      <c r="E338" s="220" t="inlineStr">
        <is>
          <t>Technology Manager, Data Engineering &amp; Platforms</t>
        </is>
      </c>
      <c r="F338" s="260" t="inlineStr">
        <is>
          <t>Strategy, Architecture &amp; Data</t>
        </is>
      </c>
      <c r="G338" s="251" t="inlineStr">
        <is>
          <t>Group Data</t>
        </is>
      </c>
      <c r="H338" s="260" t="inlineStr">
        <is>
          <t>Data Engineering &amp; Platforms</t>
        </is>
      </c>
      <c r="I338" s="260" t="inlineStr">
        <is>
          <t>Enterprise Data</t>
        </is>
      </c>
      <c r="J338" s="260" t="inlineStr">
        <is>
          <t>Group Data</t>
        </is>
      </c>
      <c r="K338" s="260" t="inlineStr">
        <is>
          <t>Reporting &amp; Analytics</t>
        </is>
      </c>
      <c r="L338" s="251" t="n"/>
      <c r="M338" s="252" t="inlineStr">
        <is>
          <t>Australia</t>
        </is>
      </c>
      <c r="N338" t="inlineStr">
        <is>
          <t>Enterprise Data</t>
        </is>
      </c>
      <c r="O338" t="inlineStr">
        <is>
          <t>Group Data</t>
        </is>
      </c>
      <c r="P338" t="inlineStr">
        <is>
          <t>Reporting &amp; Analytics</t>
        </is>
      </c>
      <c r="Q338" t="inlineStr">
        <is>
          <t>Squad</t>
        </is>
      </c>
      <c r="R338" t="inlineStr">
        <is>
          <t>Filled</t>
        </is>
      </c>
    </row>
    <row r="339" ht="18" customHeight="1" s="849">
      <c r="A339" s="250" t="n"/>
      <c r="B339" s="220" t="inlineStr">
        <is>
          <t>ring fenced</t>
        </is>
      </c>
      <c r="C339" s="220" t="inlineStr">
        <is>
          <t>Domain Architect - Retail &amp; Z</t>
        </is>
      </c>
      <c r="D339" t="inlineStr">
        <is>
          <t>Vacant</t>
        </is>
      </c>
      <c r="E339" s="220" t="inlineStr">
        <is>
          <t>Head of Architecture</t>
        </is>
      </c>
      <c r="F339" s="260" t="inlineStr">
        <is>
          <t>Strategy, Architecture &amp; Data</t>
        </is>
      </c>
      <c r="G339" s="251" t="inlineStr">
        <is>
          <t>Architecture</t>
        </is>
      </c>
      <c r="H339" s="282" t="inlineStr">
        <is>
          <t>Architecture</t>
        </is>
      </c>
      <c r="I339" s="260" t="n"/>
      <c r="J339" s="260" t="n"/>
      <c r="K339" s="251" t="inlineStr">
        <is>
          <t>COE, Architecture</t>
        </is>
      </c>
      <c r="L339" s="251" t="n"/>
      <c r="M339" s="252" t="n"/>
      <c r="N339" t="inlineStr">
        <is>
          <t>COE</t>
        </is>
      </c>
      <c r="O339" t="inlineStr">
        <is>
          <t>COE - Strategy Architecture</t>
        </is>
      </c>
      <c r="P339" t="inlineStr">
        <is>
          <t>COE - Strategy Architecture</t>
        </is>
      </c>
      <c r="Q339" t="inlineStr">
        <is>
          <t>COE</t>
        </is>
      </c>
      <c r="R339" t="inlineStr">
        <is>
          <t>Filled</t>
        </is>
      </c>
    </row>
    <row r="340" ht="18" customHeight="1" s="849">
      <c r="A340" s="250" t="n">
        <v>96283</v>
      </c>
      <c r="B340" s="220" t="inlineStr">
        <is>
          <t>Ed Tacey</t>
        </is>
      </c>
      <c r="C340" s="220" t="inlineStr">
        <is>
          <t>Head of Architecture</t>
        </is>
      </c>
      <c r="D340" t="inlineStr">
        <is>
          <t>Vacant</t>
        </is>
      </c>
      <c r="E340" t="inlineStr">
        <is>
          <t>GM TDD, Strategy, Architecture, Data</t>
        </is>
      </c>
      <c r="F340" s="260" t="inlineStr">
        <is>
          <t>Strategy, Architecture &amp; Data</t>
        </is>
      </c>
      <c r="G340" s="251" t="inlineStr">
        <is>
          <t>Architecture</t>
        </is>
      </c>
      <c r="H340" s="251" t="n"/>
      <c r="I340" s="251" t="n"/>
      <c r="J340" s="260" t="n"/>
      <c r="K340" s="260" t="inlineStr">
        <is>
          <t>Leadership</t>
        </is>
      </c>
      <c r="L340" s="251" t="n"/>
      <c r="M340" s="252" t="inlineStr">
        <is>
          <t>Australia</t>
        </is>
      </c>
      <c r="N340" t="inlineStr">
        <is>
          <t>Unmapped</t>
        </is>
      </c>
      <c r="O340" t="inlineStr">
        <is>
          <t>Leadership</t>
        </is>
      </c>
      <c r="P340" t="inlineStr">
        <is>
          <t>Leadership</t>
        </is>
      </c>
      <c r="Q340" t="inlineStr">
        <is>
          <t>Leadership</t>
        </is>
      </c>
      <c r="R340" t="inlineStr">
        <is>
          <t>Filled</t>
        </is>
      </c>
    </row>
    <row r="341" ht="18" customHeight="1" s="849">
      <c r="A341" s="250" t="n"/>
      <c r="B341" s="220" t="inlineStr">
        <is>
          <t>ring fenced</t>
        </is>
      </c>
      <c r="C341" s="220" t="inlineStr">
        <is>
          <t>Enterprise Architect</t>
        </is>
      </c>
      <c r="D341" t="inlineStr">
        <is>
          <t>Vacant</t>
        </is>
      </c>
      <c r="E341" s="220" t="inlineStr">
        <is>
          <t>Head of Architecture</t>
        </is>
      </c>
      <c r="F341" s="260" t="inlineStr">
        <is>
          <t>Strategy, Architecture &amp; Data</t>
        </is>
      </c>
      <c r="G341" s="251" t="inlineStr">
        <is>
          <t>Architecture</t>
        </is>
      </c>
      <c r="H341" s="260" t="inlineStr">
        <is>
          <t>Architecture</t>
        </is>
      </c>
      <c r="I341" s="260" t="n"/>
      <c r="J341" s="260" t="n"/>
      <c r="K341" s="251" t="inlineStr">
        <is>
          <t>COE, Architecture</t>
        </is>
      </c>
      <c r="L341" s="251" t="n"/>
      <c r="M341" s="252" t="n"/>
      <c r="N341" t="inlineStr">
        <is>
          <t>COE</t>
        </is>
      </c>
      <c r="O341" t="inlineStr">
        <is>
          <t>COE - Strategy Architecture</t>
        </is>
      </c>
      <c r="P341" t="inlineStr">
        <is>
          <t>COE - Strategy Architecture</t>
        </is>
      </c>
      <c r="Q341" t="inlineStr">
        <is>
          <t>COE</t>
        </is>
      </c>
      <c r="R341" t="inlineStr">
        <is>
          <t>Filled</t>
        </is>
      </c>
    </row>
    <row r="342" ht="18" customHeight="1" s="849">
      <c r="A342" s="250" t="n"/>
      <c r="B342" s="220" t="inlineStr">
        <is>
          <t>Vacant</t>
        </is>
      </c>
      <c r="C342" s="220" t="inlineStr">
        <is>
          <t>Strategy Analyst</t>
        </is>
      </c>
      <c r="D342" t="inlineStr">
        <is>
          <t>Vacant</t>
        </is>
      </c>
      <c r="E342" s="220" t="inlineStr">
        <is>
          <t>Head of Technology  Strategy &amp; AI Capability</t>
        </is>
      </c>
      <c r="F342" s="260" t="inlineStr">
        <is>
          <t>Strategy, Architecture &amp; Data</t>
        </is>
      </c>
      <c r="G342" s="251" t="inlineStr">
        <is>
          <t>Technology Strategy &amp; AI Capability</t>
        </is>
      </c>
      <c r="H342" s="251" t="inlineStr">
        <is>
          <t>Technology Strategy &amp; AI Capability</t>
        </is>
      </c>
      <c r="I342" s="260" t="n"/>
      <c r="J342" s="260" t="n"/>
      <c r="K342" s="251" t="inlineStr">
        <is>
          <t>COE</t>
        </is>
      </c>
      <c r="L342" s="251" t="n"/>
      <c r="M342" s="252" t="n"/>
      <c r="N342" t="inlineStr">
        <is>
          <t>COE</t>
        </is>
      </c>
      <c r="O342" t="inlineStr">
        <is>
          <t>COE - Strategy Architecture</t>
        </is>
      </c>
      <c r="P342" t="inlineStr">
        <is>
          <t>COE - Strategy Architecture</t>
        </is>
      </c>
      <c r="Q342" t="inlineStr">
        <is>
          <t>COE</t>
        </is>
      </c>
      <c r="R342" t="inlineStr">
        <is>
          <t>Vacant</t>
        </is>
      </c>
    </row>
    <row r="343" ht="18" customFormat="1" customHeight="1" s="272">
      <c r="A343" s="270" t="n"/>
      <c r="B343" s="265" t="inlineStr">
        <is>
          <t>Vacant</t>
        </is>
      </c>
      <c r="C343" s="265" t="inlineStr">
        <is>
          <t>Tech Support Technician</t>
        </is>
      </c>
      <c r="D343" s="283" t="inlineStr">
        <is>
          <t>Allan Francia</t>
        </is>
      </c>
      <c r="E343" s="265" t="inlineStr">
        <is>
          <t>Technology Manager, T&amp;S</t>
        </is>
      </c>
      <c r="F343" s="265" t="inlineStr">
        <is>
          <t>TDD CFE&amp;I</t>
        </is>
      </c>
      <c r="G343" s="267" t="inlineStr">
        <is>
          <t>Commercial Fuels</t>
        </is>
      </c>
      <c r="H343" s="267" t="inlineStr">
        <is>
          <t>Technology, Trading &amp; Shipping</t>
        </is>
      </c>
      <c r="I343" s="267" t="inlineStr">
        <is>
          <t>Commercial Fuels</t>
        </is>
      </c>
      <c r="J343" s="267" t="inlineStr">
        <is>
          <t>Trading &amp; Shipping</t>
        </is>
      </c>
      <c r="K343" s="265" t="inlineStr">
        <is>
          <t>Trading &amp; Shipping</t>
        </is>
      </c>
      <c r="L343" s="267" t="n"/>
      <c r="M343" s="271" t="n"/>
      <c r="N343" t="inlineStr">
        <is>
          <t>Commercial Fuels</t>
        </is>
      </c>
      <c r="O343" t="inlineStr">
        <is>
          <t>Trading &amp; Shipping</t>
        </is>
      </c>
      <c r="P343" t="inlineStr">
        <is>
          <t>Trading &amp; Shipping</t>
        </is>
      </c>
      <c r="Q343" t="inlineStr">
        <is>
          <t>Squad</t>
        </is>
      </c>
      <c r="R343" t="inlineStr">
        <is>
          <t>Vacant</t>
        </is>
      </c>
    </row>
    <row r="344" ht="18" customHeight="1" s="849">
      <c r="A344" s="250" t="n">
        <v>116312</v>
      </c>
      <c r="B344" s="220" t="inlineStr">
        <is>
          <t>Trung Truong</t>
        </is>
      </c>
      <c r="C344" s="220" t="inlineStr">
        <is>
          <t>Engineer Applications</t>
        </is>
      </c>
      <c r="D344" t="inlineStr">
        <is>
          <t>Allan Francia</t>
        </is>
      </c>
      <c r="E344" t="inlineStr">
        <is>
          <t>Technology Manager, T&amp;S</t>
        </is>
      </c>
      <c r="F344" s="220" t="inlineStr">
        <is>
          <t>TDD CFE&amp;I</t>
        </is>
      </c>
      <c r="G344" s="251" t="inlineStr">
        <is>
          <t>Commercial Fuels</t>
        </is>
      </c>
      <c r="H344" s="251" t="inlineStr">
        <is>
          <t>Trading &amp; Shipping</t>
        </is>
      </c>
      <c r="I344" s="251" t="inlineStr">
        <is>
          <t>Commercial Fuels</t>
        </is>
      </c>
      <c r="J344" s="220" t="inlineStr">
        <is>
          <t>CTRM</t>
        </is>
      </c>
      <c r="K344" s="220" t="inlineStr">
        <is>
          <t>CTRM</t>
        </is>
      </c>
      <c r="L344" s="251" t="n"/>
      <c r="M344" s="252" t="inlineStr">
        <is>
          <t>Singapore</t>
        </is>
      </c>
      <c r="N344" t="inlineStr">
        <is>
          <t>Commercial Fuels</t>
        </is>
      </c>
      <c r="O344" t="inlineStr">
        <is>
          <t>CTRM</t>
        </is>
      </c>
      <c r="P344" t="inlineStr">
        <is>
          <t>CTRM</t>
        </is>
      </c>
      <c r="Q344" t="inlineStr">
        <is>
          <t>Strategic Program</t>
        </is>
      </c>
      <c r="R344" t="inlineStr">
        <is>
          <t>Filled</t>
        </is>
      </c>
    </row>
    <row r="345" ht="13.5" customHeight="1" s="849">
      <c r="A345" s="250" t="n">
        <v>6511</v>
      </c>
      <c r="B345" s="220" t="inlineStr">
        <is>
          <t>Leo Machin</t>
        </is>
      </c>
      <c r="C345" s="220" t="inlineStr">
        <is>
          <t>Lead Engineer Applications</t>
        </is>
      </c>
      <c r="D345" t="inlineStr">
        <is>
          <t>Allan Francia</t>
        </is>
      </c>
      <c r="E345" t="inlineStr">
        <is>
          <t>Technology Manager, T&amp;S</t>
        </is>
      </c>
      <c r="F345" s="220" t="inlineStr">
        <is>
          <t>TDD CFE&amp;I</t>
        </is>
      </c>
      <c r="G345" s="251" t="inlineStr">
        <is>
          <t>Commercial Fuels</t>
        </is>
      </c>
      <c r="H345" s="251" t="inlineStr">
        <is>
          <t>Technology, Trading &amp; Shipping</t>
        </is>
      </c>
      <c r="I345" s="251" t="inlineStr">
        <is>
          <t>Commercial Fuels</t>
        </is>
      </c>
      <c r="J345" s="251" t="inlineStr">
        <is>
          <t>Ampol Digital</t>
        </is>
      </c>
      <c r="K345" s="220" t="inlineStr">
        <is>
          <t>Trading &amp; Shipping</t>
        </is>
      </c>
      <c r="L345" s="251" t="n"/>
      <c r="M345" s="252"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849">
      <c r="A346" s="250" t="n">
        <v>11661</v>
      </c>
      <c r="B346" s="260" t="inlineStr">
        <is>
          <t>Kevin Li</t>
        </is>
      </c>
      <c r="C346" s="260" t="inlineStr">
        <is>
          <t>System Specialist</t>
        </is>
      </c>
      <c r="D346" s="253" t="inlineStr">
        <is>
          <t>Allan Francia</t>
        </is>
      </c>
      <c r="E346" t="inlineStr">
        <is>
          <t>Technology Manager, T&amp;S</t>
        </is>
      </c>
      <c r="F346" s="220" t="inlineStr">
        <is>
          <t>TDD CFE&amp;I</t>
        </is>
      </c>
      <c r="G346" s="251" t="inlineStr">
        <is>
          <t>Commercial Fuels</t>
        </is>
      </c>
      <c r="H346" s="251" t="inlineStr">
        <is>
          <t>Technology, Trading &amp; Shipping</t>
        </is>
      </c>
      <c r="I346" s="251" t="inlineStr">
        <is>
          <t>Commercial Fuels</t>
        </is>
      </c>
      <c r="J346" s="251" t="inlineStr">
        <is>
          <t>Trading &amp; Shipping</t>
        </is>
      </c>
      <c r="K346" s="251" t="inlineStr">
        <is>
          <t>Trading &amp; Shipping</t>
        </is>
      </c>
      <c r="L346" s="251" t="n"/>
      <c r="M346" s="252"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849">
      <c r="A347" s="250" t="n">
        <v>115836</v>
      </c>
      <c r="B347" s="220" t="inlineStr">
        <is>
          <t>JR Panganiban</t>
        </is>
      </c>
      <c r="C347" s="220" t="inlineStr">
        <is>
          <t>Technology Support Engineer</t>
        </is>
      </c>
      <c r="D347" t="inlineStr">
        <is>
          <t>Allan Francia</t>
        </is>
      </c>
      <c r="E347" t="inlineStr">
        <is>
          <t>Technology Manager, T&amp;S</t>
        </is>
      </c>
      <c r="F347" s="220" t="inlineStr">
        <is>
          <t>TDD CFE&amp;I</t>
        </is>
      </c>
      <c r="G347" s="251" t="inlineStr">
        <is>
          <t>Commercial Fuels</t>
        </is>
      </c>
      <c r="H347" s="251" t="inlineStr">
        <is>
          <t>Technology, Trading &amp; Shipping</t>
        </is>
      </c>
      <c r="I347" s="251" t="inlineStr">
        <is>
          <t>Commercial Fuels</t>
        </is>
      </c>
      <c r="J347" s="251" t="inlineStr">
        <is>
          <t>Trading &amp; Shipping</t>
        </is>
      </c>
      <c r="K347" s="220" t="inlineStr">
        <is>
          <t>Trading &amp; Shipping</t>
        </is>
      </c>
      <c r="L347" s="251" t="n"/>
      <c r="M347" s="252" t="inlineStr">
        <is>
          <t>USA</t>
        </is>
      </c>
      <c r="N347" t="inlineStr">
        <is>
          <t>Commercial Fuels</t>
        </is>
      </c>
      <c r="O347" t="inlineStr">
        <is>
          <t>Trading &amp; Shipping</t>
        </is>
      </c>
      <c r="P347" t="inlineStr">
        <is>
          <t>Trading &amp; Shipping</t>
        </is>
      </c>
      <c r="Q347" t="inlineStr">
        <is>
          <t>Squad</t>
        </is>
      </c>
      <c r="R347" t="inlineStr">
        <is>
          <t>Filled</t>
        </is>
      </c>
    </row>
    <row r="348" ht="18" customHeight="1" s="849">
      <c r="A348" s="250" t="n">
        <v>14920</v>
      </c>
      <c r="B348" s="220" t="inlineStr">
        <is>
          <t>Poch Fernandez</t>
        </is>
      </c>
      <c r="C348" s="220" t="inlineStr">
        <is>
          <t xml:space="preserve">Lead Technology Support  </t>
        </is>
      </c>
      <c r="D348" t="inlineStr">
        <is>
          <t>Allan Francia</t>
        </is>
      </c>
      <c r="E348" t="inlineStr">
        <is>
          <t>Technology Manager, T&amp;S</t>
        </is>
      </c>
      <c r="F348" s="220" t="inlineStr">
        <is>
          <t>TDD CFE&amp;I</t>
        </is>
      </c>
      <c r="G348" s="251" t="inlineStr">
        <is>
          <t>Commercial Fuels</t>
        </is>
      </c>
      <c r="H348" s="251" t="inlineStr">
        <is>
          <t>Technology, Trading &amp; Shipping</t>
        </is>
      </c>
      <c r="I348" s="251" t="inlineStr">
        <is>
          <t>Commercial Fuels</t>
        </is>
      </c>
      <c r="J348" s="251" t="inlineStr">
        <is>
          <t>Trading &amp; Shipping</t>
        </is>
      </c>
      <c r="K348" s="220" t="inlineStr">
        <is>
          <t>Trading &amp; Shipping</t>
        </is>
      </c>
      <c r="L348" s="251" t="n"/>
      <c r="M348" s="252"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849">
      <c r="A349" s="250" t="n">
        <v>14013</v>
      </c>
      <c r="B349" s="220" t="inlineStr">
        <is>
          <t>Jem Cruz</t>
        </is>
      </c>
      <c r="C349" s="220" t="inlineStr">
        <is>
          <t>System Specialist</t>
        </is>
      </c>
      <c r="D349" t="inlineStr">
        <is>
          <t>Allan Francia</t>
        </is>
      </c>
      <c r="E349" t="inlineStr">
        <is>
          <t>Technology Manager, T&amp;S</t>
        </is>
      </c>
      <c r="F349" s="220" t="inlineStr">
        <is>
          <t>TDD CFE&amp;I</t>
        </is>
      </c>
      <c r="G349" s="251" t="inlineStr">
        <is>
          <t>Commercial Fuels</t>
        </is>
      </c>
      <c r="H349" s="251" t="inlineStr">
        <is>
          <t>Technology, Trading &amp; Shipping</t>
        </is>
      </c>
      <c r="I349" s="251" t="inlineStr">
        <is>
          <t>Commercial Fuels</t>
        </is>
      </c>
      <c r="J349" s="251" t="inlineStr">
        <is>
          <t>Trading &amp; Shipping</t>
        </is>
      </c>
      <c r="K349" s="220" t="inlineStr">
        <is>
          <t>Trading &amp; Shipping</t>
        </is>
      </c>
      <c r="L349" s="251" t="n"/>
      <c r="M349" s="252"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849">
      <c r="A350" s="250" t="n">
        <v>106547</v>
      </c>
      <c r="B350" s="220" t="inlineStr">
        <is>
          <t>Chin Fang Kwek</t>
        </is>
      </c>
      <c r="C350" s="220" t="inlineStr">
        <is>
          <t>System Analyst</t>
        </is>
      </c>
      <c r="D350" t="inlineStr">
        <is>
          <t>Allan Francia</t>
        </is>
      </c>
      <c r="E350" t="inlineStr">
        <is>
          <t>Technology Manager, T&amp;S</t>
        </is>
      </c>
      <c r="F350" s="220" t="inlineStr">
        <is>
          <t>TDD CFE&amp;I</t>
        </is>
      </c>
      <c r="G350" s="251" t="inlineStr">
        <is>
          <t>Commercial Fuels</t>
        </is>
      </c>
      <c r="H350" s="251" t="inlineStr">
        <is>
          <t>Technology, Trading &amp; Shipping</t>
        </is>
      </c>
      <c r="I350" s="251" t="inlineStr">
        <is>
          <t>Commercial Fuels</t>
        </is>
      </c>
      <c r="J350" s="251" t="inlineStr">
        <is>
          <t>Trading &amp; Shipping</t>
        </is>
      </c>
      <c r="K350" s="220" t="inlineStr">
        <is>
          <t>Trading &amp; Shipping</t>
        </is>
      </c>
      <c r="L350" s="251" t="n"/>
      <c r="M350" s="252"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849">
      <c r="A351" s="250" t="n"/>
      <c r="B351" s="220" t="inlineStr">
        <is>
          <t>vacant</t>
        </is>
      </c>
      <c r="C351" s="220" t="inlineStr">
        <is>
          <t>Technology Manager Data</t>
        </is>
      </c>
      <c r="D351" t="inlineStr">
        <is>
          <t>Amish Pandit</t>
        </is>
      </c>
      <c r="E351" t="inlineStr">
        <is>
          <t>Head of Technology, Fuel Infrastructure</t>
        </is>
      </c>
      <c r="F351" s="220" t="inlineStr">
        <is>
          <t>TDD CFE&amp;I</t>
        </is>
      </c>
      <c r="G351" s="251" t="inlineStr">
        <is>
          <t>Fuel Infrastructure</t>
        </is>
      </c>
      <c r="H351" s="251" t="inlineStr">
        <is>
          <t>Fuel Infrastructure, Data</t>
        </is>
      </c>
      <c r="I351" s="251" t="inlineStr">
        <is>
          <t>Infrastructure</t>
        </is>
      </c>
      <c r="J351" s="220" t="inlineStr">
        <is>
          <t>Leadership</t>
        </is>
      </c>
      <c r="K351" s="220" t="inlineStr">
        <is>
          <t>Leadership</t>
        </is>
      </c>
      <c r="L351" s="251" t="n"/>
      <c r="M351" s="252" t="n"/>
      <c r="N351" t="inlineStr">
        <is>
          <t>Infrastructure</t>
        </is>
      </c>
      <c r="O351" t="inlineStr">
        <is>
          <t>Leadership</t>
        </is>
      </c>
      <c r="P351" t="inlineStr">
        <is>
          <t>Leadership</t>
        </is>
      </c>
      <c r="Q351" t="inlineStr">
        <is>
          <t>Leadership</t>
        </is>
      </c>
      <c r="R351" t="inlineStr">
        <is>
          <t>Vacant</t>
        </is>
      </c>
    </row>
    <row r="352" ht="18" customHeight="1" s="849">
      <c r="A352" s="250" t="n">
        <v>109475</v>
      </c>
      <c r="B352" s="220" t="inlineStr">
        <is>
          <t>Jaya Ganasan</t>
        </is>
      </c>
      <c r="C352" s="284" t="inlineStr">
        <is>
          <t>B2B &amp; Energy+B452:I452</t>
        </is>
      </c>
      <c r="D352" t="inlineStr">
        <is>
          <t>Amish Pandit</t>
        </is>
      </c>
      <c r="E352" t="inlineStr">
        <is>
          <t>Head of Technology, Fuel Infrastructure</t>
        </is>
      </c>
      <c r="F352" s="220" t="inlineStr">
        <is>
          <t>TDD CFE&amp;I</t>
        </is>
      </c>
      <c r="G352" s="251" t="inlineStr">
        <is>
          <t>Fuel Infrastructure</t>
        </is>
      </c>
      <c r="H352" s="251" t="inlineStr">
        <is>
          <t>Refinery Applications</t>
        </is>
      </c>
      <c r="I352" s="251" t="inlineStr">
        <is>
          <t>Infrastructure</t>
        </is>
      </c>
      <c r="J352" s="251" t="inlineStr">
        <is>
          <t>Manufacturing</t>
        </is>
      </c>
      <c r="K352" s="220" t="inlineStr">
        <is>
          <t>Manufacturing Group Projects</t>
        </is>
      </c>
      <c r="L352" s="251" t="n"/>
      <c r="M352" s="252"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849">
      <c r="A353" s="250" t="n">
        <v>101861</v>
      </c>
      <c r="B353" s="220" t="inlineStr">
        <is>
          <t>Prem Shetty</t>
        </is>
      </c>
      <c r="C353" s="220" t="inlineStr">
        <is>
          <t>Delivery manager</t>
        </is>
      </c>
      <c r="D353" t="inlineStr">
        <is>
          <t>Amish Pandit</t>
        </is>
      </c>
      <c r="E353" t="inlineStr">
        <is>
          <t>Head of Technology, Fuel Infrastructure</t>
        </is>
      </c>
      <c r="F353" s="220" t="inlineStr">
        <is>
          <t>TDD CFE&amp;I</t>
        </is>
      </c>
      <c r="G353" s="251" t="inlineStr">
        <is>
          <t>Fuel Infrastructure</t>
        </is>
      </c>
      <c r="H353" s="251" t="inlineStr">
        <is>
          <t>Fuel Infrastructure, Delivery</t>
        </is>
      </c>
      <c r="I353" s="251" t="inlineStr">
        <is>
          <t>Infrastructure</t>
        </is>
      </c>
      <c r="J353" s="251" t="inlineStr">
        <is>
          <t xml:space="preserve">Leadership </t>
        </is>
      </c>
      <c r="K353" s="220" t="inlineStr">
        <is>
          <t>Leadership</t>
        </is>
      </c>
      <c r="L353" s="251" t="n"/>
      <c r="M353" s="252" t="n"/>
      <c r="N353" t="inlineStr">
        <is>
          <t>Infrastructure</t>
        </is>
      </c>
      <c r="O353" t="inlineStr">
        <is>
          <t>Leadership</t>
        </is>
      </c>
      <c r="P353" t="inlineStr">
        <is>
          <t>Leadership</t>
        </is>
      </c>
      <c r="Q353" t="inlineStr">
        <is>
          <t>Leadership</t>
        </is>
      </c>
      <c r="R353" t="inlineStr">
        <is>
          <t>Filled</t>
        </is>
      </c>
    </row>
    <row r="354" ht="18" customHeight="1" s="849">
      <c r="A354" s="250" t="n">
        <v>106201</v>
      </c>
      <c r="B354" s="260" t="inlineStr">
        <is>
          <t>George Moun</t>
        </is>
      </c>
      <c r="C354" s="260" t="inlineStr">
        <is>
          <t>Solution Architect</t>
        </is>
      </c>
      <c r="D354" s="253" t="inlineStr">
        <is>
          <t>Amish Pandit</t>
        </is>
      </c>
      <c r="E354" s="253" t="inlineStr">
        <is>
          <t>Head of Technology, Infrastructure</t>
        </is>
      </c>
      <c r="F354" s="220" t="inlineStr">
        <is>
          <t>TDD CFE&amp;I</t>
        </is>
      </c>
      <c r="G354" s="251" t="inlineStr">
        <is>
          <t>Fuel Infrastructure</t>
        </is>
      </c>
      <c r="H354" s="251" t="inlineStr">
        <is>
          <t>Fuel Infrastructure</t>
        </is>
      </c>
      <c r="I354" s="251" t="inlineStr">
        <is>
          <t>Infrastructure</t>
        </is>
      </c>
      <c r="J354" s="251" t="inlineStr">
        <is>
          <t xml:space="preserve">Leadership </t>
        </is>
      </c>
      <c r="K354" s="251" t="inlineStr">
        <is>
          <t>Leadership</t>
        </is>
      </c>
      <c r="L354" s="251" t="n"/>
      <c r="M354" s="252" t="inlineStr">
        <is>
          <t>Australia</t>
        </is>
      </c>
      <c r="N354" t="inlineStr">
        <is>
          <t>Infrastructure</t>
        </is>
      </c>
      <c r="O354" t="inlineStr">
        <is>
          <t>Leadership</t>
        </is>
      </c>
      <c r="P354" t="inlineStr">
        <is>
          <t>Leadership</t>
        </is>
      </c>
      <c r="Q354" t="inlineStr">
        <is>
          <t>Leadership</t>
        </is>
      </c>
      <c r="R354" t="inlineStr">
        <is>
          <t>Filled</t>
        </is>
      </c>
    </row>
    <row r="355" ht="18" customHeight="1" s="849">
      <c r="A355" s="250" t="n">
        <v>99999101636</v>
      </c>
      <c r="B355" s="220" t="inlineStr">
        <is>
          <t>Rod Santillan</t>
        </is>
      </c>
      <c r="C355" s="220" t="inlineStr">
        <is>
          <t>Snr Engineer Software</t>
        </is>
      </c>
      <c r="D355" t="inlineStr">
        <is>
          <t>Elle Spencer</t>
        </is>
      </c>
      <c r="E355" t="inlineStr">
        <is>
          <t>Technology Manager, Energy Solutions</t>
        </is>
      </c>
      <c r="F355" s="220" t="inlineStr">
        <is>
          <t>TDD CFE&amp;I</t>
        </is>
      </c>
      <c r="G355" s="251" t="inlineStr">
        <is>
          <t>B2B &amp; Energy Solutions</t>
        </is>
      </c>
      <c r="H355" s="251" t="inlineStr">
        <is>
          <t>Technology B2B</t>
        </is>
      </c>
      <c r="I355" s="251" t="inlineStr">
        <is>
          <t>B2B &amp; Energy Solutions</t>
        </is>
      </c>
      <c r="J355" s="220" t="inlineStr">
        <is>
          <t>B2B</t>
        </is>
      </c>
      <c r="K355" s="220" t="inlineStr">
        <is>
          <t>B2B</t>
        </is>
      </c>
      <c r="L355" s="251" t="n"/>
      <c r="M355" s="252" t="inlineStr">
        <is>
          <t>NZ</t>
        </is>
      </c>
      <c r="N355" t="inlineStr">
        <is>
          <t>Energy Solutions &amp; B2B</t>
        </is>
      </c>
      <c r="O355" t="inlineStr">
        <is>
          <t>B2B</t>
        </is>
      </c>
      <c r="P355" t="inlineStr">
        <is>
          <t>B2B</t>
        </is>
      </c>
      <c r="Q355" t="inlineStr">
        <is>
          <t>Squad</t>
        </is>
      </c>
      <c r="R355" t="inlineStr">
        <is>
          <t>Filled</t>
        </is>
      </c>
    </row>
    <row r="356" ht="18" customFormat="1" customHeight="1" s="289">
      <c r="A356" s="285" t="n">
        <v>90813</v>
      </c>
      <c r="B356" s="261" t="inlineStr">
        <is>
          <t>Vacant  (Contract)</t>
        </is>
      </c>
      <c r="C356" s="261" t="inlineStr">
        <is>
          <t>Senior Systems Analyst - Card</t>
        </is>
      </c>
      <c r="D356" s="286" t="inlineStr">
        <is>
          <t>Elle Spencer</t>
        </is>
      </c>
      <c r="E356" s="286" t="inlineStr">
        <is>
          <t>Technology Manager, Energy Solutions</t>
        </is>
      </c>
      <c r="F356" s="261" t="inlineStr">
        <is>
          <t>TDD CFE&amp;I</t>
        </is>
      </c>
      <c r="G356" s="287" t="inlineStr">
        <is>
          <t>B2B &amp; Energy Solutions</t>
        </is>
      </c>
      <c r="H356" s="287" t="inlineStr">
        <is>
          <t>Technology B2B</t>
        </is>
      </c>
      <c r="I356" s="287" t="inlineStr">
        <is>
          <t>B2B &amp; Energy Solutions</t>
        </is>
      </c>
      <c r="J356" s="261" t="inlineStr">
        <is>
          <t>B2B</t>
        </is>
      </c>
      <c r="K356" s="261" t="inlineStr">
        <is>
          <t>B2B</t>
        </is>
      </c>
      <c r="L356" s="287" t="n"/>
      <c r="M356" s="288" t="inlineStr">
        <is>
          <t>Australia</t>
        </is>
      </c>
      <c r="N356" t="inlineStr">
        <is>
          <t>Energy Solutions &amp; B2B</t>
        </is>
      </c>
      <c r="O356" t="inlineStr">
        <is>
          <t>B2B</t>
        </is>
      </c>
      <c r="P356" t="inlineStr">
        <is>
          <t>B2B</t>
        </is>
      </c>
      <c r="Q356" t="inlineStr">
        <is>
          <t>Squad</t>
        </is>
      </c>
      <c r="R356" t="inlineStr">
        <is>
          <t>Filled</t>
        </is>
      </c>
    </row>
    <row r="357" ht="18" customHeight="1" s="849">
      <c r="A357" s="250" t="n">
        <v>99691</v>
      </c>
      <c r="B357" s="220" t="inlineStr">
        <is>
          <t>Frank Liang</t>
        </is>
      </c>
      <c r="C357" s="220" t="inlineStr">
        <is>
          <t>Senior Systems Analyst</t>
        </is>
      </c>
      <c r="D357" t="inlineStr">
        <is>
          <t>Elle Spencer</t>
        </is>
      </c>
      <c r="E357" t="inlineStr">
        <is>
          <t>Technology Manager, Energy Solutions</t>
        </is>
      </c>
      <c r="F357" s="220" t="inlineStr">
        <is>
          <t>TDD CFE&amp;I</t>
        </is>
      </c>
      <c r="G357" s="251" t="inlineStr">
        <is>
          <t>B2B &amp; Energy Solutions</t>
        </is>
      </c>
      <c r="H357" s="251" t="inlineStr">
        <is>
          <t>Technology B2B</t>
        </is>
      </c>
      <c r="I357" s="251" t="inlineStr">
        <is>
          <t>B2B &amp; Energy Solutions</t>
        </is>
      </c>
      <c r="J357" s="220" t="inlineStr">
        <is>
          <t>B2B</t>
        </is>
      </c>
      <c r="K357" s="220" t="inlineStr">
        <is>
          <t>B2B</t>
        </is>
      </c>
      <c r="L357" s="251" t="n"/>
      <c r="M357" s="252" t="inlineStr">
        <is>
          <t>Australia</t>
        </is>
      </c>
      <c r="N357" t="inlineStr">
        <is>
          <t>Energy Solutions &amp; B2B</t>
        </is>
      </c>
      <c r="O357" t="inlineStr">
        <is>
          <t>B2B</t>
        </is>
      </c>
      <c r="P357" t="inlineStr">
        <is>
          <t>B2B</t>
        </is>
      </c>
      <c r="Q357" t="inlineStr">
        <is>
          <t>Squad</t>
        </is>
      </c>
      <c r="R357" t="inlineStr">
        <is>
          <t>Filled</t>
        </is>
      </c>
    </row>
    <row r="358" ht="18" customHeight="1" s="849">
      <c r="A358" s="250" t="n">
        <v>105799</v>
      </c>
      <c r="B358" s="220" t="inlineStr">
        <is>
          <t>Lindsay Baipas</t>
        </is>
      </c>
      <c r="C358" s="220" t="inlineStr">
        <is>
          <t>System Analyst Card</t>
        </is>
      </c>
      <c r="D358" t="inlineStr">
        <is>
          <t>Elle Spencer</t>
        </is>
      </c>
      <c r="E358" t="inlineStr">
        <is>
          <t>Technology Manager, Energy Solutions</t>
        </is>
      </c>
      <c r="F358" s="220" t="inlineStr">
        <is>
          <t>TDD CFE&amp;I</t>
        </is>
      </c>
      <c r="G358" s="251" t="inlineStr">
        <is>
          <t>B2B &amp; Energy Solutions</t>
        </is>
      </c>
      <c r="H358" s="251" t="inlineStr">
        <is>
          <t>Technology B2B</t>
        </is>
      </c>
      <c r="I358" s="251" t="inlineStr">
        <is>
          <t>B2B &amp; Energy Solutions</t>
        </is>
      </c>
      <c r="J358" s="220" t="inlineStr">
        <is>
          <t>B2B</t>
        </is>
      </c>
      <c r="K358" s="220" t="inlineStr">
        <is>
          <t>B2B</t>
        </is>
      </c>
      <c r="L358" s="251" t="n"/>
      <c r="M358" s="252" t="inlineStr">
        <is>
          <t>Australia</t>
        </is>
      </c>
      <c r="N358" t="inlineStr">
        <is>
          <t>Energy Solutions &amp; B2B</t>
        </is>
      </c>
      <c r="O358" t="inlineStr">
        <is>
          <t>B2B</t>
        </is>
      </c>
      <c r="P358" t="inlineStr">
        <is>
          <t>B2B</t>
        </is>
      </c>
      <c r="Q358" t="inlineStr">
        <is>
          <t>Squad</t>
        </is>
      </c>
      <c r="R358" t="inlineStr">
        <is>
          <t>Filled</t>
        </is>
      </c>
    </row>
    <row r="359" ht="18" customHeight="1" s="849">
      <c r="A359" s="250" t="n">
        <v>99999101912</v>
      </c>
      <c r="B359" s="220" t="inlineStr">
        <is>
          <t>Alex Abelita</t>
        </is>
      </c>
      <c r="C359" s="220" t="inlineStr">
        <is>
          <t>Associate Engineer - Automation Testing</t>
        </is>
      </c>
      <c r="D359" t="inlineStr">
        <is>
          <t>Elle Spencer</t>
        </is>
      </c>
      <c r="E359" t="inlineStr">
        <is>
          <t>Technology Manager, Energy Solutions</t>
        </is>
      </c>
      <c r="F359" s="220" t="inlineStr">
        <is>
          <t>TDD CFE&amp;I</t>
        </is>
      </c>
      <c r="G359" s="251" t="inlineStr">
        <is>
          <t>B2B &amp; Energy Solutions</t>
        </is>
      </c>
      <c r="H359" s="251" t="inlineStr">
        <is>
          <t>Technology B2B</t>
        </is>
      </c>
      <c r="I359" s="251" t="inlineStr">
        <is>
          <t>B2B &amp; Energy Solutions</t>
        </is>
      </c>
      <c r="J359" s="220" t="inlineStr">
        <is>
          <t>B2B</t>
        </is>
      </c>
      <c r="K359" s="220" t="inlineStr">
        <is>
          <t>B2B</t>
        </is>
      </c>
      <c r="L359" s="251" t="n"/>
      <c r="M359" s="252" t="inlineStr">
        <is>
          <t>NZ</t>
        </is>
      </c>
      <c r="N359" t="inlineStr">
        <is>
          <t>Energy Solutions &amp; B2B</t>
        </is>
      </c>
      <c r="O359" t="inlineStr">
        <is>
          <t>B2B</t>
        </is>
      </c>
      <c r="P359" t="inlineStr">
        <is>
          <t>B2B</t>
        </is>
      </c>
      <c r="Q359" t="inlineStr">
        <is>
          <t>Squad</t>
        </is>
      </c>
      <c r="R359" t="inlineStr">
        <is>
          <t>Filled</t>
        </is>
      </c>
    </row>
    <row r="360" ht="18" customHeight="1" s="849">
      <c r="A360" s="250" t="n">
        <v>114366</v>
      </c>
      <c r="B360" s="220" t="inlineStr">
        <is>
          <t>Allyn Puente</t>
        </is>
      </c>
      <c r="C360" s="220" t="inlineStr">
        <is>
          <t>Graduate</t>
        </is>
      </c>
      <c r="D360" t="inlineStr">
        <is>
          <t>Elle Spencer</t>
        </is>
      </c>
      <c r="E360" t="inlineStr">
        <is>
          <t>Technology Manager, Energy Solutions</t>
        </is>
      </c>
      <c r="F360" s="220" t="inlineStr">
        <is>
          <t>TDD CFE&amp;I</t>
        </is>
      </c>
      <c r="G360" s="251" t="inlineStr">
        <is>
          <t>B2B &amp; Energy Solutions</t>
        </is>
      </c>
      <c r="H360" s="251" t="inlineStr">
        <is>
          <t>Technology B2B</t>
        </is>
      </c>
      <c r="I360" s="251" t="inlineStr">
        <is>
          <t>B2B &amp; Energy Solutions</t>
        </is>
      </c>
      <c r="J360" s="220" t="inlineStr">
        <is>
          <t>B2B</t>
        </is>
      </c>
      <c r="K360" s="220" t="inlineStr">
        <is>
          <t>B2B</t>
        </is>
      </c>
      <c r="L360" s="251" t="n"/>
      <c r="M360" s="252" t="inlineStr">
        <is>
          <t>Australia</t>
        </is>
      </c>
      <c r="N360" t="inlineStr">
        <is>
          <t>Energy Solutions &amp; B2B</t>
        </is>
      </c>
      <c r="O360" t="inlineStr">
        <is>
          <t>B2B</t>
        </is>
      </c>
      <c r="P360" t="inlineStr">
        <is>
          <t>B2B</t>
        </is>
      </c>
      <c r="Q360" t="inlineStr">
        <is>
          <t>Squad</t>
        </is>
      </c>
      <c r="R360" t="inlineStr">
        <is>
          <t>Filled</t>
        </is>
      </c>
    </row>
    <row r="361" ht="18" customHeight="1" s="849">
      <c r="A361" s="250" t="n">
        <v>109362</v>
      </c>
      <c r="B361" s="220" t="inlineStr">
        <is>
          <t>Scott Hasson</t>
        </is>
      </c>
      <c r="C361" s="220" t="inlineStr">
        <is>
          <t>Technology Support Engineer - Infrastructure</t>
        </is>
      </c>
      <c r="D361" t="inlineStr">
        <is>
          <t>Glenn Earl</t>
        </is>
      </c>
      <c r="E361" t="inlineStr">
        <is>
          <t>Lead Support, Infrastructure</t>
        </is>
      </c>
      <c r="F361" s="220" t="inlineStr">
        <is>
          <t>TDD CFE&amp;I</t>
        </is>
      </c>
      <c r="G361" s="251" t="inlineStr">
        <is>
          <t>Fuel Infrastructure</t>
        </is>
      </c>
      <c r="H361" s="251" t="inlineStr">
        <is>
          <t>Refinery Applications</t>
        </is>
      </c>
      <c r="I361" s="253" t="inlineStr">
        <is>
          <t>Infrastructure</t>
        </is>
      </c>
      <c r="J361" s="251" t="inlineStr">
        <is>
          <t>Fuel Infrastructure</t>
        </is>
      </c>
      <c r="K361" t="inlineStr">
        <is>
          <t>Technology Suport</t>
        </is>
      </c>
      <c r="L361" s="251" t="n"/>
      <c r="M361" s="252"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89">
      <c r="A362" s="285" t="n">
        <v>92699</v>
      </c>
      <c r="B362" s="261" t="inlineStr">
        <is>
          <t>Vacant</t>
        </is>
      </c>
      <c r="C362" s="261" t="inlineStr">
        <is>
          <t>Technology Support Engineer - Infrastructure</t>
        </is>
      </c>
      <c r="D362" s="286" t="inlineStr">
        <is>
          <t>Glenn Earl</t>
        </is>
      </c>
      <c r="E362" s="261" t="inlineStr">
        <is>
          <t>Lead Support, Infrastructure</t>
        </is>
      </c>
      <c r="F362" s="261" t="inlineStr">
        <is>
          <t>TDD CFE&amp;I</t>
        </is>
      </c>
      <c r="G362" s="287" t="inlineStr">
        <is>
          <t>Fuel Infrastructure</t>
        </is>
      </c>
      <c r="H362" s="287" t="inlineStr">
        <is>
          <t>Refinery Applications</t>
        </is>
      </c>
      <c r="I362" s="287" t="inlineStr">
        <is>
          <t>Infrastructure</t>
        </is>
      </c>
      <c r="J362" s="287" t="inlineStr">
        <is>
          <t>Fuel Infrastructure</t>
        </is>
      </c>
      <c r="K362" s="261" t="inlineStr">
        <is>
          <t>Technology Suport</t>
        </is>
      </c>
      <c r="L362" s="287" t="n"/>
      <c r="M362" s="288" t="inlineStr">
        <is>
          <t>Australia</t>
        </is>
      </c>
      <c r="N362" t="inlineStr">
        <is>
          <t>Infrastructure</t>
        </is>
      </c>
      <c r="O362" t="inlineStr">
        <is>
          <t>Manufacturing</t>
        </is>
      </c>
      <c r="P362" t="inlineStr">
        <is>
          <t>Technology Support</t>
        </is>
      </c>
      <c r="Q362" t="inlineStr">
        <is>
          <t>Squad</t>
        </is>
      </c>
      <c r="R362" t="inlineStr">
        <is>
          <t>Vacant</t>
        </is>
      </c>
    </row>
    <row r="363" ht="18" customHeight="1" s="849">
      <c r="A363" s="250" t="n">
        <v>110040</v>
      </c>
      <c r="B363" s="220" t="inlineStr">
        <is>
          <t>Tyler Meggs</t>
        </is>
      </c>
      <c r="C363" s="220" t="inlineStr">
        <is>
          <t>System Analyst</t>
        </is>
      </c>
      <c r="D363" t="inlineStr">
        <is>
          <t>Jaya Ganasan</t>
        </is>
      </c>
      <c r="E363" s="220" t="inlineStr">
        <is>
          <t>Technology Manager, TDD Refinery</t>
        </is>
      </c>
      <c r="F363" s="220" t="inlineStr">
        <is>
          <t>TDD CFE&amp;I</t>
        </is>
      </c>
      <c r="G363" s="251" t="inlineStr">
        <is>
          <t>Fuel Infrastructure</t>
        </is>
      </c>
      <c r="H363" s="251" t="inlineStr">
        <is>
          <t>Refinery Applications</t>
        </is>
      </c>
      <c r="I363" s="251" t="inlineStr">
        <is>
          <t>Infrastructure</t>
        </is>
      </c>
      <c r="J363" s="251" t="inlineStr">
        <is>
          <t>Manufacturing</t>
        </is>
      </c>
      <c r="K363" s="220" t="inlineStr">
        <is>
          <t>Manufacturing Group Projects</t>
        </is>
      </c>
      <c r="L363" s="251" t="n"/>
      <c r="M363" s="252"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849">
      <c r="A364" s="250" t="n">
        <v>98087</v>
      </c>
      <c r="B364" s="220" t="inlineStr">
        <is>
          <t>Victor Olasanoye</t>
        </is>
      </c>
      <c r="C364" s="220" t="inlineStr">
        <is>
          <t>Senior Systems Analyst</t>
        </is>
      </c>
      <c r="D364" t="inlineStr">
        <is>
          <t>Jaya Ganasan</t>
        </is>
      </c>
      <c r="E364" s="220" t="inlineStr">
        <is>
          <t>Technology Manager, TDD Refinery</t>
        </is>
      </c>
      <c r="F364" s="220" t="inlineStr">
        <is>
          <t>TDD CFE&amp;I</t>
        </is>
      </c>
      <c r="G364" s="251" t="inlineStr">
        <is>
          <t>Fuel Infrastructure</t>
        </is>
      </c>
      <c r="H364" s="251" t="inlineStr">
        <is>
          <t>Refinery Applications</t>
        </is>
      </c>
      <c r="I364" s="251" t="inlineStr">
        <is>
          <t>Infrastructure</t>
        </is>
      </c>
      <c r="J364" s="251" t="inlineStr">
        <is>
          <t>Manufacturing</t>
        </is>
      </c>
      <c r="K364" s="220" t="inlineStr">
        <is>
          <t>Manuacturing Group Projects</t>
        </is>
      </c>
      <c r="L364" s="251" t="n"/>
      <c r="M364" s="252"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849">
      <c r="A365" s="250" t="n"/>
      <c r="B365" s="220" t="inlineStr">
        <is>
          <t xml:space="preserve">Vacant </t>
        </is>
      </c>
      <c r="C365" s="220" t="inlineStr">
        <is>
          <t>Solution Architect</t>
        </is>
      </c>
      <c r="D365" s="220" t="inlineStr">
        <is>
          <t>Jaya Ganasan</t>
        </is>
      </c>
      <c r="E365" s="220" t="inlineStr">
        <is>
          <t>Technology Manager, TDD Refinery</t>
        </is>
      </c>
      <c r="F365" s="220" t="inlineStr">
        <is>
          <t>TDD CFE&amp;I</t>
        </is>
      </c>
      <c r="G365" s="251" t="inlineStr">
        <is>
          <t>Fuel Infrastructure</t>
        </is>
      </c>
      <c r="H365" s="251" t="inlineStr">
        <is>
          <t>Refinery Applications</t>
        </is>
      </c>
      <c r="I365" s="251" t="inlineStr">
        <is>
          <t>Infrastructure</t>
        </is>
      </c>
      <c r="J365" s="251" t="inlineStr">
        <is>
          <t>Manufacturing</t>
        </is>
      </c>
      <c r="K365" s="220" t="inlineStr">
        <is>
          <t>Manufacturing Group Projects</t>
        </is>
      </c>
      <c r="L365" s="251" t="n"/>
      <c r="M365" s="252" t="n"/>
      <c r="N365" t="inlineStr">
        <is>
          <t>Infrastructure</t>
        </is>
      </c>
      <c r="O365" t="inlineStr">
        <is>
          <t>Manufacturing</t>
        </is>
      </c>
      <c r="P365" t="inlineStr">
        <is>
          <t>Manufacturing &amp; Group Projects</t>
        </is>
      </c>
      <c r="Q365" t="inlineStr">
        <is>
          <t>Squad</t>
        </is>
      </c>
      <c r="R365" t="inlineStr">
        <is>
          <t>Vacant</t>
        </is>
      </c>
    </row>
    <row r="366" ht="18" customHeight="1" s="849">
      <c r="A366" s="250" t="n">
        <v>0</v>
      </c>
      <c r="B366" s="220" t="inlineStr">
        <is>
          <t>Chris Camacho</t>
        </is>
      </c>
      <c r="C366" s="220" t="inlineStr">
        <is>
          <t>Senior Systems Analyst</t>
        </is>
      </c>
      <c r="D366" s="220" t="inlineStr">
        <is>
          <t>Jaya Ganasan</t>
        </is>
      </c>
      <c r="E366" s="220" t="inlineStr">
        <is>
          <t>Technology Manager, TDD Refinery</t>
        </is>
      </c>
      <c r="F366" s="220" t="inlineStr">
        <is>
          <t>TDD CFE&amp;I</t>
        </is>
      </c>
      <c r="G366" s="251" t="inlineStr">
        <is>
          <t>Fuel Infrastructure</t>
        </is>
      </c>
      <c r="H366" s="251" t="inlineStr">
        <is>
          <t>Refinery Applications</t>
        </is>
      </c>
      <c r="I366" s="251" t="inlineStr">
        <is>
          <t>Infrastructure</t>
        </is>
      </c>
      <c r="J366" s="251" t="inlineStr">
        <is>
          <t>Manufacturing</t>
        </is>
      </c>
      <c r="K366" s="220" t="inlineStr">
        <is>
          <t>Manuacturing Group Projects</t>
        </is>
      </c>
      <c r="L366" s="251" t="n"/>
      <c r="M366" s="252" t="n">
        <v>0</v>
      </c>
      <c r="N366" t="inlineStr">
        <is>
          <t>Infrastructure</t>
        </is>
      </c>
      <c r="O366" t="inlineStr">
        <is>
          <t>Manufacturing</t>
        </is>
      </c>
      <c r="P366" t="inlineStr">
        <is>
          <t>Manufacturing &amp; Group Projects</t>
        </is>
      </c>
      <c r="Q366" t="inlineStr">
        <is>
          <t>Squad</t>
        </is>
      </c>
      <c r="R366" t="inlineStr">
        <is>
          <t>Filled</t>
        </is>
      </c>
    </row>
    <row r="367" ht="18" customHeight="1" s="849">
      <c r="A367" s="250" t="n">
        <v>116090</v>
      </c>
      <c r="B367" s="220" t="inlineStr">
        <is>
          <t>Fabian Moreno Cortes</t>
        </is>
      </c>
      <c r="C367" s="220" t="inlineStr">
        <is>
          <t>Engineer - Software</t>
        </is>
      </c>
      <c r="D367" s="220" t="inlineStr">
        <is>
          <t>Jaya Ganasan</t>
        </is>
      </c>
      <c r="E367" s="220" t="inlineStr">
        <is>
          <t>Technology Manager, TDD Refinery</t>
        </is>
      </c>
      <c r="F367" s="220" t="inlineStr">
        <is>
          <t>TDD CFE&amp;I</t>
        </is>
      </c>
      <c r="G367" s="251" t="inlineStr">
        <is>
          <t>Fuel Infrastructure</t>
        </is>
      </c>
      <c r="H367" s="251" t="inlineStr">
        <is>
          <t>Refinery Applications</t>
        </is>
      </c>
      <c r="I367" s="251" t="inlineStr">
        <is>
          <t>Infrastructure</t>
        </is>
      </c>
      <c r="J367" s="251" t="inlineStr">
        <is>
          <t>Manufacturing</t>
        </is>
      </c>
      <c r="K367" s="220" t="inlineStr">
        <is>
          <t>Manuacturing Group Projects</t>
        </is>
      </c>
      <c r="L367" s="251" t="n"/>
      <c r="M367" s="252"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849">
      <c r="A368" s="250" t="n">
        <v>97776</v>
      </c>
      <c r="B368" s="220" t="inlineStr">
        <is>
          <t>Anvitha Kurra</t>
        </is>
      </c>
      <c r="C368" s="220" t="inlineStr">
        <is>
          <t>Senior Systems Analyst</t>
        </is>
      </c>
      <c r="D368" s="220" t="inlineStr">
        <is>
          <t>Karla Orozco Loza</t>
        </is>
      </c>
      <c r="E368" s="220" t="inlineStr">
        <is>
          <t>Technology Manager, Future Infrastructure</t>
        </is>
      </c>
      <c r="F368" s="220" t="inlineStr">
        <is>
          <t>TDD CFE&amp;I</t>
        </is>
      </c>
      <c r="G368" s="251" t="inlineStr">
        <is>
          <t>Fuel Infrastructure</t>
        </is>
      </c>
      <c r="H368" s="251" t="inlineStr">
        <is>
          <t>Technology - Distribution</t>
        </is>
      </c>
      <c r="I368" s="251" t="inlineStr">
        <is>
          <t>Infrastructure</t>
        </is>
      </c>
      <c r="J368" s="220" t="inlineStr">
        <is>
          <t>Distribution</t>
        </is>
      </c>
      <c r="K368" s="220" t="inlineStr">
        <is>
          <t>Distribution, Sales &amp; Services</t>
        </is>
      </c>
      <c r="L368" s="251" t="n"/>
      <c r="M368" s="252"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849">
      <c r="A369" s="250" t="n">
        <v>81395</v>
      </c>
      <c r="B369" s="220" t="inlineStr">
        <is>
          <t>Angus Gibson</t>
        </is>
      </c>
      <c r="C369" s="220" t="inlineStr">
        <is>
          <t>Senior Systems Analyst</t>
        </is>
      </c>
      <c r="D369" s="220" t="inlineStr">
        <is>
          <t>Karla Orozco Loza</t>
        </is>
      </c>
      <c r="E369" s="220" t="inlineStr">
        <is>
          <t>Technology Manager, Future Infrastructure</t>
        </is>
      </c>
      <c r="F369" s="220" t="inlineStr">
        <is>
          <t>TDD CFE&amp;I</t>
        </is>
      </c>
      <c r="G369" s="251" t="inlineStr">
        <is>
          <t>Fuel Infrastructure</t>
        </is>
      </c>
      <c r="H369" s="251" t="inlineStr">
        <is>
          <t>Technology - Distribution</t>
        </is>
      </c>
      <c r="I369" s="251" t="inlineStr">
        <is>
          <t>Infrastructure</t>
        </is>
      </c>
      <c r="J369" s="220" t="inlineStr">
        <is>
          <t>Distribution</t>
        </is>
      </c>
      <c r="K369" s="220" t="inlineStr">
        <is>
          <t>Distribution, Sales &amp; Services</t>
        </is>
      </c>
      <c r="L369" s="251" t="n"/>
      <c r="M369" s="252"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849">
      <c r="A370" s="250" t="n">
        <v>113202</v>
      </c>
      <c r="B370" s="220" t="inlineStr">
        <is>
          <t>Rohan Patel</t>
        </is>
      </c>
      <c r="C370" s="220" t="inlineStr">
        <is>
          <t>Senior Systems Analyst</t>
        </is>
      </c>
      <c r="D370" t="inlineStr">
        <is>
          <t>Karla Orozco Loza</t>
        </is>
      </c>
      <c r="E370" t="inlineStr">
        <is>
          <t>Technology Manager, Future Infrastructure</t>
        </is>
      </c>
      <c r="F370" s="220" t="inlineStr">
        <is>
          <t>TDD CFE&amp;I</t>
        </is>
      </c>
      <c r="G370" s="251" t="inlineStr">
        <is>
          <t>Fuel Infrastructure</t>
        </is>
      </c>
      <c r="H370" s="251" t="inlineStr">
        <is>
          <t>Technology - Distribution</t>
        </is>
      </c>
      <c r="I370" s="251" t="inlineStr">
        <is>
          <t>Infrastructure</t>
        </is>
      </c>
      <c r="J370" s="253" t="inlineStr">
        <is>
          <t>Distribution</t>
        </is>
      </c>
      <c r="K370" s="220" t="inlineStr">
        <is>
          <t>Distribution, Sales &amp; Services</t>
        </is>
      </c>
      <c r="L370" s="251" t="n"/>
      <c r="M370" s="252"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849">
      <c r="A371" s="250" t="n">
        <v>101059</v>
      </c>
      <c r="B371" s="220" t="inlineStr">
        <is>
          <t>Sriramani Deyyala</t>
        </is>
      </c>
      <c r="C371" s="220" t="inlineStr">
        <is>
          <t>Systems Analyst</t>
        </is>
      </c>
      <c r="D371" t="inlineStr">
        <is>
          <t>Karla Orozco Loza</t>
        </is>
      </c>
      <c r="E371" t="inlineStr">
        <is>
          <t>Technology Manager, Future Infrastructure</t>
        </is>
      </c>
      <c r="F371" s="220" t="inlineStr">
        <is>
          <t>TDD CFE&amp;I</t>
        </is>
      </c>
      <c r="G371" s="251" t="inlineStr">
        <is>
          <t>Fuel Infrastructure</t>
        </is>
      </c>
      <c r="H371" s="251" t="inlineStr">
        <is>
          <t>Technology - Distribution</t>
        </is>
      </c>
      <c r="I371" s="251" t="inlineStr">
        <is>
          <t>Infrastructure</t>
        </is>
      </c>
      <c r="J371" s="251" t="inlineStr">
        <is>
          <t>Distribution</t>
        </is>
      </c>
      <c r="K371" s="220" t="inlineStr">
        <is>
          <t>Distribution, Sales &amp; Services</t>
        </is>
      </c>
      <c r="L371" s="251" t="n"/>
      <c r="M371" s="252"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849">
      <c r="A372" s="250" t="n">
        <v>101539</v>
      </c>
      <c r="B372" s="220" t="inlineStr">
        <is>
          <t>Vacant</t>
        </is>
      </c>
      <c r="C372" s="220" t="inlineStr">
        <is>
          <t>Systems Analyst</t>
        </is>
      </c>
      <c r="D372" t="inlineStr">
        <is>
          <t>Karla Orozco Loza</t>
        </is>
      </c>
      <c r="E372" s="220" t="inlineStr">
        <is>
          <t>Technology Manager, Future Infrastructure</t>
        </is>
      </c>
      <c r="F372" s="220" t="inlineStr">
        <is>
          <t>TDD CFE&amp;I</t>
        </is>
      </c>
      <c r="G372" s="251" t="inlineStr">
        <is>
          <t>Fuel Infrastructure</t>
        </is>
      </c>
      <c r="H372" s="251" t="inlineStr">
        <is>
          <t>Fuel Infrastructure</t>
        </is>
      </c>
      <c r="I372" s="251" t="inlineStr">
        <is>
          <t>Infrastructure</t>
        </is>
      </c>
      <c r="J372" s="251" t="inlineStr">
        <is>
          <t>Distribution</t>
        </is>
      </c>
      <c r="K372" s="220" t="inlineStr">
        <is>
          <t>Distribution, Sales &amp; Services</t>
        </is>
      </c>
      <c r="L372" s="251" t="n"/>
      <c r="M372" s="252"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849">
      <c r="A373" s="250" t="n">
        <v>6748</v>
      </c>
      <c r="B373" s="220" t="inlineStr">
        <is>
          <t>Elle Spencer</t>
        </is>
      </c>
      <c r="C373" s="220" t="inlineStr">
        <is>
          <t>Technology Manager - B2B</t>
        </is>
      </c>
      <c r="D373" s="253" t="inlineStr">
        <is>
          <t>Liesl Tye</t>
        </is>
      </c>
      <c r="E373" s="220" t="inlineStr">
        <is>
          <t>Head of Technology, B2B &amp; Energy Solutions</t>
        </is>
      </c>
      <c r="F373" s="220" t="inlineStr">
        <is>
          <t>TDD CFE&amp;I</t>
        </is>
      </c>
      <c r="G373" s="251" t="inlineStr">
        <is>
          <t>B2B &amp; Energy Solutions</t>
        </is>
      </c>
      <c r="H373" s="251" t="inlineStr">
        <is>
          <t>Technology, B2B</t>
        </is>
      </c>
      <c r="I373" s="251" t="inlineStr">
        <is>
          <t>B2B &amp; Energy Solutions</t>
        </is>
      </c>
      <c r="J373" s="251" t="inlineStr">
        <is>
          <t>Leadership</t>
        </is>
      </c>
      <c r="K373" s="220" t="inlineStr">
        <is>
          <t>Leadership</t>
        </is>
      </c>
      <c r="L373" s="251" t="n"/>
      <c r="M373" s="252" t="inlineStr">
        <is>
          <t>Australia</t>
        </is>
      </c>
      <c r="N373" t="inlineStr">
        <is>
          <t>Energy Solutions &amp; B2B</t>
        </is>
      </c>
      <c r="O373" t="inlineStr">
        <is>
          <t>Leadership</t>
        </is>
      </c>
      <c r="P373" t="inlineStr">
        <is>
          <t>Leadership</t>
        </is>
      </c>
      <c r="Q373" t="inlineStr">
        <is>
          <t>Leadership</t>
        </is>
      </c>
      <c r="R373" t="inlineStr">
        <is>
          <t>Filled</t>
        </is>
      </c>
    </row>
    <row r="374" ht="18" customHeight="1" s="849">
      <c r="A374" s="250" t="n">
        <v>115518</v>
      </c>
      <c r="B374" s="220" t="inlineStr">
        <is>
          <t>Hitesh Patel</t>
        </is>
      </c>
      <c r="C374" s="220" t="inlineStr">
        <is>
          <t>Technology Manager, Energy Solutions</t>
        </is>
      </c>
      <c r="D374" s="251" t="inlineStr">
        <is>
          <t>Liesl Tye</t>
        </is>
      </c>
      <c r="E374" s="220" t="inlineStr">
        <is>
          <t>Head of Technology, B2B &amp; Energy Solutions</t>
        </is>
      </c>
      <c r="F374" s="220" t="inlineStr">
        <is>
          <t>TDD CFE&amp;I</t>
        </is>
      </c>
      <c r="G374" s="251" t="inlineStr">
        <is>
          <t>Loyalty &amp; Martech</t>
        </is>
      </c>
      <c r="H374" s="251" t="inlineStr">
        <is>
          <t>Technology Energy Solutions</t>
        </is>
      </c>
      <c r="I374" s="251" t="n"/>
      <c r="J374" s="290" t="n"/>
      <c r="K374" s="220" t="n"/>
      <c r="L374" s="251" t="n"/>
      <c r="M374" s="252" t="n"/>
      <c r="N374" t="inlineStr">
        <is>
          <t>Customer</t>
        </is>
      </c>
      <c r="O374" t="inlineStr">
        <is>
          <t>Group Customer Platforms</t>
        </is>
      </c>
      <c r="P374" t="inlineStr">
        <is>
          <t>AU CRM &amp; Martech</t>
        </is>
      </c>
      <c r="Q374" t="inlineStr">
        <is>
          <t>Squad</t>
        </is>
      </c>
      <c r="R374" t="inlineStr">
        <is>
          <t>Filled</t>
        </is>
      </c>
    </row>
    <row r="375" ht="18" customHeight="1" s="849">
      <c r="A375" s="250" t="n"/>
      <c r="B375" s="220" t="inlineStr">
        <is>
          <t>Vacant</t>
        </is>
      </c>
      <c r="C375" s="220" t="inlineStr">
        <is>
          <t>Delivery manager</t>
        </is>
      </c>
      <c r="D375" s="251" t="inlineStr">
        <is>
          <t>Liesl Tye</t>
        </is>
      </c>
      <c r="E375" s="220" t="inlineStr">
        <is>
          <t>Head of Technology, B2B &amp; Energy Solutions</t>
        </is>
      </c>
      <c r="F375" s="220" t="inlineStr">
        <is>
          <t>TDD CFE&amp;I</t>
        </is>
      </c>
      <c r="G375" s="251" t="inlineStr">
        <is>
          <t>B2B &amp; Energy Solutions</t>
        </is>
      </c>
      <c r="H375" s="251" t="inlineStr">
        <is>
          <t>Leadership</t>
        </is>
      </c>
      <c r="I375" s="251" t="inlineStr">
        <is>
          <t>B2B &amp; Energy Solutions</t>
        </is>
      </c>
      <c r="J375" s="251" t="inlineStr">
        <is>
          <t>Leadership</t>
        </is>
      </c>
      <c r="K375" s="220" t="inlineStr">
        <is>
          <t>Leadership</t>
        </is>
      </c>
      <c r="L375" s="251" t="n"/>
      <c r="M375" s="252" t="n"/>
      <c r="N375" t="inlineStr">
        <is>
          <t>Energy Solutions &amp; B2B</t>
        </is>
      </c>
      <c r="O375" t="inlineStr">
        <is>
          <t>Leadership</t>
        </is>
      </c>
      <c r="P375" t="inlineStr">
        <is>
          <t>Leadership</t>
        </is>
      </c>
      <c r="Q375" t="inlineStr">
        <is>
          <t>Leadership</t>
        </is>
      </c>
      <c r="R375" t="inlineStr">
        <is>
          <t>Vacant</t>
        </is>
      </c>
    </row>
    <row r="376" ht="18" customHeight="1" s="849">
      <c r="A376" s="250" t="n"/>
      <c r="B376" s="220" t="inlineStr">
        <is>
          <t>Vacant</t>
        </is>
      </c>
      <c r="C376" s="220" t="inlineStr">
        <is>
          <t>Technology Manager, Engineering</t>
        </is>
      </c>
      <c r="D376" s="251" t="inlineStr">
        <is>
          <t>Nakul Bharade</t>
        </is>
      </c>
      <c r="E376" s="220" t="inlineStr">
        <is>
          <t>Head of Technology, Commercial Fuels</t>
        </is>
      </c>
      <c r="F376" s="220" t="inlineStr">
        <is>
          <t>TDD CFE&amp;I</t>
        </is>
      </c>
      <c r="G376" s="251" t="inlineStr">
        <is>
          <t>Loyalty &amp; Martech</t>
        </is>
      </c>
      <c r="H376" s="291" t="inlineStr">
        <is>
          <t>Trading &amp; Shipping</t>
        </is>
      </c>
      <c r="I376" s="251" t="inlineStr">
        <is>
          <t>Commercial Fuels</t>
        </is>
      </c>
      <c r="J376" s="251" t="n"/>
      <c r="K376" s="220" t="n"/>
      <c r="L376" s="251" t="n"/>
      <c r="M376" s="252" t="n"/>
      <c r="N376" t="inlineStr">
        <is>
          <t>Customer</t>
        </is>
      </c>
      <c r="O376" t="inlineStr">
        <is>
          <t>Group Customer Platforms</t>
        </is>
      </c>
      <c r="P376" t="inlineStr">
        <is>
          <t>AU CRM &amp; Martech</t>
        </is>
      </c>
      <c r="Q376" t="inlineStr">
        <is>
          <t>Squad</t>
        </is>
      </c>
      <c r="R376" t="inlineStr">
        <is>
          <t>Vacant</t>
        </is>
      </c>
    </row>
    <row r="377" ht="18" customHeight="1" s="849">
      <c r="A377" s="250" t="n"/>
      <c r="B377" s="220" t="inlineStr">
        <is>
          <t>Vacant</t>
        </is>
      </c>
      <c r="C377" s="220" t="inlineStr">
        <is>
          <t>Delivery Manager</t>
        </is>
      </c>
      <c r="D377" s="251" t="inlineStr">
        <is>
          <t>Nakul Bharade</t>
        </is>
      </c>
      <c r="E377" s="220" t="inlineStr">
        <is>
          <t>Head of Technology, Commercial Fuels</t>
        </is>
      </c>
      <c r="F377" s="220" t="inlineStr">
        <is>
          <t>TDD CFE&amp;I</t>
        </is>
      </c>
      <c r="G377" s="251" t="inlineStr">
        <is>
          <t>Commercial Fuels</t>
        </is>
      </c>
      <c r="H377" s="291" t="inlineStr">
        <is>
          <t>Trading &amp; Shipping</t>
        </is>
      </c>
      <c r="I377" s="251" t="inlineStr">
        <is>
          <t>Commercial Fuels</t>
        </is>
      </c>
      <c r="J377" s="251" t="n"/>
      <c r="K377" s="220" t="n"/>
      <c r="L377" s="251" t="n"/>
      <c r="M377" s="252" t="n"/>
      <c r="N377" t="inlineStr">
        <is>
          <t>Commercial Fuels</t>
        </is>
      </c>
      <c r="O377" t="inlineStr">
        <is>
          <t>-</t>
        </is>
      </c>
      <c r="P377" t="inlineStr">
        <is>
          <t>Commercial Fuels</t>
        </is>
      </c>
      <c r="Q377" t="inlineStr">
        <is>
          <t>Unmapped</t>
        </is>
      </c>
      <c r="R377" t="inlineStr">
        <is>
          <t>Vacant</t>
        </is>
      </c>
    </row>
    <row r="378" ht="18" customHeight="1" s="849">
      <c r="A378" s="250" t="n"/>
      <c r="B378" s="220" t="inlineStr">
        <is>
          <t>Vacant</t>
        </is>
      </c>
      <c r="C378" s="220" t="inlineStr">
        <is>
          <t>Technology Manager, Data</t>
        </is>
      </c>
      <c r="D378" s="251" t="inlineStr">
        <is>
          <t>Nakul Bharade</t>
        </is>
      </c>
      <c r="E378" s="220" t="inlineStr">
        <is>
          <t>Head of Technology, Commercial Fuels</t>
        </is>
      </c>
      <c r="F378" s="220" t="inlineStr">
        <is>
          <t>TDD CFE&amp;I</t>
        </is>
      </c>
      <c r="G378" s="251" t="inlineStr">
        <is>
          <t>Commercial Fuels</t>
        </is>
      </c>
      <c r="H378" s="291" t="inlineStr">
        <is>
          <t>Trading &amp; Shipping</t>
        </is>
      </c>
      <c r="I378" s="251" t="inlineStr">
        <is>
          <t>Commercial Fuels</t>
        </is>
      </c>
      <c r="J378" s="251" t="n"/>
      <c r="K378" s="251" t="n"/>
      <c r="L378" s="251" t="n"/>
      <c r="M378" s="252" t="n"/>
      <c r="N378" t="inlineStr">
        <is>
          <t>Commercial Fuels</t>
        </is>
      </c>
      <c r="O378" t="inlineStr">
        <is>
          <t>-</t>
        </is>
      </c>
      <c r="P378" t="inlineStr">
        <is>
          <t>Commercial Fuels</t>
        </is>
      </c>
      <c r="Q378" t="inlineStr">
        <is>
          <t>Unmapped</t>
        </is>
      </c>
      <c r="R378" t="inlineStr">
        <is>
          <t>Vacant</t>
        </is>
      </c>
    </row>
    <row r="379" ht="18" customHeight="1" s="849">
      <c r="A379" s="250" t="n">
        <v>106404</v>
      </c>
      <c r="B379" s="220" t="inlineStr">
        <is>
          <t>Carl Russo</t>
        </is>
      </c>
      <c r="C379" s="220" t="inlineStr">
        <is>
          <t>Program Manager - CTRM</t>
        </is>
      </c>
      <c r="D379" s="220" t="inlineStr">
        <is>
          <t>Roanne Steele</t>
        </is>
      </c>
      <c r="E379" s="220" t="inlineStr">
        <is>
          <t>GM TDD, CFE&amp;I</t>
        </is>
      </c>
      <c r="F379" s="220" t="inlineStr">
        <is>
          <t>TDD CFE&amp;I</t>
        </is>
      </c>
      <c r="G379" s="251" t="inlineStr">
        <is>
          <t>Leadership</t>
        </is>
      </c>
      <c r="H379" s="251" t="inlineStr">
        <is>
          <t>Leadership</t>
        </is>
      </c>
      <c r="I379" s="251" t="n"/>
      <c r="J379" s="251" t="n"/>
      <c r="K379" s="220" t="n"/>
      <c r="L379" s="251" t="n"/>
      <c r="M379" s="252" t="inlineStr">
        <is>
          <t>Australia</t>
        </is>
      </c>
      <c r="N379" t="inlineStr">
        <is>
          <t>Unmapped</t>
        </is>
      </c>
      <c r="O379" t="inlineStr">
        <is>
          <t>-</t>
        </is>
      </c>
      <c r="P379" t="inlineStr">
        <is>
          <t>Leadership</t>
        </is>
      </c>
      <c r="Q379" t="inlineStr">
        <is>
          <t>Unmapped</t>
        </is>
      </c>
      <c r="R379" t="inlineStr">
        <is>
          <t>Filled</t>
        </is>
      </c>
    </row>
    <row r="380" ht="18" customHeight="1" s="849">
      <c r="A380" s="250" t="n">
        <v>97098</v>
      </c>
      <c r="B380" s="220" t="inlineStr">
        <is>
          <t>Amish Pandit</t>
        </is>
      </c>
      <c r="C380" s="220" t="inlineStr">
        <is>
          <t>Head of Technology, Fuel Infrastructure</t>
        </is>
      </c>
      <c r="D380" t="inlineStr">
        <is>
          <t>Roanne Steele</t>
        </is>
      </c>
      <c r="E380" s="220" t="inlineStr">
        <is>
          <t>GM TDD, CFE&amp;I</t>
        </is>
      </c>
      <c r="F380" s="220" t="inlineStr">
        <is>
          <t>TDD CFE&amp;I</t>
        </is>
      </c>
      <c r="G380" s="251" t="inlineStr">
        <is>
          <t>Fuel Infrastructure</t>
        </is>
      </c>
      <c r="H380" s="251" t="inlineStr">
        <is>
          <t>Leadership</t>
        </is>
      </c>
      <c r="I380" s="251" t="inlineStr">
        <is>
          <t>Infrastructure</t>
        </is>
      </c>
      <c r="J380" s="220" t="inlineStr">
        <is>
          <t xml:space="preserve">Leadership </t>
        </is>
      </c>
      <c r="K380" s="251" t="inlineStr">
        <is>
          <t>Leadership</t>
        </is>
      </c>
      <c r="L380" s="251" t="n"/>
      <c r="M380" s="252" t="inlineStr">
        <is>
          <t>Australia</t>
        </is>
      </c>
      <c r="N380" t="inlineStr">
        <is>
          <t>Infrastructure</t>
        </is>
      </c>
      <c r="O380" t="inlineStr">
        <is>
          <t>Leadership</t>
        </is>
      </c>
      <c r="P380" t="inlineStr">
        <is>
          <t>Leadership</t>
        </is>
      </c>
      <c r="Q380" t="inlineStr">
        <is>
          <t>Leadership</t>
        </is>
      </c>
      <c r="R380" t="inlineStr">
        <is>
          <t>Filled</t>
        </is>
      </c>
    </row>
    <row r="381" ht="18" customHeight="1" s="849">
      <c r="A381" s="250" t="n">
        <v>99999101304</v>
      </c>
      <c r="B381" s="220" t="inlineStr">
        <is>
          <t>Liesl Tye</t>
        </is>
      </c>
      <c r="C381" s="220" t="inlineStr">
        <is>
          <t>Head of Technology, B2B &amp; Energy Solutions</t>
        </is>
      </c>
      <c r="D381" s="220" t="inlineStr">
        <is>
          <t xml:space="preserve">Roanne Steele </t>
        </is>
      </c>
      <c r="E381" s="220" t="inlineStr">
        <is>
          <t>GM TDD, CFE&amp;I</t>
        </is>
      </c>
      <c r="F381" s="220" t="inlineStr">
        <is>
          <t>TDD CFE&amp;I</t>
        </is>
      </c>
      <c r="G381" s="251" t="inlineStr">
        <is>
          <t>B2B &amp; Energy Solutions</t>
        </is>
      </c>
      <c r="H381" s="251" t="inlineStr">
        <is>
          <t>Leadership</t>
        </is>
      </c>
      <c r="I381" s="251" t="inlineStr">
        <is>
          <t>B2B &amp; Energy Solutions</t>
        </is>
      </c>
      <c r="J381" s="251" t="inlineStr">
        <is>
          <t>Leadership</t>
        </is>
      </c>
      <c r="K381" s="220" t="inlineStr">
        <is>
          <t>Leadership</t>
        </is>
      </c>
      <c r="L381" s="251" t="n"/>
      <c r="M381" s="252" t="inlineStr">
        <is>
          <t>NZ</t>
        </is>
      </c>
      <c r="N381" t="inlineStr">
        <is>
          <t>Energy Solutions &amp; B2B</t>
        </is>
      </c>
      <c r="O381" t="inlineStr">
        <is>
          <t>Leadership</t>
        </is>
      </c>
      <c r="P381" t="inlineStr">
        <is>
          <t>Leadership</t>
        </is>
      </c>
      <c r="Q381" t="inlineStr">
        <is>
          <t>Leadership</t>
        </is>
      </c>
      <c r="R381" t="inlineStr">
        <is>
          <t>Filled</t>
        </is>
      </c>
    </row>
    <row r="382" ht="18" customHeight="1" s="849">
      <c r="A382" s="250" t="n">
        <v>99999101224</v>
      </c>
      <c r="B382" s="220" t="inlineStr">
        <is>
          <t>Nakul Bharade</t>
        </is>
      </c>
      <c r="C382" s="220" t="inlineStr">
        <is>
          <t>Head of Technology, Commercial Fuels</t>
        </is>
      </c>
      <c r="D382" t="inlineStr">
        <is>
          <t xml:space="preserve">Roanne Steele </t>
        </is>
      </c>
      <c r="E382" t="inlineStr">
        <is>
          <t>GM TDD, CFE&amp;I</t>
        </is>
      </c>
      <c r="F382" s="220" t="inlineStr">
        <is>
          <t>TDD CFE&amp;I</t>
        </is>
      </c>
      <c r="G382" s="251" t="inlineStr">
        <is>
          <t>Commercial Fuels</t>
        </is>
      </c>
      <c r="H382" s="291" t="n"/>
      <c r="I382" s="251" t="inlineStr">
        <is>
          <t>Commercial Fuels</t>
        </is>
      </c>
      <c r="J382" s="251" t="inlineStr">
        <is>
          <t>Ampol Digital</t>
        </is>
      </c>
      <c r="K382" s="251" t="inlineStr">
        <is>
          <t>Trading &amp; Shipping</t>
        </is>
      </c>
      <c r="L382" s="251" t="n"/>
      <c r="M382" s="252" t="inlineStr">
        <is>
          <t>NZ</t>
        </is>
      </c>
      <c r="N382" t="inlineStr">
        <is>
          <t>Commercial Fuels</t>
        </is>
      </c>
      <c r="O382" t="inlineStr">
        <is>
          <t>Trading &amp; Shipping</t>
        </is>
      </c>
      <c r="P382" t="inlineStr">
        <is>
          <t>Trading &amp; Shipping</t>
        </is>
      </c>
      <c r="Q382" t="inlineStr">
        <is>
          <t>Squad</t>
        </is>
      </c>
      <c r="R382" t="inlineStr">
        <is>
          <t>Filled</t>
        </is>
      </c>
    </row>
    <row r="383" ht="18" customHeight="1" s="849">
      <c r="A383" s="250" t="n">
        <v>14100</v>
      </c>
      <c r="B383" s="220" t="inlineStr">
        <is>
          <t>Belinda Ford</t>
        </is>
      </c>
      <c r="C383" s="220" t="inlineStr">
        <is>
          <t>Quality Assurance</t>
        </is>
      </c>
      <c r="D383" t="inlineStr">
        <is>
          <t>Vacant</t>
        </is>
      </c>
      <c r="E383" t="inlineStr">
        <is>
          <t>Technology Manager, Energy Solutions</t>
        </is>
      </c>
      <c r="F383" s="220" t="inlineStr">
        <is>
          <t>TDD CFE&amp;I</t>
        </is>
      </c>
      <c r="G383" s="251" t="inlineStr">
        <is>
          <t>B2B &amp; Energy Solutions</t>
        </is>
      </c>
      <c r="H383" s="251" t="inlineStr">
        <is>
          <t>Technology, CF Engineering</t>
        </is>
      </c>
      <c r="I383" s="251" t="inlineStr">
        <is>
          <t>B2B &amp; Energy Solutions</t>
        </is>
      </c>
      <c r="J383" s="220" t="inlineStr">
        <is>
          <t>B2B</t>
        </is>
      </c>
      <c r="K383" s="220" t="inlineStr">
        <is>
          <t>B2B</t>
        </is>
      </c>
      <c r="L383" s="251" t="n"/>
      <c r="M383" s="252" t="inlineStr">
        <is>
          <t>Australia</t>
        </is>
      </c>
      <c r="N383" t="inlineStr">
        <is>
          <t>Energy Solutions &amp; B2B</t>
        </is>
      </c>
      <c r="O383" t="inlineStr">
        <is>
          <t>B2B</t>
        </is>
      </c>
      <c r="P383" t="inlineStr">
        <is>
          <t>B2B</t>
        </is>
      </c>
      <c r="Q383" t="inlineStr">
        <is>
          <t>Squad</t>
        </is>
      </c>
      <c r="R383" t="inlineStr">
        <is>
          <t>Filled</t>
        </is>
      </c>
    </row>
    <row r="384" ht="18" customHeight="1" s="849">
      <c r="A384" s="250" t="n"/>
      <c r="B384" s="220" t="inlineStr">
        <is>
          <t>Vacant</t>
        </is>
      </c>
      <c r="C384" s="220" t="inlineStr">
        <is>
          <t>Quality Assurance</t>
        </is>
      </c>
      <c r="D384" s="253" t="inlineStr">
        <is>
          <t>Vacant</t>
        </is>
      </c>
      <c r="E384" t="inlineStr">
        <is>
          <t>Technology Manager, Engineering</t>
        </is>
      </c>
      <c r="F384" s="220" t="inlineStr">
        <is>
          <t>TDD CFE&amp;I</t>
        </is>
      </c>
      <c r="G384" s="251" t="inlineStr">
        <is>
          <t>Commercial Fuels</t>
        </is>
      </c>
      <c r="H384" s="251" t="inlineStr">
        <is>
          <t>Technology, Engineering</t>
        </is>
      </c>
      <c r="I384" s="251" t="inlineStr">
        <is>
          <t>Commercial Fuels</t>
        </is>
      </c>
      <c r="J384" s="251" t="inlineStr">
        <is>
          <t>Trading &amp; Shipping</t>
        </is>
      </c>
      <c r="K384" s="220" t="inlineStr">
        <is>
          <t>Trading &amp; Shipping</t>
        </is>
      </c>
      <c r="L384" s="251" t="n"/>
      <c r="M384" s="252" t="n"/>
      <c r="N384" t="inlineStr">
        <is>
          <t>Commercial Fuels</t>
        </is>
      </c>
      <c r="O384" t="inlineStr">
        <is>
          <t>Trading &amp; Shipping</t>
        </is>
      </c>
      <c r="P384" t="inlineStr">
        <is>
          <t>Trading &amp; Shipping</t>
        </is>
      </c>
      <c r="Q384" t="inlineStr">
        <is>
          <t>Squad</t>
        </is>
      </c>
      <c r="R384" t="inlineStr">
        <is>
          <t>Vacant</t>
        </is>
      </c>
    </row>
    <row r="385" ht="18" customHeight="1" s="849">
      <c r="A385" s="250" t="n">
        <v>116253</v>
      </c>
      <c r="B385" s="220" t="inlineStr">
        <is>
          <t>Siva Chimmani</t>
        </is>
      </c>
      <c r="C385" s="220" t="inlineStr">
        <is>
          <t>Senior Engineer</t>
        </is>
      </c>
      <c r="D385" t="inlineStr">
        <is>
          <t>Vacant</t>
        </is>
      </c>
      <c r="E385" t="inlineStr">
        <is>
          <t>Technology Manager, Future Infrastructure</t>
        </is>
      </c>
      <c r="F385" s="220" t="inlineStr">
        <is>
          <t>TDD CFE&amp;I</t>
        </is>
      </c>
      <c r="G385" s="251" t="inlineStr">
        <is>
          <t>Fuel Infrastructure</t>
        </is>
      </c>
      <c r="H385" s="251" t="inlineStr">
        <is>
          <t>Technology - Distribution</t>
        </is>
      </c>
      <c r="I385" s="251" t="inlineStr">
        <is>
          <t>Infrastructure</t>
        </is>
      </c>
      <c r="J385" s="251" t="inlineStr">
        <is>
          <t>Distribution</t>
        </is>
      </c>
      <c r="K385" s="220" t="inlineStr">
        <is>
          <t>Distribution, Sales &amp; Services</t>
        </is>
      </c>
      <c r="L385" s="251" t="n"/>
      <c r="M385" s="252"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849">
      <c r="A386" s="250" t="n"/>
      <c r="B386" s="220" t="inlineStr">
        <is>
          <t>Vacant</t>
        </is>
      </c>
      <c r="C386" s="220" t="inlineStr">
        <is>
          <t>System Specialist</t>
        </is>
      </c>
      <c r="D386" t="inlineStr">
        <is>
          <t>Vacant</t>
        </is>
      </c>
      <c r="E386" t="inlineStr">
        <is>
          <t>Technology Manager, T&amp;S</t>
        </is>
      </c>
      <c r="F386" s="220" t="inlineStr">
        <is>
          <t>TDD CFE&amp;I</t>
        </is>
      </c>
      <c r="G386" s="251" t="inlineStr">
        <is>
          <t>Commercial Fuels</t>
        </is>
      </c>
      <c r="H386" s="251" t="inlineStr">
        <is>
          <t>Technology, Trading &amp; Shipping</t>
        </is>
      </c>
      <c r="I386" s="251" t="inlineStr">
        <is>
          <t>Commercial Fuels</t>
        </is>
      </c>
      <c r="J386" s="251" t="inlineStr">
        <is>
          <t>Supply</t>
        </is>
      </c>
      <c r="K386" s="220" t="inlineStr">
        <is>
          <t>Supply</t>
        </is>
      </c>
      <c r="L386" s="251" t="n"/>
      <c r="M386" s="252" t="n"/>
      <c r="N386" t="inlineStr">
        <is>
          <t>Commercial Fuels</t>
        </is>
      </c>
      <c r="O386" t="inlineStr">
        <is>
          <t>Supply</t>
        </is>
      </c>
      <c r="P386" t="inlineStr">
        <is>
          <t>Supply</t>
        </is>
      </c>
      <c r="Q386" t="inlineStr">
        <is>
          <t>Squad</t>
        </is>
      </c>
      <c r="R386" t="inlineStr">
        <is>
          <t>Vacant</t>
        </is>
      </c>
    </row>
    <row r="387" ht="18" customHeight="1" s="849">
      <c r="A387" s="250" t="n">
        <v>106791</v>
      </c>
      <c r="B387" s="220" t="inlineStr">
        <is>
          <t>Victor Beuk</t>
        </is>
      </c>
      <c r="C387" s="220" t="inlineStr">
        <is>
          <t>Delivery Lead</t>
        </is>
      </c>
      <c r="D387" s="251" t="inlineStr">
        <is>
          <t>vacant</t>
        </is>
      </c>
      <c r="E387" s="220" t="inlineStr">
        <is>
          <t>Delivery Manager</t>
        </is>
      </c>
      <c r="F387" s="220" t="inlineStr">
        <is>
          <t>TDD CFE&amp;I</t>
        </is>
      </c>
      <c r="G387" s="251" t="inlineStr">
        <is>
          <t>B2B &amp; Energy Solutions</t>
        </is>
      </c>
      <c r="H387" s="251" t="inlineStr">
        <is>
          <t>Delivery</t>
        </is>
      </c>
      <c r="I387" s="251" t="inlineStr">
        <is>
          <t>RETAIL</t>
        </is>
      </c>
      <c r="J387" s="251" t="inlineStr">
        <is>
          <t>AMPOS</t>
        </is>
      </c>
      <c r="K387" s="220" t="inlineStr">
        <is>
          <t>AmPos</t>
        </is>
      </c>
      <c r="L387" s="251" t="n"/>
      <c r="M387" s="252" t="inlineStr">
        <is>
          <t>Australia</t>
        </is>
      </c>
      <c r="N387" t="inlineStr">
        <is>
          <t>Ampol Retail</t>
        </is>
      </c>
      <c r="O387" t="inlineStr">
        <is>
          <t>AmPOS</t>
        </is>
      </c>
      <c r="P387" t="inlineStr">
        <is>
          <t>AmPOS</t>
        </is>
      </c>
      <c r="Q387" t="inlineStr">
        <is>
          <t>Strategic Program</t>
        </is>
      </c>
      <c r="R387" t="inlineStr">
        <is>
          <t>Filled</t>
        </is>
      </c>
    </row>
    <row r="388" ht="18" customHeight="1" s="849">
      <c r="A388" s="250" t="n">
        <v>105532</v>
      </c>
      <c r="B388" s="220" t="inlineStr">
        <is>
          <t>Debbie Gor</t>
        </is>
      </c>
      <c r="C388" s="220" t="inlineStr">
        <is>
          <t>Delivery Lead</t>
        </is>
      </c>
      <c r="D388" s="251" t="inlineStr">
        <is>
          <t>Vacant</t>
        </is>
      </c>
      <c r="E388" s="220" t="inlineStr">
        <is>
          <t>Delivery Manager</t>
        </is>
      </c>
      <c r="F388" s="220" t="inlineStr">
        <is>
          <t>TDD CFE&amp;I</t>
        </is>
      </c>
      <c r="G388" s="251" t="inlineStr">
        <is>
          <t>B2B &amp; Energy Solutions</t>
        </is>
      </c>
      <c r="H388" s="251" t="inlineStr">
        <is>
          <t>Delivery</t>
        </is>
      </c>
      <c r="I388" s="251" t="inlineStr">
        <is>
          <t>B2B &amp; Energy Solutions</t>
        </is>
      </c>
      <c r="J388" s="220" t="inlineStr">
        <is>
          <t>B2B</t>
        </is>
      </c>
      <c r="K388" s="220" t="inlineStr">
        <is>
          <t>B2B</t>
        </is>
      </c>
      <c r="L388" s="251" t="n"/>
      <c r="M388" s="252" t="inlineStr">
        <is>
          <t>Australia</t>
        </is>
      </c>
      <c r="N388" t="inlineStr">
        <is>
          <t>Energy Solutions &amp; B2B</t>
        </is>
      </c>
      <c r="O388" t="inlineStr">
        <is>
          <t>B2B</t>
        </is>
      </c>
      <c r="P388" t="inlineStr">
        <is>
          <t>B2B</t>
        </is>
      </c>
      <c r="Q388" t="inlineStr">
        <is>
          <t>Squad</t>
        </is>
      </c>
      <c r="R388" t="inlineStr">
        <is>
          <t>Filled</t>
        </is>
      </c>
    </row>
    <row r="389" ht="18" customHeight="1" s="849">
      <c r="A389" s="250" t="n"/>
      <c r="B389" s="220" t="inlineStr">
        <is>
          <t>Vacant</t>
        </is>
      </c>
      <c r="C389" s="220" t="inlineStr">
        <is>
          <t>Delivery Lead</t>
        </is>
      </c>
      <c r="D389" s="251" t="inlineStr">
        <is>
          <t>vacant</t>
        </is>
      </c>
      <c r="E389" s="220" t="inlineStr">
        <is>
          <t>Delivery Manager</t>
        </is>
      </c>
      <c r="F389" s="220" t="inlineStr">
        <is>
          <t>TDD CFE&amp;I</t>
        </is>
      </c>
      <c r="G389" s="251" t="inlineStr">
        <is>
          <t>Commercial Fuels</t>
        </is>
      </c>
      <c r="H389" s="251" t="inlineStr">
        <is>
          <t>Trading &amp; Shipping</t>
        </is>
      </c>
      <c r="I389" s="251" t="inlineStr">
        <is>
          <t>Commercial Fuels</t>
        </is>
      </c>
      <c r="J389" s="251" t="inlineStr">
        <is>
          <t>Supply</t>
        </is>
      </c>
      <c r="K389" s="251" t="inlineStr">
        <is>
          <t>Supply</t>
        </is>
      </c>
      <c r="L389" s="220" t="n"/>
      <c r="M389" s="252" t="n"/>
      <c r="N389" t="inlineStr">
        <is>
          <t>Commercial Fuels</t>
        </is>
      </c>
      <c r="O389" t="inlineStr">
        <is>
          <t>Supply</t>
        </is>
      </c>
      <c r="P389" t="inlineStr">
        <is>
          <t>Supply</t>
        </is>
      </c>
      <c r="Q389" t="inlineStr">
        <is>
          <t>Squad</t>
        </is>
      </c>
      <c r="R389" t="inlineStr">
        <is>
          <t>Vacant</t>
        </is>
      </c>
    </row>
    <row r="390" ht="18" customHeight="1" s="849">
      <c r="A390" s="250" t="n">
        <v>107550</v>
      </c>
      <c r="B390" s="220" t="inlineStr">
        <is>
          <t>Gunjan Vasudeva</t>
        </is>
      </c>
      <c r="C390" s="220" t="inlineStr">
        <is>
          <t>Lead Quality Assurance</t>
        </is>
      </c>
      <c r="D390" s="251" t="inlineStr">
        <is>
          <t>vacant</t>
        </is>
      </c>
      <c r="E390" s="220" t="inlineStr">
        <is>
          <t>Technology Manager, Energy Solutions</t>
        </is>
      </c>
      <c r="F390" s="220" t="inlineStr">
        <is>
          <t>TDD CFE&amp;I</t>
        </is>
      </c>
      <c r="G390" s="251" t="inlineStr">
        <is>
          <t>B2B &amp; Energy Solutions</t>
        </is>
      </c>
      <c r="H390" s="251" t="inlineStr">
        <is>
          <t>Technology Energy Solutions</t>
        </is>
      </c>
      <c r="I390" s="251" t="inlineStr">
        <is>
          <t>B2B &amp; Energy Solutions</t>
        </is>
      </c>
      <c r="J390" s="251" t="inlineStr">
        <is>
          <t>Energy Solutions</t>
        </is>
      </c>
      <c r="K390" s="220" t="inlineStr">
        <is>
          <t>Energy</t>
        </is>
      </c>
      <c r="L390" s="251" t="n"/>
      <c r="M390" s="252" t="inlineStr">
        <is>
          <t>Australia</t>
        </is>
      </c>
      <c r="N390" t="inlineStr">
        <is>
          <t>Energy Solutions &amp; B2B</t>
        </is>
      </c>
      <c r="O390" t="inlineStr">
        <is>
          <t>Energy Solutions</t>
        </is>
      </c>
      <c r="P390" t="inlineStr">
        <is>
          <t>Energy</t>
        </is>
      </c>
      <c r="Q390" t="inlineStr">
        <is>
          <t>Squad</t>
        </is>
      </c>
      <c r="R390" t="inlineStr">
        <is>
          <t>Filled</t>
        </is>
      </c>
    </row>
    <row r="391" ht="18" customHeight="1" s="849">
      <c r="A391" s="250" t="n"/>
      <c r="B391" s="220" t="inlineStr">
        <is>
          <t>Vacant</t>
        </is>
      </c>
      <c r="C391" s="220" t="inlineStr">
        <is>
          <t>Engineer Software</t>
        </is>
      </c>
      <c r="D391" s="220" t="inlineStr">
        <is>
          <t>Vacant</t>
        </is>
      </c>
      <c r="E391" s="220" t="inlineStr">
        <is>
          <t>Technology Manager, Energy Solutions</t>
        </is>
      </c>
      <c r="F391" s="220" t="inlineStr">
        <is>
          <t>TDD CFE&amp;I</t>
        </is>
      </c>
      <c r="G391" s="251" t="inlineStr">
        <is>
          <t>Loyalty &amp; Martech</t>
        </is>
      </c>
      <c r="H391" s="251" t="inlineStr">
        <is>
          <t>Technology B2B</t>
        </is>
      </c>
      <c r="I391" s="251" t="inlineStr">
        <is>
          <t>B2B &amp; Energy Solutions</t>
        </is>
      </c>
      <c r="J391" s="220" t="inlineStr">
        <is>
          <t>B2B</t>
        </is>
      </c>
      <c r="K391" s="220" t="inlineStr">
        <is>
          <t>B2B</t>
        </is>
      </c>
      <c r="L391" s="251" t="n"/>
      <c r="M391" s="252" t="n"/>
      <c r="N391" t="inlineStr">
        <is>
          <t>Energy Solutions &amp; B2B</t>
        </is>
      </c>
      <c r="O391" t="inlineStr">
        <is>
          <t>B2B</t>
        </is>
      </c>
      <c r="P391" t="inlineStr">
        <is>
          <t>B2B</t>
        </is>
      </c>
      <c r="Q391" t="inlineStr">
        <is>
          <t>Squad</t>
        </is>
      </c>
      <c r="R391" t="inlineStr">
        <is>
          <t>Vacant</t>
        </is>
      </c>
    </row>
    <row r="392" ht="18" customHeight="1" s="849">
      <c r="A392" s="250" t="n"/>
      <c r="B392" s="220" t="inlineStr">
        <is>
          <t>Vacant</t>
        </is>
      </c>
      <c r="C392" s="220" t="inlineStr">
        <is>
          <t>Engineer Automation - Testing</t>
        </is>
      </c>
      <c r="D392" s="251" t="inlineStr">
        <is>
          <t>Vacant</t>
        </is>
      </c>
      <c r="E392" s="220" t="inlineStr">
        <is>
          <t>Technology Manager, Energy Solutions</t>
        </is>
      </c>
      <c r="F392" s="220" t="inlineStr">
        <is>
          <t>TDD CFE&amp;I</t>
        </is>
      </c>
      <c r="G392" s="251" t="inlineStr">
        <is>
          <t>B2B &amp; Energy Solutions</t>
        </is>
      </c>
      <c r="H392" s="251" t="inlineStr">
        <is>
          <t>Technology Energy Solutions</t>
        </is>
      </c>
      <c r="I392" s="251" t="inlineStr">
        <is>
          <t>B2B &amp; Energy Solutions</t>
        </is>
      </c>
      <c r="J392" s="251" t="inlineStr">
        <is>
          <t>Ampol Digital</t>
        </is>
      </c>
      <c r="K392" s="220" t="inlineStr">
        <is>
          <t>Energy</t>
        </is>
      </c>
      <c r="L392" s="251" t="n"/>
      <c r="M392" s="252" t="n"/>
      <c r="N392" t="inlineStr">
        <is>
          <t>Energy Solutions &amp; B2B</t>
        </is>
      </c>
      <c r="O392" t="inlineStr">
        <is>
          <t>Energy Solutions</t>
        </is>
      </c>
      <c r="P392" t="inlineStr">
        <is>
          <t>Energy</t>
        </is>
      </c>
      <c r="Q392" t="inlineStr">
        <is>
          <t>Squad</t>
        </is>
      </c>
      <c r="R392" t="inlineStr">
        <is>
          <t>Vacant</t>
        </is>
      </c>
    </row>
    <row r="393" ht="18" customHeight="1" s="849">
      <c r="A393" s="250" t="n">
        <v>99999101545</v>
      </c>
      <c r="B393" s="220" t="inlineStr">
        <is>
          <t>Josh Campbell</t>
        </is>
      </c>
      <c r="C393" s="220" t="inlineStr">
        <is>
          <t>Engineer Software</t>
        </is>
      </c>
      <c r="D393" s="251" t="inlineStr">
        <is>
          <t>vacant</t>
        </is>
      </c>
      <c r="E393" s="220" t="inlineStr">
        <is>
          <t>Technology Manager, Energy Solutions</t>
        </is>
      </c>
      <c r="F393" s="220" t="inlineStr">
        <is>
          <t>TDD CFE&amp;I</t>
        </is>
      </c>
      <c r="G393" s="251" t="inlineStr">
        <is>
          <t>B2B &amp; Energy Solutions</t>
        </is>
      </c>
      <c r="H393" s="251" t="inlineStr">
        <is>
          <t>Technology Energy Solutions</t>
        </is>
      </c>
      <c r="I393" s="251" t="inlineStr">
        <is>
          <t>B2B &amp; Energy Solutions</t>
        </is>
      </c>
      <c r="J393" s="251" t="inlineStr">
        <is>
          <t>Energy Solutions</t>
        </is>
      </c>
      <c r="K393" s="220" t="inlineStr">
        <is>
          <t>EVCI</t>
        </is>
      </c>
      <c r="L393" s="251" t="n"/>
      <c r="M393" s="252" t="inlineStr">
        <is>
          <t>NZ</t>
        </is>
      </c>
      <c r="N393" t="inlineStr">
        <is>
          <t>Energy Solutions &amp; B2B</t>
        </is>
      </c>
      <c r="O393" t="inlineStr">
        <is>
          <t>Energy Solutions</t>
        </is>
      </c>
      <c r="P393" t="inlineStr">
        <is>
          <t>EVCI</t>
        </is>
      </c>
      <c r="Q393" t="inlineStr">
        <is>
          <t>Squad</t>
        </is>
      </c>
      <c r="R393" t="inlineStr">
        <is>
          <t>Filled</t>
        </is>
      </c>
    </row>
    <row r="394" ht="18" customHeight="1" s="849">
      <c r="A394" s="250" t="n"/>
      <c r="B394" s="220" t="inlineStr">
        <is>
          <t>Vacant</t>
        </is>
      </c>
      <c r="C394" s="220" t="inlineStr">
        <is>
          <t>Snr Engineer Software</t>
        </is>
      </c>
      <c r="D394" s="251" t="inlineStr">
        <is>
          <t>vacant</t>
        </is>
      </c>
      <c r="E394" s="220" t="inlineStr">
        <is>
          <t>Technology Manager, Energy Solutions</t>
        </is>
      </c>
      <c r="F394" s="220" t="inlineStr">
        <is>
          <t>TDD CFE&amp;I</t>
        </is>
      </c>
      <c r="G394" s="251" t="inlineStr">
        <is>
          <t>B2B &amp; Energy Solutions</t>
        </is>
      </c>
      <c r="H394" s="251" t="inlineStr">
        <is>
          <t>Technology Energy Solutions</t>
        </is>
      </c>
      <c r="I394" s="251" t="inlineStr">
        <is>
          <t>B2B &amp; Energy Solutions</t>
        </is>
      </c>
      <c r="J394" s="251" t="inlineStr">
        <is>
          <t>Energy Solutions</t>
        </is>
      </c>
      <c r="K394" s="220" t="inlineStr">
        <is>
          <t>Energy</t>
        </is>
      </c>
      <c r="L394" s="251" t="n"/>
      <c r="M394" s="252" t="n"/>
      <c r="N394" t="inlineStr">
        <is>
          <t>Energy Solutions &amp; B2B</t>
        </is>
      </c>
      <c r="O394" t="inlineStr">
        <is>
          <t>Energy Solutions</t>
        </is>
      </c>
      <c r="P394" t="inlineStr">
        <is>
          <t>Energy</t>
        </is>
      </c>
      <c r="Q394" t="inlineStr">
        <is>
          <t>Squad</t>
        </is>
      </c>
      <c r="R394" t="inlineStr">
        <is>
          <t>Vacant</t>
        </is>
      </c>
    </row>
    <row r="395" ht="18" customHeight="1" s="849">
      <c r="A395" s="250" t="n"/>
      <c r="B395" s="220" t="inlineStr">
        <is>
          <t>vacant</t>
        </is>
      </c>
      <c r="C395" s="220" t="inlineStr">
        <is>
          <t>Solution Architect</t>
        </is>
      </c>
      <c r="D395" s="220" t="inlineStr">
        <is>
          <t>Vacant</t>
        </is>
      </c>
      <c r="E395" s="220" t="inlineStr">
        <is>
          <t>Technology Manager, Energy Solutions</t>
        </is>
      </c>
      <c r="F395" s="220" t="inlineStr">
        <is>
          <t>TDD CFE&amp;I</t>
        </is>
      </c>
      <c r="G395" s="251" t="inlineStr">
        <is>
          <t>B2B &amp; Energy Solutions</t>
        </is>
      </c>
      <c r="H395" s="251" t="inlineStr">
        <is>
          <t>Technology B2B</t>
        </is>
      </c>
      <c r="I395" s="251" t="inlineStr">
        <is>
          <t>B2B &amp; Energy Solutions</t>
        </is>
      </c>
      <c r="J395" s="220" t="inlineStr">
        <is>
          <t>B2B</t>
        </is>
      </c>
      <c r="K395" s="220" t="inlineStr">
        <is>
          <t>B2B</t>
        </is>
      </c>
      <c r="L395" s="251" t="n"/>
      <c r="M395" s="252" t="n"/>
      <c r="N395" t="inlineStr">
        <is>
          <t>Energy Solutions &amp; B2B</t>
        </is>
      </c>
      <c r="O395" t="inlineStr">
        <is>
          <t>B2B</t>
        </is>
      </c>
      <c r="P395" t="inlineStr">
        <is>
          <t>B2B</t>
        </is>
      </c>
      <c r="Q395" t="inlineStr">
        <is>
          <t>Squad</t>
        </is>
      </c>
      <c r="R395" t="inlineStr">
        <is>
          <t>Vacant</t>
        </is>
      </c>
    </row>
    <row r="396" ht="18" customHeight="1" s="849">
      <c r="A396" s="250" t="n">
        <v>96270</v>
      </c>
      <c r="B396" s="220" t="inlineStr">
        <is>
          <t>Zhan Liu</t>
        </is>
      </c>
      <c r="C396" s="220" t="inlineStr">
        <is>
          <t>Engineer Applications</t>
        </is>
      </c>
      <c r="D396" s="220" t="inlineStr">
        <is>
          <t>Vacant</t>
        </is>
      </c>
      <c r="E396" s="220" t="inlineStr">
        <is>
          <t>Technology Manager, T&amp;S</t>
        </is>
      </c>
      <c r="F396" s="220" t="inlineStr">
        <is>
          <t>TDD CFE&amp;I</t>
        </is>
      </c>
      <c r="G396" s="251" t="inlineStr">
        <is>
          <t>Commercial Fuels</t>
        </is>
      </c>
      <c r="H396" s="251" t="inlineStr">
        <is>
          <t>Trading &amp; Shipping</t>
        </is>
      </c>
      <c r="I396" s="251" t="inlineStr">
        <is>
          <t>Commercial Fuels</t>
        </is>
      </c>
      <c r="J396" s="220" t="inlineStr">
        <is>
          <t>CTRM</t>
        </is>
      </c>
      <c r="K396" s="220" t="inlineStr">
        <is>
          <t>CTRM</t>
        </is>
      </c>
      <c r="L396" s="251" t="n"/>
      <c r="M396" s="252" t="inlineStr">
        <is>
          <t>Australia</t>
        </is>
      </c>
      <c r="N396" t="inlineStr">
        <is>
          <t>Commercial Fuels</t>
        </is>
      </c>
      <c r="O396" t="inlineStr">
        <is>
          <t>CTRM</t>
        </is>
      </c>
      <c r="P396" t="inlineStr">
        <is>
          <t>CTRM</t>
        </is>
      </c>
      <c r="Q396" t="inlineStr">
        <is>
          <t>Strategic Program</t>
        </is>
      </c>
      <c r="R396" t="inlineStr">
        <is>
          <t>Filled</t>
        </is>
      </c>
    </row>
    <row r="397" ht="18" customHeight="1" s="849">
      <c r="A397" s="250" t="n">
        <v>107463</v>
      </c>
      <c r="B397" s="220" t="inlineStr">
        <is>
          <t>Deepa Kaur</t>
        </is>
      </c>
      <c r="C397" s="220" t="inlineStr">
        <is>
          <t>Senior Engineer Automation Testing</t>
        </is>
      </c>
      <c r="D397" s="251" t="inlineStr">
        <is>
          <t>Vacant</t>
        </is>
      </c>
      <c r="E397" s="220" t="inlineStr">
        <is>
          <t>Technology Manager, Engineering</t>
        </is>
      </c>
      <c r="F397" s="220" t="inlineStr">
        <is>
          <t>TDD CFE&amp;I</t>
        </is>
      </c>
      <c r="G397" s="251" t="inlineStr">
        <is>
          <t>Commercial Fuels</t>
        </is>
      </c>
      <c r="H397" s="251" t="inlineStr">
        <is>
          <t>Trading &amp; Shipping</t>
        </is>
      </c>
      <c r="I397" s="251" t="inlineStr">
        <is>
          <t>Commercial Fuels</t>
        </is>
      </c>
      <c r="J397" s="220" t="inlineStr">
        <is>
          <t>CTRM</t>
        </is>
      </c>
      <c r="K397" s="220" t="inlineStr">
        <is>
          <t>CTRM</t>
        </is>
      </c>
      <c r="L397" s="251" t="n"/>
      <c r="M397" s="252" t="inlineStr">
        <is>
          <t>Australia</t>
        </is>
      </c>
      <c r="N397" t="inlineStr">
        <is>
          <t>Commercial Fuels</t>
        </is>
      </c>
      <c r="O397" t="inlineStr">
        <is>
          <t>CTRM</t>
        </is>
      </c>
      <c r="P397" t="inlineStr">
        <is>
          <t>CTRM</t>
        </is>
      </c>
      <c r="Q397" t="inlineStr">
        <is>
          <t>Strategic Program</t>
        </is>
      </c>
      <c r="R397" t="inlineStr">
        <is>
          <t>Filled</t>
        </is>
      </c>
    </row>
    <row r="398" ht="18" customHeight="1" s="849">
      <c r="A398" s="250" t="n">
        <v>99999101325</v>
      </c>
      <c r="B398" s="220" t="inlineStr">
        <is>
          <t>Laura Roberts</t>
        </is>
      </c>
      <c r="C398" s="220" t="inlineStr">
        <is>
          <t>Senior Engineer Software</t>
        </is>
      </c>
      <c r="D398" s="251" t="inlineStr">
        <is>
          <t>Vacant</t>
        </is>
      </c>
      <c r="E398" s="220" t="inlineStr">
        <is>
          <t>Technology Manager, Engineering</t>
        </is>
      </c>
      <c r="F398" s="220" t="inlineStr">
        <is>
          <t>TDD CFE&amp;I</t>
        </is>
      </c>
      <c r="G398" s="251" t="inlineStr">
        <is>
          <t>Commercial Fuels</t>
        </is>
      </c>
      <c r="H398" s="251" t="inlineStr">
        <is>
          <t>Delivery, Commercial Fuels</t>
        </is>
      </c>
      <c r="I398" s="251" t="inlineStr">
        <is>
          <t>Commercial Fuels</t>
        </is>
      </c>
      <c r="J398" s="220" t="inlineStr">
        <is>
          <t>CTRM</t>
        </is>
      </c>
      <c r="K398" s="220" t="inlineStr">
        <is>
          <t>CTRM</t>
        </is>
      </c>
      <c r="L398" s="251" t="n"/>
      <c r="M398" s="252" t="inlineStr">
        <is>
          <t>NZ</t>
        </is>
      </c>
      <c r="N398" t="inlineStr">
        <is>
          <t>Commercial Fuels</t>
        </is>
      </c>
      <c r="O398" t="inlineStr">
        <is>
          <t>CTRM</t>
        </is>
      </c>
      <c r="P398" t="inlineStr">
        <is>
          <t>CTRM</t>
        </is>
      </c>
      <c r="Q398" t="inlineStr">
        <is>
          <t>Strategic Program</t>
        </is>
      </c>
      <c r="R398" t="inlineStr">
        <is>
          <t>Filled</t>
        </is>
      </c>
    </row>
    <row r="399" ht="18" customHeight="1" s="849">
      <c r="A399" s="250" t="n"/>
      <c r="B399" s="220" t="inlineStr">
        <is>
          <t>Vacant (anaplan)</t>
        </is>
      </c>
      <c r="C399" s="220" t="inlineStr">
        <is>
          <t>System Specialist</t>
        </is>
      </c>
      <c r="D399" s="220" t="inlineStr">
        <is>
          <t>Vacant</t>
        </is>
      </c>
      <c r="E399" s="220" t="inlineStr">
        <is>
          <t>Technology Manager, T&amp;S</t>
        </is>
      </c>
      <c r="F399" s="220" t="inlineStr">
        <is>
          <t>TDD CFE&amp;I</t>
        </is>
      </c>
      <c r="G399" s="251" t="inlineStr">
        <is>
          <t>Commercial Fuels</t>
        </is>
      </c>
      <c r="H399" s="251" t="inlineStr">
        <is>
          <t>Technology, Trading &amp; Shipping</t>
        </is>
      </c>
      <c r="I399" s="251" t="inlineStr">
        <is>
          <t>Commercial Fuels</t>
        </is>
      </c>
      <c r="J399" s="251" t="inlineStr">
        <is>
          <t>Supply</t>
        </is>
      </c>
      <c r="K399" s="220" t="inlineStr">
        <is>
          <t>Supply</t>
        </is>
      </c>
      <c r="L399" s="251" t="n"/>
      <c r="M399" s="252" t="n"/>
      <c r="N399" t="inlineStr">
        <is>
          <t>Commercial Fuels</t>
        </is>
      </c>
      <c r="O399" t="inlineStr">
        <is>
          <t>Supply</t>
        </is>
      </c>
      <c r="P399" t="inlineStr">
        <is>
          <t>Supply</t>
        </is>
      </c>
      <c r="Q399" t="inlineStr">
        <is>
          <t>Squad</t>
        </is>
      </c>
      <c r="R399" t="inlineStr">
        <is>
          <t>Filled</t>
        </is>
      </c>
    </row>
    <row r="400" ht="18" customHeight="1" s="849">
      <c r="A400" s="250" t="n">
        <v>99999101752</v>
      </c>
      <c r="B400" s="220" t="inlineStr">
        <is>
          <t>Amanda Turnbull</t>
        </is>
      </c>
      <c r="C400" s="220" t="inlineStr">
        <is>
          <t>Engineer Software</t>
        </is>
      </c>
      <c r="D400" s="251" t="inlineStr">
        <is>
          <t>Vacant</t>
        </is>
      </c>
      <c r="E400" s="220" t="inlineStr">
        <is>
          <t>Technology Manager, Engineering</t>
        </is>
      </c>
      <c r="F400" s="220" t="inlineStr">
        <is>
          <t>TDD CFE&amp;I</t>
        </is>
      </c>
      <c r="G400" s="251" t="inlineStr">
        <is>
          <t>Commercial Fuels</t>
        </is>
      </c>
      <c r="H400" s="251" t="inlineStr">
        <is>
          <t>Trading &amp; Shipping</t>
        </is>
      </c>
      <c r="I400" s="251" t="inlineStr">
        <is>
          <t>Commercial Fuels</t>
        </is>
      </c>
      <c r="J400" s="220" t="inlineStr">
        <is>
          <t>CTRM</t>
        </is>
      </c>
      <c r="K400" s="220" t="inlineStr">
        <is>
          <t>CTRM</t>
        </is>
      </c>
      <c r="L400" s="251" t="n"/>
      <c r="M400" s="252" t="inlineStr">
        <is>
          <t>NZ</t>
        </is>
      </c>
      <c r="N400" t="inlineStr">
        <is>
          <t>Commercial Fuels</t>
        </is>
      </c>
      <c r="O400" t="inlineStr">
        <is>
          <t>CTRM</t>
        </is>
      </c>
      <c r="P400" t="inlineStr">
        <is>
          <t>CTRM</t>
        </is>
      </c>
      <c r="Q400" t="inlineStr">
        <is>
          <t>Strategic Program</t>
        </is>
      </c>
      <c r="R400" t="inlineStr">
        <is>
          <t>Filled</t>
        </is>
      </c>
    </row>
    <row r="401" ht="18" customHeight="1" s="849">
      <c r="A401" s="250" t="n">
        <v>97284</v>
      </c>
      <c r="B401" s="220" t="inlineStr">
        <is>
          <t>Byron Leung</t>
        </is>
      </c>
      <c r="C401" s="220" t="inlineStr">
        <is>
          <t>Solution Architect</t>
        </is>
      </c>
      <c r="D401" s="251" t="inlineStr">
        <is>
          <t>Vacant</t>
        </is>
      </c>
      <c r="E401" s="220" t="inlineStr">
        <is>
          <t>Technology Manager, Engineering</t>
        </is>
      </c>
      <c r="F401" s="220" t="inlineStr">
        <is>
          <t>TDD CFE&amp;I</t>
        </is>
      </c>
      <c r="G401" s="251" t="inlineStr">
        <is>
          <t>Commercial Fuels</t>
        </is>
      </c>
      <c r="H401" s="251" t="inlineStr">
        <is>
          <t>Trading &amp; Shipping</t>
        </is>
      </c>
      <c r="I401" s="251" t="inlineStr">
        <is>
          <t>Commercial Fuels</t>
        </is>
      </c>
      <c r="J401" s="220" t="inlineStr">
        <is>
          <t>CTRM</t>
        </is>
      </c>
      <c r="K401" s="220" t="inlineStr">
        <is>
          <t>CTRM</t>
        </is>
      </c>
      <c r="L401" s="251" t="n"/>
      <c r="M401" s="252" t="inlineStr">
        <is>
          <t>Australia</t>
        </is>
      </c>
      <c r="N401" t="inlineStr">
        <is>
          <t>Commercial Fuels</t>
        </is>
      </c>
      <c r="O401" t="inlineStr">
        <is>
          <t>CTRM</t>
        </is>
      </c>
      <c r="P401" t="inlineStr">
        <is>
          <t>CTRM</t>
        </is>
      </c>
      <c r="Q401" t="inlineStr">
        <is>
          <t>Strategic Program</t>
        </is>
      </c>
      <c r="R401" t="inlineStr">
        <is>
          <t>Filled</t>
        </is>
      </c>
    </row>
    <row r="402" ht="18" customHeight="1" s="849">
      <c r="A402" s="250" t="n">
        <v>99999101568</v>
      </c>
      <c r="B402" s="220" t="inlineStr">
        <is>
          <t>Anie Camerino</t>
        </is>
      </c>
      <c r="C402" s="220" t="inlineStr">
        <is>
          <t>Snr Quality Assurance</t>
        </is>
      </c>
      <c r="D402" s="251" t="inlineStr">
        <is>
          <t>Vacant</t>
        </is>
      </c>
      <c r="E402" s="220" t="inlineStr">
        <is>
          <t>Technology Manager, Energy Solutions</t>
        </is>
      </c>
      <c r="F402" s="220" t="inlineStr">
        <is>
          <t>TDD CFE&amp;I</t>
        </is>
      </c>
      <c r="G402" s="251" t="inlineStr">
        <is>
          <t>B2B &amp; Energy Solutions</t>
        </is>
      </c>
      <c r="H402" s="251" t="inlineStr">
        <is>
          <t>Technology Energy Solutions</t>
        </is>
      </c>
      <c r="I402" s="251" t="inlineStr">
        <is>
          <t>B2B &amp; Energy Solutions</t>
        </is>
      </c>
      <c r="J402" s="251" t="inlineStr">
        <is>
          <t>Energy Solutions</t>
        </is>
      </c>
      <c r="K402" s="220" t="inlineStr">
        <is>
          <t>EVCI</t>
        </is>
      </c>
      <c r="L402" s="251" t="n"/>
      <c r="M402" s="252" t="inlineStr">
        <is>
          <t>NZ</t>
        </is>
      </c>
      <c r="N402" t="inlineStr">
        <is>
          <t>Energy Solutions &amp; B2B</t>
        </is>
      </c>
      <c r="O402" t="inlineStr">
        <is>
          <t>Energy Solutions</t>
        </is>
      </c>
      <c r="P402" t="inlineStr">
        <is>
          <t>EVCI</t>
        </is>
      </c>
      <c r="Q402" t="inlineStr">
        <is>
          <t>Squad</t>
        </is>
      </c>
      <c r="R402" t="inlineStr">
        <is>
          <t>Filled</t>
        </is>
      </c>
    </row>
    <row r="403" ht="18" customHeight="1" s="849">
      <c r="A403" s="250" t="n">
        <v>113333</v>
      </c>
      <c r="B403" s="220" t="inlineStr">
        <is>
          <t>Tom Moore</t>
        </is>
      </c>
      <c r="C403" s="220" t="inlineStr">
        <is>
          <t>Technology Support Engineer - Infrastructure</t>
        </is>
      </c>
      <c r="D403" s="220" t="inlineStr">
        <is>
          <t>Vacant</t>
        </is>
      </c>
      <c r="E403" s="220" t="inlineStr">
        <is>
          <t>Lead Support, Infrastructure</t>
        </is>
      </c>
      <c r="F403" s="220" t="inlineStr">
        <is>
          <t>TDD CFE&amp;I</t>
        </is>
      </c>
      <c r="G403" s="251" t="inlineStr">
        <is>
          <t>Fuel Infrastructure</t>
        </is>
      </c>
      <c r="H403" s="251" t="inlineStr">
        <is>
          <t>Refinery Applications</t>
        </is>
      </c>
      <c r="I403" s="251" t="inlineStr">
        <is>
          <t>Infrastructure</t>
        </is>
      </c>
      <c r="J403" s="251" t="inlineStr">
        <is>
          <t>Fuel Infrastructure</t>
        </is>
      </c>
      <c r="K403" s="220" t="inlineStr">
        <is>
          <t>Technology Suport</t>
        </is>
      </c>
      <c r="L403" s="251" t="n"/>
      <c r="M403" s="252" t="inlineStr">
        <is>
          <t>Australia</t>
        </is>
      </c>
      <c r="N403" t="inlineStr">
        <is>
          <t>Infrastructure</t>
        </is>
      </c>
      <c r="O403" t="inlineStr">
        <is>
          <t>Manufacturing</t>
        </is>
      </c>
      <c r="P403" t="inlineStr">
        <is>
          <t>Technology Support</t>
        </is>
      </c>
      <c r="Q403" t="inlineStr">
        <is>
          <t>Squad</t>
        </is>
      </c>
      <c r="R403" t="inlineStr">
        <is>
          <t>Filled</t>
        </is>
      </c>
    </row>
    <row r="404" ht="18" customHeight="1" s="849">
      <c r="A404" s="250" t="n">
        <v>85491</v>
      </c>
      <c r="B404" s="220" t="inlineStr">
        <is>
          <t>Mick DaSilva</t>
        </is>
      </c>
      <c r="C404" s="220" t="inlineStr">
        <is>
          <t>Senior Business Analyst</t>
        </is>
      </c>
      <c r="D404" s="251" t="inlineStr">
        <is>
          <t>Vacant</t>
        </is>
      </c>
      <c r="E404" s="220" t="inlineStr">
        <is>
          <t>Delivery Manager</t>
        </is>
      </c>
      <c r="F404" s="220" t="inlineStr">
        <is>
          <t>TDD CFE&amp;I</t>
        </is>
      </c>
      <c r="G404" s="251" t="inlineStr">
        <is>
          <t>B2B &amp; Energy Solutions</t>
        </is>
      </c>
      <c r="H404" s="251" t="inlineStr">
        <is>
          <t>Delivery</t>
        </is>
      </c>
      <c r="I404" s="251" t="inlineStr">
        <is>
          <t>B2B &amp; Energy Solutions</t>
        </is>
      </c>
      <c r="J404" s="220" t="inlineStr">
        <is>
          <t>B2B</t>
        </is>
      </c>
      <c r="K404" s="220" t="inlineStr">
        <is>
          <t>B2B</t>
        </is>
      </c>
      <c r="L404" s="251" t="n"/>
      <c r="M404" s="252" t="inlineStr">
        <is>
          <t>Australia</t>
        </is>
      </c>
      <c r="N404" t="inlineStr">
        <is>
          <t>Energy Solutions &amp; B2B</t>
        </is>
      </c>
      <c r="O404" t="inlineStr">
        <is>
          <t>B2B</t>
        </is>
      </c>
      <c r="P404" t="inlineStr">
        <is>
          <t>B2B</t>
        </is>
      </c>
      <c r="Q404" t="inlineStr">
        <is>
          <t>Squad</t>
        </is>
      </c>
      <c r="R404" t="inlineStr">
        <is>
          <t>Filled</t>
        </is>
      </c>
    </row>
    <row r="405" ht="18" customHeight="1" s="849">
      <c r="A405" s="250" t="n">
        <v>106555</v>
      </c>
      <c r="B405" s="220" t="inlineStr">
        <is>
          <t>Karla Orozco Loza</t>
        </is>
      </c>
      <c r="C405" s="220" t="inlineStr">
        <is>
          <t xml:space="preserve">Technology Manager, Future Infrastructure </t>
        </is>
      </c>
      <c r="D405" s="220" t="inlineStr">
        <is>
          <t>Vacant</t>
        </is>
      </c>
      <c r="E405" s="220" t="inlineStr">
        <is>
          <t>Head of Technology, Fuel Infrastructure</t>
        </is>
      </c>
      <c r="F405" s="220" t="inlineStr">
        <is>
          <t>TDD CFE&amp;I</t>
        </is>
      </c>
      <c r="G405" s="251" t="inlineStr">
        <is>
          <t>Fuel Infrastructure</t>
        </is>
      </c>
      <c r="H405" s="251" t="inlineStr">
        <is>
          <t>Technology - Distribution</t>
        </is>
      </c>
      <c r="I405" s="251" t="inlineStr">
        <is>
          <t>Infrastructure</t>
        </is>
      </c>
      <c r="J405" s="251" t="inlineStr">
        <is>
          <t>Distribution</t>
        </is>
      </c>
      <c r="K405" s="220" t="inlineStr">
        <is>
          <t>Leadership</t>
        </is>
      </c>
      <c r="L405" s="251" t="n"/>
      <c r="M405" s="252" t="inlineStr">
        <is>
          <t>Australia</t>
        </is>
      </c>
      <c r="N405" t="inlineStr">
        <is>
          <t>Infrastructure</t>
        </is>
      </c>
      <c r="O405" t="inlineStr">
        <is>
          <t>Leadership</t>
        </is>
      </c>
      <c r="P405" t="inlineStr">
        <is>
          <t>Leadership</t>
        </is>
      </c>
      <c r="Q405" t="inlineStr">
        <is>
          <t>Leadership</t>
        </is>
      </c>
      <c r="R405" t="inlineStr">
        <is>
          <t>Filled</t>
        </is>
      </c>
    </row>
    <row r="406" ht="18" customHeight="1" s="849">
      <c r="A406" s="250" t="n">
        <v>103651</v>
      </c>
      <c r="B406" s="220" t="inlineStr">
        <is>
          <t>Hari Maneti</t>
        </is>
      </c>
      <c r="C406" s="220" t="inlineStr">
        <is>
          <t>Systems Analyst</t>
        </is>
      </c>
      <c r="D406" s="220" t="inlineStr">
        <is>
          <t>Vacant</t>
        </is>
      </c>
      <c r="E406" s="220" t="inlineStr">
        <is>
          <t>Technology Manager, T&amp;S</t>
        </is>
      </c>
      <c r="F406" s="220" t="inlineStr">
        <is>
          <t>TDD CFE&amp;I</t>
        </is>
      </c>
      <c r="G406" s="251" t="inlineStr">
        <is>
          <t>Commercial Fuels</t>
        </is>
      </c>
      <c r="H406" s="291" t="inlineStr">
        <is>
          <t>Technology, Trading &amp; Shipping</t>
        </is>
      </c>
      <c r="I406" s="251" t="inlineStr">
        <is>
          <t>Commercial Fuels</t>
        </is>
      </c>
      <c r="J406" s="251" t="inlineStr">
        <is>
          <t>Trading &amp; Shipping</t>
        </is>
      </c>
      <c r="K406" s="220" t="inlineStr">
        <is>
          <t>Trading &amp; Shipping</t>
        </is>
      </c>
      <c r="L406" s="251" t="n"/>
      <c r="M406" s="252"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849">
      <c r="A407" s="250" t="n">
        <v>13925</v>
      </c>
      <c r="B407" s="220" t="inlineStr">
        <is>
          <t>Allan Francia</t>
        </is>
      </c>
      <c r="C407" s="220" t="inlineStr">
        <is>
          <t>Technology Manager - T&amp;S</t>
        </is>
      </c>
      <c r="D407" s="251" t="inlineStr">
        <is>
          <t>Vacant</t>
        </is>
      </c>
      <c r="E407" s="220" t="inlineStr">
        <is>
          <t>Head of Technology, Commercial Fuels</t>
        </is>
      </c>
      <c r="F407" s="220" t="inlineStr">
        <is>
          <t>TDD CFE&amp;I</t>
        </is>
      </c>
      <c r="G407" s="251" t="inlineStr">
        <is>
          <t>Commercial Fuels</t>
        </is>
      </c>
      <c r="H407" s="291" t="inlineStr">
        <is>
          <t>Trading &amp; Shipping</t>
        </is>
      </c>
      <c r="I407" s="251" t="inlineStr">
        <is>
          <t>Commercial Fuels</t>
        </is>
      </c>
      <c r="J407" s="251" t="inlineStr">
        <is>
          <t>Trading &amp; Shipping</t>
        </is>
      </c>
      <c r="K407" s="251" t="inlineStr">
        <is>
          <t>Trading &amp; Shipping</t>
        </is>
      </c>
      <c r="L407" s="251" t="n"/>
      <c r="M407" s="252"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849">
      <c r="A408" s="250" t="n">
        <v>99999101908</v>
      </c>
      <c r="B408" s="220" t="inlineStr">
        <is>
          <t>Oliver Shanks</t>
        </is>
      </c>
      <c r="C408" s="220" t="inlineStr">
        <is>
          <t>Associate Engineer Software</t>
        </is>
      </c>
      <c r="D408" s="251" t="inlineStr">
        <is>
          <t>Vacant</t>
        </is>
      </c>
      <c r="E408" s="220" t="inlineStr">
        <is>
          <t>Technology Manager, Engineering</t>
        </is>
      </c>
      <c r="F408" s="220" t="inlineStr">
        <is>
          <t>TDD CFE&amp;I</t>
        </is>
      </c>
      <c r="G408" s="251" t="inlineStr">
        <is>
          <t>Commercial Fuels</t>
        </is>
      </c>
      <c r="H408" s="251" t="inlineStr">
        <is>
          <t>Trading &amp; Shipping</t>
        </is>
      </c>
      <c r="I408" s="251" t="inlineStr">
        <is>
          <t>Commercial Fuels</t>
        </is>
      </c>
      <c r="J408" s="220" t="inlineStr">
        <is>
          <t>CTRM</t>
        </is>
      </c>
      <c r="K408" s="220" t="inlineStr">
        <is>
          <t>CTRM</t>
        </is>
      </c>
      <c r="L408" s="251" t="n"/>
      <c r="M408" s="252" t="inlineStr">
        <is>
          <t>NZ</t>
        </is>
      </c>
      <c r="N408" t="inlineStr">
        <is>
          <t>Commercial Fuels</t>
        </is>
      </c>
      <c r="O408" t="inlineStr">
        <is>
          <t>CTRM</t>
        </is>
      </c>
      <c r="P408" t="inlineStr">
        <is>
          <t>CTRM</t>
        </is>
      </c>
      <c r="Q408" t="inlineStr">
        <is>
          <t>Strategic Program</t>
        </is>
      </c>
      <c r="R408" t="inlineStr">
        <is>
          <t>Filled</t>
        </is>
      </c>
    </row>
    <row r="409" ht="18" customHeight="1" s="849">
      <c r="A409" s="250" t="n">
        <v>99999100769</v>
      </c>
      <c r="B409" s="220" t="inlineStr">
        <is>
          <t>Gokila Mylsamy</t>
        </is>
      </c>
      <c r="C409" s="220" t="inlineStr">
        <is>
          <t>Lead Engineer Software</t>
        </is>
      </c>
      <c r="D409" s="251" t="inlineStr">
        <is>
          <t>Vacant</t>
        </is>
      </c>
      <c r="E409" s="220" t="inlineStr">
        <is>
          <t>Technology Manager, Energy Solutions</t>
        </is>
      </c>
      <c r="F409" s="220" t="inlineStr">
        <is>
          <t>TDD CFE&amp;I</t>
        </is>
      </c>
      <c r="G409" s="251" t="inlineStr">
        <is>
          <t>B2B &amp; Energy Solutions</t>
        </is>
      </c>
      <c r="H409" s="251" t="inlineStr">
        <is>
          <t>Technology Energy Solutions</t>
        </is>
      </c>
      <c r="I409" s="251" t="inlineStr">
        <is>
          <t>B2B &amp; Energy Solutions</t>
        </is>
      </c>
      <c r="J409" s="251" t="inlineStr">
        <is>
          <t>Energy Solutions</t>
        </is>
      </c>
      <c r="K409" s="220" t="inlineStr">
        <is>
          <t>EVCI</t>
        </is>
      </c>
      <c r="L409" s="251" t="n"/>
      <c r="M409" s="252" t="inlineStr">
        <is>
          <t>NZ</t>
        </is>
      </c>
      <c r="N409" t="inlineStr">
        <is>
          <t>Energy Solutions &amp; B2B</t>
        </is>
      </c>
      <c r="O409" t="inlineStr">
        <is>
          <t>Energy Solutions</t>
        </is>
      </c>
      <c r="P409" t="inlineStr">
        <is>
          <t>EVCI</t>
        </is>
      </c>
      <c r="Q409" t="inlineStr">
        <is>
          <t>Squad</t>
        </is>
      </c>
      <c r="R409" t="inlineStr">
        <is>
          <t>Filled</t>
        </is>
      </c>
    </row>
    <row r="410" ht="18" customHeight="1" s="849">
      <c r="A410" s="250" t="n">
        <v>114717</v>
      </c>
      <c r="B410" s="220" t="inlineStr">
        <is>
          <t>Fransiscus Setiawan</t>
        </is>
      </c>
      <c r="C410" s="220" t="inlineStr">
        <is>
          <t xml:space="preserve">Integration Architect   </t>
        </is>
      </c>
      <c r="D410" s="251" t="inlineStr">
        <is>
          <t>Vacant</t>
        </is>
      </c>
      <c r="E410" s="220" t="inlineStr">
        <is>
          <t>Technology Manager, Engineering</t>
        </is>
      </c>
      <c r="F410" s="220" t="inlineStr">
        <is>
          <t>TDD CFE&amp;I</t>
        </is>
      </c>
      <c r="G410" s="251" t="inlineStr">
        <is>
          <t>Commercial Fuels</t>
        </is>
      </c>
      <c r="H410" s="251" t="inlineStr">
        <is>
          <t>Trading &amp; Shipping</t>
        </is>
      </c>
      <c r="I410" s="251" t="inlineStr">
        <is>
          <t>Commercial Fuels</t>
        </is>
      </c>
      <c r="J410" s="220" t="inlineStr">
        <is>
          <t>CTRM</t>
        </is>
      </c>
      <c r="K410" s="220" t="inlineStr">
        <is>
          <t>CTRM</t>
        </is>
      </c>
      <c r="L410" s="251" t="n"/>
      <c r="M410" s="252" t="inlineStr">
        <is>
          <t>Australia</t>
        </is>
      </c>
      <c r="N410" t="inlineStr">
        <is>
          <t>Commercial Fuels</t>
        </is>
      </c>
      <c r="O410" t="inlineStr">
        <is>
          <t>CTRM</t>
        </is>
      </c>
      <c r="P410" t="inlineStr">
        <is>
          <t>CTRM</t>
        </is>
      </c>
      <c r="Q410" t="inlineStr">
        <is>
          <t>Strategic Program</t>
        </is>
      </c>
      <c r="R410" t="inlineStr">
        <is>
          <t>Filled</t>
        </is>
      </c>
    </row>
    <row r="411" ht="18" customHeight="1" s="849">
      <c r="A411" s="250" t="n">
        <v>10572</v>
      </c>
      <c r="B411" s="220" t="inlineStr">
        <is>
          <t>Stevani Kho</t>
        </is>
      </c>
      <c r="C411" s="220" t="inlineStr">
        <is>
          <t>Delivery Lead</t>
        </is>
      </c>
      <c r="D411" s="220" t="inlineStr">
        <is>
          <t>vacant</t>
        </is>
      </c>
      <c r="E411" s="220" t="inlineStr">
        <is>
          <t>Technology Manger, Data</t>
        </is>
      </c>
      <c r="F411" s="220" t="inlineStr">
        <is>
          <t>TDD CFE&amp;I</t>
        </is>
      </c>
      <c r="G411" s="251" t="inlineStr">
        <is>
          <t>Fuel Infrastructure</t>
        </is>
      </c>
      <c r="H411" s="251" t="inlineStr">
        <is>
          <t>Technology, Trading &amp; Shipping</t>
        </is>
      </c>
      <c r="I411" s="251" t="inlineStr">
        <is>
          <t>Infrastructure</t>
        </is>
      </c>
      <c r="J411" s="220" t="inlineStr">
        <is>
          <t xml:space="preserve">Data &amp; Insights </t>
        </is>
      </c>
      <c r="K411" s="220" t="inlineStr">
        <is>
          <t xml:space="preserve">Data &amp; Insights </t>
        </is>
      </c>
      <c r="L411" s="251" t="n"/>
      <c r="M411" s="252" t="inlineStr">
        <is>
          <t>Australia</t>
        </is>
      </c>
      <c r="N411" t="inlineStr">
        <is>
          <t>Infrastructure</t>
        </is>
      </c>
      <c r="O411" t="inlineStr">
        <is>
          <t>Data &amp; Insights</t>
        </is>
      </c>
      <c r="P411" t="inlineStr">
        <is>
          <t>Data &amp; Insights</t>
        </is>
      </c>
      <c r="Q411" t="inlineStr">
        <is>
          <t>Squad</t>
        </is>
      </c>
      <c r="R411" t="inlineStr">
        <is>
          <t>Filled</t>
        </is>
      </c>
    </row>
    <row r="412" ht="18" customHeight="1" s="849">
      <c r="A412" s="250" t="n"/>
      <c r="B412" s="220" t="inlineStr">
        <is>
          <t>vacant</t>
        </is>
      </c>
      <c r="C412" s="220" t="inlineStr">
        <is>
          <t>Senior Engineer Data</t>
        </is>
      </c>
      <c r="D412" s="220" t="inlineStr">
        <is>
          <t>Vacant</t>
        </is>
      </c>
      <c r="E412" s="220" t="inlineStr">
        <is>
          <t>Technology Manger, Data</t>
        </is>
      </c>
      <c r="F412" s="220" t="inlineStr">
        <is>
          <t>TDD CFE&amp;I</t>
        </is>
      </c>
      <c r="G412" s="251" t="inlineStr">
        <is>
          <t>Fuel Infrastructure</t>
        </is>
      </c>
      <c r="H412" s="251" t="inlineStr">
        <is>
          <t>Technology, CF Engineering</t>
        </is>
      </c>
      <c r="I412" s="251" t="inlineStr">
        <is>
          <t>Infrastructure</t>
        </is>
      </c>
      <c r="J412" s="220" t="inlineStr">
        <is>
          <t xml:space="preserve">Data &amp; Insights </t>
        </is>
      </c>
      <c r="K412" s="220" t="inlineStr">
        <is>
          <t xml:space="preserve">Data &amp; Insights </t>
        </is>
      </c>
      <c r="L412" s="251" t="n"/>
      <c r="M412" s="252" t="n"/>
      <c r="N412" t="inlineStr">
        <is>
          <t>Infrastructure</t>
        </is>
      </c>
      <c r="O412" t="inlineStr">
        <is>
          <t>Data &amp; Insights</t>
        </is>
      </c>
      <c r="P412" t="inlineStr">
        <is>
          <t>Data &amp; Insights</t>
        </is>
      </c>
      <c r="Q412" t="inlineStr">
        <is>
          <t>Squad</t>
        </is>
      </c>
      <c r="R412" t="inlineStr">
        <is>
          <t>Vacant</t>
        </is>
      </c>
    </row>
    <row r="413" ht="18" customHeight="1" s="849">
      <c r="A413" s="250" t="n">
        <v>6851</v>
      </c>
      <c r="B413" s="220" t="inlineStr">
        <is>
          <t>Ann Aquino</t>
        </is>
      </c>
      <c r="C413" s="220" t="inlineStr">
        <is>
          <t>Senior Business Analyst</t>
        </is>
      </c>
      <c r="D413" s="251" t="inlineStr">
        <is>
          <t>vacant</t>
        </is>
      </c>
      <c r="E413" s="220" t="inlineStr">
        <is>
          <t>Delivery Manager</t>
        </is>
      </c>
      <c r="F413" s="220" t="inlineStr">
        <is>
          <t>TDD CFE&amp;I</t>
        </is>
      </c>
      <c r="G413" s="251" t="inlineStr">
        <is>
          <t>Commercial Fuels</t>
        </is>
      </c>
      <c r="H413" s="291" t="inlineStr">
        <is>
          <t>Trading &amp; Shipping</t>
        </is>
      </c>
      <c r="I413" s="251" t="inlineStr">
        <is>
          <t>Commercial Fuels</t>
        </is>
      </c>
      <c r="J413" s="251" t="inlineStr">
        <is>
          <t>Supply</t>
        </is>
      </c>
      <c r="K413" s="251" t="inlineStr">
        <is>
          <t>Supply</t>
        </is>
      </c>
      <c r="L413" s="220" t="n"/>
      <c r="M413" s="252" t="inlineStr">
        <is>
          <t>Australia</t>
        </is>
      </c>
      <c r="N413" t="inlineStr">
        <is>
          <t>Commercial Fuels</t>
        </is>
      </c>
      <c r="O413" t="inlineStr">
        <is>
          <t>Supply</t>
        </is>
      </c>
      <c r="P413" t="inlineStr">
        <is>
          <t>Supply</t>
        </is>
      </c>
      <c r="Q413" t="inlineStr">
        <is>
          <t>Squad</t>
        </is>
      </c>
      <c r="R413" t="inlineStr">
        <is>
          <t>Filled</t>
        </is>
      </c>
    </row>
    <row r="414" ht="18" customHeight="1" s="849">
      <c r="A414" s="250" t="n">
        <v>0</v>
      </c>
      <c r="B414" s="220" t="inlineStr">
        <is>
          <t>Simrat Singh</t>
        </is>
      </c>
      <c r="C414" s="220" t="inlineStr">
        <is>
          <t>Reporting Analyst (Contractor)</t>
        </is>
      </c>
      <c r="D414" s="220" t="inlineStr">
        <is>
          <t>Vacant</t>
        </is>
      </c>
      <c r="E414" s="220" t="inlineStr">
        <is>
          <t>Technology Manager, TDD Refinery</t>
        </is>
      </c>
      <c r="F414" s="220" t="inlineStr">
        <is>
          <t>TDD CFE&amp;I</t>
        </is>
      </c>
      <c r="G414" s="251" t="inlineStr">
        <is>
          <t>Fuel Infrastructure</t>
        </is>
      </c>
      <c r="H414" s="251" t="inlineStr">
        <is>
          <t>Refinery Applications</t>
        </is>
      </c>
      <c r="I414" s="251" t="inlineStr">
        <is>
          <t>Infrastructure</t>
        </is>
      </c>
      <c r="J414" s="220" t="inlineStr">
        <is>
          <t xml:space="preserve">Data &amp; Insights </t>
        </is>
      </c>
      <c r="K414" t="inlineStr">
        <is>
          <t xml:space="preserve">Data &amp; Insights </t>
        </is>
      </c>
      <c r="L414" s="251" t="n"/>
      <c r="M414" s="252" t="n">
        <v>0</v>
      </c>
      <c r="N414" t="inlineStr">
        <is>
          <t>Infrastructure</t>
        </is>
      </c>
      <c r="O414" t="inlineStr">
        <is>
          <t>Data &amp; Insights</t>
        </is>
      </c>
      <c r="P414" t="inlineStr">
        <is>
          <t>Data &amp; Insights</t>
        </is>
      </c>
      <c r="Q414" t="inlineStr">
        <is>
          <t>Squad</t>
        </is>
      </c>
      <c r="R414" t="inlineStr">
        <is>
          <t>Filled</t>
        </is>
      </c>
    </row>
    <row r="415" ht="18" customHeight="1" s="849">
      <c r="A415" s="250" t="n">
        <v>102576</v>
      </c>
      <c r="B415" s="220" t="inlineStr">
        <is>
          <t>Glenn Earl</t>
        </is>
      </c>
      <c r="C415" s="220" t="inlineStr">
        <is>
          <t>Lead Technology Support - Infrastructure</t>
        </is>
      </c>
      <c r="D415" s="220" t="inlineStr">
        <is>
          <t>Vacant</t>
        </is>
      </c>
      <c r="E415" s="220" t="inlineStr">
        <is>
          <t>Technology Manager, TDD Refinery</t>
        </is>
      </c>
      <c r="F415" s="220" t="inlineStr">
        <is>
          <t>TDD CFE&amp;I</t>
        </is>
      </c>
      <c r="G415" s="251" t="inlineStr">
        <is>
          <t>Fuel Infrastructure</t>
        </is>
      </c>
      <c r="H415" s="251" t="inlineStr">
        <is>
          <t>Refinery Applications</t>
        </is>
      </c>
      <c r="I415" s="251" t="inlineStr">
        <is>
          <t>Infrastructure</t>
        </is>
      </c>
      <c r="J415" s="251" t="inlineStr">
        <is>
          <t>Fuel Infrastructure</t>
        </is>
      </c>
      <c r="K415" t="inlineStr">
        <is>
          <t>Technology Suport</t>
        </is>
      </c>
      <c r="L415" s="251" t="n"/>
      <c r="M415" s="252" t="inlineStr">
        <is>
          <t>Australia</t>
        </is>
      </c>
      <c r="N415" t="inlineStr">
        <is>
          <t>Infrastructure</t>
        </is>
      </c>
      <c r="O415" t="inlineStr">
        <is>
          <t>Manufacturing</t>
        </is>
      </c>
      <c r="P415" t="inlineStr">
        <is>
          <t>Technology Support</t>
        </is>
      </c>
      <c r="Q415" t="inlineStr">
        <is>
          <t>Squad</t>
        </is>
      </c>
      <c r="R415" t="inlineStr">
        <is>
          <t>Filled</t>
        </is>
      </c>
    </row>
    <row r="416" ht="18" customHeight="1" s="849">
      <c r="A416" s="250" t="n"/>
      <c r="B416" s="220" t="inlineStr">
        <is>
          <t>Vacant</t>
        </is>
      </c>
      <c r="C416" s="220" t="inlineStr">
        <is>
          <t>Lead Data Analyst</t>
        </is>
      </c>
      <c r="D416" s="220" t="inlineStr">
        <is>
          <t>Vacant</t>
        </is>
      </c>
      <c r="E416" s="220" t="inlineStr">
        <is>
          <t>Technology Manger, Data</t>
        </is>
      </c>
      <c r="F416" s="220" t="inlineStr">
        <is>
          <t>TDD CFE&amp;I</t>
        </is>
      </c>
      <c r="G416" s="251" t="inlineStr">
        <is>
          <t>Fuel Infrastructure</t>
        </is>
      </c>
      <c r="H416" s="251" t="inlineStr">
        <is>
          <t>Fuel Infrastructure, Data</t>
        </is>
      </c>
      <c r="I416" s="251" t="inlineStr">
        <is>
          <t>Infrastructure</t>
        </is>
      </c>
      <c r="J416" s="220" t="inlineStr">
        <is>
          <t xml:space="preserve">Data &amp; Insights </t>
        </is>
      </c>
      <c r="K416" s="220" t="inlineStr">
        <is>
          <t xml:space="preserve">Data &amp; Insights </t>
        </is>
      </c>
      <c r="L416" s="251" t="n"/>
      <c r="M416" s="252" t="n"/>
      <c r="N416" t="inlineStr">
        <is>
          <t>Infrastructure</t>
        </is>
      </c>
      <c r="O416" t="inlineStr">
        <is>
          <t>Data &amp; Insights</t>
        </is>
      </c>
      <c r="P416" t="inlineStr">
        <is>
          <t>Data &amp; Insights</t>
        </is>
      </c>
      <c r="Q416" t="inlineStr">
        <is>
          <t>Squad</t>
        </is>
      </c>
      <c r="R416" t="inlineStr">
        <is>
          <t>Vacant</t>
        </is>
      </c>
    </row>
    <row r="417" ht="18" customHeight="1" s="849">
      <c r="A417" s="250" t="n">
        <v>115935</v>
      </c>
      <c r="B417" s="220" t="inlineStr">
        <is>
          <t>Rick Abainza</t>
        </is>
      </c>
      <c r="C417" s="220" t="inlineStr">
        <is>
          <t>Lead Business Analyst</t>
        </is>
      </c>
      <c r="D417" s="251" t="inlineStr">
        <is>
          <t>vacant</t>
        </is>
      </c>
      <c r="E417" s="220" t="inlineStr">
        <is>
          <t>Delivery Manager</t>
        </is>
      </c>
      <c r="F417" s="220" t="inlineStr">
        <is>
          <t>TDD CFE&amp;I</t>
        </is>
      </c>
      <c r="G417" s="251" t="inlineStr">
        <is>
          <t>Commercial Fuels</t>
        </is>
      </c>
      <c r="H417" s="251" t="inlineStr">
        <is>
          <t>Delivery</t>
        </is>
      </c>
      <c r="I417" s="251" t="inlineStr">
        <is>
          <t>Commercial Fuels</t>
        </is>
      </c>
      <c r="J417" s="251" t="inlineStr">
        <is>
          <t>CTRM</t>
        </is>
      </c>
      <c r="K417" s="251" t="inlineStr">
        <is>
          <t>CTRM</t>
        </is>
      </c>
      <c r="L417" s="220" t="n"/>
      <c r="M417" s="252" t="inlineStr">
        <is>
          <t>Singapore</t>
        </is>
      </c>
      <c r="N417" t="inlineStr">
        <is>
          <t>Commercial Fuels</t>
        </is>
      </c>
      <c r="O417" t="inlineStr">
        <is>
          <t>CTRM</t>
        </is>
      </c>
      <c r="P417" t="inlineStr">
        <is>
          <t>CTRM</t>
        </is>
      </c>
      <c r="Q417" t="inlineStr">
        <is>
          <t>Strategic Program</t>
        </is>
      </c>
      <c r="R417" t="inlineStr">
        <is>
          <t>Filled</t>
        </is>
      </c>
    </row>
    <row r="418" ht="18" customHeight="1" s="849">
      <c r="A418" s="250" t="n"/>
      <c r="B418" s="220" t="inlineStr">
        <is>
          <t>vacant</t>
        </is>
      </c>
      <c r="C418" s="220" t="inlineStr">
        <is>
          <t>Delivery manager</t>
        </is>
      </c>
      <c r="D418" s="251" t="inlineStr">
        <is>
          <t>Vacant</t>
        </is>
      </c>
      <c r="E418" s="220" t="inlineStr">
        <is>
          <t>Head of Technology, B2B &amp; Energy Solutions</t>
        </is>
      </c>
      <c r="F418" s="220" t="inlineStr">
        <is>
          <t>TDD CFE&amp;I</t>
        </is>
      </c>
      <c r="G418" s="251" t="inlineStr">
        <is>
          <t>B2B &amp; Energy Solutions</t>
        </is>
      </c>
      <c r="H418" s="251" t="inlineStr">
        <is>
          <t>Leadership</t>
        </is>
      </c>
      <c r="I418" s="251" t="n"/>
      <c r="J418" s="251" t="n"/>
      <c r="K418" s="220" t="n"/>
      <c r="L418" s="251" t="n"/>
      <c r="M418" s="252" t="n"/>
      <c r="N418" t="inlineStr">
        <is>
          <t>Unmapped</t>
        </is>
      </c>
      <c r="O418" t="inlineStr">
        <is>
          <t>-</t>
        </is>
      </c>
      <c r="P418" t="inlineStr">
        <is>
          <t>B2B &amp; Energy Solutions</t>
        </is>
      </c>
      <c r="Q418" t="inlineStr">
        <is>
          <t>Unmapped</t>
        </is>
      </c>
      <c r="R418" t="inlineStr">
        <is>
          <t>Vacant</t>
        </is>
      </c>
    </row>
    <row r="419" ht="18" customHeight="1" s="849">
      <c r="A419" s="250" t="n">
        <v>110185</v>
      </c>
      <c r="B419" s="220" t="inlineStr">
        <is>
          <t>Soumya Choudhury</t>
        </is>
      </c>
      <c r="C419" s="220" t="inlineStr">
        <is>
          <t xml:space="preserve">Data Application Specialist </t>
        </is>
      </c>
      <c r="D419" s="251" t="inlineStr">
        <is>
          <t>Vacant</t>
        </is>
      </c>
      <c r="E419" s="220" t="inlineStr">
        <is>
          <t>Technology Manager, Data</t>
        </is>
      </c>
      <c r="F419" s="220" t="inlineStr">
        <is>
          <t>TDD CFE&amp;I</t>
        </is>
      </c>
      <c r="G419" s="251" t="inlineStr">
        <is>
          <t>Commercial Fuels</t>
        </is>
      </c>
      <c r="H419" s="251" t="inlineStr">
        <is>
          <t>Technology, T&amp;S Data</t>
        </is>
      </c>
      <c r="I419" s="251" t="inlineStr">
        <is>
          <t>Commercial Fuels</t>
        </is>
      </c>
      <c r="J419" s="251" t="inlineStr">
        <is>
          <t>Trading &amp; Shipping</t>
        </is>
      </c>
      <c r="K419" s="251" t="inlineStr">
        <is>
          <t>Trading &amp; Shipping Data</t>
        </is>
      </c>
      <c r="L419" s="251" t="n"/>
      <c r="M419" s="252"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849">
      <c r="A420" s="250" t="n">
        <v>113039</v>
      </c>
      <c r="B420" s="220" t="inlineStr">
        <is>
          <t>Anusha Viswanatha</t>
        </is>
      </c>
      <c r="C420" s="220" t="inlineStr">
        <is>
          <t>Delivery Lead</t>
        </is>
      </c>
      <c r="D420" s="251" t="inlineStr">
        <is>
          <t>Vacant</t>
        </is>
      </c>
      <c r="E420" s="220" t="inlineStr">
        <is>
          <t>Technology Manager, Data</t>
        </is>
      </c>
      <c r="F420" s="220" t="inlineStr">
        <is>
          <t>TDD CFE&amp;I</t>
        </is>
      </c>
      <c r="G420" s="251" t="inlineStr">
        <is>
          <t>Commercial Fuels</t>
        </is>
      </c>
      <c r="H420" s="251" t="inlineStr">
        <is>
          <t>Technology, T&amp;S Data</t>
        </is>
      </c>
      <c r="I420" s="251" t="inlineStr">
        <is>
          <t>Commercial Fuels</t>
        </is>
      </c>
      <c r="J420" s="251" t="inlineStr">
        <is>
          <t>Trading &amp; Shipping</t>
        </is>
      </c>
      <c r="K420" s="251" t="inlineStr">
        <is>
          <t>Trading &amp; Shipping Data</t>
        </is>
      </c>
      <c r="L420" s="251" t="n"/>
      <c r="M420" s="252"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849">
      <c r="A421" s="250" t="n">
        <v>106907</v>
      </c>
      <c r="B421" s="220" t="inlineStr">
        <is>
          <t>Oz Shaaban</t>
        </is>
      </c>
      <c r="C421" s="220" t="inlineStr">
        <is>
          <t>Delivery Lead</t>
        </is>
      </c>
      <c r="D421" s="251" t="inlineStr">
        <is>
          <t>Vacant</t>
        </is>
      </c>
      <c r="E421" s="220" t="inlineStr">
        <is>
          <t>Delivery Manager</t>
        </is>
      </c>
      <c r="F421" s="220" t="inlineStr">
        <is>
          <t>TDD CFE&amp;I</t>
        </is>
      </c>
      <c r="G421" s="251" t="inlineStr">
        <is>
          <t>Commercial Fuels</t>
        </is>
      </c>
      <c r="H421" s="251" t="inlineStr">
        <is>
          <t>Delivery</t>
        </is>
      </c>
      <c r="I421" s="251" t="inlineStr">
        <is>
          <t>Commercial Fuels</t>
        </is>
      </c>
      <c r="J421" s="251" t="inlineStr">
        <is>
          <t>CTRM</t>
        </is>
      </c>
      <c r="K421" s="251" t="inlineStr">
        <is>
          <t>CTRM</t>
        </is>
      </c>
      <c r="L421" s="220" t="n"/>
      <c r="M421" s="252" t="inlineStr">
        <is>
          <t>Australia</t>
        </is>
      </c>
      <c r="N421" t="inlineStr">
        <is>
          <t>Commercial Fuels</t>
        </is>
      </c>
      <c r="O421" t="inlineStr">
        <is>
          <t>CTRM</t>
        </is>
      </c>
      <c r="P421" t="inlineStr">
        <is>
          <t>CTRM</t>
        </is>
      </c>
      <c r="Q421" t="inlineStr">
        <is>
          <t>Strategic Program</t>
        </is>
      </c>
      <c r="R421" t="inlineStr">
        <is>
          <t>Filled</t>
        </is>
      </c>
    </row>
    <row r="422" ht="18" customHeight="1" s="849">
      <c r="A422" s="250" t="n">
        <v>113599</v>
      </c>
      <c r="B422" s="220" t="inlineStr">
        <is>
          <t>Nico Lender</t>
        </is>
      </c>
      <c r="C422" s="220" t="inlineStr">
        <is>
          <t>Solution Architect</t>
        </is>
      </c>
      <c r="D422" s="253" t="inlineStr">
        <is>
          <t>vacant</t>
        </is>
      </c>
      <c r="E422" s="220" t="inlineStr">
        <is>
          <t>Technology Manager, Energy Solutions</t>
        </is>
      </c>
      <c r="F422" s="220" t="inlineStr">
        <is>
          <t>TDD CFE&amp;I</t>
        </is>
      </c>
      <c r="G422" s="251" t="inlineStr">
        <is>
          <t>B2B &amp; Energy Solutions</t>
        </is>
      </c>
      <c r="H422" s="251" t="inlineStr">
        <is>
          <t>Technology Energy Solutions</t>
        </is>
      </c>
      <c r="I422" s="251" t="inlineStr">
        <is>
          <t>B2B &amp; Energy Solutions</t>
        </is>
      </c>
      <c r="J422" s="251" t="inlineStr">
        <is>
          <t>Energy Solutions</t>
        </is>
      </c>
      <c r="K422" s="220" t="inlineStr">
        <is>
          <t>Energy</t>
        </is>
      </c>
      <c r="L422" s="251" t="n"/>
      <c r="M422" s="252" t="n"/>
      <c r="N422" t="inlineStr">
        <is>
          <t>Energy Solutions &amp; B2B</t>
        </is>
      </c>
      <c r="O422" t="inlineStr">
        <is>
          <t>Energy Solutions</t>
        </is>
      </c>
      <c r="P422" t="inlineStr">
        <is>
          <t>Energy</t>
        </is>
      </c>
      <c r="Q422" t="inlineStr">
        <is>
          <t>Squad</t>
        </is>
      </c>
      <c r="R422" t="inlineStr">
        <is>
          <t>Filled</t>
        </is>
      </c>
    </row>
    <row r="423" ht="18" customHeight="1" s="849">
      <c r="A423" s="250" t="n">
        <v>115847</v>
      </c>
      <c r="B423" s="220" t="inlineStr">
        <is>
          <t>Jonathan Wong</t>
        </is>
      </c>
      <c r="C423" s="220" t="inlineStr">
        <is>
          <t>Senior Business Analyst</t>
        </is>
      </c>
      <c r="D423" s="253" t="inlineStr">
        <is>
          <t>Vacant</t>
        </is>
      </c>
      <c r="E423" s="220" t="inlineStr">
        <is>
          <t>Technology Manager, Data</t>
        </is>
      </c>
      <c r="F423" s="220" t="inlineStr">
        <is>
          <t>TDD CFE&amp;I</t>
        </is>
      </c>
      <c r="G423" s="251" t="inlineStr">
        <is>
          <t>Commercial Fuels</t>
        </is>
      </c>
      <c r="H423" s="251" t="inlineStr">
        <is>
          <t>Technology, T&amp;S Data</t>
        </is>
      </c>
      <c r="I423" s="251" t="inlineStr">
        <is>
          <t>Commercial Fuels</t>
        </is>
      </c>
      <c r="J423" s="251" t="inlineStr">
        <is>
          <t>Trading &amp; Shipping</t>
        </is>
      </c>
      <c r="K423" s="251" t="inlineStr">
        <is>
          <t>Trading &amp; Shipping Data</t>
        </is>
      </c>
      <c r="L423" s="251" t="n"/>
      <c r="M423" s="252"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849">
      <c r="A424" s="250" t="n"/>
      <c r="B424" s="220" t="inlineStr">
        <is>
          <t xml:space="preserve">Vacant </t>
        </is>
      </c>
      <c r="C424" s="220" t="inlineStr">
        <is>
          <t>Engineer Software</t>
        </is>
      </c>
      <c r="D424" s="253" t="inlineStr">
        <is>
          <t>Vacant</t>
        </is>
      </c>
      <c r="E424" s="220" t="inlineStr">
        <is>
          <t>Technology Manager, Engineering</t>
        </is>
      </c>
      <c r="F424" s="220" t="inlineStr">
        <is>
          <t>TDD CFE&amp;I</t>
        </is>
      </c>
      <c r="G424" s="251" t="inlineStr">
        <is>
          <t>Commercial Fuels</t>
        </is>
      </c>
      <c r="H424" s="251" t="inlineStr">
        <is>
          <t>Technology, Engineering</t>
        </is>
      </c>
      <c r="I424" s="251" t="inlineStr">
        <is>
          <t>Commercial Fuels</t>
        </is>
      </c>
      <c r="J424" s="251" t="inlineStr">
        <is>
          <t>Supply</t>
        </is>
      </c>
      <c r="K424" s="220" t="inlineStr">
        <is>
          <t>Supply</t>
        </is>
      </c>
      <c r="L424" s="251" t="n"/>
      <c r="M424" s="252" t="n"/>
      <c r="N424" t="inlineStr">
        <is>
          <t>Commercial Fuels</t>
        </is>
      </c>
      <c r="O424" t="inlineStr">
        <is>
          <t>Supply</t>
        </is>
      </c>
      <c r="P424" t="inlineStr">
        <is>
          <t>Supply</t>
        </is>
      </c>
      <c r="Q424" t="inlineStr">
        <is>
          <t>Squad</t>
        </is>
      </c>
      <c r="R424" t="inlineStr">
        <is>
          <t>Vacant</t>
        </is>
      </c>
    </row>
    <row r="425" ht="18" customHeight="1" s="849">
      <c r="A425" s="250" t="n">
        <v>102187</v>
      </c>
      <c r="B425" s="220" t="inlineStr">
        <is>
          <t>Sijin Zhu</t>
        </is>
      </c>
      <c r="C425" s="220" t="inlineStr">
        <is>
          <t>Business Analyst</t>
        </is>
      </c>
      <c r="D425" s="253" t="inlineStr">
        <is>
          <t>vacant</t>
        </is>
      </c>
      <c r="E425" s="220" t="inlineStr">
        <is>
          <t>Delivery Manager</t>
        </is>
      </c>
      <c r="F425" s="220" t="inlineStr">
        <is>
          <t>TDD CFE&amp;I</t>
        </is>
      </c>
      <c r="G425" s="251" t="inlineStr">
        <is>
          <t>Commercial Fuels</t>
        </is>
      </c>
      <c r="H425" s="251" t="inlineStr">
        <is>
          <t>Delivery</t>
        </is>
      </c>
      <c r="I425" s="251" t="inlineStr">
        <is>
          <t>Commercial Fuels</t>
        </is>
      </c>
      <c r="J425" s="251" t="inlineStr">
        <is>
          <t>CTRM</t>
        </is>
      </c>
      <c r="K425" s="251" t="inlineStr">
        <is>
          <t>CTRM</t>
        </is>
      </c>
      <c r="L425" s="220" t="n"/>
      <c r="M425" s="252" t="inlineStr">
        <is>
          <t>Singapore</t>
        </is>
      </c>
      <c r="N425" t="inlineStr">
        <is>
          <t>Commercial Fuels</t>
        </is>
      </c>
      <c r="O425" t="inlineStr">
        <is>
          <t>CTRM</t>
        </is>
      </c>
      <c r="P425" t="inlineStr">
        <is>
          <t>CTRM</t>
        </is>
      </c>
      <c r="Q425" t="inlineStr">
        <is>
          <t>Strategic Program</t>
        </is>
      </c>
      <c r="R425" t="inlineStr">
        <is>
          <t>Filled</t>
        </is>
      </c>
    </row>
    <row r="426" ht="18" customHeight="1" s="849">
      <c r="A426" s="250" t="n">
        <v>8367</v>
      </c>
      <c r="B426" s="220" t="inlineStr">
        <is>
          <t>Marcela Gonzalez</t>
        </is>
      </c>
      <c r="C426" s="220" t="inlineStr">
        <is>
          <t>Energy Platforms Lead</t>
        </is>
      </c>
      <c r="D426" s="253" t="inlineStr">
        <is>
          <t>vacant</t>
        </is>
      </c>
      <c r="E426" s="220" t="inlineStr">
        <is>
          <t>Technology Manager, Energy Solutions</t>
        </is>
      </c>
      <c r="F426" s="220" t="inlineStr">
        <is>
          <t>TDD CFE&amp;I</t>
        </is>
      </c>
      <c r="G426" s="251" t="inlineStr">
        <is>
          <t>B2B &amp; Energy Solutions</t>
        </is>
      </c>
      <c r="H426" s="251" t="inlineStr">
        <is>
          <t>Technology Energy Solutions</t>
        </is>
      </c>
      <c r="I426" s="251" t="inlineStr">
        <is>
          <t>B2B &amp; Energy Solutions</t>
        </is>
      </c>
      <c r="J426" s="251" t="inlineStr">
        <is>
          <t>Ampol Digital</t>
        </is>
      </c>
      <c r="K426" s="220" t="inlineStr">
        <is>
          <t>Ampol App</t>
        </is>
      </c>
      <c r="L426" s="251" t="n"/>
      <c r="M426" s="252" t="inlineStr">
        <is>
          <t>Australia</t>
        </is>
      </c>
      <c r="N426" t="inlineStr">
        <is>
          <t>Customer</t>
        </is>
      </c>
      <c r="O426" t="inlineStr">
        <is>
          <t>Ampol Digital</t>
        </is>
      </c>
      <c r="P426" t="inlineStr">
        <is>
          <t>Ampol App</t>
        </is>
      </c>
      <c r="Q426" t="inlineStr">
        <is>
          <t>Squad</t>
        </is>
      </c>
      <c r="R426" t="inlineStr">
        <is>
          <t>Filled</t>
        </is>
      </c>
    </row>
    <row r="427" ht="18" customHeight="1" s="849">
      <c r="A427" s="250" t="n"/>
      <c r="B427" s="220" t="inlineStr">
        <is>
          <t>Vacant</t>
        </is>
      </c>
      <c r="C427" s="220" t="inlineStr">
        <is>
          <t>Reporting Analyst</t>
        </is>
      </c>
      <c r="D427" t="inlineStr">
        <is>
          <t>vacant</t>
        </is>
      </c>
      <c r="E427" s="220" t="inlineStr">
        <is>
          <t>Technology Manger, Data</t>
        </is>
      </c>
      <c r="F427" s="220" t="inlineStr">
        <is>
          <t>TDD CFE&amp;I</t>
        </is>
      </c>
      <c r="G427" s="251" t="inlineStr">
        <is>
          <t>Fuel Infrastructure</t>
        </is>
      </c>
      <c r="H427" s="251" t="inlineStr">
        <is>
          <t>Fuel Infrastructure, Data</t>
        </is>
      </c>
      <c r="I427" s="251" t="inlineStr">
        <is>
          <t>Infrastructure</t>
        </is>
      </c>
      <c r="J427" s="220" t="inlineStr">
        <is>
          <t xml:space="preserve">Data &amp; Insights </t>
        </is>
      </c>
      <c r="K427" s="220" t="inlineStr">
        <is>
          <t xml:space="preserve">Data &amp; Insights </t>
        </is>
      </c>
      <c r="L427" s="251" t="n"/>
      <c r="M427" s="252" t="n"/>
      <c r="N427" t="inlineStr">
        <is>
          <t>Infrastructure</t>
        </is>
      </c>
      <c r="O427" t="inlineStr">
        <is>
          <t>Data &amp; Insights</t>
        </is>
      </c>
      <c r="P427" t="inlineStr">
        <is>
          <t>Data &amp; Insights</t>
        </is>
      </c>
      <c r="Q427" t="inlineStr">
        <is>
          <t>Squad</t>
        </is>
      </c>
      <c r="R427" t="inlineStr">
        <is>
          <t>Vacant</t>
        </is>
      </c>
    </row>
    <row r="428" ht="18" customHeight="1" s="849">
      <c r="A428" s="250" t="n">
        <v>99999101013</v>
      </c>
      <c r="B428" s="220" t="inlineStr">
        <is>
          <t>Chantal Lynch</t>
        </is>
      </c>
      <c r="C428" s="220" t="inlineStr">
        <is>
          <t>Lead Quality Assurance</t>
        </is>
      </c>
      <c r="D428" s="253" t="inlineStr">
        <is>
          <t>Vacant</t>
        </is>
      </c>
      <c r="E428" s="220" t="inlineStr">
        <is>
          <t>Technology Manager, Engineering</t>
        </is>
      </c>
      <c r="F428" s="220" t="inlineStr">
        <is>
          <t>TDD CFE&amp;I</t>
        </is>
      </c>
      <c r="G428" s="251" t="inlineStr">
        <is>
          <t>Commercial Fuels</t>
        </is>
      </c>
      <c r="H428" s="251" t="inlineStr">
        <is>
          <t>Trading &amp; Shipping</t>
        </is>
      </c>
      <c r="I428" s="251" t="inlineStr">
        <is>
          <t>Commercial Fuels</t>
        </is>
      </c>
      <c r="J428" s="220" t="inlineStr">
        <is>
          <t>CTRM</t>
        </is>
      </c>
      <c r="K428" s="220" t="inlineStr">
        <is>
          <t>CTRM</t>
        </is>
      </c>
      <c r="L428" s="251" t="n"/>
      <c r="M428" s="252" t="inlineStr">
        <is>
          <t>NZ</t>
        </is>
      </c>
      <c r="N428" t="inlineStr">
        <is>
          <t>Commercial Fuels</t>
        </is>
      </c>
      <c r="O428" t="inlineStr">
        <is>
          <t>CTRM</t>
        </is>
      </c>
      <c r="P428" t="inlineStr">
        <is>
          <t>CTRM</t>
        </is>
      </c>
      <c r="Q428" t="inlineStr">
        <is>
          <t>Strategic Program</t>
        </is>
      </c>
      <c r="R428" t="inlineStr">
        <is>
          <t>Filled</t>
        </is>
      </c>
    </row>
    <row r="429" ht="18" customHeight="1" s="849">
      <c r="A429" s="250" t="n"/>
      <c r="B429" s="220" t="inlineStr">
        <is>
          <t xml:space="preserve">Vacant </t>
        </is>
      </c>
      <c r="C429" s="220" t="inlineStr">
        <is>
          <t>Business Analyst</t>
        </is>
      </c>
      <c r="D429" s="253" t="inlineStr">
        <is>
          <t>Vacant</t>
        </is>
      </c>
      <c r="E429" s="220" t="inlineStr">
        <is>
          <t>Delivery Manager</t>
        </is>
      </c>
      <c r="F429" s="220" t="inlineStr">
        <is>
          <t>TDD CFE&amp;I</t>
        </is>
      </c>
      <c r="G429" s="251" t="inlineStr">
        <is>
          <t>B2B &amp; Energy Solutions</t>
        </is>
      </c>
      <c r="H429" s="251" t="inlineStr">
        <is>
          <t>Delivery</t>
        </is>
      </c>
      <c r="I429" s="251" t="inlineStr">
        <is>
          <t>B2B &amp; Energy Solutions</t>
        </is>
      </c>
      <c r="J429" s="251" t="inlineStr">
        <is>
          <t>Energy Solutions</t>
        </is>
      </c>
      <c r="K429" s="220" t="inlineStr">
        <is>
          <t>Energy</t>
        </is>
      </c>
      <c r="L429" s="251" t="n"/>
      <c r="M429" s="252" t="n"/>
      <c r="N429" t="inlineStr">
        <is>
          <t>Energy Solutions &amp; B2B</t>
        </is>
      </c>
      <c r="O429" t="inlineStr">
        <is>
          <t>Energy Solutions</t>
        </is>
      </c>
      <c r="P429" t="inlineStr">
        <is>
          <t>Energy</t>
        </is>
      </c>
      <c r="Q429" t="inlineStr">
        <is>
          <t>Squad</t>
        </is>
      </c>
      <c r="R429" t="inlineStr">
        <is>
          <t>Vacant</t>
        </is>
      </c>
    </row>
    <row r="430" ht="18" customHeight="1" s="849">
      <c r="A430" s="250" t="n">
        <v>101157</v>
      </c>
      <c r="B430" s="220" t="inlineStr">
        <is>
          <t>Jessica Calla</t>
        </is>
      </c>
      <c r="C430" s="220" t="inlineStr">
        <is>
          <t>System Analyst Card</t>
        </is>
      </c>
      <c r="D430" t="inlineStr">
        <is>
          <t>Vacant</t>
        </is>
      </c>
      <c r="E430" s="220" t="inlineStr">
        <is>
          <t>Technology Manager, Energy Solutions</t>
        </is>
      </c>
      <c r="F430" s="220" t="inlineStr">
        <is>
          <t>TDD CFE&amp;I</t>
        </is>
      </c>
      <c r="G430" s="251" t="inlineStr">
        <is>
          <t>B2B &amp; Energy Solutions</t>
        </is>
      </c>
      <c r="H430" s="251" t="inlineStr">
        <is>
          <t>Technology B2B</t>
        </is>
      </c>
      <c r="I430" s="251" t="inlineStr">
        <is>
          <t>B2B &amp; Energy Solutions</t>
        </is>
      </c>
      <c r="J430" s="220" t="inlineStr">
        <is>
          <t>B2B</t>
        </is>
      </c>
      <c r="K430" s="220" t="inlineStr">
        <is>
          <t>B2B</t>
        </is>
      </c>
      <c r="L430" s="251" t="n"/>
      <c r="M430" s="252" t="inlineStr">
        <is>
          <t>Australia</t>
        </is>
      </c>
      <c r="N430" t="inlineStr">
        <is>
          <t>Energy Solutions &amp; B2B</t>
        </is>
      </c>
      <c r="O430" t="inlineStr">
        <is>
          <t>B2B</t>
        </is>
      </c>
      <c r="P430" t="inlineStr">
        <is>
          <t>B2B</t>
        </is>
      </c>
      <c r="Q430" t="inlineStr">
        <is>
          <t>Squad</t>
        </is>
      </c>
      <c r="R430" t="inlineStr">
        <is>
          <t>Filled</t>
        </is>
      </c>
    </row>
    <row r="431" ht="18" customHeight="1" s="849">
      <c r="A431" s="250" t="n"/>
      <c r="B431" s="220" t="inlineStr">
        <is>
          <t>Vacant</t>
        </is>
      </c>
      <c r="C431" s="220" t="inlineStr">
        <is>
          <t>Quality Assurance</t>
        </is>
      </c>
      <c r="D431" s="220" t="inlineStr">
        <is>
          <t>Vacant</t>
        </is>
      </c>
      <c r="E431" s="220" t="inlineStr">
        <is>
          <t>Technology Manager, Future Infrastructure</t>
        </is>
      </c>
      <c r="F431" s="220" t="inlineStr">
        <is>
          <t>TDD CFE&amp;I</t>
        </is>
      </c>
      <c r="G431" s="251" t="inlineStr">
        <is>
          <t>Fuel Infrastructure</t>
        </is>
      </c>
      <c r="H431" s="251" t="inlineStr">
        <is>
          <t>Technology - Distribution</t>
        </is>
      </c>
      <c r="I431" s="251" t="inlineStr">
        <is>
          <t>Infrastructure</t>
        </is>
      </c>
      <c r="J431" s="251" t="inlineStr">
        <is>
          <t>Distribution</t>
        </is>
      </c>
      <c r="K431" s="220" t="inlineStr">
        <is>
          <t>Distribution, Sales &amp; Services</t>
        </is>
      </c>
      <c r="L431" s="251" t="n"/>
      <c r="M431" s="252" t="n"/>
      <c r="N431" t="inlineStr">
        <is>
          <t>Infrastructure</t>
        </is>
      </c>
      <c r="O431" t="inlineStr">
        <is>
          <t>Distribution</t>
        </is>
      </c>
      <c r="P431" t="inlineStr">
        <is>
          <t>Distribution, Sales &amp; Services</t>
        </is>
      </c>
      <c r="Q431" t="inlineStr">
        <is>
          <t>Squad</t>
        </is>
      </c>
      <c r="R431" t="inlineStr">
        <is>
          <t>Vacant</t>
        </is>
      </c>
    </row>
    <row r="432" ht="18" customHeight="1" s="849">
      <c r="A432" s="250" t="n"/>
      <c r="B432" s="220" t="inlineStr">
        <is>
          <t>Zijie Zhang</t>
        </is>
      </c>
      <c r="C432" s="220" t="inlineStr">
        <is>
          <t>Senior Data Analyst</t>
        </is>
      </c>
      <c r="D432" s="251" t="inlineStr">
        <is>
          <t>Vacant</t>
        </is>
      </c>
      <c r="E432" s="220" t="inlineStr">
        <is>
          <t>Technology Manager, Data</t>
        </is>
      </c>
      <c r="F432" s="220" t="inlineStr">
        <is>
          <t>TDD CFE&amp;I</t>
        </is>
      </c>
      <c r="G432" s="251" t="inlineStr">
        <is>
          <t>Commercial Fuels</t>
        </is>
      </c>
      <c r="H432" s="291" t="inlineStr">
        <is>
          <t>Trading &amp; Shipping</t>
        </is>
      </c>
      <c r="I432" s="251" t="inlineStr">
        <is>
          <t>Commercial Fuels</t>
        </is>
      </c>
      <c r="J432" s="251" t="inlineStr">
        <is>
          <t>Trading &amp; Shipping</t>
        </is>
      </c>
      <c r="K432" s="251" t="inlineStr">
        <is>
          <t>Trading &amp; Shipping Data</t>
        </is>
      </c>
      <c r="L432" s="251" t="n"/>
      <c r="M432" s="252" t="n"/>
      <c r="N432" t="inlineStr">
        <is>
          <t>Commercial Fuels</t>
        </is>
      </c>
      <c r="O432" t="inlineStr">
        <is>
          <t>Trading &amp; Shipping</t>
        </is>
      </c>
      <c r="P432" t="inlineStr">
        <is>
          <t>Trading &amp; Shipping Data</t>
        </is>
      </c>
      <c r="Q432" t="inlineStr">
        <is>
          <t>Squad</t>
        </is>
      </c>
      <c r="R432" t="inlineStr">
        <is>
          <t>Filled</t>
        </is>
      </c>
    </row>
    <row r="433" ht="18" customHeight="1" s="849">
      <c r="A433" s="250" t="n">
        <v>115723</v>
      </c>
      <c r="B433" s="220" t="inlineStr">
        <is>
          <t>Kumar Siva</t>
        </is>
      </c>
      <c r="C433" s="220" t="inlineStr">
        <is>
          <t>Lead engineer Data</t>
        </is>
      </c>
      <c r="D433" s="251" t="inlineStr">
        <is>
          <t>Vacant</t>
        </is>
      </c>
      <c r="E433" t="inlineStr">
        <is>
          <t>Technology Manager, Data</t>
        </is>
      </c>
      <c r="F433" s="220" t="inlineStr">
        <is>
          <t>TDD CFE&amp;I</t>
        </is>
      </c>
      <c r="G433" s="251" t="inlineStr">
        <is>
          <t>Commercial Fuels</t>
        </is>
      </c>
      <c r="H433" s="251" t="inlineStr">
        <is>
          <t>Technology, T&amp;S Data</t>
        </is>
      </c>
      <c r="I433" s="251" t="inlineStr">
        <is>
          <t>Commercial Fuels</t>
        </is>
      </c>
      <c r="J433" s="251" t="inlineStr">
        <is>
          <t>Trading &amp; Shipping</t>
        </is>
      </c>
      <c r="K433" s="251" t="inlineStr">
        <is>
          <t>Trading &amp; Shipping Data</t>
        </is>
      </c>
      <c r="L433" s="251" t="n"/>
      <c r="M433" s="252"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849">
      <c r="A434" s="250" t="n"/>
      <c r="B434" s="220" t="inlineStr">
        <is>
          <t xml:space="preserve">Vacant </t>
        </is>
      </c>
      <c r="C434" s="220" t="inlineStr">
        <is>
          <t>Business Analyst</t>
        </is>
      </c>
      <c r="D434" s="251" t="inlineStr">
        <is>
          <t>Vacant</t>
        </is>
      </c>
      <c r="E434" s="220" t="inlineStr">
        <is>
          <t>Delivery Manager</t>
        </is>
      </c>
      <c r="F434" s="220" t="inlineStr">
        <is>
          <t>TDD CFE&amp;I</t>
        </is>
      </c>
      <c r="G434" s="251" t="inlineStr">
        <is>
          <t>B2B &amp; Energy Solutions</t>
        </is>
      </c>
      <c r="H434" s="251" t="inlineStr">
        <is>
          <t>Delivery</t>
        </is>
      </c>
      <c r="I434" s="251" t="inlineStr">
        <is>
          <t>B2B &amp; Energy Solutions</t>
        </is>
      </c>
      <c r="J434" s="220" t="inlineStr">
        <is>
          <t>B2B</t>
        </is>
      </c>
      <c r="K434" s="220" t="inlineStr">
        <is>
          <t>B2B</t>
        </is>
      </c>
      <c r="L434" s="251" t="n"/>
      <c r="M434" s="252" t="n"/>
      <c r="N434" t="inlineStr">
        <is>
          <t>Energy Solutions &amp; B2B</t>
        </is>
      </c>
      <c r="O434" t="inlineStr">
        <is>
          <t>B2B</t>
        </is>
      </c>
      <c r="P434" t="inlineStr">
        <is>
          <t>B2B</t>
        </is>
      </c>
      <c r="Q434" t="inlineStr">
        <is>
          <t>Squad</t>
        </is>
      </c>
      <c r="R434" t="inlineStr">
        <is>
          <t>Vacant</t>
        </is>
      </c>
    </row>
    <row r="435" ht="18" customHeight="1" s="849">
      <c r="A435" s="250" t="n">
        <v>110044</v>
      </c>
      <c r="B435" s="220" t="inlineStr">
        <is>
          <t>Kevin Nelson</t>
        </is>
      </c>
      <c r="C435" s="220" t="inlineStr">
        <is>
          <t>Delivery Lead</t>
        </is>
      </c>
      <c r="D435" s="251" t="inlineStr">
        <is>
          <t>Vacant</t>
        </is>
      </c>
      <c r="E435" s="220" t="inlineStr">
        <is>
          <t>Delivery Manager</t>
        </is>
      </c>
      <c r="F435" s="220" t="inlineStr">
        <is>
          <t>TDD CFE&amp;I</t>
        </is>
      </c>
      <c r="G435" s="251" t="inlineStr">
        <is>
          <t>Fuel Infrastructure</t>
        </is>
      </c>
      <c r="H435" s="251" t="inlineStr">
        <is>
          <t>Fuel Infrastructure, Delivery</t>
        </is>
      </c>
      <c r="I435" s="251" t="inlineStr">
        <is>
          <t>RETAIL</t>
        </is>
      </c>
      <c r="J435" s="251" t="inlineStr">
        <is>
          <t>AMPOS</t>
        </is>
      </c>
      <c r="K435" s="220" t="inlineStr">
        <is>
          <t>AmPos</t>
        </is>
      </c>
      <c r="L435" s="251" t="n"/>
      <c r="M435" s="252" t="inlineStr">
        <is>
          <t>Australia</t>
        </is>
      </c>
      <c r="N435" t="inlineStr">
        <is>
          <t>Ampol Retail</t>
        </is>
      </c>
      <c r="O435" t="inlineStr">
        <is>
          <t>AmPOS</t>
        </is>
      </c>
      <c r="P435" t="inlineStr">
        <is>
          <t>AmPOS</t>
        </is>
      </c>
      <c r="Q435" t="inlineStr">
        <is>
          <t>Strategic Program</t>
        </is>
      </c>
      <c r="R435" t="inlineStr">
        <is>
          <t>Filled</t>
        </is>
      </c>
    </row>
    <row r="436" ht="18" customHeight="1" s="849">
      <c r="A436" s="250" t="n"/>
      <c r="B436" s="220" t="inlineStr">
        <is>
          <t>Vacant</t>
        </is>
      </c>
      <c r="C436" s="220" t="inlineStr">
        <is>
          <t>Quality Assurance</t>
        </is>
      </c>
      <c r="D436" s="220" t="inlineStr">
        <is>
          <t>Vacant</t>
        </is>
      </c>
      <c r="E436" s="220" t="inlineStr">
        <is>
          <t>Technology Manager, TDD Refinery</t>
        </is>
      </c>
      <c r="F436" s="220" t="inlineStr">
        <is>
          <t>TDD CFE&amp;I</t>
        </is>
      </c>
      <c r="G436" s="251" t="inlineStr">
        <is>
          <t>Fuel Infrastructure</t>
        </is>
      </c>
      <c r="H436" s="251" t="inlineStr">
        <is>
          <t>Refinery Applications</t>
        </is>
      </c>
      <c r="I436" s="251" t="inlineStr">
        <is>
          <t>Infrastructure</t>
        </is>
      </c>
      <c r="J436" s="251" t="inlineStr">
        <is>
          <t>Manufacturing</t>
        </is>
      </c>
      <c r="K436" s="220" t="inlineStr">
        <is>
          <t>Manufacturing Group Projects</t>
        </is>
      </c>
      <c r="L436" s="251" t="n"/>
      <c r="M436" s="252" t="n"/>
      <c r="N436" t="inlineStr">
        <is>
          <t>Infrastructure</t>
        </is>
      </c>
      <c r="O436" t="inlineStr">
        <is>
          <t>Manufacturing</t>
        </is>
      </c>
      <c r="P436" t="inlineStr">
        <is>
          <t>Manufacturing &amp; Group Projects</t>
        </is>
      </c>
      <c r="Q436" t="inlineStr">
        <is>
          <t>Squad</t>
        </is>
      </c>
      <c r="R436" t="inlineStr">
        <is>
          <t>Vacant</t>
        </is>
      </c>
    </row>
    <row r="437" ht="18" customHeight="1" s="849">
      <c r="A437" s="250" t="n">
        <v>105531</v>
      </c>
      <c r="B437" s="220" t="inlineStr">
        <is>
          <t>Jodi Higgins</t>
        </is>
      </c>
      <c r="C437" s="220" t="inlineStr">
        <is>
          <t>Delivery Lead</t>
        </is>
      </c>
      <c r="D437" s="251" t="inlineStr">
        <is>
          <t>Vacant</t>
        </is>
      </c>
      <c r="E437" s="220" t="inlineStr">
        <is>
          <t>Delivery Manager</t>
        </is>
      </c>
      <c r="F437" s="220" t="inlineStr">
        <is>
          <t>TDD CFE&amp;I</t>
        </is>
      </c>
      <c r="G437" s="251" t="inlineStr">
        <is>
          <t>Fuel Infrastructure</t>
        </is>
      </c>
      <c r="H437" s="251" t="inlineStr">
        <is>
          <t>Fuel Infrastructure, Delivery</t>
        </is>
      </c>
      <c r="I437" s="251" t="inlineStr">
        <is>
          <t>Infrastructure</t>
        </is>
      </c>
      <c r="J437" s="251" t="inlineStr">
        <is>
          <t>Distribution</t>
        </is>
      </c>
      <c r="K437" s="220" t="inlineStr">
        <is>
          <t>Distribution, Sales &amp; Services</t>
        </is>
      </c>
      <c r="L437" s="251" t="n"/>
      <c r="M437" s="252"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849">
      <c r="A438" s="250" t="n">
        <v>99999100072</v>
      </c>
      <c r="B438" s="220" t="inlineStr">
        <is>
          <t>Angela Ross</t>
        </is>
      </c>
      <c r="C438" s="220" t="inlineStr">
        <is>
          <t>Delivery Lead</t>
        </is>
      </c>
      <c r="D438" s="251" t="inlineStr">
        <is>
          <t>Vacant</t>
        </is>
      </c>
      <c r="E438" s="220" t="inlineStr">
        <is>
          <t>Delivery Manager</t>
        </is>
      </c>
      <c r="F438" s="220" t="inlineStr">
        <is>
          <t>TDD CFE&amp;I</t>
        </is>
      </c>
      <c r="G438" s="251" t="inlineStr">
        <is>
          <t>B2B &amp; Energy Solutions</t>
        </is>
      </c>
      <c r="H438" s="251" t="inlineStr">
        <is>
          <t>Delivery</t>
        </is>
      </c>
      <c r="I438" s="251" t="inlineStr">
        <is>
          <t>B2B &amp; Energy Solutions</t>
        </is>
      </c>
      <c r="J438" s="251" t="inlineStr">
        <is>
          <t>Energy Solutions</t>
        </is>
      </c>
      <c r="K438" s="220" t="inlineStr">
        <is>
          <t>EVCI</t>
        </is>
      </c>
      <c r="L438" s="251" t="n"/>
      <c r="M438" s="252" t="inlineStr">
        <is>
          <t>NZ</t>
        </is>
      </c>
      <c r="N438" t="inlineStr">
        <is>
          <t>Energy Solutions &amp; B2B</t>
        </is>
      </c>
      <c r="O438" t="inlineStr">
        <is>
          <t>Energy Solutions</t>
        </is>
      </c>
      <c r="P438" t="inlineStr">
        <is>
          <t>EVCI</t>
        </is>
      </c>
      <c r="Q438" t="inlineStr">
        <is>
          <t>Squad</t>
        </is>
      </c>
      <c r="R438" t="inlineStr">
        <is>
          <t>Filled</t>
        </is>
      </c>
    </row>
    <row r="439" ht="18" customHeight="1" s="849">
      <c r="A439" s="250" t="n">
        <v>114723</v>
      </c>
      <c r="B439" s="220" t="inlineStr">
        <is>
          <t>Ming Shao</t>
        </is>
      </c>
      <c r="C439" s="220" t="inlineStr">
        <is>
          <t>Senior Systems Analyst Card</t>
        </is>
      </c>
      <c r="D439" s="220" t="inlineStr">
        <is>
          <t>Vacant</t>
        </is>
      </c>
      <c r="E439" s="220" t="inlineStr">
        <is>
          <t>Technology Manager, Energy Solutions</t>
        </is>
      </c>
      <c r="F439" s="220" t="inlineStr">
        <is>
          <t>TDD CFE&amp;I</t>
        </is>
      </c>
      <c r="G439" s="251" t="inlineStr">
        <is>
          <t>B2B &amp; Energy Solutions</t>
        </is>
      </c>
      <c r="H439" s="251" t="inlineStr">
        <is>
          <t>Technology B2B</t>
        </is>
      </c>
      <c r="I439" s="251" t="inlineStr">
        <is>
          <t>B2B &amp; Energy Solutions</t>
        </is>
      </c>
      <c r="J439" s="220" t="inlineStr">
        <is>
          <t>B2B</t>
        </is>
      </c>
      <c r="K439" s="220" t="inlineStr">
        <is>
          <t>B2B</t>
        </is>
      </c>
      <c r="L439" s="251" t="n"/>
      <c r="M439" s="252" t="inlineStr">
        <is>
          <t>Australia</t>
        </is>
      </c>
      <c r="N439" t="inlineStr">
        <is>
          <t>Energy Solutions &amp; B2B</t>
        </is>
      </c>
      <c r="O439" t="inlineStr">
        <is>
          <t>B2B</t>
        </is>
      </c>
      <c r="P439" t="inlineStr">
        <is>
          <t>B2B</t>
        </is>
      </c>
      <c r="Q439" t="inlineStr">
        <is>
          <t>Squad</t>
        </is>
      </c>
      <c r="R439" t="inlineStr">
        <is>
          <t>Filled</t>
        </is>
      </c>
    </row>
    <row r="440" ht="18" customHeight="1" s="849">
      <c r="A440" s="250" t="n">
        <v>99999101505</v>
      </c>
      <c r="B440" s="220" t="inlineStr">
        <is>
          <t>Vacant</t>
        </is>
      </c>
      <c r="C440" s="220" t="inlineStr">
        <is>
          <t>Snr Engineer Software</t>
        </is>
      </c>
      <c r="D440" s="251" t="inlineStr">
        <is>
          <t>Vacant</t>
        </is>
      </c>
      <c r="E440" s="220" t="inlineStr">
        <is>
          <t>Technology Manager, Energy Solutions</t>
        </is>
      </c>
      <c r="F440" s="220" t="inlineStr">
        <is>
          <t>TDD CFE&amp;I</t>
        </is>
      </c>
      <c r="G440" s="251" t="inlineStr">
        <is>
          <t>B2B &amp; Energy Solutions</t>
        </is>
      </c>
      <c r="H440" s="251" t="inlineStr">
        <is>
          <t>Technology Energy Solutions</t>
        </is>
      </c>
      <c r="I440" s="251" t="inlineStr">
        <is>
          <t>B2B &amp; Energy Solutions</t>
        </is>
      </c>
      <c r="J440" s="251" t="inlineStr">
        <is>
          <t>Energy Solutions</t>
        </is>
      </c>
      <c r="K440" s="220" t="inlineStr">
        <is>
          <t>EVCI</t>
        </is>
      </c>
      <c r="L440" s="251" t="n"/>
      <c r="M440" s="252" t="inlineStr">
        <is>
          <t>NZ</t>
        </is>
      </c>
      <c r="N440" t="inlineStr">
        <is>
          <t>Energy Solutions &amp; B2B</t>
        </is>
      </c>
      <c r="O440" t="inlineStr">
        <is>
          <t>Energy Solutions</t>
        </is>
      </c>
      <c r="P440" t="inlineStr">
        <is>
          <t>EVCI</t>
        </is>
      </c>
      <c r="Q440" t="inlineStr">
        <is>
          <t>Squad</t>
        </is>
      </c>
      <c r="R440" t="inlineStr">
        <is>
          <t>Vacant</t>
        </is>
      </c>
    </row>
    <row r="441" ht="18" customHeight="1" s="849">
      <c r="A441" s="250" t="n">
        <v>97973</v>
      </c>
      <c r="B441" s="220" t="inlineStr">
        <is>
          <t>Vacant</t>
        </is>
      </c>
      <c r="C441" s="220" t="inlineStr">
        <is>
          <t>System Specialist</t>
        </is>
      </c>
      <c r="D441" s="251" t="inlineStr">
        <is>
          <t>Vacant</t>
        </is>
      </c>
      <c r="E441" s="220" t="inlineStr">
        <is>
          <t>Technology Manager, Energy Solutions</t>
        </is>
      </c>
      <c r="F441" s="220" t="inlineStr">
        <is>
          <t>TDD CFE&amp;I</t>
        </is>
      </c>
      <c r="G441" s="251" t="inlineStr">
        <is>
          <t>Loyalty &amp; Martech</t>
        </is>
      </c>
      <c r="H441" s="251" t="inlineStr">
        <is>
          <t>Technology Energy Solutions</t>
        </is>
      </c>
      <c r="I441" s="251" t="inlineStr">
        <is>
          <t>B2B &amp; Energy Solutions</t>
        </is>
      </c>
      <c r="J441" s="251" t="inlineStr">
        <is>
          <t>Energy Solutions</t>
        </is>
      </c>
      <c r="K441" s="220" t="inlineStr">
        <is>
          <t>Energy</t>
        </is>
      </c>
      <c r="L441" s="251" t="n"/>
      <c r="M441" s="252" t="inlineStr">
        <is>
          <t>Australia</t>
        </is>
      </c>
      <c r="N441" t="inlineStr">
        <is>
          <t>Energy Solutions &amp; B2B</t>
        </is>
      </c>
      <c r="O441" t="inlineStr">
        <is>
          <t>Energy Solutions</t>
        </is>
      </c>
      <c r="P441" t="inlineStr">
        <is>
          <t>Energy</t>
        </is>
      </c>
      <c r="Q441" t="inlineStr">
        <is>
          <t>Squad</t>
        </is>
      </c>
      <c r="R441" t="inlineStr">
        <is>
          <t>Vacant</t>
        </is>
      </c>
    </row>
    <row r="442" ht="18" customHeight="1" s="849">
      <c r="A442" s="250" t="n">
        <v>111319</v>
      </c>
      <c r="B442" s="220" t="inlineStr">
        <is>
          <t>Arun Prakash Jayaprakasam</t>
        </is>
      </c>
      <c r="C442" s="220" t="inlineStr">
        <is>
          <t>Data Engineer Analyst</t>
        </is>
      </c>
      <c r="D442" s="251" t="inlineStr">
        <is>
          <t>Vacant</t>
        </is>
      </c>
      <c r="E442" s="220" t="inlineStr">
        <is>
          <t>Technology Manager, Data</t>
        </is>
      </c>
      <c r="F442" s="220" t="inlineStr">
        <is>
          <t>TDD CFE&amp;I</t>
        </is>
      </c>
      <c r="G442" s="251" t="inlineStr">
        <is>
          <t>Commercial Fuels</t>
        </is>
      </c>
      <c r="H442" s="251" t="inlineStr">
        <is>
          <t>Technology, T&amp;S Data</t>
        </is>
      </c>
      <c r="I442" s="251" t="inlineStr">
        <is>
          <t>Commercial Fuels</t>
        </is>
      </c>
      <c r="J442" s="251" t="inlineStr">
        <is>
          <t>Trading &amp; Shipping</t>
        </is>
      </c>
      <c r="K442" s="251" t="inlineStr">
        <is>
          <t>Trading &amp; Shipping Data</t>
        </is>
      </c>
      <c r="L442" s="251" t="n"/>
      <c r="M442" s="252"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849">
      <c r="A443" s="250" t="n">
        <v>105488</v>
      </c>
      <c r="B443" s="220" t="inlineStr">
        <is>
          <t>Louis Ballington</t>
        </is>
      </c>
      <c r="C443" s="220" t="inlineStr">
        <is>
          <t>Delivery Lead</t>
        </is>
      </c>
      <c r="D443" s="251" t="inlineStr">
        <is>
          <t>Vacant</t>
        </is>
      </c>
      <c r="E443" s="220" t="inlineStr">
        <is>
          <t>Delivery Manager</t>
        </is>
      </c>
      <c r="F443" s="220" t="inlineStr">
        <is>
          <t>TDD CFE&amp;I</t>
        </is>
      </c>
      <c r="G443" s="251" t="inlineStr">
        <is>
          <t>Fuel Infrastructure</t>
        </is>
      </c>
      <c r="H443" s="251" t="inlineStr">
        <is>
          <t>Technology, CF Engineering</t>
        </is>
      </c>
      <c r="I443" s="251" t="inlineStr">
        <is>
          <t>Infrastructure</t>
        </is>
      </c>
      <c r="J443" s="251" t="inlineStr">
        <is>
          <t>Manufacturing</t>
        </is>
      </c>
      <c r="K443" s="220" t="inlineStr">
        <is>
          <t>Manuacturing Group Projects</t>
        </is>
      </c>
      <c r="L443" s="251" t="n"/>
      <c r="M443" s="252"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849">
      <c r="A444" s="250" t="n">
        <v>99999101143</v>
      </c>
      <c r="B444" s="220" t="inlineStr">
        <is>
          <t>Hayden Corney</t>
        </is>
      </c>
      <c r="C444" s="220" t="inlineStr">
        <is>
          <t>Lead Engineer Software</t>
        </is>
      </c>
      <c r="D444" s="251" t="inlineStr">
        <is>
          <t>Vacant</t>
        </is>
      </c>
      <c r="E444" s="220" t="inlineStr">
        <is>
          <t>Technology Manager, Engineering</t>
        </is>
      </c>
      <c r="F444" s="220" t="inlineStr">
        <is>
          <t>TDD CFE&amp;I</t>
        </is>
      </c>
      <c r="G444" s="251" t="inlineStr">
        <is>
          <t>Commercial Fuels</t>
        </is>
      </c>
      <c r="H444" s="251" t="inlineStr">
        <is>
          <t>Trading &amp; Shipping</t>
        </is>
      </c>
      <c r="I444" s="251" t="inlineStr">
        <is>
          <t>Commercial Fuels</t>
        </is>
      </c>
      <c r="J444" s="220" t="inlineStr">
        <is>
          <t>CTRM</t>
        </is>
      </c>
      <c r="K444" s="220" t="inlineStr">
        <is>
          <t>CTRM</t>
        </is>
      </c>
      <c r="L444" s="251" t="n"/>
      <c r="M444" s="252" t="inlineStr">
        <is>
          <t>NZ</t>
        </is>
      </c>
      <c r="N444" t="inlineStr">
        <is>
          <t>Commercial Fuels</t>
        </is>
      </c>
      <c r="O444" t="inlineStr">
        <is>
          <t>CTRM</t>
        </is>
      </c>
      <c r="P444" t="inlineStr">
        <is>
          <t>CTRM</t>
        </is>
      </c>
      <c r="Q444" t="inlineStr">
        <is>
          <t>Strategic Program</t>
        </is>
      </c>
      <c r="R444" t="inlineStr">
        <is>
          <t>Filled</t>
        </is>
      </c>
    </row>
    <row r="445" ht="18" customHeight="1" s="849">
      <c r="A445" s="250" t="n">
        <v>104159</v>
      </c>
      <c r="B445" s="220" t="inlineStr">
        <is>
          <t>Vacant</t>
        </is>
      </c>
      <c r="C445" s="220" t="inlineStr">
        <is>
          <t>System Specialist</t>
        </is>
      </c>
      <c r="D445" s="251" t="inlineStr">
        <is>
          <t>vacant</t>
        </is>
      </c>
      <c r="E445" s="220" t="inlineStr">
        <is>
          <t>Technology Manager, Energy Solutions</t>
        </is>
      </c>
      <c r="F445" s="220" t="inlineStr">
        <is>
          <t>TDD CFE&amp;I</t>
        </is>
      </c>
      <c r="G445" s="251" t="inlineStr">
        <is>
          <t>Loyalty &amp; Martech</t>
        </is>
      </c>
      <c r="H445" s="251" t="inlineStr">
        <is>
          <t>Technology Energy Solutions</t>
        </is>
      </c>
      <c r="I445" s="251" t="inlineStr">
        <is>
          <t>B2B &amp; Energy Solutions</t>
        </is>
      </c>
      <c r="J445" s="251" t="inlineStr">
        <is>
          <t>Energy Solutions</t>
        </is>
      </c>
      <c r="K445" s="220" t="inlineStr">
        <is>
          <t>Energy</t>
        </is>
      </c>
      <c r="L445" s="251" t="n"/>
      <c r="M445" s="252" t="inlineStr">
        <is>
          <t>Australia</t>
        </is>
      </c>
      <c r="N445" t="inlineStr">
        <is>
          <t>Energy Solutions &amp; B2B</t>
        </is>
      </c>
      <c r="O445" t="inlineStr">
        <is>
          <t>Energy Solutions</t>
        </is>
      </c>
      <c r="P445" t="inlineStr">
        <is>
          <t>Energy</t>
        </is>
      </c>
      <c r="Q445" t="inlineStr">
        <is>
          <t>Squad</t>
        </is>
      </c>
      <c r="R445" t="inlineStr">
        <is>
          <t>Vacant</t>
        </is>
      </c>
    </row>
    <row r="446" ht="18" customHeight="1" s="849">
      <c r="A446" s="250" t="n"/>
      <c r="B446" s="220" t="inlineStr">
        <is>
          <t>Vacant</t>
        </is>
      </c>
      <c r="C446" s="220" t="inlineStr">
        <is>
          <t>Data Analyst</t>
        </is>
      </c>
      <c r="D446" s="220" t="inlineStr">
        <is>
          <t>vacant</t>
        </is>
      </c>
      <c r="E446" s="220" t="inlineStr">
        <is>
          <t>Technology Manger, Data</t>
        </is>
      </c>
      <c r="F446" s="220" t="inlineStr">
        <is>
          <t>TDD CFE&amp;I</t>
        </is>
      </c>
      <c r="G446" s="251" t="inlineStr">
        <is>
          <t>Fuel Infrastructure</t>
        </is>
      </c>
      <c r="H446" s="251" t="inlineStr">
        <is>
          <t>Fuel Infrastructure, Data</t>
        </is>
      </c>
      <c r="I446" s="251" t="inlineStr">
        <is>
          <t>Infrastructure</t>
        </is>
      </c>
      <c r="J446" s="220" t="inlineStr">
        <is>
          <t xml:space="preserve">Data &amp; Insights </t>
        </is>
      </c>
      <c r="K446" s="220" t="inlineStr">
        <is>
          <t xml:space="preserve">Data &amp; Insights </t>
        </is>
      </c>
      <c r="L446" s="251" t="n"/>
      <c r="M446" s="252" t="n"/>
      <c r="N446" t="inlineStr">
        <is>
          <t>Infrastructure</t>
        </is>
      </c>
      <c r="O446" t="inlineStr">
        <is>
          <t>Data &amp; Insights</t>
        </is>
      </c>
      <c r="P446" t="inlineStr">
        <is>
          <t>Data &amp; Insights</t>
        </is>
      </c>
      <c r="Q446" t="inlineStr">
        <is>
          <t>Squad</t>
        </is>
      </c>
      <c r="R446" t="inlineStr">
        <is>
          <t>Vacant</t>
        </is>
      </c>
    </row>
    <row r="447" ht="18" customHeight="1" s="849">
      <c r="A447" s="250" t="n">
        <v>97884</v>
      </c>
      <c r="B447" s="220" t="inlineStr">
        <is>
          <t>Vacant</t>
        </is>
      </c>
      <c r="C447" s="220" t="inlineStr">
        <is>
          <t>Snr Business Analyst</t>
        </is>
      </c>
      <c r="D447" s="251" t="inlineStr">
        <is>
          <t>Vacant</t>
        </is>
      </c>
      <c r="E447" s="220" t="inlineStr">
        <is>
          <t>Delivery Manager</t>
        </is>
      </c>
      <c r="F447" s="220" t="inlineStr">
        <is>
          <t>TDD CFE&amp;I</t>
        </is>
      </c>
      <c r="G447" s="291" t="inlineStr">
        <is>
          <t>Fuel Infrastructure</t>
        </is>
      </c>
      <c r="H447" s="251" t="inlineStr">
        <is>
          <t>Ampol Retail, Store Platforms</t>
        </is>
      </c>
      <c r="I447" s="251" t="inlineStr">
        <is>
          <t>Infrastructure</t>
        </is>
      </c>
      <c r="J447" s="220" t="inlineStr">
        <is>
          <t>Distribution</t>
        </is>
      </c>
      <c r="K447" s="220" t="inlineStr">
        <is>
          <t>Distribution, Sales &amp; Services</t>
        </is>
      </c>
      <c r="L447" s="251" t="n"/>
      <c r="M447" s="252"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849">
      <c r="A448" s="250" t="n">
        <v>107588</v>
      </c>
      <c r="B448" s="220" t="inlineStr">
        <is>
          <t>Vacant</t>
        </is>
      </c>
      <c r="C448" s="220" t="inlineStr">
        <is>
          <t>Snr Business Analyst</t>
        </is>
      </c>
      <c r="D448" s="251" t="inlineStr">
        <is>
          <t>Vacant</t>
        </is>
      </c>
      <c r="E448" s="220" t="inlineStr">
        <is>
          <t>Delivery Manager</t>
        </is>
      </c>
      <c r="F448" s="220" t="inlineStr">
        <is>
          <t>TDD CFE&amp;I</t>
        </is>
      </c>
      <c r="G448" s="291" t="inlineStr">
        <is>
          <t>Fuel Infrastructure</t>
        </is>
      </c>
      <c r="H448" s="251" t="inlineStr">
        <is>
          <t>Ampol Retail, Store Platforms</t>
        </is>
      </c>
      <c r="I448" s="251" t="inlineStr">
        <is>
          <t>Infrastructure</t>
        </is>
      </c>
      <c r="J448" s="251" t="inlineStr">
        <is>
          <t>Manufacturing</t>
        </is>
      </c>
      <c r="K448" s="220" t="inlineStr">
        <is>
          <t>Manufacturing Group Projects</t>
        </is>
      </c>
      <c r="L448" s="251" t="n"/>
      <c r="M448" s="252"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849">
      <c r="A449" s="250" t="n">
        <v>99999101895</v>
      </c>
      <c r="B449" s="220" t="inlineStr">
        <is>
          <t>Caitlin Naylor</t>
        </is>
      </c>
      <c r="C449" s="220" t="inlineStr">
        <is>
          <t>Associate Engineer- Software</t>
        </is>
      </c>
      <c r="D449" s="251" t="inlineStr">
        <is>
          <t>vacant</t>
        </is>
      </c>
      <c r="E449" s="220" t="inlineStr">
        <is>
          <t>Technology Manager, Energy Solutions</t>
        </is>
      </c>
      <c r="F449" s="220" t="inlineStr">
        <is>
          <t>TDD CFE&amp;I</t>
        </is>
      </c>
      <c r="G449" s="251" t="inlineStr">
        <is>
          <t>B2B &amp; Energy Solutions</t>
        </is>
      </c>
      <c r="H449" s="251" t="inlineStr">
        <is>
          <t>Technology Energy Solutions</t>
        </is>
      </c>
      <c r="I449" s="251" t="inlineStr">
        <is>
          <t>B2B &amp; Energy Solutions</t>
        </is>
      </c>
      <c r="J449" s="251" t="inlineStr">
        <is>
          <t>Energy Solutions</t>
        </is>
      </c>
      <c r="K449" s="220" t="inlineStr">
        <is>
          <t>Energy</t>
        </is>
      </c>
      <c r="L449" s="251" t="n"/>
      <c r="M449" s="252" t="inlineStr">
        <is>
          <t>NZ</t>
        </is>
      </c>
      <c r="N449" t="inlineStr">
        <is>
          <t>Energy Solutions &amp; B2B</t>
        </is>
      </c>
      <c r="O449" t="inlineStr">
        <is>
          <t>Energy Solutions</t>
        </is>
      </c>
      <c r="P449" t="inlineStr">
        <is>
          <t>Energy</t>
        </is>
      </c>
      <c r="Q449" t="inlineStr">
        <is>
          <t>Squad</t>
        </is>
      </c>
      <c r="R449" t="inlineStr">
        <is>
          <t>Filled</t>
        </is>
      </c>
    </row>
    <row r="450" ht="18" customHeight="1" s="849">
      <c r="A450" s="250" t="n"/>
      <c r="B450" s="220" t="inlineStr">
        <is>
          <t>Vacant</t>
        </is>
      </c>
      <c r="C450" s="220" t="inlineStr">
        <is>
          <t>Engineer Data</t>
        </is>
      </c>
      <c r="D450" s="220" t="inlineStr">
        <is>
          <t>vacant</t>
        </is>
      </c>
      <c r="E450" s="220" t="inlineStr">
        <is>
          <t>Technology Manger, Data</t>
        </is>
      </c>
      <c r="F450" s="220" t="inlineStr">
        <is>
          <t>TDD CFE&amp;I</t>
        </is>
      </c>
      <c r="G450" s="251" t="inlineStr">
        <is>
          <t>Fuel Infrastructure</t>
        </is>
      </c>
      <c r="H450" s="251" t="inlineStr">
        <is>
          <t>Fuel Infrastructure, Data</t>
        </is>
      </c>
      <c r="I450" s="251" t="inlineStr">
        <is>
          <t>Infrastructure</t>
        </is>
      </c>
      <c r="J450" s="220" t="inlineStr">
        <is>
          <t xml:space="preserve">Data &amp; Insights </t>
        </is>
      </c>
      <c r="K450" s="220" t="inlineStr">
        <is>
          <t xml:space="preserve">Data &amp; Insights </t>
        </is>
      </c>
      <c r="L450" s="251" t="n"/>
      <c r="M450" s="252" t="n"/>
      <c r="N450" t="inlineStr">
        <is>
          <t>Infrastructure</t>
        </is>
      </c>
      <c r="O450" t="inlineStr">
        <is>
          <t>Data &amp; Insights</t>
        </is>
      </c>
      <c r="P450" t="inlineStr">
        <is>
          <t>Data &amp; Insights</t>
        </is>
      </c>
      <c r="Q450" t="inlineStr">
        <is>
          <t>Squad</t>
        </is>
      </c>
      <c r="R450" t="inlineStr">
        <is>
          <t>Vacant</t>
        </is>
      </c>
    </row>
    <row r="451" ht="18" customHeight="1" s="849">
      <c r="A451" s="250" t="n">
        <v>108033</v>
      </c>
      <c r="B451" s="220" t="inlineStr">
        <is>
          <t>Ayushi Agarwal</t>
        </is>
      </c>
      <c r="C451" s="220" t="inlineStr">
        <is>
          <t>Engineer Data</t>
        </is>
      </c>
      <c r="D451" s="251" t="inlineStr">
        <is>
          <t>Vacant</t>
        </is>
      </c>
      <c r="E451" s="220" t="inlineStr">
        <is>
          <t>Technology Manager, Data</t>
        </is>
      </c>
      <c r="F451" s="220" t="inlineStr">
        <is>
          <t>TDD CFE&amp;I</t>
        </is>
      </c>
      <c r="G451" s="251" t="inlineStr">
        <is>
          <t>Commercial Fuels</t>
        </is>
      </c>
      <c r="H451" s="251" t="inlineStr">
        <is>
          <t>Technology, T&amp;S Data</t>
        </is>
      </c>
      <c r="I451" s="251" t="inlineStr">
        <is>
          <t>Commercial Fuels</t>
        </is>
      </c>
      <c r="J451" s="251" t="inlineStr">
        <is>
          <t>Trading &amp; Shipping</t>
        </is>
      </c>
      <c r="K451" s="251" t="inlineStr">
        <is>
          <t>Trading &amp; Shipping Data</t>
        </is>
      </c>
      <c r="L451" s="251" t="n"/>
      <c r="M451" s="252"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849">
      <c r="A452" s="250" t="n"/>
      <c r="B452" s="220" t="inlineStr">
        <is>
          <t>Vacant</t>
        </is>
      </c>
      <c r="C452" s="220" t="inlineStr">
        <is>
          <t>Business Analyst</t>
        </is>
      </c>
      <c r="D452" s="251" t="inlineStr">
        <is>
          <t>Vacant</t>
        </is>
      </c>
      <c r="E452" s="220" t="inlineStr">
        <is>
          <t>Delivery Manager</t>
        </is>
      </c>
      <c r="F452" s="220" t="inlineStr">
        <is>
          <t>TDD CFE&amp;I</t>
        </is>
      </c>
      <c r="G452" s="251" t="inlineStr">
        <is>
          <t>Fuel Infrastructure</t>
        </is>
      </c>
      <c r="H452" s="251" t="inlineStr">
        <is>
          <t>Fuel Infrastructure, Delivery</t>
        </is>
      </c>
      <c r="I452" s="251" t="inlineStr">
        <is>
          <t>Infrastructure</t>
        </is>
      </c>
      <c r="J452" s="251" t="inlineStr">
        <is>
          <t>Distribution</t>
        </is>
      </c>
      <c r="K452" s="220" t="inlineStr">
        <is>
          <t>Distribution, Sales &amp; Services</t>
        </is>
      </c>
      <c r="L452" s="251" t="n"/>
      <c r="M452" s="252"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849">
      <c r="A453" s="250" t="n">
        <v>106221</v>
      </c>
      <c r="B453" s="220" t="inlineStr">
        <is>
          <t>Vacant</t>
        </is>
      </c>
      <c r="C453" s="220" t="inlineStr">
        <is>
          <t>Senior Business Analyst</t>
        </is>
      </c>
      <c r="D453" s="251" t="inlineStr">
        <is>
          <t>Vacant</t>
        </is>
      </c>
      <c r="E453" s="220" t="inlineStr">
        <is>
          <t>Delivery Manager</t>
        </is>
      </c>
      <c r="F453" s="220" t="inlineStr">
        <is>
          <t>TDD CFE&amp;I</t>
        </is>
      </c>
      <c r="G453" s="251" t="inlineStr">
        <is>
          <t>Commercial Fuels</t>
        </is>
      </c>
      <c r="H453" s="291" t="inlineStr">
        <is>
          <t>Delivery</t>
        </is>
      </c>
      <c r="I453" s="251" t="inlineStr">
        <is>
          <t>Commercial Fuels</t>
        </is>
      </c>
      <c r="J453" s="251" t="inlineStr">
        <is>
          <t>Trading &amp; Shipping</t>
        </is>
      </c>
      <c r="K453" s="251" t="inlineStr">
        <is>
          <t>Trading &amp; Shipping</t>
        </is>
      </c>
      <c r="L453" s="220" t="n"/>
      <c r="M453" s="252"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849">
      <c r="A454" s="250" t="n">
        <v>99999101421</v>
      </c>
      <c r="B454" s="220" t="inlineStr">
        <is>
          <t>Lana Wagner</t>
        </is>
      </c>
      <c r="C454" s="220" t="inlineStr">
        <is>
          <t>Senior Business Analyst</t>
        </is>
      </c>
      <c r="D454" s="251" t="inlineStr">
        <is>
          <t>Vacant</t>
        </is>
      </c>
      <c r="E454" s="220" t="inlineStr">
        <is>
          <t>Delivery Manager</t>
        </is>
      </c>
      <c r="F454" s="220" t="inlineStr">
        <is>
          <t>TDD CFE&amp;I</t>
        </is>
      </c>
      <c r="G454" s="251" t="inlineStr">
        <is>
          <t>B2B &amp; Energy Solutions</t>
        </is>
      </c>
      <c r="H454" s="251" t="inlineStr">
        <is>
          <t>Delivery</t>
        </is>
      </c>
      <c r="I454" s="251" t="inlineStr">
        <is>
          <t>B2B &amp; Energy Solutions</t>
        </is>
      </c>
      <c r="J454" s="251" t="inlineStr">
        <is>
          <t>Energy Solutions</t>
        </is>
      </c>
      <c r="K454" s="220" t="inlineStr">
        <is>
          <t>EVCI</t>
        </is>
      </c>
      <c r="L454" s="251" t="n"/>
      <c r="M454" s="252" t="inlineStr">
        <is>
          <t>NZ</t>
        </is>
      </c>
      <c r="N454" t="inlineStr">
        <is>
          <t>Energy Solutions &amp; B2B</t>
        </is>
      </c>
      <c r="O454" t="inlineStr">
        <is>
          <t>Energy Solutions</t>
        </is>
      </c>
      <c r="P454" t="inlineStr">
        <is>
          <t>EVCI</t>
        </is>
      </c>
      <c r="Q454" t="inlineStr">
        <is>
          <t>Squad</t>
        </is>
      </c>
      <c r="R454" t="inlineStr">
        <is>
          <t>Filled</t>
        </is>
      </c>
    </row>
    <row r="455" ht="18" customHeight="1" s="849">
      <c r="A455" s="250" t="n">
        <v>108075</v>
      </c>
      <c r="B455" s="220" t="inlineStr">
        <is>
          <t>Vacant</t>
        </is>
      </c>
      <c r="C455" s="220" t="inlineStr">
        <is>
          <t>Senior Business Analyst</t>
        </is>
      </c>
      <c r="D455" s="251" t="inlineStr">
        <is>
          <t>vacant</t>
        </is>
      </c>
      <c r="E455" s="220" t="inlineStr">
        <is>
          <t>Delivery Manager</t>
        </is>
      </c>
      <c r="F455" s="220" t="inlineStr">
        <is>
          <t>TDD CFE&amp;I</t>
        </is>
      </c>
      <c r="G455" s="251" t="inlineStr">
        <is>
          <t>Commercial Fuels</t>
        </is>
      </c>
      <c r="H455" s="251" t="inlineStr">
        <is>
          <t>Trading &amp; Shipping</t>
        </is>
      </c>
      <c r="I455" s="251" t="inlineStr">
        <is>
          <t>Commercial Fuels</t>
        </is>
      </c>
      <c r="J455" s="251" t="inlineStr">
        <is>
          <t>Trading &amp; Shipping</t>
        </is>
      </c>
      <c r="K455" s="251" t="inlineStr">
        <is>
          <t>Trading &amp; Shipping</t>
        </is>
      </c>
      <c r="L455" s="220" t="n"/>
      <c r="M455" s="252"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849">
      <c r="A456" s="250" t="n"/>
      <c r="B456" s="220" t="inlineStr">
        <is>
          <t>Vacant</t>
        </is>
      </c>
      <c r="C456" s="220" t="inlineStr">
        <is>
          <t>Delivery Lead</t>
        </is>
      </c>
      <c r="D456" s="251" t="inlineStr">
        <is>
          <t>vacant</t>
        </is>
      </c>
      <c r="E456" s="220" t="inlineStr">
        <is>
          <t>Delivery Manager</t>
        </is>
      </c>
      <c r="F456" s="220" t="inlineStr">
        <is>
          <t>TDD CFE&amp;I</t>
        </is>
      </c>
      <c r="G456" s="251" t="inlineStr">
        <is>
          <t>Commercial Fuels</t>
        </is>
      </c>
      <c r="H456" s="291" t="inlineStr">
        <is>
          <t>Trading &amp; Shipping</t>
        </is>
      </c>
      <c r="I456" s="251" t="inlineStr">
        <is>
          <t>Commercial Fuels</t>
        </is>
      </c>
      <c r="J456" s="251" t="inlineStr">
        <is>
          <t>Trading &amp; Shipping</t>
        </is>
      </c>
      <c r="K456" s="251" t="inlineStr">
        <is>
          <t>Trading &amp; Shipping</t>
        </is>
      </c>
      <c r="L456" s="220" t="n"/>
      <c r="M456" s="252" t="n"/>
      <c r="N456" t="inlineStr">
        <is>
          <t>Commercial Fuels</t>
        </is>
      </c>
      <c r="O456" t="inlineStr">
        <is>
          <t>Trading &amp; Shipping</t>
        </is>
      </c>
      <c r="P456" t="inlineStr">
        <is>
          <t>Trading &amp; Shipping</t>
        </is>
      </c>
      <c r="Q456" t="inlineStr">
        <is>
          <t>Squad</t>
        </is>
      </c>
      <c r="R456" t="inlineStr">
        <is>
          <t>Vacant</t>
        </is>
      </c>
    </row>
    <row r="457" ht="18" customHeight="1" s="849">
      <c r="A457" s="250" t="n">
        <v>105823</v>
      </c>
      <c r="B457" s="260" t="inlineStr">
        <is>
          <t>Hardik Trivedi</t>
        </is>
      </c>
      <c r="C457" s="260" t="inlineStr">
        <is>
          <t>Snr Business Analyst</t>
        </is>
      </c>
      <c r="D457" s="251" t="inlineStr">
        <is>
          <t>vacant</t>
        </is>
      </c>
      <c r="E457" s="260" t="inlineStr">
        <is>
          <t xml:space="preserve">Delivery Manager </t>
        </is>
      </c>
      <c r="F457" s="220" t="inlineStr">
        <is>
          <t>TDD Group Functions</t>
        </is>
      </c>
      <c r="G457" s="251" t="inlineStr">
        <is>
          <t>TDD &amp; Engineering</t>
        </is>
      </c>
      <c r="H457" s="220" t="inlineStr">
        <is>
          <t>Delivery, TDD &amp; Engineering</t>
        </is>
      </c>
      <c r="I457" s="220" t="inlineStr">
        <is>
          <t>Retail</t>
        </is>
      </c>
      <c r="J457" s="251" t="inlineStr">
        <is>
          <t>AmPOS</t>
        </is>
      </c>
      <c r="K457" s="251" t="inlineStr">
        <is>
          <t>AmPOS</t>
        </is>
      </c>
      <c r="L457" s="251" t="n"/>
      <c r="M457" s="252" t="inlineStr">
        <is>
          <t>Australia</t>
        </is>
      </c>
      <c r="N457" t="inlineStr">
        <is>
          <t>Ampol Retail</t>
        </is>
      </c>
      <c r="O457" t="inlineStr">
        <is>
          <t>AmPOS</t>
        </is>
      </c>
      <c r="P457" t="inlineStr">
        <is>
          <t>AmPOS</t>
        </is>
      </c>
      <c r="Q457" t="inlineStr">
        <is>
          <t>Strategic Program</t>
        </is>
      </c>
      <c r="R457" t="inlineStr">
        <is>
          <t>Filled</t>
        </is>
      </c>
    </row>
    <row r="458" ht="18" customHeight="1" s="849">
      <c r="A458" s="250" t="n">
        <v>106829</v>
      </c>
      <c r="B458" s="220" t="inlineStr">
        <is>
          <t>C K Lau</t>
        </is>
      </c>
      <c r="C458" s="220" t="inlineStr">
        <is>
          <t>Delivery Lead (Cloud &amp; Network)</t>
        </is>
      </c>
      <c r="D458" s="220" t="inlineStr">
        <is>
          <t>Vacant</t>
        </is>
      </c>
      <c r="E458" s="220" t="inlineStr">
        <is>
          <t>Delivery Manager</t>
        </is>
      </c>
      <c r="F458" s="220" t="inlineStr">
        <is>
          <t>TDD Group Functions</t>
        </is>
      </c>
      <c r="G458" s="251" t="inlineStr">
        <is>
          <t xml:space="preserve">TDD &amp; Engineering </t>
        </is>
      </c>
      <c r="H458" s="220" t="inlineStr">
        <is>
          <t>Delivery, TDD &amp; Engineering</t>
        </is>
      </c>
      <c r="I458" s="220" t="inlineStr">
        <is>
          <t>TDD</t>
        </is>
      </c>
      <c r="J458" s="251" t="inlineStr">
        <is>
          <t>TDD</t>
        </is>
      </c>
      <c r="K458" s="251" t="inlineStr">
        <is>
          <t>Cloud Network &amp; Infra Ops</t>
        </is>
      </c>
      <c r="L458" s="251" t="n"/>
      <c r="M458" s="252" t="inlineStr">
        <is>
          <t>Australia</t>
        </is>
      </c>
      <c r="N458" t="inlineStr">
        <is>
          <t>TDD Group Functions</t>
        </is>
      </c>
      <c r="O458" t="inlineStr">
        <is>
          <t>TDD Group Functions</t>
        </is>
      </c>
      <c r="P458" t="inlineStr">
        <is>
          <t>Network &amp; Infrastructure</t>
        </is>
      </c>
      <c r="Q458" t="inlineStr">
        <is>
          <t>Squad</t>
        </is>
      </c>
      <c r="R458" t="inlineStr">
        <is>
          <t>Filled</t>
        </is>
      </c>
      <c r="BV458" s="254" t="n"/>
      <c r="BW458" s="255" t="n"/>
      <c r="BX458" s="256" t="n"/>
    </row>
    <row r="459" ht="18" customHeight="1" s="849">
      <c r="A459" s="250" t="n">
        <v>99999101516</v>
      </c>
      <c r="B459" s="220" t="inlineStr">
        <is>
          <t>Fan Zhang</t>
        </is>
      </c>
      <c r="C459" s="220" t="inlineStr">
        <is>
          <t>Infrastructure Engineer</t>
        </is>
      </c>
      <c r="D459" s="251" t="inlineStr">
        <is>
          <t>John McCormack</t>
        </is>
      </c>
      <c r="E459" s="260" t="inlineStr">
        <is>
          <t>Manager - Infrastructure Operations</t>
        </is>
      </c>
      <c r="F459" s="220" t="inlineStr">
        <is>
          <t>TDD Group Functions</t>
        </is>
      </c>
      <c r="G459" s="251" t="inlineStr">
        <is>
          <t>TDD &amp; Engineering</t>
        </is>
      </c>
      <c r="H459" s="251" t="inlineStr">
        <is>
          <t>Cloud, Network &amp; Infra</t>
        </is>
      </c>
      <c r="I459" s="220" t="inlineStr">
        <is>
          <t>TDD</t>
        </is>
      </c>
      <c r="J459" s="251" t="inlineStr">
        <is>
          <t>TDD</t>
        </is>
      </c>
      <c r="K459" s="251" t="inlineStr">
        <is>
          <t>Cloud, Network &amp; Infra Ops</t>
        </is>
      </c>
      <c r="L459" s="251" t="n"/>
      <c r="M459" s="252" t="inlineStr">
        <is>
          <t>NZ</t>
        </is>
      </c>
      <c r="N459" t="inlineStr">
        <is>
          <t>TDD Group Functions</t>
        </is>
      </c>
      <c r="O459" t="inlineStr">
        <is>
          <t>TDD Group Functions</t>
        </is>
      </c>
      <c r="P459" t="inlineStr">
        <is>
          <t>Network &amp; Infrastructure</t>
        </is>
      </c>
      <c r="Q459" t="inlineStr">
        <is>
          <t>Squad</t>
        </is>
      </c>
      <c r="R459" t="inlineStr">
        <is>
          <t>Filled</t>
        </is>
      </c>
      <c r="BV459" s="257" t="n"/>
      <c r="BW459" s="258" t="n"/>
      <c r="BX459" s="259" t="n"/>
    </row>
    <row r="460" ht="18" customHeight="1" s="849">
      <c r="A460" s="250" t="n"/>
      <c r="B460" s="273" t="inlineStr">
        <is>
          <t>Vacant</t>
        </is>
      </c>
      <c r="C460" s="260" t="inlineStr">
        <is>
          <t>Infrastructure Operations Lead</t>
        </is>
      </c>
      <c r="D460" s="251" t="inlineStr">
        <is>
          <t>John McCormack</t>
        </is>
      </c>
      <c r="E460" s="260" t="inlineStr">
        <is>
          <t>Manager - Infrastructure Operations</t>
        </is>
      </c>
      <c r="F460" s="220" t="inlineStr">
        <is>
          <t>TDD Group Functions</t>
        </is>
      </c>
      <c r="G460" s="251" t="inlineStr">
        <is>
          <t>TDD &amp; Engineering</t>
        </is>
      </c>
      <c r="H460" s="251" t="inlineStr">
        <is>
          <t>Cloud, Network &amp; Infra</t>
        </is>
      </c>
      <c r="I460" s="220" t="inlineStr">
        <is>
          <t>TDD</t>
        </is>
      </c>
      <c r="J460" s="251" t="inlineStr">
        <is>
          <t>TDD</t>
        </is>
      </c>
      <c r="K460" s="251" t="inlineStr">
        <is>
          <t>Cloud, Network &amp; Infra Ops</t>
        </is>
      </c>
      <c r="L460" s="251" t="n"/>
      <c r="M460" s="252" t="n"/>
      <c r="N460" t="inlineStr">
        <is>
          <t>TDD Group Functions</t>
        </is>
      </c>
      <c r="O460" t="inlineStr">
        <is>
          <t>TDD Group Functions</t>
        </is>
      </c>
      <c r="P460" t="inlineStr">
        <is>
          <t>Network &amp; Infrastructure</t>
        </is>
      </c>
      <c r="Q460" t="inlineStr">
        <is>
          <t>Squad</t>
        </is>
      </c>
      <c r="R460" t="inlineStr">
        <is>
          <t>Vacant</t>
        </is>
      </c>
      <c r="BV460" s="257" t="n"/>
      <c r="BW460" s="258" t="n"/>
      <c r="BX460" s="259" t="n"/>
    </row>
    <row r="461" ht="18" customHeight="1" s="849">
      <c r="A461" s="250" t="n">
        <v>96568</v>
      </c>
      <c r="B461" s="273" t="inlineStr">
        <is>
          <t>Johnny Li</t>
        </is>
      </c>
      <c r="C461" s="260" t="inlineStr">
        <is>
          <t>Cloud Solutions Architect</t>
        </is>
      </c>
      <c r="D461" s="251" t="inlineStr">
        <is>
          <t>Vacant</t>
        </is>
      </c>
      <c r="E461" s="260" t="inlineStr">
        <is>
          <t>Technology Manager - Cloud, Network &amp; Infrastructure Operations</t>
        </is>
      </c>
      <c r="F461" s="220" t="inlineStr">
        <is>
          <t>TDD Group Functions</t>
        </is>
      </c>
      <c r="G461" s="251" t="inlineStr">
        <is>
          <t>TDD &amp; Engineering</t>
        </is>
      </c>
      <c r="H461" s="251" t="inlineStr">
        <is>
          <t>Cloud, Network &amp; Infra</t>
        </is>
      </c>
      <c r="I461" s="220" t="inlineStr">
        <is>
          <t>TDD</t>
        </is>
      </c>
      <c r="J461" s="251" t="inlineStr">
        <is>
          <t>TDD</t>
        </is>
      </c>
      <c r="K461" s="251" t="inlineStr">
        <is>
          <t>Cloud, Network &amp; Infra Ops</t>
        </is>
      </c>
      <c r="L461" s="251" t="n"/>
      <c r="M461" s="252" t="n"/>
      <c r="N461" t="inlineStr">
        <is>
          <t>TDD Group Functions</t>
        </is>
      </c>
      <c r="O461" t="inlineStr">
        <is>
          <t>TDD Group Functions</t>
        </is>
      </c>
      <c r="P461" t="inlineStr">
        <is>
          <t>Network &amp; Infrastructure</t>
        </is>
      </c>
      <c r="Q461" t="inlineStr">
        <is>
          <t>Squad</t>
        </is>
      </c>
      <c r="R461" t="inlineStr">
        <is>
          <t>Filled</t>
        </is>
      </c>
      <c r="BV461" s="257" t="n"/>
      <c r="BW461" s="258" t="n"/>
      <c r="BX461" s="259" t="n"/>
    </row>
    <row r="462" ht="18" customHeight="1" s="849">
      <c r="A462" s="250" t="n">
        <v>6591</v>
      </c>
      <c r="B462" s="220" t="inlineStr">
        <is>
          <t>Steven Yong</t>
        </is>
      </c>
      <c r="C462" s="220" t="inlineStr">
        <is>
          <t>Nework Architect</t>
        </is>
      </c>
      <c r="D462" s="251" t="inlineStr">
        <is>
          <t>Vacant</t>
        </is>
      </c>
      <c r="E462" s="260" t="inlineStr">
        <is>
          <t>Technology Manager - Cloud, Network &amp; Infrastructure Operations</t>
        </is>
      </c>
      <c r="F462" s="220" t="inlineStr">
        <is>
          <t>TDD Group Functions</t>
        </is>
      </c>
      <c r="G462" s="251" t="inlineStr">
        <is>
          <t>TDD &amp; Engineering</t>
        </is>
      </c>
      <c r="H462" s="251" t="inlineStr">
        <is>
          <t>Cloud, Network &amp; Infra</t>
        </is>
      </c>
      <c r="I462" s="220" t="inlineStr">
        <is>
          <t>TDD</t>
        </is>
      </c>
      <c r="J462" s="251" t="inlineStr">
        <is>
          <t>TDD</t>
        </is>
      </c>
      <c r="K462" s="251" t="inlineStr">
        <is>
          <t>Cloud, Network &amp; Infra Ops</t>
        </is>
      </c>
      <c r="L462" s="251" t="n"/>
      <c r="M462" s="252" t="inlineStr">
        <is>
          <t>Australia</t>
        </is>
      </c>
      <c r="N462" t="inlineStr">
        <is>
          <t>TDD Group Functions</t>
        </is>
      </c>
      <c r="O462" t="inlineStr">
        <is>
          <t>TDD Group Functions</t>
        </is>
      </c>
      <c r="P462" t="inlineStr">
        <is>
          <t>Network &amp; Infrastructure</t>
        </is>
      </c>
      <c r="Q462" t="inlineStr">
        <is>
          <t>Squad</t>
        </is>
      </c>
      <c r="R462" t="inlineStr">
        <is>
          <t>Filled</t>
        </is>
      </c>
      <c r="BV462" s="257" t="n"/>
      <c r="BW462" s="258" t="n"/>
      <c r="BX462" s="259" t="n"/>
    </row>
    <row r="463" ht="18" customHeight="1" s="849">
      <c r="A463" s="250" t="n">
        <v>97625</v>
      </c>
      <c r="B463" s="220" t="inlineStr">
        <is>
          <t>Satish Chowdhary</t>
        </is>
      </c>
      <c r="C463" s="220" t="inlineStr">
        <is>
          <t>Nework Architect</t>
        </is>
      </c>
      <c r="D463" s="251" t="inlineStr">
        <is>
          <t>Vacant</t>
        </is>
      </c>
      <c r="E463" s="260" t="inlineStr">
        <is>
          <t>Technology Manager - Cloud, Network &amp; Infrastructure Operations</t>
        </is>
      </c>
      <c r="F463" s="220" t="inlineStr">
        <is>
          <t>TDD Group Functions</t>
        </is>
      </c>
      <c r="G463" s="251" t="inlineStr">
        <is>
          <t>TDD &amp; Engineering</t>
        </is>
      </c>
      <c r="H463" s="251" t="inlineStr">
        <is>
          <t>Cloud, Network &amp; Infra</t>
        </is>
      </c>
      <c r="I463" s="220" t="inlineStr">
        <is>
          <t>TDD</t>
        </is>
      </c>
      <c r="J463" s="251" t="inlineStr">
        <is>
          <t>TDD</t>
        </is>
      </c>
      <c r="K463" s="251" t="inlineStr">
        <is>
          <t>Cloud, Network &amp; Infra Ops</t>
        </is>
      </c>
      <c r="L463" s="251" t="n"/>
      <c r="M463" s="252" t="inlineStr">
        <is>
          <t>Australia</t>
        </is>
      </c>
      <c r="N463" t="inlineStr">
        <is>
          <t>TDD Group Functions</t>
        </is>
      </c>
      <c r="O463" t="inlineStr">
        <is>
          <t>TDD Group Functions</t>
        </is>
      </c>
      <c r="P463" t="inlineStr">
        <is>
          <t>Network &amp; Infrastructure</t>
        </is>
      </c>
      <c r="Q463" t="inlineStr">
        <is>
          <t>Squad</t>
        </is>
      </c>
      <c r="R463" t="inlineStr">
        <is>
          <t>Filled</t>
        </is>
      </c>
      <c r="BV463" s="257" t="n"/>
      <c r="BW463" s="258" t="n"/>
      <c r="BX463" s="259" t="n"/>
    </row>
    <row r="464" ht="18" customHeight="1" s="849">
      <c r="A464" s="250" t="n">
        <v>106117</v>
      </c>
      <c r="B464" s="220" t="inlineStr">
        <is>
          <t>Muhammad Abubaker</t>
        </is>
      </c>
      <c r="C464" s="220" t="inlineStr">
        <is>
          <t>Network Operations Engineer</t>
        </is>
      </c>
      <c r="D464" s="251" t="inlineStr">
        <is>
          <t>Vacant</t>
        </is>
      </c>
      <c r="E464" s="260" t="inlineStr">
        <is>
          <t>Manager - Infrastructure Operations</t>
        </is>
      </c>
      <c r="F464" s="220" t="inlineStr">
        <is>
          <t>TDD Group Functions</t>
        </is>
      </c>
      <c r="G464" s="251" t="inlineStr">
        <is>
          <t>Loyalty &amp; Martech</t>
        </is>
      </c>
      <c r="H464" s="251" t="inlineStr">
        <is>
          <t>Cloud, Network &amp; Infra</t>
        </is>
      </c>
      <c r="I464" s="220" t="inlineStr">
        <is>
          <t>TDD</t>
        </is>
      </c>
      <c r="J464" s="251" t="inlineStr">
        <is>
          <t>TDD</t>
        </is>
      </c>
      <c r="K464" s="251" t="inlineStr">
        <is>
          <t>Cloud, Network &amp; Infra Ops</t>
        </is>
      </c>
      <c r="L464" s="251" t="n"/>
      <c r="M464" s="252" t="inlineStr">
        <is>
          <t>Australia</t>
        </is>
      </c>
      <c r="N464" t="inlineStr">
        <is>
          <t>TDD Group Functions</t>
        </is>
      </c>
      <c r="O464" t="inlineStr">
        <is>
          <t>TDD Group Functions</t>
        </is>
      </c>
      <c r="P464" t="inlineStr">
        <is>
          <t>Network &amp; Infrastructure</t>
        </is>
      </c>
      <c r="Q464" t="inlineStr">
        <is>
          <t>Squad</t>
        </is>
      </c>
      <c r="R464" t="inlineStr">
        <is>
          <t>Filled</t>
        </is>
      </c>
      <c r="BV464" s="257" t="n"/>
      <c r="BW464" s="258" t="n"/>
      <c r="BX464" s="259" t="n"/>
    </row>
    <row r="465" ht="18" customHeight="1" s="849">
      <c r="A465" s="250" t="n">
        <v>113517</v>
      </c>
      <c r="B465" s="273" t="inlineStr">
        <is>
          <t>Axel Soh</t>
        </is>
      </c>
      <c r="C465" s="260" t="inlineStr">
        <is>
          <t>Cloud Solutions Architect</t>
        </is>
      </c>
      <c r="D465" s="251" t="inlineStr">
        <is>
          <t>Vacant</t>
        </is>
      </c>
      <c r="E465" s="260" t="inlineStr">
        <is>
          <t>Technology Manager - Cloud, Network &amp; Infrastructure Operations</t>
        </is>
      </c>
      <c r="F465" s="220" t="inlineStr">
        <is>
          <t>TDD Group Functions</t>
        </is>
      </c>
      <c r="G465" s="251" t="inlineStr">
        <is>
          <t>TDD &amp; Engineering</t>
        </is>
      </c>
      <c r="H465" s="251" t="inlineStr">
        <is>
          <t>Cloud, Network &amp; Infra</t>
        </is>
      </c>
      <c r="I465" s="220" t="inlineStr">
        <is>
          <t>TDD</t>
        </is>
      </c>
      <c r="J465" s="251" t="inlineStr">
        <is>
          <t>TDD</t>
        </is>
      </c>
      <c r="K465" s="251" t="inlineStr">
        <is>
          <t>Cloud, Network &amp; Infra Ops</t>
        </is>
      </c>
      <c r="L465" s="251" t="n"/>
      <c r="M465" s="252" t="n"/>
      <c r="N465" t="inlineStr">
        <is>
          <t>TDD Group Functions</t>
        </is>
      </c>
      <c r="O465" t="inlineStr">
        <is>
          <t>TDD Group Functions</t>
        </is>
      </c>
      <c r="P465" t="inlineStr">
        <is>
          <t>Network &amp; Infrastructure</t>
        </is>
      </c>
      <c r="Q465" t="inlineStr">
        <is>
          <t>Squad</t>
        </is>
      </c>
      <c r="R465" t="inlineStr">
        <is>
          <t>Filled</t>
        </is>
      </c>
      <c r="BV465" s="257" t="n"/>
      <c r="BW465" s="258" t="n"/>
      <c r="BX465" s="259" t="n"/>
    </row>
    <row r="466" ht="18" customHeight="1" s="849">
      <c r="A466" s="250" t="n">
        <v>97800</v>
      </c>
      <c r="B466" s="220" t="inlineStr">
        <is>
          <t>John McCormack</t>
        </is>
      </c>
      <c r="C466" s="220" t="inlineStr">
        <is>
          <t>Manager - Infrastructure Operations</t>
        </is>
      </c>
      <c r="D466" s="251" t="inlineStr">
        <is>
          <t>Vacant</t>
        </is>
      </c>
      <c r="E466" s="260" t="inlineStr">
        <is>
          <t>Technology Manager - Cloud, Network &amp; Infrastructure Operations</t>
        </is>
      </c>
      <c r="F466" s="220" t="inlineStr">
        <is>
          <t>TDD Group Functions</t>
        </is>
      </c>
      <c r="G466" s="251" t="inlineStr">
        <is>
          <t>TDD &amp; Engineering</t>
        </is>
      </c>
      <c r="H466" s="251" t="inlineStr">
        <is>
          <t>Cloud, Network &amp; Infra</t>
        </is>
      </c>
      <c r="I466" s="220" t="inlineStr">
        <is>
          <t>TDD</t>
        </is>
      </c>
      <c r="J466" s="251" t="inlineStr">
        <is>
          <t>TDD</t>
        </is>
      </c>
      <c r="K466" s="251" t="inlineStr">
        <is>
          <t>Cloud, Network &amp; Infra Ops</t>
        </is>
      </c>
      <c r="L466" s="251" t="n"/>
      <c r="M466" s="252" t="inlineStr">
        <is>
          <t>Australia</t>
        </is>
      </c>
      <c r="N466" t="inlineStr">
        <is>
          <t>TDD Group Functions</t>
        </is>
      </c>
      <c r="O466" t="inlineStr">
        <is>
          <t>TDD Group Functions</t>
        </is>
      </c>
      <c r="P466" t="inlineStr">
        <is>
          <t>Network &amp; Infrastructure</t>
        </is>
      </c>
      <c r="Q466" t="inlineStr">
        <is>
          <t>Squad</t>
        </is>
      </c>
      <c r="R466" t="inlineStr">
        <is>
          <t>Filled</t>
        </is>
      </c>
      <c r="BV466" s="257" t="n"/>
      <c r="BW466" s="258" t="n"/>
      <c r="BX466" s="259" t="n"/>
    </row>
    <row r="467" ht="18" customHeight="1" s="849">
      <c r="A467" s="250" t="n">
        <v>92821</v>
      </c>
      <c r="B467" s="273" t="inlineStr">
        <is>
          <t>Pierre Spee</t>
        </is>
      </c>
      <c r="C467" s="260" t="inlineStr">
        <is>
          <t>Cloud Solutions Architect</t>
        </is>
      </c>
      <c r="D467" s="251" t="inlineStr">
        <is>
          <t>Vacant</t>
        </is>
      </c>
      <c r="E467" s="260" t="inlineStr">
        <is>
          <t>Technology Manager - Cloud, Network &amp; Infrastructure Operations</t>
        </is>
      </c>
      <c r="F467" s="220" t="inlineStr">
        <is>
          <t>TDD Group Functions</t>
        </is>
      </c>
      <c r="G467" s="251" t="inlineStr">
        <is>
          <t>TDD &amp; Engineering</t>
        </is>
      </c>
      <c r="H467" s="251" t="inlineStr">
        <is>
          <t>Cloud, Network &amp; Infra</t>
        </is>
      </c>
      <c r="I467" s="220" t="inlineStr">
        <is>
          <t>TDD</t>
        </is>
      </c>
      <c r="J467" s="251" t="inlineStr">
        <is>
          <t>TDD</t>
        </is>
      </c>
      <c r="K467" s="251" t="inlineStr">
        <is>
          <t>Cloud, Network &amp; Infra Ops</t>
        </is>
      </c>
      <c r="L467" s="251" t="n"/>
      <c r="M467" s="252" t="n"/>
      <c r="N467" t="inlineStr">
        <is>
          <t>TDD Group Functions</t>
        </is>
      </c>
      <c r="O467" t="inlineStr">
        <is>
          <t>TDD Group Functions</t>
        </is>
      </c>
      <c r="P467" t="inlineStr">
        <is>
          <t>Network &amp; Infrastructure</t>
        </is>
      </c>
      <c r="Q467" t="inlineStr">
        <is>
          <t>Squad</t>
        </is>
      </c>
      <c r="R467" t="inlineStr">
        <is>
          <t>Filled</t>
        </is>
      </c>
      <c r="BV467" s="257" t="n"/>
      <c r="BW467" s="258" t="n"/>
      <c r="BX467" s="259" t="n"/>
    </row>
    <row r="468" ht="18" customHeight="1" s="849">
      <c r="A468" s="250" t="n">
        <v>8005</v>
      </c>
      <c r="B468" s="273" t="inlineStr">
        <is>
          <t>John Badia</t>
        </is>
      </c>
      <c r="C468" s="260" t="inlineStr">
        <is>
          <t>Cloud Solutions Architect</t>
        </is>
      </c>
      <c r="D468" s="251" t="inlineStr">
        <is>
          <t>Vacant</t>
        </is>
      </c>
      <c r="E468" s="260" t="inlineStr">
        <is>
          <t>Technology Manager - Cloud, Network &amp; Infrastructure Operations</t>
        </is>
      </c>
      <c r="F468" s="220" t="inlineStr">
        <is>
          <t>TDD Group Functions</t>
        </is>
      </c>
      <c r="G468" s="251" t="inlineStr">
        <is>
          <t>TDD &amp; Engineering</t>
        </is>
      </c>
      <c r="H468" s="251" t="inlineStr">
        <is>
          <t>Cloud, Network &amp; Infra</t>
        </is>
      </c>
      <c r="I468" s="220" t="inlineStr">
        <is>
          <t>TDD</t>
        </is>
      </c>
      <c r="J468" s="251" t="inlineStr">
        <is>
          <t>TDD</t>
        </is>
      </c>
      <c r="K468" s="251" t="inlineStr">
        <is>
          <t>Cloud, Network &amp; Infra Ops</t>
        </is>
      </c>
      <c r="L468" s="251" t="n"/>
      <c r="M468" s="252" t="n"/>
      <c r="N468" t="inlineStr">
        <is>
          <t>TDD Group Functions</t>
        </is>
      </c>
      <c r="O468" t="inlineStr">
        <is>
          <t>TDD Group Functions</t>
        </is>
      </c>
      <c r="P468" t="inlineStr">
        <is>
          <t>Network &amp; Infrastructure</t>
        </is>
      </c>
      <c r="Q468" t="inlineStr">
        <is>
          <t>Squad</t>
        </is>
      </c>
      <c r="R468" t="inlineStr">
        <is>
          <t>Filled</t>
        </is>
      </c>
      <c r="BV468" s="257" t="n"/>
      <c r="BW468" s="258" t="n"/>
      <c r="BX468" s="259" t="n"/>
    </row>
    <row r="469" ht="18" customHeight="1" s="849">
      <c r="A469" s="250" t="n"/>
      <c r="B469" s="273" t="inlineStr">
        <is>
          <t>vacant</t>
        </is>
      </c>
      <c r="C469" s="260" t="inlineStr">
        <is>
          <t>Lead Engineer Software</t>
        </is>
      </c>
      <c r="D469" s="273" t="inlineStr">
        <is>
          <t>Vacant</t>
        </is>
      </c>
      <c r="E469" s="260" t="inlineStr">
        <is>
          <t>Technology Manager – DevOps and Quality Engineering</t>
        </is>
      </c>
      <c r="F469" s="251" t="inlineStr">
        <is>
          <t>TDD Group Functions</t>
        </is>
      </c>
      <c r="G469" s="251" t="inlineStr">
        <is>
          <t>TDD &amp; Engineering</t>
        </is>
      </c>
      <c r="H469" s="251" t="inlineStr">
        <is>
          <t>DevOps &amp; QE</t>
        </is>
      </c>
      <c r="I469" s="220" t="inlineStr">
        <is>
          <t>TDD</t>
        </is>
      </c>
      <c r="J469" s="251" t="inlineStr">
        <is>
          <t>TDD</t>
        </is>
      </c>
      <c r="K469" s="251" t="inlineStr">
        <is>
          <t>DevOps &amp; QE</t>
        </is>
      </c>
      <c r="L469" s="251" t="n"/>
      <c r="M469" s="252" t="n"/>
      <c r="N469" t="inlineStr">
        <is>
          <t>TDD Group Functions</t>
        </is>
      </c>
      <c r="O469" t="inlineStr">
        <is>
          <t>TDD Group Functions</t>
        </is>
      </c>
      <c r="P469" t="inlineStr">
        <is>
          <t>DevOps &amp; Engineering</t>
        </is>
      </c>
      <c r="Q469" t="inlineStr">
        <is>
          <t>Squad</t>
        </is>
      </c>
      <c r="R469" t="inlineStr">
        <is>
          <t>Vacant</t>
        </is>
      </c>
      <c r="BV469" s="257" t="n"/>
      <c r="BW469" s="258" t="n"/>
      <c r="BX469" s="259" t="n"/>
    </row>
    <row r="470" ht="18" customHeight="1" s="849">
      <c r="A470" s="250" t="n"/>
      <c r="B470" s="273" t="inlineStr">
        <is>
          <t>Vacant</t>
        </is>
      </c>
      <c r="C470" s="260" t="inlineStr">
        <is>
          <t>Senior Engineer (Automation Test)</t>
        </is>
      </c>
      <c r="D470" s="273" t="inlineStr">
        <is>
          <t>Vacant</t>
        </is>
      </c>
      <c r="E470" s="260" t="inlineStr">
        <is>
          <t>Lead Engineer (Automation Test)</t>
        </is>
      </c>
      <c r="F470" s="251" t="inlineStr">
        <is>
          <t>TDD Group Functions</t>
        </is>
      </c>
      <c r="G470" s="251" t="inlineStr">
        <is>
          <t>TDD &amp; Engineering</t>
        </is>
      </c>
      <c r="H470" s="251" t="inlineStr">
        <is>
          <t>DevOps &amp; QE</t>
        </is>
      </c>
      <c r="I470" s="220" t="inlineStr">
        <is>
          <t>TDD</t>
        </is>
      </c>
      <c r="J470" s="251" t="inlineStr">
        <is>
          <t>TDD</t>
        </is>
      </c>
      <c r="K470" s="251" t="inlineStr">
        <is>
          <t>DevOps &amp; QE</t>
        </is>
      </c>
      <c r="L470" s="251" t="n"/>
      <c r="M470" s="252" t="n"/>
      <c r="N470" t="inlineStr">
        <is>
          <t>TDD Group Functions</t>
        </is>
      </c>
      <c r="O470" t="inlineStr">
        <is>
          <t>TDD Group Functions</t>
        </is>
      </c>
      <c r="P470" t="inlineStr">
        <is>
          <t>DevOps &amp; Engineering</t>
        </is>
      </c>
      <c r="Q470" t="inlineStr">
        <is>
          <t>Squad</t>
        </is>
      </c>
      <c r="R470" t="inlineStr">
        <is>
          <t>Vacant</t>
        </is>
      </c>
      <c r="BV470" s="257" t="n"/>
      <c r="BW470" s="258" t="n"/>
      <c r="BX470" s="259" t="n"/>
    </row>
    <row r="471" ht="18" customHeight="1" s="849">
      <c r="A471" s="250" t="n"/>
      <c r="B471" s="273" t="inlineStr">
        <is>
          <t>Vacant</t>
        </is>
      </c>
      <c r="C471" s="260" t="inlineStr">
        <is>
          <t>Lead Engineer (Automation Test)</t>
        </is>
      </c>
      <c r="D471" s="273" t="inlineStr">
        <is>
          <t>Vacant</t>
        </is>
      </c>
      <c r="E471" s="260" t="inlineStr">
        <is>
          <t>Technology Manager – DevOps and Quality Engineering</t>
        </is>
      </c>
      <c r="F471" s="251" t="inlineStr">
        <is>
          <t>TDD Group Functions</t>
        </is>
      </c>
      <c r="G471" s="251" t="inlineStr">
        <is>
          <t>TDD &amp; Engineering</t>
        </is>
      </c>
      <c r="H471" s="251" t="inlineStr">
        <is>
          <t>Technology, CF Engineering</t>
        </is>
      </c>
      <c r="I471" s="220" t="inlineStr">
        <is>
          <t>TDD</t>
        </is>
      </c>
      <c r="J471" s="251" t="inlineStr">
        <is>
          <t>TDD</t>
        </is>
      </c>
      <c r="K471" s="251" t="inlineStr">
        <is>
          <t>DevOps &amp; QE</t>
        </is>
      </c>
      <c r="L471" s="251" t="n"/>
      <c r="M471" s="252" t="n"/>
      <c r="N471" t="inlineStr">
        <is>
          <t>TDD Group Functions</t>
        </is>
      </c>
      <c r="O471" t="inlineStr">
        <is>
          <t>TDD Group Functions</t>
        </is>
      </c>
      <c r="P471" t="inlineStr">
        <is>
          <t>DevOps &amp; Engineering</t>
        </is>
      </c>
      <c r="Q471" t="inlineStr">
        <is>
          <t>Squad</t>
        </is>
      </c>
      <c r="R471" t="inlineStr">
        <is>
          <t>Vacant</t>
        </is>
      </c>
      <c r="BV471" s="257" t="n"/>
      <c r="BW471" s="258" t="n"/>
      <c r="BX471" s="259" t="n"/>
    </row>
    <row r="472" ht="18" customHeight="1" s="849">
      <c r="A472" s="250" t="n">
        <v>99999101441</v>
      </c>
      <c r="B472" s="220" t="inlineStr">
        <is>
          <t>Luke Hamer</t>
        </is>
      </c>
      <c r="C472" s="220" t="inlineStr">
        <is>
          <t>Lead Engineer - Devops</t>
        </is>
      </c>
      <c r="D472" s="273" t="inlineStr">
        <is>
          <t>Vacant</t>
        </is>
      </c>
      <c r="E472" s="260" t="inlineStr">
        <is>
          <t>Technology Manager – DevOps and Quality Engineering</t>
        </is>
      </c>
      <c r="F472" s="251" t="inlineStr">
        <is>
          <t>TDD Group Functions</t>
        </is>
      </c>
      <c r="G472" s="251" t="inlineStr">
        <is>
          <t>TDD &amp; Engineering</t>
        </is>
      </c>
      <c r="H472" s="251" t="inlineStr">
        <is>
          <t>Technology, CF Engineering</t>
        </is>
      </c>
      <c r="I472" s="220" t="inlineStr">
        <is>
          <t>TDD</t>
        </is>
      </c>
      <c r="J472" s="251" t="inlineStr">
        <is>
          <t>TDD</t>
        </is>
      </c>
      <c r="K472" s="251" t="inlineStr">
        <is>
          <t>DevOps &amp; QE</t>
        </is>
      </c>
      <c r="L472" s="251" t="n"/>
      <c r="M472" s="252" t="inlineStr">
        <is>
          <t>NZ</t>
        </is>
      </c>
      <c r="N472" t="inlineStr">
        <is>
          <t>TDD Group Functions</t>
        </is>
      </c>
      <c r="O472" t="inlineStr">
        <is>
          <t>TDD Group Functions</t>
        </is>
      </c>
      <c r="P472" t="inlineStr">
        <is>
          <t>DevOps &amp; Engineering</t>
        </is>
      </c>
      <c r="Q472" t="inlineStr">
        <is>
          <t>Squad</t>
        </is>
      </c>
      <c r="R472" t="inlineStr">
        <is>
          <t>Filled</t>
        </is>
      </c>
      <c r="BV472" s="257" t="n"/>
      <c r="BW472" s="258" t="n"/>
      <c r="BX472" s="259" t="n"/>
    </row>
    <row r="473" ht="18" customHeight="1" s="849">
      <c r="A473" s="250" t="n">
        <v>116057</v>
      </c>
      <c r="B473" s="260" t="inlineStr">
        <is>
          <t>Lucas Wang</t>
        </is>
      </c>
      <c r="C473" s="260" t="inlineStr">
        <is>
          <t>Senior Engineer (Automation Test)</t>
        </is>
      </c>
      <c r="D473" s="273" t="inlineStr">
        <is>
          <t>Vacant</t>
        </is>
      </c>
      <c r="E473" s="260" t="inlineStr">
        <is>
          <t>Lead Engineer (Automation Test)</t>
        </is>
      </c>
      <c r="F473" s="251" t="inlineStr">
        <is>
          <t>TDD Group Functions</t>
        </is>
      </c>
      <c r="G473" s="251" t="inlineStr">
        <is>
          <t>TDD &amp; Engineering</t>
        </is>
      </c>
      <c r="H473" s="251" t="inlineStr">
        <is>
          <t>DevOps &amp; QE</t>
        </is>
      </c>
      <c r="I473" s="220" t="inlineStr">
        <is>
          <t>TDD</t>
        </is>
      </c>
      <c r="J473" s="251" t="inlineStr">
        <is>
          <t>TDD</t>
        </is>
      </c>
      <c r="K473" s="251" t="inlineStr">
        <is>
          <t>DevOps &amp; QE</t>
        </is>
      </c>
      <c r="L473" s="251" t="n"/>
      <c r="M473" s="252" t="inlineStr">
        <is>
          <t>Australia</t>
        </is>
      </c>
      <c r="N473" t="inlineStr">
        <is>
          <t>TDD Group Functions</t>
        </is>
      </c>
      <c r="O473" t="inlineStr">
        <is>
          <t>TDD Group Functions</t>
        </is>
      </c>
      <c r="P473" t="inlineStr">
        <is>
          <t>DevOps &amp; Engineering</t>
        </is>
      </c>
      <c r="Q473" t="inlineStr">
        <is>
          <t>Squad</t>
        </is>
      </c>
      <c r="R473" t="inlineStr">
        <is>
          <t>Filled</t>
        </is>
      </c>
      <c r="BV473" s="257" t="n"/>
      <c r="BW473" s="258" t="n"/>
      <c r="BX473" s="259" t="n"/>
    </row>
    <row r="474" ht="18" customHeight="1" s="849">
      <c r="A474" s="250" t="n"/>
      <c r="B474" s="273" t="inlineStr">
        <is>
          <t>vacant</t>
        </is>
      </c>
      <c r="C474" s="260" t="inlineStr">
        <is>
          <t>Environments and Test Data Manager</t>
        </is>
      </c>
      <c r="D474" s="273" t="inlineStr">
        <is>
          <t>Vacant</t>
        </is>
      </c>
      <c r="E474" s="260" t="inlineStr">
        <is>
          <t>Technology Manager – DevOps and Quality Engineering</t>
        </is>
      </c>
      <c r="F474" s="251" t="inlineStr">
        <is>
          <t>TDD Group Functions</t>
        </is>
      </c>
      <c r="G474" s="251" t="inlineStr">
        <is>
          <t>TDD &amp; Engineering</t>
        </is>
      </c>
      <c r="H474" s="251" t="inlineStr">
        <is>
          <t>DevOps &amp; QE</t>
        </is>
      </c>
      <c r="I474" s="220" t="inlineStr">
        <is>
          <t>TDD</t>
        </is>
      </c>
      <c r="J474" s="251" t="inlineStr">
        <is>
          <t>TDD</t>
        </is>
      </c>
      <c r="K474" s="251" t="inlineStr">
        <is>
          <t>DevOps &amp; QE</t>
        </is>
      </c>
      <c r="L474" s="251" t="n"/>
      <c r="M474" s="252" t="n"/>
      <c r="N474" t="inlineStr">
        <is>
          <t>TDD Group Functions</t>
        </is>
      </c>
      <c r="O474" t="inlineStr">
        <is>
          <t>TDD Group Functions</t>
        </is>
      </c>
      <c r="P474" t="inlineStr">
        <is>
          <t>DevOps &amp; Engineering</t>
        </is>
      </c>
      <c r="Q474" t="inlineStr">
        <is>
          <t>Squad</t>
        </is>
      </c>
      <c r="R474" t="inlineStr">
        <is>
          <t>Vacant</t>
        </is>
      </c>
      <c r="BV474" s="257" t="n"/>
      <c r="BW474" s="258" t="n"/>
      <c r="BX474" s="259" t="n"/>
    </row>
    <row r="475" ht="18" customHeight="1" s="849">
      <c r="A475" s="250" t="n">
        <v>99999101958</v>
      </c>
      <c r="B475" s="220" t="inlineStr">
        <is>
          <t>Mike Lealamanu</t>
        </is>
      </c>
      <c r="C475" s="220" t="inlineStr">
        <is>
          <t>Quality Assurance</t>
        </is>
      </c>
      <c r="D475" s="273" t="inlineStr">
        <is>
          <t>Vacant</t>
        </is>
      </c>
      <c r="E475" s="260" t="inlineStr">
        <is>
          <t>Technology Manager – DevOps and Quality Engineering</t>
        </is>
      </c>
      <c r="F475" s="251" t="inlineStr">
        <is>
          <t>TDD Group Functions</t>
        </is>
      </c>
      <c r="G475" s="251" t="inlineStr">
        <is>
          <t>TDD &amp; Engineering</t>
        </is>
      </c>
      <c r="H475" s="251" t="inlineStr">
        <is>
          <t>DevOps &amp; QE</t>
        </is>
      </c>
      <c r="I475" s="220" t="inlineStr">
        <is>
          <t>TDD</t>
        </is>
      </c>
      <c r="J475" s="251" t="inlineStr">
        <is>
          <t>TDD</t>
        </is>
      </c>
      <c r="K475" s="251" t="inlineStr">
        <is>
          <t>DevOps &amp; QE</t>
        </is>
      </c>
      <c r="L475" s="251" t="n"/>
      <c r="M475" s="252" t="inlineStr">
        <is>
          <t>NZ</t>
        </is>
      </c>
      <c r="N475" t="inlineStr">
        <is>
          <t>TDD Group Functions</t>
        </is>
      </c>
      <c r="O475" t="inlineStr">
        <is>
          <t>TDD Group Functions</t>
        </is>
      </c>
      <c r="P475" t="inlineStr">
        <is>
          <t>DevOps &amp; Engineering</t>
        </is>
      </c>
      <c r="Q475" t="inlineStr">
        <is>
          <t>Squad</t>
        </is>
      </c>
      <c r="R475" t="inlineStr">
        <is>
          <t>Filled</t>
        </is>
      </c>
      <c r="BV475" s="262" t="n"/>
      <c r="BW475" s="263" t="n"/>
      <c r="BX475" s="264" t="n"/>
    </row>
    <row r="476" ht="18" customHeight="1" s="849">
      <c r="A476" s="250" t="n">
        <v>99999102120</v>
      </c>
      <c r="B476" s="220" t="inlineStr">
        <is>
          <t>Sunny Arya</t>
        </is>
      </c>
      <c r="C476" s="220" t="inlineStr">
        <is>
          <t>Lead Engineer, Devops</t>
        </is>
      </c>
      <c r="D476" s="273" t="inlineStr">
        <is>
          <t>Vacant</t>
        </is>
      </c>
      <c r="E476" s="260" t="inlineStr">
        <is>
          <t>Technology Manager – DevOps and Quality Engineering</t>
        </is>
      </c>
      <c r="F476" s="251" t="inlineStr">
        <is>
          <t>TDD Group Functions</t>
        </is>
      </c>
      <c r="G476" s="251" t="inlineStr">
        <is>
          <t>TDD &amp; Engineering</t>
        </is>
      </c>
      <c r="H476" s="251" t="inlineStr">
        <is>
          <t>DevOps &amp; QE</t>
        </is>
      </c>
      <c r="I476" s="220" t="inlineStr">
        <is>
          <t>TDD</t>
        </is>
      </c>
      <c r="J476" s="251" t="inlineStr">
        <is>
          <t>TDD</t>
        </is>
      </c>
      <c r="K476" s="251" t="inlineStr">
        <is>
          <t>DevOps &amp; QE</t>
        </is>
      </c>
      <c r="L476" s="251" t="n"/>
      <c r="M476" s="252" t="inlineStr">
        <is>
          <t>NZ</t>
        </is>
      </c>
      <c r="N476" t="inlineStr">
        <is>
          <t>TDD Group Functions</t>
        </is>
      </c>
      <c r="O476" t="inlineStr">
        <is>
          <t>TDD Group Functions</t>
        </is>
      </c>
      <c r="P476" t="inlineStr">
        <is>
          <t>DevOps &amp; Engineering</t>
        </is>
      </c>
      <c r="Q476" t="inlineStr">
        <is>
          <t>Squad</t>
        </is>
      </c>
      <c r="R476" t="inlineStr">
        <is>
          <t>Filled</t>
        </is>
      </c>
    </row>
    <row r="477" ht="18" customHeight="1" s="849">
      <c r="A477" s="250" t="n">
        <v>14148</v>
      </c>
      <c r="B477" s="260" t="inlineStr">
        <is>
          <t>Ee Lynn Yap</t>
        </is>
      </c>
      <c r="C477" s="260" t="inlineStr">
        <is>
          <t>SAP ERP Application Lead</t>
        </is>
      </c>
      <c r="D477" s="251" t="inlineStr">
        <is>
          <t>Shane Ker</t>
        </is>
      </c>
      <c r="E477" s="260" t="inlineStr">
        <is>
          <t>Technology Manager Finance Platforms</t>
        </is>
      </c>
      <c r="F477" s="220" t="inlineStr">
        <is>
          <t>TDD Group Functions</t>
        </is>
      </c>
      <c r="G477" s="260" t="inlineStr">
        <is>
          <t>P&amp;C, Finance &amp; Legal</t>
        </is>
      </c>
      <c r="H477" s="251" t="inlineStr">
        <is>
          <t>Tech, Finance Platforms</t>
        </is>
      </c>
      <c r="I477" s="251" t="inlineStr">
        <is>
          <t>EGI</t>
        </is>
      </c>
      <c r="J477" s="251" t="inlineStr">
        <is>
          <t>EGI</t>
        </is>
      </c>
      <c r="K477" s="251" t="inlineStr">
        <is>
          <t>EGI Finance</t>
        </is>
      </c>
      <c r="L477" s="251" t="n"/>
      <c r="M477" s="252" t="inlineStr">
        <is>
          <t>Australia</t>
        </is>
      </c>
      <c r="N477" t="inlineStr">
        <is>
          <t>Finance</t>
        </is>
      </c>
      <c r="O477" t="inlineStr">
        <is>
          <t>EGI Finance</t>
        </is>
      </c>
      <c r="P477" t="inlineStr">
        <is>
          <t>EGI Finance</t>
        </is>
      </c>
      <c r="Q477" t="inlineStr">
        <is>
          <t>Strategic Program</t>
        </is>
      </c>
      <c r="R477" t="inlineStr">
        <is>
          <t>Filled</t>
        </is>
      </c>
    </row>
    <row r="478" ht="18" customHeight="1" s="849">
      <c r="A478" s="250" t="n">
        <v>113067</v>
      </c>
      <c r="B478" s="292" t="inlineStr">
        <is>
          <t>Vikram Chhahira</t>
        </is>
      </c>
      <c r="C478" s="260" t="inlineStr">
        <is>
          <t>Delivery Lead, EGI</t>
        </is>
      </c>
      <c r="D478" s="251" t="inlineStr">
        <is>
          <t>Vacant</t>
        </is>
      </c>
      <c r="E478" s="260" t="inlineStr">
        <is>
          <t>Delivery Manager, P&amp;C, Finance &amp; Legal</t>
        </is>
      </c>
      <c r="F478" s="220" t="inlineStr">
        <is>
          <t>TDD Group Functions</t>
        </is>
      </c>
      <c r="G478" s="251" t="inlineStr">
        <is>
          <t>EGI</t>
        </is>
      </c>
      <c r="H478" s="251" t="n"/>
      <c r="I478" s="251" t="inlineStr">
        <is>
          <t>EGI</t>
        </is>
      </c>
      <c r="J478" s="251" t="inlineStr">
        <is>
          <t>EGI</t>
        </is>
      </c>
      <c r="K478" s="251" t="inlineStr">
        <is>
          <t>EGI P&amp;C</t>
        </is>
      </c>
      <c r="L478" s="251" t="n"/>
      <c r="M478" s="252" t="inlineStr">
        <is>
          <t>Australia</t>
        </is>
      </c>
      <c r="N478" t="inlineStr">
        <is>
          <t>P&amp;C</t>
        </is>
      </c>
      <c r="O478" t="inlineStr">
        <is>
          <t>EGI P&amp;C</t>
        </is>
      </c>
      <c r="P478" t="inlineStr">
        <is>
          <t>EGI P&amp;C</t>
        </is>
      </c>
      <c r="Q478" t="inlineStr">
        <is>
          <t>Strategic Program</t>
        </is>
      </c>
      <c r="R478" t="inlineStr">
        <is>
          <t>Filled</t>
        </is>
      </c>
    </row>
    <row r="479" ht="18" customHeight="1" s="849">
      <c r="A479" s="250" t="n">
        <v>0</v>
      </c>
      <c r="B479" s="273" t="inlineStr">
        <is>
          <t>Arun Tahlan</t>
        </is>
      </c>
      <c r="C479" s="260" t="inlineStr">
        <is>
          <t>Integration Architect (C) - Boomi</t>
        </is>
      </c>
      <c r="D479" s="220" t="inlineStr">
        <is>
          <t>Mike Seales</t>
        </is>
      </c>
      <c r="E479" s="220" t="inlineStr">
        <is>
          <t>Technology Manager Integration &amp; Process Managemetn</t>
        </is>
      </c>
      <c r="F479" s="220" t="inlineStr">
        <is>
          <t>TDD Group Functions</t>
        </is>
      </c>
      <c r="G479" s="251" t="inlineStr">
        <is>
          <t xml:space="preserve">TDD &amp; Engineering </t>
        </is>
      </c>
      <c r="H479" s="220" t="inlineStr">
        <is>
          <t>Technology, Trading &amp; Shipping</t>
        </is>
      </c>
      <c r="I479" s="220" t="inlineStr">
        <is>
          <t>EGI</t>
        </is>
      </c>
      <c r="J479" s="251" t="inlineStr">
        <is>
          <t>EGI</t>
        </is>
      </c>
      <c r="K479" s="251" t="inlineStr">
        <is>
          <t>EGI TDD</t>
        </is>
      </c>
      <c r="L479" s="251" t="n"/>
      <c r="M479" s="252" t="n">
        <v>0</v>
      </c>
      <c r="N479" t="inlineStr">
        <is>
          <t>TDD Group Functions</t>
        </is>
      </c>
      <c r="O479" t="inlineStr">
        <is>
          <t>EGI TDD</t>
        </is>
      </c>
      <c r="P479" t="inlineStr">
        <is>
          <t>EGI TDD</t>
        </is>
      </c>
      <c r="Q479" t="inlineStr">
        <is>
          <t>Strategic Program</t>
        </is>
      </c>
      <c r="R479" t="inlineStr">
        <is>
          <t>Filled</t>
        </is>
      </c>
    </row>
    <row r="480" ht="18" customHeight="1" s="849">
      <c r="A480" s="250" t="n">
        <v>99999102153</v>
      </c>
      <c r="B480" s="273" t="inlineStr">
        <is>
          <t>Kris Thornley</t>
        </is>
      </c>
      <c r="C480" s="260" t="inlineStr">
        <is>
          <t>Integration Architect (C)</t>
        </is>
      </c>
      <c r="D480" s="220" t="inlineStr">
        <is>
          <t>Mike Seales</t>
        </is>
      </c>
      <c r="E480" s="220" t="inlineStr">
        <is>
          <t>Technology Manager Integration &amp; Process Managemetn</t>
        </is>
      </c>
      <c r="F480" s="220" t="inlineStr">
        <is>
          <t>TDD Group Functions</t>
        </is>
      </c>
      <c r="G480" s="251" t="inlineStr">
        <is>
          <t xml:space="preserve">TDD &amp; Engineering </t>
        </is>
      </c>
      <c r="H480" s="220" t="inlineStr">
        <is>
          <t>Integration &amp; Process Management</t>
        </is>
      </c>
      <c r="I480" s="220" t="inlineStr">
        <is>
          <t>EGI</t>
        </is>
      </c>
      <c r="J480" s="251" t="inlineStr">
        <is>
          <t xml:space="preserve">EGI </t>
        </is>
      </c>
      <c r="K480" s="251" t="inlineStr">
        <is>
          <t>EGI TDD</t>
        </is>
      </c>
      <c r="L480" s="251" t="n"/>
      <c r="M480" s="252" t="inlineStr">
        <is>
          <t>NZ</t>
        </is>
      </c>
      <c r="N480" t="inlineStr">
        <is>
          <t>TDD Group Functions</t>
        </is>
      </c>
      <c r="O480" t="inlineStr">
        <is>
          <t>EGI TDD</t>
        </is>
      </c>
      <c r="P480" t="inlineStr">
        <is>
          <t>EGI TDD</t>
        </is>
      </c>
      <c r="Q480" t="inlineStr">
        <is>
          <t>Strategic Program</t>
        </is>
      </c>
      <c r="R480" t="inlineStr">
        <is>
          <t>Filled</t>
        </is>
      </c>
    </row>
    <row r="481" ht="18" customHeight="1" s="849">
      <c r="A481" s="250" t="n">
        <v>99999101466</v>
      </c>
      <c r="B481" s="220" t="inlineStr">
        <is>
          <t>Shobhit Mittal</t>
        </is>
      </c>
      <c r="C481" s="220" t="inlineStr">
        <is>
          <t>Lead Engineer - Automation Test</t>
        </is>
      </c>
      <c r="D481" s="273" t="inlineStr">
        <is>
          <t>Vacant</t>
        </is>
      </c>
      <c r="E481" s="260" t="inlineStr">
        <is>
          <t>Technology Manager – DevOps and Quality Engineering</t>
        </is>
      </c>
      <c r="F481" s="251" t="inlineStr">
        <is>
          <t>TDD Group Functions</t>
        </is>
      </c>
      <c r="G481" s="251" t="inlineStr">
        <is>
          <t>Loyalty &amp; Martech</t>
        </is>
      </c>
      <c r="H481" s="251" t="inlineStr">
        <is>
          <t>Dev Ops  &amp; QE</t>
        </is>
      </c>
      <c r="I481" s="251" t="inlineStr">
        <is>
          <t>EGI</t>
        </is>
      </c>
      <c r="J481" s="251" t="inlineStr">
        <is>
          <t>EGI</t>
        </is>
      </c>
      <c r="K481" s="251" t="inlineStr">
        <is>
          <t>EGI TDD</t>
        </is>
      </c>
      <c r="L481" s="251" t="n"/>
      <c r="M481" s="252" t="inlineStr">
        <is>
          <t>NZ</t>
        </is>
      </c>
      <c r="N481" t="inlineStr">
        <is>
          <t>TDD Group Functions</t>
        </is>
      </c>
      <c r="O481" t="inlineStr">
        <is>
          <t>EGI TDD</t>
        </is>
      </c>
      <c r="P481" t="inlineStr">
        <is>
          <t>EGI TDD</t>
        </is>
      </c>
      <c r="Q481" t="inlineStr">
        <is>
          <t>Strategic Program</t>
        </is>
      </c>
      <c r="R481" t="inlineStr">
        <is>
          <t>Filled</t>
        </is>
      </c>
    </row>
    <row r="482" ht="18" customHeight="1" s="849">
      <c r="A482" s="250" t="n">
        <v>109092</v>
      </c>
      <c r="B482" s="220" t="inlineStr">
        <is>
          <t>Anjali Patra</t>
        </is>
      </c>
      <c r="C482" s="220" t="inlineStr">
        <is>
          <t>Delivery Lead - EGI</t>
        </is>
      </c>
      <c r="D482" s="251" t="inlineStr">
        <is>
          <t>vacant</t>
        </is>
      </c>
      <c r="E482" s="260" t="inlineStr">
        <is>
          <t xml:space="preserve">Delivery Manager </t>
        </is>
      </c>
      <c r="F482" s="220" t="inlineStr">
        <is>
          <t>TDD Group Functions</t>
        </is>
      </c>
      <c r="G482" s="251" t="inlineStr">
        <is>
          <t>TDD &amp; Engineering</t>
        </is>
      </c>
      <c r="H482" s="220" t="inlineStr">
        <is>
          <t>Delivery, TDD &amp; Engineering</t>
        </is>
      </c>
      <c r="I482" s="220" t="inlineStr">
        <is>
          <t>EGI</t>
        </is>
      </c>
      <c r="J482" s="251" t="inlineStr">
        <is>
          <t>EGI</t>
        </is>
      </c>
      <c r="K482" s="251" t="inlineStr">
        <is>
          <t>EGI TDD</t>
        </is>
      </c>
      <c r="L482" s="251" t="n"/>
      <c r="M482" s="252" t="inlineStr">
        <is>
          <t>Australia</t>
        </is>
      </c>
      <c r="N482" t="inlineStr">
        <is>
          <t>TDD Group Functions</t>
        </is>
      </c>
      <c r="O482" t="inlineStr">
        <is>
          <t>EGI TDD</t>
        </is>
      </c>
      <c r="P482" t="inlineStr">
        <is>
          <t>EGI TDD</t>
        </is>
      </c>
      <c r="Q482" t="inlineStr">
        <is>
          <t>Strategic Program</t>
        </is>
      </c>
      <c r="R482" t="inlineStr">
        <is>
          <t>Filled</t>
        </is>
      </c>
    </row>
    <row r="483" ht="18" customHeight="1" s="849">
      <c r="A483" s="250" t="n">
        <v>110830</v>
      </c>
      <c r="B483" s="220" t="inlineStr">
        <is>
          <t>Jason Satoso</t>
        </is>
      </c>
      <c r="C483" s="220" t="inlineStr">
        <is>
          <t>Cloud Operations Engineer</t>
        </is>
      </c>
      <c r="D483" s="251" t="inlineStr">
        <is>
          <t>Vacant</t>
        </is>
      </c>
      <c r="E483" s="260" t="inlineStr">
        <is>
          <t>Manager - Infrastructure Operations</t>
        </is>
      </c>
      <c r="F483" s="220" t="inlineStr">
        <is>
          <t>TDD Group Functions</t>
        </is>
      </c>
      <c r="G483" s="251" t="inlineStr">
        <is>
          <t>TDD &amp; Engineering</t>
        </is>
      </c>
      <c r="H483" s="251" t="inlineStr">
        <is>
          <t>Cloud, Network &amp; Infra</t>
        </is>
      </c>
      <c r="I483" s="220" t="inlineStr">
        <is>
          <t>TDD</t>
        </is>
      </c>
      <c r="J483" s="251" t="inlineStr">
        <is>
          <t>Energy Solutions</t>
        </is>
      </c>
      <c r="K483" s="251" t="inlineStr">
        <is>
          <t>Energy</t>
        </is>
      </c>
      <c r="L483" s="251" t="n"/>
      <c r="M483" s="252" t="inlineStr">
        <is>
          <t>Australia</t>
        </is>
      </c>
      <c r="N483" t="inlineStr">
        <is>
          <t>Energy Solutions &amp; B2B</t>
        </is>
      </c>
      <c r="O483" t="inlineStr">
        <is>
          <t>Energy Solutions</t>
        </is>
      </c>
      <c r="P483" t="inlineStr">
        <is>
          <t>Energy</t>
        </is>
      </c>
      <c r="Q483" t="inlineStr">
        <is>
          <t>Squad</t>
        </is>
      </c>
      <c r="R483" t="inlineStr">
        <is>
          <t>Filled</t>
        </is>
      </c>
    </row>
    <row r="484" ht="18" customHeight="1" s="849">
      <c r="A484" s="250" t="n">
        <v>91635</v>
      </c>
      <c r="B484" s="220" t="inlineStr">
        <is>
          <t>Bala Thiruvadi</t>
        </is>
      </c>
      <c r="C484" s="220" t="inlineStr">
        <is>
          <t>Integration Architect - Boomi</t>
        </is>
      </c>
      <c r="D484" s="220" t="inlineStr">
        <is>
          <t>Mike Seales</t>
        </is>
      </c>
      <c r="E484" s="220" t="inlineStr">
        <is>
          <t>Technology Manager Integration &amp; Process Managemetn</t>
        </is>
      </c>
      <c r="F484" s="220" t="inlineStr">
        <is>
          <t>TDD Group Functions</t>
        </is>
      </c>
      <c r="G484" s="251" t="inlineStr">
        <is>
          <t xml:space="preserve">TDD &amp; Engineering </t>
        </is>
      </c>
      <c r="H484" s="220" t="inlineStr">
        <is>
          <t>Integration &amp; Process Management</t>
        </is>
      </c>
      <c r="I484" s="220" t="inlineStr">
        <is>
          <t>TDD</t>
        </is>
      </c>
      <c r="J484" s="251" t="inlineStr">
        <is>
          <t>TDD</t>
        </is>
      </c>
      <c r="K484" s="251" t="inlineStr">
        <is>
          <t>Integration &amp; Process automation</t>
        </is>
      </c>
      <c r="L484" s="251" t="n"/>
      <c r="M484" s="252" t="inlineStr">
        <is>
          <t>Australia</t>
        </is>
      </c>
      <c r="N484" t="inlineStr">
        <is>
          <t>TDD Group Functions</t>
        </is>
      </c>
      <c r="O484" t="inlineStr">
        <is>
          <t>TDD Group Functions</t>
        </is>
      </c>
      <c r="P484" t="inlineStr">
        <is>
          <t>Integration</t>
        </is>
      </c>
      <c r="Q484" t="inlineStr">
        <is>
          <t>Squad</t>
        </is>
      </c>
      <c r="R484" t="inlineStr">
        <is>
          <t>Filled</t>
        </is>
      </c>
    </row>
    <row r="485" ht="18" customHeight="1" s="849">
      <c r="A485" s="250" t="n"/>
      <c r="B485" s="273" t="inlineStr">
        <is>
          <t>Vacant</t>
        </is>
      </c>
      <c r="C485" s="260" t="inlineStr">
        <is>
          <t>RPA Lead</t>
        </is>
      </c>
      <c r="D485" s="220" t="inlineStr">
        <is>
          <t>Mike Seales</t>
        </is>
      </c>
      <c r="E485" s="220" t="inlineStr">
        <is>
          <t>Technology Manager Integration &amp; Process Managemetn</t>
        </is>
      </c>
      <c r="F485" s="220" t="inlineStr">
        <is>
          <t>TDD Group Functions</t>
        </is>
      </c>
      <c r="G485" s="251" t="inlineStr">
        <is>
          <t xml:space="preserve">TDD &amp; Engineering </t>
        </is>
      </c>
      <c r="H485" s="220" t="inlineStr">
        <is>
          <t>Integration &amp; Process Management</t>
        </is>
      </c>
      <c r="I485" s="220" t="inlineStr">
        <is>
          <t>TDD</t>
        </is>
      </c>
      <c r="J485" s="251" t="inlineStr">
        <is>
          <t>TDD</t>
        </is>
      </c>
      <c r="K485" s="251" t="inlineStr">
        <is>
          <t>Integration &amp; Process automation</t>
        </is>
      </c>
      <c r="L485" s="251" t="n"/>
      <c r="M485" s="252" t="n"/>
      <c r="N485" t="inlineStr">
        <is>
          <t>TDD Group Functions</t>
        </is>
      </c>
      <c r="O485" t="inlineStr">
        <is>
          <t>TDD Group Functions</t>
        </is>
      </c>
      <c r="P485" t="inlineStr">
        <is>
          <t>Integration</t>
        </is>
      </c>
      <c r="Q485" t="inlineStr">
        <is>
          <t>Squad</t>
        </is>
      </c>
      <c r="R485" t="inlineStr">
        <is>
          <t>Vacant</t>
        </is>
      </c>
    </row>
    <row r="486" ht="18" customHeight="1" s="849">
      <c r="A486" s="250" t="n">
        <v>99999101879</v>
      </c>
      <c r="B486" s="260" t="inlineStr">
        <is>
          <t>Lisa Rademakers</t>
        </is>
      </c>
      <c r="C486" s="260" t="inlineStr">
        <is>
          <t>Delivery Lead (Integrations)</t>
        </is>
      </c>
      <c r="D486" s="220" t="inlineStr">
        <is>
          <t>Vacant</t>
        </is>
      </c>
      <c r="E486" s="220" t="inlineStr">
        <is>
          <t>Delivery Manager</t>
        </is>
      </c>
      <c r="F486" s="220" t="inlineStr">
        <is>
          <t>TDD Group Functions</t>
        </is>
      </c>
      <c r="G486" s="251" t="inlineStr">
        <is>
          <t xml:space="preserve">TDD &amp; Engineering </t>
        </is>
      </c>
      <c r="H486" s="220" t="inlineStr">
        <is>
          <t>Delivery, TDD &amp; Engineering</t>
        </is>
      </c>
      <c r="I486" s="220" t="inlineStr">
        <is>
          <t>TDD</t>
        </is>
      </c>
      <c r="J486" s="251" t="inlineStr">
        <is>
          <t>TDD</t>
        </is>
      </c>
      <c r="K486" s="251" t="inlineStr">
        <is>
          <t>Integration &amp; Process Automation</t>
        </is>
      </c>
      <c r="L486" s="251" t="n"/>
      <c r="M486" s="252" t="inlineStr">
        <is>
          <t>NZ</t>
        </is>
      </c>
      <c r="N486" t="inlineStr">
        <is>
          <t>TDD Group Functions</t>
        </is>
      </c>
      <c r="O486" t="inlineStr">
        <is>
          <t>TDD Group Functions</t>
        </is>
      </c>
      <c r="P486" t="inlineStr">
        <is>
          <t>Integration</t>
        </is>
      </c>
      <c r="Q486" t="inlineStr">
        <is>
          <t>Squad</t>
        </is>
      </c>
      <c r="R486" t="inlineStr">
        <is>
          <t>Filled</t>
        </is>
      </c>
    </row>
    <row r="487" ht="18" customHeight="1" s="849">
      <c r="A487" s="250" t="n">
        <v>99999101273</v>
      </c>
      <c r="B487" s="220" t="inlineStr">
        <is>
          <t>Michael Weng</t>
        </is>
      </c>
      <c r="C487" s="220" t="inlineStr">
        <is>
          <t>Solution Architect</t>
        </is>
      </c>
      <c r="D487" s="220" t="inlineStr">
        <is>
          <t>Vacant</t>
        </is>
      </c>
      <c r="E487" s="220" t="inlineStr">
        <is>
          <t>Technology Manager Integration &amp; Process Managemetn</t>
        </is>
      </c>
      <c r="F487" s="220" t="inlineStr">
        <is>
          <t>TDD Group Functions</t>
        </is>
      </c>
      <c r="G487" s="251" t="inlineStr">
        <is>
          <t xml:space="preserve">TDD &amp; Engineering </t>
        </is>
      </c>
      <c r="H487" s="220" t="inlineStr">
        <is>
          <t>Integration &amp; Process Management</t>
        </is>
      </c>
      <c r="I487" s="220" t="inlineStr">
        <is>
          <t>TDD</t>
        </is>
      </c>
      <c r="J487" s="251" t="inlineStr">
        <is>
          <t>TDD</t>
        </is>
      </c>
      <c r="K487" s="251" t="inlineStr">
        <is>
          <t>Integration &amp; Process automation</t>
        </is>
      </c>
      <c r="L487" s="251" t="n"/>
      <c r="M487" s="252" t="inlineStr">
        <is>
          <t>NZ</t>
        </is>
      </c>
      <c r="N487" t="inlineStr">
        <is>
          <t>TDD Group Functions</t>
        </is>
      </c>
      <c r="O487" t="inlineStr">
        <is>
          <t>TDD Group Functions</t>
        </is>
      </c>
      <c r="P487" t="inlineStr">
        <is>
          <t>Integration</t>
        </is>
      </c>
      <c r="Q487" t="inlineStr">
        <is>
          <t>Squad</t>
        </is>
      </c>
      <c r="R487" t="inlineStr">
        <is>
          <t>Filled</t>
        </is>
      </c>
    </row>
    <row r="488" ht="18" customHeight="1" s="849">
      <c r="A488" s="250" t="n">
        <v>114367</v>
      </c>
      <c r="B488" s="260" t="inlineStr">
        <is>
          <t>Thandava Krishna Kakarala</t>
        </is>
      </c>
      <c r="C488" s="260" t="inlineStr">
        <is>
          <t>Snr Engineer - Boomi</t>
        </is>
      </c>
      <c r="D488" s="220" t="inlineStr">
        <is>
          <t>Vacant</t>
        </is>
      </c>
      <c r="E488" t="inlineStr">
        <is>
          <t>Technology Manager Integration &amp; Process Managemetn</t>
        </is>
      </c>
      <c r="F488" s="220" t="inlineStr">
        <is>
          <t>TDD Group Functions</t>
        </is>
      </c>
      <c r="G488" s="251" t="inlineStr">
        <is>
          <t xml:space="preserve">TDD &amp; Engineering </t>
        </is>
      </c>
      <c r="H488" s="220" t="inlineStr">
        <is>
          <t>Integration &amp; Process Management</t>
        </is>
      </c>
      <c r="I488" s="220" t="inlineStr">
        <is>
          <t>TDD</t>
        </is>
      </c>
      <c r="J488" s="251" t="inlineStr">
        <is>
          <t>TDD</t>
        </is>
      </c>
      <c r="K488" s="251" t="inlineStr">
        <is>
          <t>Integration &amp; Process automation</t>
        </is>
      </c>
      <c r="L488" s="251" t="n"/>
      <c r="M488" s="252" t="inlineStr">
        <is>
          <t>Australia</t>
        </is>
      </c>
      <c r="N488" t="inlineStr">
        <is>
          <t>TDD Group Functions</t>
        </is>
      </c>
      <c r="O488" t="inlineStr">
        <is>
          <t>TDD Group Functions</t>
        </is>
      </c>
      <c r="P488" t="inlineStr">
        <is>
          <t>Integration</t>
        </is>
      </c>
      <c r="Q488" t="inlineStr">
        <is>
          <t>Squad</t>
        </is>
      </c>
      <c r="R488" t="inlineStr">
        <is>
          <t>Filled</t>
        </is>
      </c>
    </row>
    <row r="489" ht="18" customHeight="1" s="849">
      <c r="A489" s="250" t="n"/>
      <c r="B489" s="273" t="inlineStr">
        <is>
          <t>Vacant</t>
        </is>
      </c>
      <c r="C489" s="260" t="inlineStr">
        <is>
          <t>Business Analyst (Integrations)</t>
        </is>
      </c>
      <c r="D489" s="220" t="inlineStr">
        <is>
          <t>Vacant</t>
        </is>
      </c>
      <c r="E489" s="220" t="inlineStr">
        <is>
          <t>Delivery Manager</t>
        </is>
      </c>
      <c r="F489" s="220" t="inlineStr">
        <is>
          <t>TDD Group Functions</t>
        </is>
      </c>
      <c r="G489" s="251" t="inlineStr">
        <is>
          <t xml:space="preserve">TDD &amp; Engineering </t>
        </is>
      </c>
      <c r="H489" s="220" t="inlineStr">
        <is>
          <t>Delivery, TDD &amp; Engineering</t>
        </is>
      </c>
      <c r="I489" s="220" t="inlineStr">
        <is>
          <t>TDD</t>
        </is>
      </c>
      <c r="J489" s="251" t="inlineStr">
        <is>
          <t>TDD</t>
        </is>
      </c>
      <c r="K489" s="251" t="inlineStr">
        <is>
          <t>Integration &amp; Process Automation</t>
        </is>
      </c>
      <c r="L489" s="251" t="n"/>
      <c r="M489" s="252" t="n"/>
      <c r="N489" t="inlineStr">
        <is>
          <t>TDD Group Functions</t>
        </is>
      </c>
      <c r="O489" t="inlineStr">
        <is>
          <t>TDD Group Functions</t>
        </is>
      </c>
      <c r="P489" t="inlineStr">
        <is>
          <t>Integration</t>
        </is>
      </c>
      <c r="Q489" t="inlineStr">
        <is>
          <t>Squad</t>
        </is>
      </c>
      <c r="R489" t="inlineStr">
        <is>
          <t>Vacant</t>
        </is>
      </c>
    </row>
    <row r="490" ht="18" customHeight="1" s="849">
      <c r="A490" s="250" t="n">
        <v>99999101058</v>
      </c>
      <c r="B490" s="220" t="inlineStr">
        <is>
          <t>Mike Seales</t>
        </is>
      </c>
      <c r="C490" s="220" t="inlineStr">
        <is>
          <t>Technology Manager, Integration &amp; Process Automation</t>
        </is>
      </c>
      <c r="D490" s="251" t="inlineStr">
        <is>
          <t>Vacant</t>
        </is>
      </c>
      <c r="E490" s="220" t="inlineStr">
        <is>
          <t>Head of Technology - TDD &amp; Engineering Capability Lead</t>
        </is>
      </c>
      <c r="F490" s="220" t="inlineStr">
        <is>
          <t>TDD Group Functions</t>
        </is>
      </c>
      <c r="G490" s="251" t="inlineStr">
        <is>
          <t xml:space="preserve">TDD &amp; Engineering </t>
        </is>
      </c>
      <c r="H490" s="220" t="inlineStr">
        <is>
          <t>Integration &amp; Process Management</t>
        </is>
      </c>
      <c r="I490" s="220" t="inlineStr">
        <is>
          <t>TDD</t>
        </is>
      </c>
      <c r="J490" s="251" t="inlineStr">
        <is>
          <t>TDD</t>
        </is>
      </c>
      <c r="K490" s="251" t="inlineStr">
        <is>
          <t>Integration &amp; Process automation</t>
        </is>
      </c>
      <c r="L490" s="251" t="n"/>
      <c r="M490" s="252" t="inlineStr">
        <is>
          <t>NZ</t>
        </is>
      </c>
      <c r="N490" t="inlineStr">
        <is>
          <t>TDD Group Functions</t>
        </is>
      </c>
      <c r="O490" t="inlineStr">
        <is>
          <t>TDD Group Functions</t>
        </is>
      </c>
      <c r="P490" t="inlineStr">
        <is>
          <t>Integration</t>
        </is>
      </c>
      <c r="Q490" t="inlineStr">
        <is>
          <t>Squad</t>
        </is>
      </c>
      <c r="R490" t="inlineStr">
        <is>
          <t>Filled</t>
        </is>
      </c>
    </row>
    <row r="491" ht="18" customHeight="1" s="849">
      <c r="A491" s="250" t="n">
        <v>99999101879</v>
      </c>
      <c r="B491" s="220" t="inlineStr">
        <is>
          <t>Lisa Rademakers</t>
        </is>
      </c>
      <c r="C491" s="220" t="inlineStr">
        <is>
          <t>Delivery Lead- Integrations</t>
        </is>
      </c>
      <c r="D491" s="251" t="n"/>
      <c r="E491" t="inlineStr">
        <is>
          <t>Delivery Manager</t>
        </is>
      </c>
      <c r="F491" s="220" t="inlineStr">
        <is>
          <t>TDD Group Functions</t>
        </is>
      </c>
      <c r="G491" s="260" t="inlineStr">
        <is>
          <t>TDD &amp; Engineering</t>
        </is>
      </c>
      <c r="H491" s="220" t="inlineStr">
        <is>
          <t>Delivery, TDD &amp; Engineering</t>
        </is>
      </c>
      <c r="I491" s="220" t="inlineStr">
        <is>
          <t>TDD</t>
        </is>
      </c>
      <c r="J491" s="251" t="inlineStr">
        <is>
          <t>TDD</t>
        </is>
      </c>
      <c r="K491" s="251" t="inlineStr">
        <is>
          <t>Integration &amp; Process automation</t>
        </is>
      </c>
      <c r="L491" s="251" t="n"/>
      <c r="M491" s="252" t="inlineStr">
        <is>
          <t>NZ</t>
        </is>
      </c>
      <c r="N491" t="inlineStr">
        <is>
          <t>TDD Group Functions</t>
        </is>
      </c>
      <c r="O491" t="inlineStr">
        <is>
          <t>TDD Group Functions</t>
        </is>
      </c>
      <c r="P491" t="inlineStr">
        <is>
          <t>Integration</t>
        </is>
      </c>
      <c r="Q491" t="inlineStr">
        <is>
          <t>Squad</t>
        </is>
      </c>
      <c r="R491" t="inlineStr">
        <is>
          <t>Filled</t>
        </is>
      </c>
    </row>
    <row r="492" ht="18" customHeight="1" s="849">
      <c r="A492" s="250" t="n">
        <v>99999101069</v>
      </c>
      <c r="B492" s="260" t="inlineStr">
        <is>
          <t>Vacant</t>
        </is>
      </c>
      <c r="C492" s="260" t="inlineStr">
        <is>
          <t>Snr Engineer</t>
        </is>
      </c>
      <c r="D492" s="251" t="inlineStr">
        <is>
          <t>vacant</t>
        </is>
      </c>
      <c r="E492" s="260" t="inlineStr">
        <is>
          <t>RPA Lead</t>
        </is>
      </c>
      <c r="F492" s="220" t="inlineStr">
        <is>
          <t>TDD Group Functions</t>
        </is>
      </c>
      <c r="G492" s="251" t="inlineStr">
        <is>
          <t xml:space="preserve">TDD &amp; Engineering </t>
        </is>
      </c>
      <c r="H492" s="251" t="inlineStr">
        <is>
          <t>Integration &amp; Process automation</t>
        </is>
      </c>
      <c r="I492" s="251" t="inlineStr">
        <is>
          <t>B2B &amp; Energy Solutions</t>
        </is>
      </c>
      <c r="J492" s="251" t="inlineStr">
        <is>
          <t>Leadership</t>
        </is>
      </c>
      <c r="K492" s="251" t="inlineStr">
        <is>
          <t>Leadership</t>
        </is>
      </c>
      <c r="L492" s="251" t="n"/>
      <c r="M492" s="252" t="inlineStr">
        <is>
          <t>NZ</t>
        </is>
      </c>
      <c r="N492" t="inlineStr">
        <is>
          <t>Energy Solutions &amp; B2B</t>
        </is>
      </c>
      <c r="O492" t="inlineStr">
        <is>
          <t>Leadership</t>
        </is>
      </c>
      <c r="P492" t="inlineStr">
        <is>
          <t>Leadership</t>
        </is>
      </c>
      <c r="Q492" t="inlineStr">
        <is>
          <t>Leadership</t>
        </is>
      </c>
      <c r="R492" t="inlineStr">
        <is>
          <t>Vacant</t>
        </is>
      </c>
    </row>
    <row r="493" ht="18" customHeight="1" s="849">
      <c r="A493" s="250" t="n">
        <v>109863</v>
      </c>
      <c r="B493" s="220" t="inlineStr">
        <is>
          <t>Shane Ker</t>
        </is>
      </c>
      <c r="C493" s="220" t="inlineStr">
        <is>
          <t>Technology Manger - Finance Platfoms</t>
        </is>
      </c>
      <c r="D493" s="220" t="inlineStr">
        <is>
          <t>Vaso Vukovic</t>
        </is>
      </c>
      <c r="E493" s="220" t="inlineStr">
        <is>
          <t>Head of Technology - P&amp;C, Finance &amp; Legal</t>
        </is>
      </c>
      <c r="F493" s="220" t="inlineStr">
        <is>
          <t>TDD Group Functions</t>
        </is>
      </c>
      <c r="G493" s="260" t="inlineStr">
        <is>
          <t>P&amp;C, Finance &amp; Legal</t>
        </is>
      </c>
      <c r="H493" s="251" t="inlineStr">
        <is>
          <t>Tech, Finance Platforms</t>
        </is>
      </c>
      <c r="I493" s="251" t="inlineStr">
        <is>
          <t>Finance</t>
        </is>
      </c>
      <c r="J493" s="251" t="inlineStr">
        <is>
          <t>Finance</t>
        </is>
      </c>
      <c r="K493" s="251" t="inlineStr">
        <is>
          <t>Leadership</t>
        </is>
      </c>
      <c r="L493" s="251" t="n"/>
      <c r="M493" s="252" t="inlineStr">
        <is>
          <t>Australia</t>
        </is>
      </c>
      <c r="N493" t="inlineStr">
        <is>
          <t>Finance</t>
        </is>
      </c>
      <c r="O493" t="inlineStr">
        <is>
          <t>Leadership</t>
        </is>
      </c>
      <c r="P493" t="inlineStr">
        <is>
          <t>Leadership</t>
        </is>
      </c>
      <c r="Q493" t="inlineStr">
        <is>
          <t>Leadership</t>
        </is>
      </c>
      <c r="R493" t="inlineStr">
        <is>
          <t>Filled</t>
        </is>
      </c>
    </row>
    <row r="494" ht="18" customHeight="1" s="849">
      <c r="A494" s="250" t="n">
        <v>106350</v>
      </c>
      <c r="B494" s="273" t="inlineStr">
        <is>
          <t>Dave O'Keefe</t>
        </is>
      </c>
      <c r="C494" s="260" t="inlineStr">
        <is>
          <t>Technology Manager – P&amp;C Platforms</t>
        </is>
      </c>
      <c r="D494" s="251" t="inlineStr">
        <is>
          <t>Vacant</t>
        </is>
      </c>
      <c r="E494" s="260" t="inlineStr">
        <is>
          <t>Head of Technology - P&amp;C, Finance &amp; Legal</t>
        </is>
      </c>
      <c r="F494" s="220" t="inlineStr">
        <is>
          <t>TDD Group Functions</t>
        </is>
      </c>
      <c r="G494" s="260" t="inlineStr">
        <is>
          <t>P&amp;C, Finance &amp; Legal</t>
        </is>
      </c>
      <c r="H494" s="251" t="inlineStr">
        <is>
          <t>Tech, P&amp;C Platforms</t>
        </is>
      </c>
      <c r="I494" s="251" t="inlineStr">
        <is>
          <t>P&amp;C</t>
        </is>
      </c>
      <c r="J494" s="251" t="inlineStr">
        <is>
          <t>P&amp;C</t>
        </is>
      </c>
      <c r="K494" s="251" t="inlineStr">
        <is>
          <t>Leadership</t>
        </is>
      </c>
      <c r="L494" s="251" t="n"/>
      <c r="M494" s="252" t="n"/>
      <c r="N494" t="inlineStr">
        <is>
          <t>P&amp;C</t>
        </is>
      </c>
      <c r="O494" t="inlineStr">
        <is>
          <t>Leadership</t>
        </is>
      </c>
      <c r="P494" t="inlineStr">
        <is>
          <t>Leadership</t>
        </is>
      </c>
      <c r="Q494" t="inlineStr">
        <is>
          <t>Leadership</t>
        </is>
      </c>
      <c r="R494" t="inlineStr">
        <is>
          <t>Filled</t>
        </is>
      </c>
    </row>
    <row r="495" ht="18" customHeight="1" s="849">
      <c r="A495" s="250" t="n">
        <v>4818</v>
      </c>
      <c r="B495" s="220" t="inlineStr">
        <is>
          <t>Vaso Vukovic</t>
        </is>
      </c>
      <c r="C495" s="220" t="inlineStr">
        <is>
          <t>Head of Technology - P&amp;C, Finance &amp; Legal</t>
        </is>
      </c>
      <c r="D495" s="260" t="inlineStr">
        <is>
          <t>Emily Mogic</t>
        </is>
      </c>
      <c r="E495" s="220" t="inlineStr">
        <is>
          <t>GM TDD, Group Function</t>
        </is>
      </c>
      <c r="F495" s="220" t="inlineStr">
        <is>
          <t>TDD Group Functions</t>
        </is>
      </c>
      <c r="G495" s="260" t="inlineStr">
        <is>
          <t>P&amp;C, Finance &amp; Legal</t>
        </is>
      </c>
      <c r="H495" s="251" t="inlineStr">
        <is>
          <t>Technology, CF Engineering</t>
        </is>
      </c>
      <c r="I495" s="251" t="inlineStr">
        <is>
          <t>P&amp;C, Finance &amp; Legal</t>
        </is>
      </c>
      <c r="J495" s="251" t="inlineStr">
        <is>
          <t>P&amp;C, Finance &amp; Legal</t>
        </is>
      </c>
      <c r="K495" s="251" t="inlineStr">
        <is>
          <t>Leadership</t>
        </is>
      </c>
      <c r="L495" s="251" t="n"/>
      <c r="M495" s="252" t="inlineStr">
        <is>
          <t>Australia</t>
        </is>
      </c>
      <c r="N495" t="inlineStr">
        <is>
          <t>P&amp;C</t>
        </is>
      </c>
      <c r="O495" t="inlineStr">
        <is>
          <t>Leadership</t>
        </is>
      </c>
      <c r="P495" t="inlineStr">
        <is>
          <t>Leadership</t>
        </is>
      </c>
      <c r="Q495" t="inlineStr">
        <is>
          <t>Leadership</t>
        </is>
      </c>
      <c r="R495" t="inlineStr">
        <is>
          <t>Filled</t>
        </is>
      </c>
    </row>
    <row r="496" ht="18" customHeight="1" s="849">
      <c r="A496" s="250" t="n"/>
      <c r="B496" s="273" t="inlineStr">
        <is>
          <t>Vacant</t>
        </is>
      </c>
      <c r="C496" s="260" t="inlineStr">
        <is>
          <t>Delivery Manager</t>
        </is>
      </c>
      <c r="D496" s="251" t="inlineStr">
        <is>
          <t>Vacant</t>
        </is>
      </c>
      <c r="E496" s="282" t="inlineStr">
        <is>
          <t>Head of Technology - P&amp;C, Finance &amp; Legal</t>
        </is>
      </c>
      <c r="F496" s="220" t="inlineStr">
        <is>
          <t>TDD Group Functions</t>
        </is>
      </c>
      <c r="G496" s="260" t="inlineStr">
        <is>
          <t>P&amp;C, Finance &amp; Legal</t>
        </is>
      </c>
      <c r="H496" s="251" t="inlineStr">
        <is>
          <t>Delivery, Commercial Fuels</t>
        </is>
      </c>
      <c r="I496" s="251" t="inlineStr">
        <is>
          <t>P&amp;C, Finance &amp; Legal</t>
        </is>
      </c>
      <c r="J496" s="251" t="inlineStr">
        <is>
          <t>P&amp;C, Finance &amp; Legal</t>
        </is>
      </c>
      <c r="K496" s="251" t="inlineStr">
        <is>
          <t>Leadership</t>
        </is>
      </c>
      <c r="L496" s="251" t="n"/>
      <c r="M496" s="252" t="n"/>
      <c r="N496" t="inlineStr">
        <is>
          <t>P&amp;C</t>
        </is>
      </c>
      <c r="O496" t="inlineStr">
        <is>
          <t>Leadership</t>
        </is>
      </c>
      <c r="P496" t="inlineStr">
        <is>
          <t>Leadership</t>
        </is>
      </c>
      <c r="Q496" t="inlineStr">
        <is>
          <t>Leadership</t>
        </is>
      </c>
      <c r="R496" t="inlineStr">
        <is>
          <t>Vacant</t>
        </is>
      </c>
    </row>
    <row r="497" ht="18" customHeight="1" s="849">
      <c r="A497" s="250" t="n"/>
      <c r="B497" s="220" t="inlineStr">
        <is>
          <t>Vacant</t>
        </is>
      </c>
      <c r="C497" s="220" t="inlineStr">
        <is>
          <t>Head of Technology - TDD &amp; Engineering Capability Lead</t>
        </is>
      </c>
      <c r="D497" s="260" t="inlineStr">
        <is>
          <t>Emily Mogic</t>
        </is>
      </c>
      <c r="E497" s="220" t="inlineStr">
        <is>
          <t>GM TDD, Group Function</t>
        </is>
      </c>
      <c r="F497" s="220" t="inlineStr">
        <is>
          <t>TDD Group Functions</t>
        </is>
      </c>
      <c r="G497" s="251" t="inlineStr">
        <is>
          <t xml:space="preserve">TDD &amp; Engineering </t>
        </is>
      </c>
      <c r="H497" s="251" t="inlineStr">
        <is>
          <t>na</t>
        </is>
      </c>
      <c r="I497" s="251" t="inlineStr">
        <is>
          <t>TDD</t>
        </is>
      </c>
      <c r="J497" s="251" t="inlineStr">
        <is>
          <t>TDD</t>
        </is>
      </c>
      <c r="K497" s="251" t="inlineStr">
        <is>
          <t>Leadership</t>
        </is>
      </c>
      <c r="L497" s="251" t="n"/>
      <c r="M497" s="252" t="n"/>
      <c r="N497" t="inlineStr">
        <is>
          <t>TDD Group Functions</t>
        </is>
      </c>
      <c r="O497" t="inlineStr">
        <is>
          <t>Leadership</t>
        </is>
      </c>
      <c r="P497" t="inlineStr">
        <is>
          <t>Leadership</t>
        </is>
      </c>
      <c r="Q497" t="inlineStr">
        <is>
          <t>Leadership</t>
        </is>
      </c>
      <c r="R497" t="inlineStr">
        <is>
          <t>Vacant</t>
        </is>
      </c>
    </row>
    <row r="498" ht="18" customHeight="1" s="849">
      <c r="A498" s="250" t="n">
        <v>99999100381</v>
      </c>
      <c r="B498" s="220" t="inlineStr">
        <is>
          <t>Nakul Bharade</t>
        </is>
      </c>
      <c r="C498" s="220" t="inlineStr">
        <is>
          <t>Lead Engineer Software</t>
        </is>
      </c>
      <c r="D498" s="220" t="inlineStr">
        <is>
          <t>Mike Seales</t>
        </is>
      </c>
      <c r="E498" s="220" t="inlineStr">
        <is>
          <t>Technology Manager Integration &amp; Process Managemetn</t>
        </is>
      </c>
      <c r="F498" s="220" t="inlineStr">
        <is>
          <t>TDD Group Functions</t>
        </is>
      </c>
      <c r="G498" s="251" t="inlineStr">
        <is>
          <t xml:space="preserve">TDD &amp; Engineering </t>
        </is>
      </c>
      <c r="H498" s="220" t="inlineStr">
        <is>
          <t>Leadership</t>
        </is>
      </c>
      <c r="I498" s="220" t="inlineStr">
        <is>
          <t>TDD</t>
        </is>
      </c>
      <c r="J498" s="251" t="inlineStr">
        <is>
          <t>Leadership</t>
        </is>
      </c>
      <c r="K498" s="251" t="inlineStr">
        <is>
          <t>Leadership</t>
        </is>
      </c>
      <c r="L498" s="251" t="n"/>
      <c r="M498" s="252" t="inlineStr">
        <is>
          <t>NZ</t>
        </is>
      </c>
      <c r="N498" t="inlineStr">
        <is>
          <t>TDD Group Functions</t>
        </is>
      </c>
      <c r="O498" t="inlineStr">
        <is>
          <t>Leadership</t>
        </is>
      </c>
      <c r="P498" t="inlineStr">
        <is>
          <t>Leadership</t>
        </is>
      </c>
      <c r="Q498" t="inlineStr">
        <is>
          <t>Leadership</t>
        </is>
      </c>
      <c r="R498" t="inlineStr">
        <is>
          <t>Filled</t>
        </is>
      </c>
    </row>
    <row r="499" ht="18" customHeight="1" s="849">
      <c r="A499" s="250" t="n">
        <v>113017</v>
      </c>
      <c r="B499" s="273" t="inlineStr">
        <is>
          <t>Murray Mitchell</t>
        </is>
      </c>
      <c r="C499" s="260" t="inlineStr">
        <is>
          <t>Technology Manager, Workplace and Enterprise Tooling</t>
        </is>
      </c>
      <c r="D499" s="251" t="inlineStr">
        <is>
          <t>Vacant</t>
        </is>
      </c>
      <c r="E499" s="260" t="inlineStr">
        <is>
          <t>Head of Technology - TDD &amp; Engineering Capability Lead</t>
        </is>
      </c>
      <c r="F499" s="220" t="inlineStr">
        <is>
          <t>TDD Group Functions</t>
        </is>
      </c>
      <c r="G499" s="251" t="inlineStr">
        <is>
          <t xml:space="preserve">TDD &amp; Engineering </t>
        </is>
      </c>
      <c r="H499" s="251" t="n"/>
      <c r="I499" s="251" t="inlineStr">
        <is>
          <t>TDD</t>
        </is>
      </c>
      <c r="J499" s="251" t="inlineStr">
        <is>
          <t>TDD</t>
        </is>
      </c>
      <c r="K499" s="251" t="inlineStr">
        <is>
          <t>Leadership</t>
        </is>
      </c>
      <c r="L499" s="251" t="n"/>
      <c r="M499" s="252" t="n"/>
      <c r="N499" t="inlineStr">
        <is>
          <t>TDD Group Functions</t>
        </is>
      </c>
      <c r="O499" t="inlineStr">
        <is>
          <t>Leadership</t>
        </is>
      </c>
      <c r="P499" t="inlineStr">
        <is>
          <t>Leadership</t>
        </is>
      </c>
      <c r="Q499" t="inlineStr">
        <is>
          <t>Leadership</t>
        </is>
      </c>
      <c r="R499" t="inlineStr">
        <is>
          <t>Filled</t>
        </is>
      </c>
    </row>
    <row r="500" ht="18" customHeight="1" s="849">
      <c r="A500" s="250" t="n"/>
      <c r="B500" s="273" t="inlineStr">
        <is>
          <t>Vacant</t>
        </is>
      </c>
      <c r="C500" s="260" t="inlineStr">
        <is>
          <t>Technology Manager – DevOps and Quality Engineering</t>
        </is>
      </c>
      <c r="D500" s="260" t="inlineStr">
        <is>
          <t>vacant</t>
        </is>
      </c>
      <c r="E500" s="253" t="inlineStr">
        <is>
          <t>Head of Technology- TDD &amp; Engineering Capability</t>
        </is>
      </c>
      <c r="F500" s="220" t="inlineStr">
        <is>
          <t>TDD Group Functions</t>
        </is>
      </c>
      <c r="G500" s="251" t="inlineStr">
        <is>
          <t>TDD &amp; Engineering</t>
        </is>
      </c>
      <c r="H500" s="251" t="n"/>
      <c r="I500" s="251" t="inlineStr">
        <is>
          <t>TDD</t>
        </is>
      </c>
      <c r="J500" s="251" t="inlineStr">
        <is>
          <t>TDD</t>
        </is>
      </c>
      <c r="K500" s="251" t="inlineStr">
        <is>
          <t>Leadership</t>
        </is>
      </c>
      <c r="L500" s="251" t="n"/>
      <c r="M500" s="252" t="n"/>
      <c r="N500" t="inlineStr">
        <is>
          <t>TDD Group Functions</t>
        </is>
      </c>
      <c r="O500" t="inlineStr">
        <is>
          <t>Leadership</t>
        </is>
      </c>
      <c r="P500" t="inlineStr">
        <is>
          <t>Leadership</t>
        </is>
      </c>
      <c r="Q500" t="inlineStr">
        <is>
          <t>Leadership</t>
        </is>
      </c>
      <c r="R500" t="inlineStr">
        <is>
          <t>Vacant</t>
        </is>
      </c>
    </row>
    <row r="501" ht="18" customHeight="1" s="849">
      <c r="A501" s="250" t="n"/>
      <c r="B501" s="273" t="inlineStr">
        <is>
          <t>Vacant</t>
        </is>
      </c>
      <c r="C501" s="260" t="inlineStr">
        <is>
          <t>Delivery Manager</t>
        </is>
      </c>
      <c r="D501" s="251" t="inlineStr">
        <is>
          <t>vacant</t>
        </is>
      </c>
      <c r="E501" s="260" t="inlineStr">
        <is>
          <t>Head of Technology - TDD &amp; Engineering Capability Lead</t>
        </is>
      </c>
      <c r="F501" s="220" t="inlineStr">
        <is>
          <t>TDD Group Functions</t>
        </is>
      </c>
      <c r="G501" s="251" t="inlineStr">
        <is>
          <t xml:space="preserve">TDD &amp; Engineering </t>
        </is>
      </c>
      <c r="H501" s="251" t="n"/>
      <c r="I501" s="251" t="inlineStr">
        <is>
          <t>TDD</t>
        </is>
      </c>
      <c r="J501" s="251" t="inlineStr">
        <is>
          <t>TDD</t>
        </is>
      </c>
      <c r="K501" s="251" t="inlineStr">
        <is>
          <t>Leadership</t>
        </is>
      </c>
      <c r="L501" s="251" t="n"/>
      <c r="M501" s="252" t="n"/>
      <c r="N501" t="inlineStr">
        <is>
          <t>TDD Group Functions</t>
        </is>
      </c>
      <c r="O501" t="inlineStr">
        <is>
          <t>Leadership</t>
        </is>
      </c>
      <c r="P501" t="inlineStr">
        <is>
          <t>Leadership</t>
        </is>
      </c>
      <c r="Q501" t="inlineStr">
        <is>
          <t>Leadership</t>
        </is>
      </c>
      <c r="R501" t="inlineStr">
        <is>
          <t>Vacant</t>
        </is>
      </c>
    </row>
    <row r="502" ht="18" customHeight="1" s="849">
      <c r="A502" s="250" t="n"/>
      <c r="B502" s="273" t="inlineStr">
        <is>
          <t>Vacant</t>
        </is>
      </c>
      <c r="C502" s="260" t="inlineStr">
        <is>
          <t>Technology Manager – Cloud, Network and Infrastructure Operations</t>
        </is>
      </c>
      <c r="D502" s="260" t="inlineStr">
        <is>
          <t>vacant</t>
        </is>
      </c>
      <c r="E502" s="251" t="inlineStr">
        <is>
          <t>Head of Technology - TDD &amp; Engineering Capability Lead</t>
        </is>
      </c>
      <c r="F502" s="220" t="inlineStr">
        <is>
          <t>TDD Group Functions</t>
        </is>
      </c>
      <c r="G502" s="251" t="inlineStr">
        <is>
          <t>TDD &amp; Engineering</t>
        </is>
      </c>
      <c r="H502" s="251" t="inlineStr">
        <is>
          <t>Cloud Network &amp; Infra Ops</t>
        </is>
      </c>
      <c r="I502" s="251" t="inlineStr">
        <is>
          <t>TDD</t>
        </is>
      </c>
      <c r="J502" s="251" t="inlineStr">
        <is>
          <t>TDD</t>
        </is>
      </c>
      <c r="K502" s="251" t="inlineStr">
        <is>
          <t>Leadership</t>
        </is>
      </c>
      <c r="L502" s="251" t="n"/>
      <c r="M502" s="252" t="n"/>
      <c r="N502" t="inlineStr">
        <is>
          <t>TDD Group Functions</t>
        </is>
      </c>
      <c r="O502" t="inlineStr">
        <is>
          <t>Leadership</t>
        </is>
      </c>
      <c r="P502" t="inlineStr">
        <is>
          <t>Leadership</t>
        </is>
      </c>
      <c r="Q502" t="inlineStr">
        <is>
          <t>Leadership</t>
        </is>
      </c>
      <c r="R502" t="inlineStr">
        <is>
          <t>Vacant</t>
        </is>
      </c>
    </row>
    <row r="503" ht="18" customHeight="1" s="849">
      <c r="A503" s="250" t="n">
        <v>114573</v>
      </c>
      <c r="B503" s="260" t="inlineStr">
        <is>
          <t>Vacant</t>
        </is>
      </c>
      <c r="C503" s="260" t="inlineStr">
        <is>
          <t>Snr Engineer</t>
        </is>
      </c>
      <c r="D503" s="251" t="inlineStr">
        <is>
          <t>vacant</t>
        </is>
      </c>
      <c r="E503" s="260" t="inlineStr">
        <is>
          <t>RPA Lead</t>
        </is>
      </c>
      <c r="F503" s="220" t="inlineStr">
        <is>
          <t>TDD Group Functions</t>
        </is>
      </c>
      <c r="G503" s="251" t="inlineStr">
        <is>
          <t xml:space="preserve">TDD &amp; Engineering </t>
        </is>
      </c>
      <c r="H503" s="251" t="inlineStr">
        <is>
          <t>Technology, T&amp;S Data</t>
        </is>
      </c>
      <c r="I503" s="220" t="inlineStr">
        <is>
          <t>TDD</t>
        </is>
      </c>
      <c r="J503" s="251" t="inlineStr">
        <is>
          <t>Leadership</t>
        </is>
      </c>
      <c r="K503" s="251" t="inlineStr">
        <is>
          <t>Leadership</t>
        </is>
      </c>
      <c r="L503" s="251" t="n"/>
      <c r="M503" s="252" t="inlineStr">
        <is>
          <t>Australia</t>
        </is>
      </c>
      <c r="N503" t="inlineStr">
        <is>
          <t>TDD Group Functions</t>
        </is>
      </c>
      <c r="O503" t="inlineStr">
        <is>
          <t>Leadership</t>
        </is>
      </c>
      <c r="P503" t="inlineStr">
        <is>
          <t>Leadership</t>
        </is>
      </c>
      <c r="Q503" t="inlineStr">
        <is>
          <t>Leadership</t>
        </is>
      </c>
      <c r="R503" t="inlineStr">
        <is>
          <t>Vacant</t>
        </is>
      </c>
    </row>
    <row r="504" ht="18" customHeight="1" s="849">
      <c r="A504" s="250" t="n">
        <v>99999170438</v>
      </c>
      <c r="B504" s="273" t="inlineStr">
        <is>
          <t>Leilanie Avilla</t>
        </is>
      </c>
      <c r="C504" s="260" t="inlineStr">
        <is>
          <t>JDE Systems Specialist</t>
        </is>
      </c>
      <c r="D504" s="251" t="inlineStr">
        <is>
          <t>Lydia Pritchard</t>
        </is>
      </c>
      <c r="E504" s="260" t="inlineStr">
        <is>
          <t>Lead JDE System Specialist</t>
        </is>
      </c>
      <c r="F504" s="220" t="inlineStr">
        <is>
          <t>TDD Group Functions</t>
        </is>
      </c>
      <c r="G504" s="260" t="inlineStr">
        <is>
          <t>P&amp;C, Finance &amp; Legal</t>
        </is>
      </c>
      <c r="H504" s="251" t="inlineStr">
        <is>
          <t>Tech, Finance Platforms</t>
        </is>
      </c>
      <c r="I504" s="251" t="inlineStr">
        <is>
          <t>Finance</t>
        </is>
      </c>
      <c r="J504" s="251" t="inlineStr">
        <is>
          <t>NZ Finance</t>
        </is>
      </c>
      <c r="K504" s="251" t="inlineStr">
        <is>
          <t>NZ Finance</t>
        </is>
      </c>
      <c r="L504" s="251" t="n"/>
      <c r="M504" s="252" t="inlineStr">
        <is>
          <t>NZ</t>
        </is>
      </c>
      <c r="N504" t="inlineStr">
        <is>
          <t>Finance</t>
        </is>
      </c>
      <c r="O504" t="inlineStr">
        <is>
          <t>NZ Finance</t>
        </is>
      </c>
      <c r="P504" t="inlineStr">
        <is>
          <t>NZ Finance</t>
        </is>
      </c>
      <c r="Q504" t="inlineStr">
        <is>
          <t>Squad</t>
        </is>
      </c>
      <c r="R504" t="inlineStr">
        <is>
          <t>Filled</t>
        </is>
      </c>
    </row>
    <row r="505" ht="18" customHeight="1" s="849">
      <c r="A505" s="250" t="n">
        <v>113562</v>
      </c>
      <c r="B505" s="273" t="inlineStr">
        <is>
          <t>Kamal Patel</t>
        </is>
      </c>
      <c r="C505" s="260" t="inlineStr">
        <is>
          <t>JDE Senior Systems Specialist</t>
        </is>
      </c>
      <c r="D505" s="251" t="inlineStr">
        <is>
          <t>Lydia Pritchard</t>
        </is>
      </c>
      <c r="E505" s="260" t="inlineStr">
        <is>
          <t>Lead JDE System Specialist</t>
        </is>
      </c>
      <c r="F505" s="220" t="inlineStr">
        <is>
          <t>TDD Group Functions</t>
        </is>
      </c>
      <c r="G505" s="260" t="inlineStr">
        <is>
          <t>P&amp;C, Finance &amp; Legal</t>
        </is>
      </c>
      <c r="H505" s="251" t="inlineStr">
        <is>
          <t>Tech, Finance Platforms</t>
        </is>
      </c>
      <c r="I505" s="251" t="inlineStr">
        <is>
          <t>Finance</t>
        </is>
      </c>
      <c r="J505" s="251" t="inlineStr">
        <is>
          <t>NZ Finance</t>
        </is>
      </c>
      <c r="K505" s="251" t="inlineStr">
        <is>
          <t>NZ Finance</t>
        </is>
      </c>
      <c r="L505" s="251" t="n"/>
      <c r="M505" s="252" t="n"/>
      <c r="N505" t="inlineStr">
        <is>
          <t>Finance</t>
        </is>
      </c>
      <c r="O505" t="inlineStr">
        <is>
          <t>NZ Finance</t>
        </is>
      </c>
      <c r="P505" t="inlineStr">
        <is>
          <t>NZ Finance</t>
        </is>
      </c>
      <c r="Q505" t="inlineStr">
        <is>
          <t>Squad</t>
        </is>
      </c>
      <c r="R505" t="inlineStr">
        <is>
          <t>Filled</t>
        </is>
      </c>
    </row>
    <row r="506" ht="18" customHeight="1" s="849">
      <c r="A506" s="250" t="n">
        <v>113587</v>
      </c>
      <c r="B506" s="273" t="inlineStr">
        <is>
          <t>Martyn Rudduck</t>
        </is>
      </c>
      <c r="C506" s="260" t="inlineStr">
        <is>
          <t>JDE Senior Systems Specialist</t>
        </is>
      </c>
      <c r="D506" s="251" t="inlineStr">
        <is>
          <t>Lydia Pritchard</t>
        </is>
      </c>
      <c r="E506" s="260" t="inlineStr">
        <is>
          <t>Lead JDE System Specialist</t>
        </is>
      </c>
      <c r="F506" s="220" t="inlineStr">
        <is>
          <t>TDD Group Functions</t>
        </is>
      </c>
      <c r="G506" s="260" t="inlineStr">
        <is>
          <t>P&amp;C, Finance &amp; Legal</t>
        </is>
      </c>
      <c r="H506" s="251" t="inlineStr">
        <is>
          <t>Tech, Finance Platforms</t>
        </is>
      </c>
      <c r="I506" s="251" t="inlineStr">
        <is>
          <t>Finance</t>
        </is>
      </c>
      <c r="J506" s="251" t="inlineStr">
        <is>
          <t>NZ Finance</t>
        </is>
      </c>
      <c r="K506" s="251" t="inlineStr">
        <is>
          <t>NZ Finance</t>
        </is>
      </c>
      <c r="L506" s="251" t="n"/>
      <c r="M506" s="252" t="n"/>
      <c r="N506" t="inlineStr">
        <is>
          <t>Finance</t>
        </is>
      </c>
      <c r="O506" t="inlineStr">
        <is>
          <t>NZ Finance</t>
        </is>
      </c>
      <c r="P506" t="inlineStr">
        <is>
          <t>NZ Finance</t>
        </is>
      </c>
      <c r="Q506" t="inlineStr">
        <is>
          <t>Squad</t>
        </is>
      </c>
      <c r="R506" t="inlineStr">
        <is>
          <t>Filled</t>
        </is>
      </c>
    </row>
    <row r="507" ht="18" customHeight="1" s="849">
      <c r="A507" s="250" t="n">
        <v>99999100336</v>
      </c>
      <c r="B507" s="220" t="inlineStr">
        <is>
          <t>Lydia Pritchard</t>
        </is>
      </c>
      <c r="C507" s="220" t="inlineStr">
        <is>
          <t>Lead JDE Systems Specialist</t>
        </is>
      </c>
      <c r="D507" s="220" t="inlineStr">
        <is>
          <t>Shane Ker</t>
        </is>
      </c>
      <c r="E507" s="220" t="inlineStr">
        <is>
          <t>Technology Manager Finance Platforms</t>
        </is>
      </c>
      <c r="F507" s="220" t="inlineStr">
        <is>
          <t>TDD Group Functions</t>
        </is>
      </c>
      <c r="G507" s="260" t="inlineStr">
        <is>
          <t>P&amp;C, Finance &amp; Legal</t>
        </is>
      </c>
      <c r="H507" s="251" t="inlineStr">
        <is>
          <t>Tech, Finance Platforms</t>
        </is>
      </c>
      <c r="I507" s="251" t="inlineStr">
        <is>
          <t>Finance</t>
        </is>
      </c>
      <c r="J507" s="251" t="inlineStr">
        <is>
          <t>NZ Finance</t>
        </is>
      </c>
      <c r="K507" s="251" t="inlineStr">
        <is>
          <t>NZ Finance</t>
        </is>
      </c>
      <c r="L507" s="251" t="n"/>
      <c r="M507" s="252" t="inlineStr">
        <is>
          <t>NZ</t>
        </is>
      </c>
      <c r="N507" t="inlineStr">
        <is>
          <t>Finance</t>
        </is>
      </c>
      <c r="O507" t="inlineStr">
        <is>
          <t>NZ Finance</t>
        </is>
      </c>
      <c r="P507" t="inlineStr">
        <is>
          <t>NZ Finance</t>
        </is>
      </c>
      <c r="Q507" t="inlineStr">
        <is>
          <t>Squad</t>
        </is>
      </c>
      <c r="R507" t="inlineStr">
        <is>
          <t>Filled</t>
        </is>
      </c>
    </row>
    <row r="508" ht="18" customHeight="1" s="849">
      <c r="A508" s="250" t="n"/>
      <c r="B508" s="273" t="inlineStr">
        <is>
          <t>Vacant</t>
        </is>
      </c>
      <c r="C508" s="260" t="inlineStr">
        <is>
          <t>Delivery Lead (JDE)</t>
        </is>
      </c>
      <c r="D508" s="251" t="inlineStr">
        <is>
          <t>Vacant</t>
        </is>
      </c>
      <c r="E508" s="260" t="inlineStr">
        <is>
          <t>Delivery Manager, P&amp;C, Finance &amp; Legal</t>
        </is>
      </c>
      <c r="F508" s="220" t="inlineStr">
        <is>
          <t>TDD Group Functions</t>
        </is>
      </c>
      <c r="G508" s="260" t="inlineStr">
        <is>
          <t>P&amp;C, Finance &amp; Legal</t>
        </is>
      </c>
      <c r="H508" s="251" t="inlineStr">
        <is>
          <t>Delivery, P&amp;C, Finance &amp; Legal</t>
        </is>
      </c>
      <c r="I508" s="251" t="inlineStr">
        <is>
          <t>Finance</t>
        </is>
      </c>
      <c r="J508" s="251" t="inlineStr">
        <is>
          <t>NZ Finance</t>
        </is>
      </c>
      <c r="K508" s="251" t="inlineStr">
        <is>
          <t>NZ Finance</t>
        </is>
      </c>
      <c r="L508" s="251" t="n"/>
      <c r="M508" s="252" t="n"/>
      <c r="N508" t="inlineStr">
        <is>
          <t>Finance</t>
        </is>
      </c>
      <c r="O508" t="inlineStr">
        <is>
          <t>NZ Finance</t>
        </is>
      </c>
      <c r="P508" t="inlineStr">
        <is>
          <t>NZ Finance</t>
        </is>
      </c>
      <c r="Q508" t="inlineStr">
        <is>
          <t>Squad</t>
        </is>
      </c>
      <c r="R508" t="inlineStr">
        <is>
          <t>Vacant</t>
        </is>
      </c>
    </row>
    <row r="509" ht="18" customHeight="1" s="849">
      <c r="A509" s="250" t="n">
        <v>83003</v>
      </c>
      <c r="B509" s="220" t="inlineStr">
        <is>
          <t>Grace Hadiwijaya</t>
        </is>
      </c>
      <c r="C509" s="220" t="inlineStr">
        <is>
          <t>Lead P&amp;C Platforms</t>
        </is>
      </c>
      <c r="D509" s="251" t="inlineStr">
        <is>
          <t>Vacant</t>
        </is>
      </c>
      <c r="E509" s="220" t="inlineStr">
        <is>
          <t>Technology Manager P&amp;C Platforms</t>
        </is>
      </c>
      <c r="F509" s="220" t="inlineStr">
        <is>
          <t>TDD Group Functions</t>
        </is>
      </c>
      <c r="G509" s="260" t="inlineStr">
        <is>
          <t>Loyalty &amp; Martech</t>
        </is>
      </c>
      <c r="H509" s="251" t="inlineStr">
        <is>
          <t>Tech, P&amp;C Platforms</t>
        </is>
      </c>
      <c r="I509" s="251" t="inlineStr">
        <is>
          <t>P&amp;C</t>
        </is>
      </c>
      <c r="J509" s="251" t="inlineStr">
        <is>
          <t>P&amp;C</t>
        </is>
      </c>
      <c r="K509" s="251" t="inlineStr">
        <is>
          <t>P&amp;C</t>
        </is>
      </c>
      <c r="L509" s="251" t="n"/>
      <c r="M509" s="252" t="inlineStr">
        <is>
          <t>Australia</t>
        </is>
      </c>
      <c r="N509" t="inlineStr">
        <is>
          <t>P&amp;C</t>
        </is>
      </c>
      <c r="O509" t="inlineStr">
        <is>
          <t>P&amp;C</t>
        </is>
      </c>
      <c r="P509" t="inlineStr">
        <is>
          <t>P&amp;C</t>
        </is>
      </c>
      <c r="Q509" t="inlineStr">
        <is>
          <t>Squad</t>
        </is>
      </c>
      <c r="R509" t="inlineStr">
        <is>
          <t>Filled</t>
        </is>
      </c>
    </row>
    <row r="510" ht="18" customHeight="1" s="849">
      <c r="A510" s="250" t="n"/>
      <c r="B510" s="273" t="inlineStr">
        <is>
          <t>Vacant</t>
        </is>
      </c>
      <c r="C510" s="260" t="inlineStr">
        <is>
          <t>Quality Assurance</t>
        </is>
      </c>
      <c r="D510" s="251" t="inlineStr">
        <is>
          <t>Vacant</t>
        </is>
      </c>
      <c r="E510" s="220" t="inlineStr">
        <is>
          <t>Technology Manager P&amp;C Platforms</t>
        </is>
      </c>
      <c r="F510" s="220" t="inlineStr">
        <is>
          <t>TDD Group Functions</t>
        </is>
      </c>
      <c r="G510" s="260" t="inlineStr">
        <is>
          <t>P&amp;C, Finance &amp; Legal</t>
        </is>
      </c>
      <c r="H510" s="251" t="inlineStr">
        <is>
          <t>Tech, P&amp;C Platforms</t>
        </is>
      </c>
      <c r="I510" s="251" t="inlineStr">
        <is>
          <t>P&amp;C</t>
        </is>
      </c>
      <c r="J510" s="251" t="inlineStr">
        <is>
          <t>P&amp;C</t>
        </is>
      </c>
      <c r="K510" s="251" t="inlineStr">
        <is>
          <t>P&amp;C</t>
        </is>
      </c>
      <c r="L510" s="251" t="n"/>
      <c r="M510" s="252" t="n"/>
      <c r="N510" t="inlineStr">
        <is>
          <t>P&amp;C</t>
        </is>
      </c>
      <c r="O510" t="inlineStr">
        <is>
          <t>P&amp;C</t>
        </is>
      </c>
      <c r="P510" t="inlineStr">
        <is>
          <t>P&amp;C</t>
        </is>
      </c>
      <c r="Q510" t="inlineStr">
        <is>
          <t>Squad</t>
        </is>
      </c>
      <c r="R510" t="inlineStr">
        <is>
          <t>Vacant</t>
        </is>
      </c>
    </row>
    <row r="511" ht="18" customHeight="1" s="849">
      <c r="A511" s="250" t="n">
        <v>93476</v>
      </c>
      <c r="B511" s="220" t="inlineStr">
        <is>
          <t>Prerna Sharma</t>
        </is>
      </c>
      <c r="C511" s="220" t="inlineStr">
        <is>
          <t>SAP HR Specialist</t>
        </is>
      </c>
      <c r="D511" s="251" t="inlineStr">
        <is>
          <t>Vacant</t>
        </is>
      </c>
      <c r="E511" s="220" t="inlineStr">
        <is>
          <t>Technology Manager P&amp;C Platforms</t>
        </is>
      </c>
      <c r="F511" s="220" t="inlineStr">
        <is>
          <t>TDD Group Functions</t>
        </is>
      </c>
      <c r="G511" s="260" t="inlineStr">
        <is>
          <t>P&amp;C, Finance &amp; Legal</t>
        </is>
      </c>
      <c r="H511" s="251" t="inlineStr">
        <is>
          <t>Tech, P&amp;C Platforms</t>
        </is>
      </c>
      <c r="I511" s="251" t="inlineStr">
        <is>
          <t>P&amp;C</t>
        </is>
      </c>
      <c r="J511" s="251" t="inlineStr">
        <is>
          <t>P&amp;C</t>
        </is>
      </c>
      <c r="K511" s="251" t="inlineStr">
        <is>
          <t>P&amp;C</t>
        </is>
      </c>
      <c r="L511" s="251" t="n"/>
      <c r="M511" s="252" t="inlineStr">
        <is>
          <t>Australia</t>
        </is>
      </c>
      <c r="N511" t="inlineStr">
        <is>
          <t>P&amp;C</t>
        </is>
      </c>
      <c r="O511" t="inlineStr">
        <is>
          <t>P&amp;C</t>
        </is>
      </c>
      <c r="P511" t="inlineStr">
        <is>
          <t>P&amp;C</t>
        </is>
      </c>
      <c r="Q511" t="inlineStr">
        <is>
          <t>Squad</t>
        </is>
      </c>
      <c r="R511" t="inlineStr">
        <is>
          <t>Filled</t>
        </is>
      </c>
    </row>
    <row r="512" ht="18" customHeight="1" s="849">
      <c r="A512" s="250" t="n"/>
      <c r="B512" s="273" t="inlineStr">
        <is>
          <t>Vacant</t>
        </is>
      </c>
      <c r="C512" s="260" t="inlineStr">
        <is>
          <t>Engineer</t>
        </is>
      </c>
      <c r="D512" s="251" t="inlineStr">
        <is>
          <t>vacant</t>
        </is>
      </c>
      <c r="E512" s="220" t="inlineStr">
        <is>
          <t>Technology Manager P&amp;C Platforms</t>
        </is>
      </c>
      <c r="F512" s="220" t="inlineStr">
        <is>
          <t>TDD Group Functions</t>
        </is>
      </c>
      <c r="G512" s="260" t="inlineStr">
        <is>
          <t>P&amp;C, Finance &amp; Legal</t>
        </is>
      </c>
      <c r="H512" s="251" t="inlineStr">
        <is>
          <t>Tech, P&amp;C Platforms</t>
        </is>
      </c>
      <c r="I512" s="251" t="inlineStr">
        <is>
          <t>P&amp;C</t>
        </is>
      </c>
      <c r="J512" s="251" t="inlineStr">
        <is>
          <t>P&amp;C</t>
        </is>
      </c>
      <c r="K512" s="251" t="inlineStr">
        <is>
          <t>P&amp;C</t>
        </is>
      </c>
      <c r="L512" s="251" t="n"/>
      <c r="M512" s="252" t="n"/>
      <c r="N512" t="inlineStr">
        <is>
          <t>P&amp;C</t>
        </is>
      </c>
      <c r="O512" t="inlineStr">
        <is>
          <t>P&amp;C</t>
        </is>
      </c>
      <c r="P512" t="inlineStr">
        <is>
          <t>P&amp;C</t>
        </is>
      </c>
      <c r="Q512" t="inlineStr">
        <is>
          <t>Squad</t>
        </is>
      </c>
      <c r="R512" t="inlineStr">
        <is>
          <t>Vacant</t>
        </is>
      </c>
    </row>
    <row r="513" ht="18" customHeight="1" s="849">
      <c r="A513" s="250" t="n">
        <v>108123</v>
      </c>
      <c r="B513" s="220" t="inlineStr">
        <is>
          <t>Maadhu Suresh</t>
        </is>
      </c>
      <c r="C513" s="220" t="inlineStr">
        <is>
          <t>Solution Architect</t>
        </is>
      </c>
      <c r="D513" s="251" t="inlineStr">
        <is>
          <t>Vacant</t>
        </is>
      </c>
      <c r="E513" s="220" t="inlineStr">
        <is>
          <t>Technology Manager P&amp;C Platforms</t>
        </is>
      </c>
      <c r="F513" s="220" t="inlineStr">
        <is>
          <t>TDD Group Functions</t>
        </is>
      </c>
      <c r="G513" s="260" t="inlineStr">
        <is>
          <t>P&amp;C, Finance &amp; Legal</t>
        </is>
      </c>
      <c r="H513" s="251" t="inlineStr">
        <is>
          <t>Tech, P&amp;C Platforms</t>
        </is>
      </c>
      <c r="I513" s="251" t="inlineStr">
        <is>
          <t>P&amp;C</t>
        </is>
      </c>
      <c r="J513" s="251" t="inlineStr">
        <is>
          <t>P&amp;C</t>
        </is>
      </c>
      <c r="K513" s="251" t="inlineStr">
        <is>
          <t>P&amp;C</t>
        </is>
      </c>
      <c r="L513" s="251" t="n"/>
      <c r="M513" s="252" t="inlineStr">
        <is>
          <t>Australia</t>
        </is>
      </c>
      <c r="N513" t="inlineStr">
        <is>
          <t>P&amp;C</t>
        </is>
      </c>
      <c r="O513" t="inlineStr">
        <is>
          <t>P&amp;C</t>
        </is>
      </c>
      <c r="P513" t="inlineStr">
        <is>
          <t>P&amp;C</t>
        </is>
      </c>
      <c r="Q513" t="inlineStr">
        <is>
          <t>Squad</t>
        </is>
      </c>
      <c r="R513" t="inlineStr">
        <is>
          <t>Filled</t>
        </is>
      </c>
    </row>
    <row r="514" ht="18" customHeight="1" s="849">
      <c r="A514" s="250" t="n">
        <v>99999101403</v>
      </c>
      <c r="B514" s="220" t="inlineStr">
        <is>
          <t>Michael Pollock</t>
        </is>
      </c>
      <c r="C514" s="220" t="inlineStr">
        <is>
          <t>Lead Business Analyst</t>
        </is>
      </c>
      <c r="D514" s="251" t="inlineStr">
        <is>
          <t>Vacant</t>
        </is>
      </c>
      <c r="E514" s="260" t="inlineStr">
        <is>
          <t>Delivery Manager, P&amp;C, Finance &amp; Legal</t>
        </is>
      </c>
      <c r="F514" s="220" t="inlineStr">
        <is>
          <t>TDD Group Functions</t>
        </is>
      </c>
      <c r="G514" s="260" t="inlineStr">
        <is>
          <t>Loyalty &amp; Martech</t>
        </is>
      </c>
      <c r="H514" s="251" t="inlineStr">
        <is>
          <t>Delivery, P&amp;C, Finance &amp; Legal</t>
        </is>
      </c>
      <c r="I514" s="251" t="inlineStr">
        <is>
          <t>P&amp;C</t>
        </is>
      </c>
      <c r="J514" s="251" t="inlineStr">
        <is>
          <t>P&amp;C</t>
        </is>
      </c>
      <c r="K514" s="251" t="inlineStr">
        <is>
          <t>P&amp;C</t>
        </is>
      </c>
      <c r="L514" s="251" t="n"/>
      <c r="M514" s="252" t="inlineStr">
        <is>
          <t>NZ</t>
        </is>
      </c>
      <c r="N514" t="inlineStr">
        <is>
          <t>P&amp;C</t>
        </is>
      </c>
      <c r="O514" t="inlineStr">
        <is>
          <t>P&amp;C</t>
        </is>
      </c>
      <c r="P514" t="inlineStr">
        <is>
          <t>P&amp;C</t>
        </is>
      </c>
      <c r="Q514" t="inlineStr">
        <is>
          <t>Squad</t>
        </is>
      </c>
      <c r="R514" t="inlineStr">
        <is>
          <t>Filled</t>
        </is>
      </c>
    </row>
    <row r="515" ht="18" customHeight="1" s="849">
      <c r="A515" s="250" t="n"/>
      <c r="B515" s="273" t="inlineStr">
        <is>
          <t>Vacant</t>
        </is>
      </c>
      <c r="C515" s="260" t="inlineStr">
        <is>
          <t>Engineer</t>
        </is>
      </c>
      <c r="D515" s="251" t="inlineStr">
        <is>
          <t>vacant</t>
        </is>
      </c>
      <c r="E515" s="220" t="inlineStr">
        <is>
          <t>Technology Manager P&amp;C Platforms</t>
        </is>
      </c>
      <c r="F515" s="220" t="inlineStr">
        <is>
          <t>TDD Group Functions</t>
        </is>
      </c>
      <c r="G515" s="260" t="inlineStr">
        <is>
          <t>P&amp;C, Finance &amp; Legal</t>
        </is>
      </c>
      <c r="H515" s="251" t="inlineStr">
        <is>
          <t>Tech, P&amp;C Platforms</t>
        </is>
      </c>
      <c r="I515" s="251" t="inlineStr">
        <is>
          <t>P&amp;C</t>
        </is>
      </c>
      <c r="J515" s="251" t="inlineStr">
        <is>
          <t>P&amp;C</t>
        </is>
      </c>
      <c r="K515" s="251" t="inlineStr">
        <is>
          <t>P&amp;C</t>
        </is>
      </c>
      <c r="L515" s="251" t="n"/>
      <c r="M515" s="252" t="n"/>
      <c r="N515" t="inlineStr">
        <is>
          <t>P&amp;C</t>
        </is>
      </c>
      <c r="O515" t="inlineStr">
        <is>
          <t>P&amp;C</t>
        </is>
      </c>
      <c r="P515" t="inlineStr">
        <is>
          <t>P&amp;C</t>
        </is>
      </c>
      <c r="Q515" t="inlineStr">
        <is>
          <t>Squad</t>
        </is>
      </c>
      <c r="R515" t="inlineStr">
        <is>
          <t>Vacant</t>
        </is>
      </c>
    </row>
    <row r="516" ht="18" customHeight="1" s="849">
      <c r="A516" s="250" t="n">
        <v>99876</v>
      </c>
      <c r="B516" s="260" t="inlineStr">
        <is>
          <t>Thai Pung</t>
        </is>
      </c>
      <c r="C516" s="260" t="inlineStr">
        <is>
          <t>Delivery Lead - (P&amp;C)</t>
        </is>
      </c>
      <c r="D516" s="260" t="inlineStr">
        <is>
          <t>vacant</t>
        </is>
      </c>
      <c r="E516" s="260" t="inlineStr">
        <is>
          <t>Delivery Manager, P&amp;C, Finance &amp; Legal</t>
        </is>
      </c>
      <c r="F516" s="220" t="inlineStr">
        <is>
          <t>TDD Group Functions</t>
        </is>
      </c>
      <c r="G516" s="260" t="inlineStr">
        <is>
          <t>P&amp;C, Finance &amp; Legal</t>
        </is>
      </c>
      <c r="H516" s="251" t="inlineStr">
        <is>
          <t>Delivery, P&amp;C, Finance &amp; Legal</t>
        </is>
      </c>
      <c r="I516" s="251" t="inlineStr">
        <is>
          <t>P&amp;C</t>
        </is>
      </c>
      <c r="J516" s="251" t="inlineStr">
        <is>
          <t>P&amp;C</t>
        </is>
      </c>
      <c r="K516" s="251" t="inlineStr">
        <is>
          <t>P&amp;C</t>
        </is>
      </c>
      <c r="L516" s="251" t="n"/>
      <c r="M516" s="252" t="inlineStr">
        <is>
          <t>Australia</t>
        </is>
      </c>
      <c r="N516" t="inlineStr">
        <is>
          <t>P&amp;C</t>
        </is>
      </c>
      <c r="O516" t="inlineStr">
        <is>
          <t>P&amp;C</t>
        </is>
      </c>
      <c r="P516" t="inlineStr">
        <is>
          <t>P&amp;C</t>
        </is>
      </c>
      <c r="Q516" t="inlineStr">
        <is>
          <t>Squad</t>
        </is>
      </c>
      <c r="R516" t="inlineStr">
        <is>
          <t>Filled</t>
        </is>
      </c>
    </row>
    <row r="517" ht="18" customHeight="1" s="849">
      <c r="A517" s="250" t="n"/>
      <c r="B517" s="273" t="inlineStr">
        <is>
          <t>Vacant</t>
        </is>
      </c>
      <c r="C517" s="260" t="inlineStr">
        <is>
          <t>Systems Specialist</t>
        </is>
      </c>
      <c r="D517" s="251" t="inlineStr">
        <is>
          <t>Vacant</t>
        </is>
      </c>
      <c r="E517" s="220" t="inlineStr">
        <is>
          <t>Technology Manager P&amp;C Platforms</t>
        </is>
      </c>
      <c r="F517" s="220" t="inlineStr">
        <is>
          <t>TDD Group Functions</t>
        </is>
      </c>
      <c r="G517" s="260" t="inlineStr">
        <is>
          <t>P&amp;C, Finance &amp; Legal</t>
        </is>
      </c>
      <c r="H517" s="251" t="inlineStr">
        <is>
          <t>Tech, P&amp;C Platforms</t>
        </is>
      </c>
      <c r="I517" s="251" t="inlineStr">
        <is>
          <t>P&amp;C</t>
        </is>
      </c>
      <c r="J517" s="251" t="inlineStr">
        <is>
          <t>P&amp;C</t>
        </is>
      </c>
      <c r="K517" s="251" t="inlineStr">
        <is>
          <t>P&amp;C RTA</t>
        </is>
      </c>
      <c r="L517" s="251" t="n"/>
      <c r="M517" s="252" t="n"/>
      <c r="N517" t="inlineStr">
        <is>
          <t>P&amp;C</t>
        </is>
      </c>
      <c r="O517" t="inlineStr">
        <is>
          <t>P&amp;C</t>
        </is>
      </c>
      <c r="P517" t="inlineStr">
        <is>
          <t>P&amp;C - RTA</t>
        </is>
      </c>
      <c r="Q517" t="inlineStr">
        <is>
          <t>Squad</t>
        </is>
      </c>
      <c r="R517" t="inlineStr">
        <is>
          <t>Vacant</t>
        </is>
      </c>
    </row>
    <row r="518" ht="18" customHeight="1" s="849">
      <c r="A518" s="250" t="n">
        <v>0</v>
      </c>
      <c r="B518" s="220" t="inlineStr">
        <is>
          <t>Kurniaty Widjaya</t>
        </is>
      </c>
      <c r="C518" s="220" t="inlineStr">
        <is>
          <t>ERP HR Pay Functional Lead</t>
        </is>
      </c>
      <c r="D518" s="251" t="inlineStr">
        <is>
          <t>Vacant</t>
        </is>
      </c>
      <c r="E518" s="220" t="inlineStr">
        <is>
          <t>Technology Manager P&amp;C Platforms</t>
        </is>
      </c>
      <c r="F518" s="220" t="inlineStr">
        <is>
          <t>TDD Group Functions</t>
        </is>
      </c>
      <c r="G518" s="260" t="inlineStr">
        <is>
          <t>P&amp;C, Finance &amp; Legal</t>
        </is>
      </c>
      <c r="H518" s="251" t="inlineStr">
        <is>
          <t>Tech, P&amp;C Platforms</t>
        </is>
      </c>
      <c r="I518" s="253" t="inlineStr">
        <is>
          <t>P&amp;C</t>
        </is>
      </c>
      <c r="J518" s="251" t="inlineStr">
        <is>
          <t>P&amp;C</t>
        </is>
      </c>
      <c r="K518" s="251" t="inlineStr">
        <is>
          <t>P&amp;C RTA</t>
        </is>
      </c>
      <c r="L518" s="251" t="n"/>
      <c r="M518" s="252" t="n">
        <v>0</v>
      </c>
      <c r="N518" t="inlineStr">
        <is>
          <t>P&amp;C</t>
        </is>
      </c>
      <c r="O518" t="inlineStr">
        <is>
          <t>P&amp;C</t>
        </is>
      </c>
      <c r="P518" t="inlineStr">
        <is>
          <t>P&amp;C - RTA</t>
        </is>
      </c>
      <c r="Q518" t="inlineStr">
        <is>
          <t>Squad</t>
        </is>
      </c>
      <c r="R518" t="inlineStr">
        <is>
          <t>Filled</t>
        </is>
      </c>
    </row>
    <row r="519" ht="18" customHeight="1" s="849">
      <c r="A519" s="250" t="n"/>
      <c r="B519" s="273" t="inlineStr">
        <is>
          <t>Vacant</t>
        </is>
      </c>
      <c r="C519" s="260" t="inlineStr">
        <is>
          <t>Delivery Lead (RTA)</t>
        </is>
      </c>
      <c r="D519" s="251" t="inlineStr">
        <is>
          <t>Vacant</t>
        </is>
      </c>
      <c r="E519" s="260" t="inlineStr">
        <is>
          <t>Delivery Manager, P&amp;C, Finance &amp; Legal</t>
        </is>
      </c>
      <c r="F519" s="220" t="inlineStr">
        <is>
          <t>TDD Group Functions</t>
        </is>
      </c>
      <c r="G519" s="260" t="inlineStr">
        <is>
          <t>P&amp;C, Finance &amp; Legal</t>
        </is>
      </c>
      <c r="H519" s="253" t="inlineStr">
        <is>
          <t>Delivery, P&amp;C, Finance &amp; Legal</t>
        </is>
      </c>
      <c r="I519" s="251" t="inlineStr">
        <is>
          <t>P&amp;C</t>
        </is>
      </c>
      <c r="J519" s="251" t="inlineStr">
        <is>
          <t>P&amp;C</t>
        </is>
      </c>
      <c r="K519" s="253" t="inlineStr">
        <is>
          <t>P&amp;C RTA</t>
        </is>
      </c>
      <c r="L519" s="251" t="n"/>
      <c r="M519" s="252" t="n"/>
      <c r="N519" t="inlineStr">
        <is>
          <t>P&amp;C</t>
        </is>
      </c>
      <c r="O519" t="inlineStr">
        <is>
          <t>P&amp;C</t>
        </is>
      </c>
      <c r="P519" t="inlineStr">
        <is>
          <t>P&amp;C - RTA</t>
        </is>
      </c>
      <c r="Q519" t="inlineStr">
        <is>
          <t>Squad</t>
        </is>
      </c>
      <c r="R519" t="inlineStr">
        <is>
          <t>Vacant</t>
        </is>
      </c>
    </row>
    <row r="520" ht="18" customHeight="1" s="849">
      <c r="A520" s="250" t="n"/>
      <c r="B520" s="273" t="inlineStr">
        <is>
          <t>Vacant</t>
        </is>
      </c>
      <c r="C520" s="260" t="inlineStr">
        <is>
          <t>Engineer</t>
        </is>
      </c>
      <c r="D520" s="251" t="inlineStr">
        <is>
          <t>vacant</t>
        </is>
      </c>
      <c r="E520" s="220" t="inlineStr">
        <is>
          <t>Technology Manager P&amp;C Platforms</t>
        </is>
      </c>
      <c r="F520" s="220" t="inlineStr">
        <is>
          <t>TDD Group Functions</t>
        </is>
      </c>
      <c r="G520" s="260" t="inlineStr">
        <is>
          <t>P&amp;C, Finance &amp; Legal</t>
        </is>
      </c>
      <c r="H520" s="251" t="inlineStr">
        <is>
          <t>Tech, P&amp;C Platforms</t>
        </is>
      </c>
      <c r="I520" s="251" t="inlineStr">
        <is>
          <t>P&amp;C</t>
        </is>
      </c>
      <c r="J520" s="251" t="inlineStr">
        <is>
          <t>P&amp;C</t>
        </is>
      </c>
      <c r="K520" s="251" t="inlineStr">
        <is>
          <t>P&amp;C RTA</t>
        </is>
      </c>
      <c r="L520" s="251" t="n"/>
      <c r="M520" s="252" t="n"/>
      <c r="N520" t="inlineStr">
        <is>
          <t>P&amp;C</t>
        </is>
      </c>
      <c r="O520" t="inlineStr">
        <is>
          <t>P&amp;C</t>
        </is>
      </c>
      <c r="P520" t="inlineStr">
        <is>
          <t>P&amp;C - RTA</t>
        </is>
      </c>
      <c r="Q520" t="inlineStr">
        <is>
          <t>Squad</t>
        </is>
      </c>
      <c r="R520" t="inlineStr">
        <is>
          <t>Vacant</t>
        </is>
      </c>
    </row>
    <row r="521" ht="18" customHeight="1" s="849">
      <c r="A521" s="250" t="n"/>
      <c r="B521" s="273" t="inlineStr">
        <is>
          <t>Vacant</t>
        </is>
      </c>
      <c r="C521" s="260" t="inlineStr">
        <is>
          <t>Quality Assurance</t>
        </is>
      </c>
      <c r="D521" s="251" t="inlineStr">
        <is>
          <t>vacant</t>
        </is>
      </c>
      <c r="E521" s="220" t="inlineStr">
        <is>
          <t>Technology Manager P&amp;C Platforms</t>
        </is>
      </c>
      <c r="F521" s="220" t="inlineStr">
        <is>
          <t>TDD Group Functions</t>
        </is>
      </c>
      <c r="G521" s="260" t="inlineStr">
        <is>
          <t>P&amp;C, Finance &amp; Legal</t>
        </is>
      </c>
      <c r="H521" s="251" t="inlineStr">
        <is>
          <t>Tech, P&amp;C Platforms</t>
        </is>
      </c>
      <c r="I521" s="251" t="inlineStr">
        <is>
          <t>P&amp;C</t>
        </is>
      </c>
      <c r="J521" s="251" t="inlineStr">
        <is>
          <t>P&amp;C</t>
        </is>
      </c>
      <c r="K521" s="251" t="inlineStr">
        <is>
          <t>P&amp;C RTA</t>
        </is>
      </c>
      <c r="L521" s="251" t="n"/>
      <c r="M521" s="252" t="n"/>
      <c r="N521" t="inlineStr">
        <is>
          <t>P&amp;C</t>
        </is>
      </c>
      <c r="O521" t="inlineStr">
        <is>
          <t>P&amp;C</t>
        </is>
      </c>
      <c r="P521" t="inlineStr">
        <is>
          <t>P&amp;C - RTA</t>
        </is>
      </c>
      <c r="Q521" t="inlineStr">
        <is>
          <t>Squad</t>
        </is>
      </c>
      <c r="R521" t="inlineStr">
        <is>
          <t>Vacant</t>
        </is>
      </c>
    </row>
    <row r="522" ht="18" customHeight="1" s="849">
      <c r="A522" s="250" t="n"/>
      <c r="B522" s="273" t="inlineStr">
        <is>
          <t>Vacant</t>
        </is>
      </c>
      <c r="C522" s="260" t="inlineStr">
        <is>
          <t>Business Analyst (P&amp;C RTA)</t>
        </is>
      </c>
      <c r="D522" s="251" t="inlineStr">
        <is>
          <t>Vacant</t>
        </is>
      </c>
      <c r="E522" s="260" t="inlineStr">
        <is>
          <t>Delivery Manager, P&amp;C, Finance &amp; Legal</t>
        </is>
      </c>
      <c r="F522" s="220" t="inlineStr">
        <is>
          <t>TDD Group Functions</t>
        </is>
      </c>
      <c r="G522" s="260" t="inlineStr">
        <is>
          <t>P&amp;C, Finance &amp; Legal</t>
        </is>
      </c>
      <c r="H522" s="251" t="inlineStr">
        <is>
          <t>Technology B2B</t>
        </is>
      </c>
      <c r="I522" s="251" t="inlineStr">
        <is>
          <t>P&amp;C</t>
        </is>
      </c>
      <c r="J522" s="251" t="inlineStr">
        <is>
          <t>P&amp;C</t>
        </is>
      </c>
      <c r="K522" s="251" t="inlineStr">
        <is>
          <t>P&amp;C RTA</t>
        </is>
      </c>
      <c r="L522" s="251" t="n"/>
      <c r="M522" s="252" t="n"/>
      <c r="N522" t="inlineStr">
        <is>
          <t>P&amp;C</t>
        </is>
      </c>
      <c r="O522" t="inlineStr">
        <is>
          <t>P&amp;C</t>
        </is>
      </c>
      <c r="P522" t="inlineStr">
        <is>
          <t>P&amp;C - RTA</t>
        </is>
      </c>
      <c r="Q522" t="inlineStr">
        <is>
          <t>Squad</t>
        </is>
      </c>
      <c r="R522" t="inlineStr">
        <is>
          <t>Vacant</t>
        </is>
      </c>
    </row>
    <row r="523" ht="18" customHeight="1" s="849">
      <c r="A523" s="250" t="n"/>
      <c r="B523" s="273" t="inlineStr">
        <is>
          <t>Vacant</t>
        </is>
      </c>
      <c r="C523" s="260" t="inlineStr">
        <is>
          <t>SAP Functional Specialist</t>
        </is>
      </c>
      <c r="D523" s="251" t="inlineStr">
        <is>
          <t>EE Lynn Yap</t>
        </is>
      </c>
      <c r="E523" s="260" t="inlineStr">
        <is>
          <t>SAP ERP Application Lead</t>
        </is>
      </c>
      <c r="F523" s="220" t="inlineStr">
        <is>
          <t>TDD Group Functions</t>
        </is>
      </c>
      <c r="G523" s="260" t="inlineStr">
        <is>
          <t>P&amp;C, Finance &amp; Legal</t>
        </is>
      </c>
      <c r="H523" s="251" t="inlineStr">
        <is>
          <t>Tech, Finance Platforms</t>
        </is>
      </c>
      <c r="I523" s="251" t="inlineStr">
        <is>
          <t>Finance</t>
        </is>
      </c>
      <c r="J523" s="251" t="inlineStr">
        <is>
          <t>AU Finance</t>
        </is>
      </c>
      <c r="K523" s="251" t="inlineStr">
        <is>
          <t>SAP ERP</t>
        </is>
      </c>
      <c r="L523" s="251" t="n"/>
      <c r="M523" s="252" t="n"/>
      <c r="N523" t="inlineStr">
        <is>
          <t>Finance</t>
        </is>
      </c>
      <c r="O523" t="inlineStr">
        <is>
          <t>AU Finance</t>
        </is>
      </c>
      <c r="P523" t="inlineStr">
        <is>
          <t>AU Finance</t>
        </is>
      </c>
      <c r="Q523" t="inlineStr">
        <is>
          <t>Squad</t>
        </is>
      </c>
      <c r="R523" t="inlineStr">
        <is>
          <t>Vacant</t>
        </is>
      </c>
    </row>
    <row r="524" ht="18" customHeight="1" s="849">
      <c r="A524" s="250" t="n"/>
      <c r="B524" s="273" t="inlineStr">
        <is>
          <t>Vacant</t>
        </is>
      </c>
      <c r="C524" s="260" t="inlineStr">
        <is>
          <t>SAP Functional Specialist</t>
        </is>
      </c>
      <c r="D524" s="251" t="inlineStr">
        <is>
          <t>Julma Bhagwani</t>
        </is>
      </c>
      <c r="E524" s="260" t="inlineStr">
        <is>
          <t>SAP ERP Application Lead</t>
        </is>
      </c>
      <c r="F524" s="220" t="inlineStr">
        <is>
          <t>TDD Group Functions</t>
        </is>
      </c>
      <c r="G524" s="260" t="inlineStr">
        <is>
          <t>P&amp;C, Finance &amp; Legal</t>
        </is>
      </c>
      <c r="H524" s="251" t="inlineStr">
        <is>
          <t>Tech, Finance Platforms</t>
        </is>
      </c>
      <c r="I524" s="251" t="inlineStr">
        <is>
          <t>Finance</t>
        </is>
      </c>
      <c r="J524" s="251" t="inlineStr">
        <is>
          <t>AU Finance</t>
        </is>
      </c>
      <c r="K524" s="251" t="inlineStr">
        <is>
          <t>SAP ERP</t>
        </is>
      </c>
      <c r="L524" s="251" t="n"/>
      <c r="M524" s="252" t="n"/>
      <c r="N524" t="inlineStr">
        <is>
          <t>Finance</t>
        </is>
      </c>
      <c r="O524" t="inlineStr">
        <is>
          <t>AU Finance</t>
        </is>
      </c>
      <c r="P524" t="inlineStr">
        <is>
          <t>AU Finance</t>
        </is>
      </c>
      <c r="Q524" t="inlineStr">
        <is>
          <t>Squad</t>
        </is>
      </c>
      <c r="R524" t="inlineStr">
        <is>
          <t>Vacant</t>
        </is>
      </c>
    </row>
    <row r="525" ht="18" customHeight="1" s="849">
      <c r="A525" s="250" t="n"/>
      <c r="B525" s="273" t="inlineStr">
        <is>
          <t>Vacant</t>
        </is>
      </c>
      <c r="C525" s="260" t="inlineStr">
        <is>
          <t>SAP Functional Specialist</t>
        </is>
      </c>
      <c r="D525" s="251" t="inlineStr">
        <is>
          <t>Maudud Chaudhury</t>
        </is>
      </c>
      <c r="E525" s="260" t="inlineStr">
        <is>
          <t>SAP ERP Application Lead</t>
        </is>
      </c>
      <c r="F525" s="220" t="inlineStr">
        <is>
          <t>TDD Group Functions</t>
        </is>
      </c>
      <c r="G525" s="260" t="inlineStr">
        <is>
          <t>P&amp;C, Finance &amp; Legal</t>
        </is>
      </c>
      <c r="H525" s="251" t="inlineStr">
        <is>
          <t>Tech, Finance Platforms</t>
        </is>
      </c>
      <c r="I525" s="251" t="inlineStr">
        <is>
          <t>Finance</t>
        </is>
      </c>
      <c r="J525" s="251" t="inlineStr">
        <is>
          <t>AU Finance</t>
        </is>
      </c>
      <c r="K525" s="251" t="inlineStr">
        <is>
          <t>SAP ERP</t>
        </is>
      </c>
      <c r="L525" s="251" t="n"/>
      <c r="M525" s="252" t="n"/>
      <c r="N525" t="inlineStr">
        <is>
          <t>Finance</t>
        </is>
      </c>
      <c r="O525" t="inlineStr">
        <is>
          <t>AU Finance</t>
        </is>
      </c>
      <c r="P525" t="inlineStr">
        <is>
          <t>AU Finance</t>
        </is>
      </c>
      <c r="Q525" t="inlineStr">
        <is>
          <t>Squad</t>
        </is>
      </c>
      <c r="R525" t="inlineStr">
        <is>
          <t>Vacant</t>
        </is>
      </c>
    </row>
    <row r="526" ht="18" customHeight="1" s="849">
      <c r="A526" s="250" t="n">
        <v>4251</v>
      </c>
      <c r="B526" s="260" t="inlineStr">
        <is>
          <t>Maudud Chaudhury</t>
        </is>
      </c>
      <c r="C526" s="260" t="inlineStr">
        <is>
          <t>SAP ERP Application Lead</t>
        </is>
      </c>
      <c r="D526" s="251" t="inlineStr">
        <is>
          <t>Shane Ker</t>
        </is>
      </c>
      <c r="E526" s="260" t="inlineStr">
        <is>
          <t>Technology Manager Finance Platforms</t>
        </is>
      </c>
      <c r="F526" s="220" t="inlineStr">
        <is>
          <t>TDD Group Functions</t>
        </is>
      </c>
      <c r="G526" s="260" t="inlineStr">
        <is>
          <t>P&amp;C, Finance &amp; Legal</t>
        </is>
      </c>
      <c r="H526" s="251" t="inlineStr">
        <is>
          <t>Tech, Finance Platforms</t>
        </is>
      </c>
      <c r="I526" s="251" t="inlineStr">
        <is>
          <t>Finance</t>
        </is>
      </c>
      <c r="J526" s="251" t="inlineStr">
        <is>
          <t>AU Finance</t>
        </is>
      </c>
      <c r="K526" s="251" t="inlineStr">
        <is>
          <t>SAP ERP</t>
        </is>
      </c>
      <c r="L526" s="251" t="n"/>
      <c r="M526" s="252" t="inlineStr">
        <is>
          <t>Australia</t>
        </is>
      </c>
      <c r="N526" t="inlineStr">
        <is>
          <t>Finance</t>
        </is>
      </c>
      <c r="O526" t="inlineStr">
        <is>
          <t>AU Finance</t>
        </is>
      </c>
      <c r="P526" t="inlineStr">
        <is>
          <t>AU Finance</t>
        </is>
      </c>
      <c r="Q526" t="inlineStr">
        <is>
          <t>Squad</t>
        </is>
      </c>
      <c r="R526" t="inlineStr">
        <is>
          <t>Filled</t>
        </is>
      </c>
    </row>
    <row r="527" ht="18" customHeight="1" s="849">
      <c r="A527" s="250" t="n"/>
      <c r="B527" s="273" t="inlineStr">
        <is>
          <t>Vacant</t>
        </is>
      </c>
      <c r="C527" s="260" t="inlineStr">
        <is>
          <t>Solution Architect - Finance</t>
        </is>
      </c>
      <c r="D527" s="251" t="inlineStr">
        <is>
          <t>Shane Ker</t>
        </is>
      </c>
      <c r="E527" s="260" t="inlineStr">
        <is>
          <t>Technology Manager Finance Platforms</t>
        </is>
      </c>
      <c r="F527" s="220" t="inlineStr">
        <is>
          <t>TDD Group Functions</t>
        </is>
      </c>
      <c r="G527" s="260" t="inlineStr">
        <is>
          <t>P&amp;C, Finance &amp; Legal</t>
        </is>
      </c>
      <c r="H527" s="251" t="inlineStr">
        <is>
          <t>Tech, Finance Platforms</t>
        </is>
      </c>
      <c r="I527" s="251" t="inlineStr">
        <is>
          <t>Finance</t>
        </is>
      </c>
      <c r="J527" s="251" t="inlineStr">
        <is>
          <t>AU Finance</t>
        </is>
      </c>
      <c r="K527" s="251" t="inlineStr">
        <is>
          <t>SAP ERP</t>
        </is>
      </c>
      <c r="L527" s="251" t="n"/>
      <c r="M527" s="252" t="n"/>
      <c r="N527" t="inlineStr">
        <is>
          <t>Finance</t>
        </is>
      </c>
      <c r="O527" t="inlineStr">
        <is>
          <t>AU Finance</t>
        </is>
      </c>
      <c r="P527" t="inlineStr">
        <is>
          <t>AU Finance</t>
        </is>
      </c>
      <c r="Q527" t="inlineStr">
        <is>
          <t>Squad</t>
        </is>
      </c>
      <c r="R527" t="inlineStr">
        <is>
          <t>Vacant</t>
        </is>
      </c>
    </row>
    <row r="528" ht="18" customHeight="1" s="849">
      <c r="A528" s="250" t="n">
        <v>11241</v>
      </c>
      <c r="B528" s="260" t="inlineStr">
        <is>
          <t>Julma Bhagwani</t>
        </is>
      </c>
      <c r="C528" s="260" t="inlineStr">
        <is>
          <t>SAP ERP Application Lead</t>
        </is>
      </c>
      <c r="D528" s="251" t="inlineStr">
        <is>
          <t>Shane Ker</t>
        </is>
      </c>
      <c r="E528" s="260" t="inlineStr">
        <is>
          <t>Technology Manager Finance Platforms</t>
        </is>
      </c>
      <c r="F528" s="220" t="inlineStr">
        <is>
          <t>TDD Group Functions</t>
        </is>
      </c>
      <c r="G528" s="260" t="inlineStr">
        <is>
          <t>P&amp;C, Finance &amp; Legal</t>
        </is>
      </c>
      <c r="H528" s="251" t="inlineStr">
        <is>
          <t>Tech, Finance Platforms</t>
        </is>
      </c>
      <c r="I528" s="251" t="inlineStr">
        <is>
          <t>Finance</t>
        </is>
      </c>
      <c r="J528" s="251" t="inlineStr">
        <is>
          <t>AU Finance</t>
        </is>
      </c>
      <c r="K528" s="251" t="inlineStr">
        <is>
          <t>SAP ERP</t>
        </is>
      </c>
      <c r="L528" s="251" t="n"/>
      <c r="M528" s="252" t="inlineStr">
        <is>
          <t>Australia</t>
        </is>
      </c>
      <c r="N528" t="inlineStr">
        <is>
          <t>Finance</t>
        </is>
      </c>
      <c r="O528" t="inlineStr">
        <is>
          <t>AU Finance</t>
        </is>
      </c>
      <c r="P528" t="inlineStr">
        <is>
          <t>AU Finance</t>
        </is>
      </c>
      <c r="Q528" t="inlineStr">
        <is>
          <t>Squad</t>
        </is>
      </c>
      <c r="R528" t="inlineStr">
        <is>
          <t>Filled</t>
        </is>
      </c>
    </row>
    <row r="529" ht="18" customHeight="1" s="849">
      <c r="A529" s="250" t="n"/>
      <c r="B529" s="273" t="inlineStr">
        <is>
          <t xml:space="preserve">Vacant </t>
        </is>
      </c>
      <c r="C529" s="260" t="inlineStr">
        <is>
          <t>Integration Specialist (ASAPIO CTRM)</t>
        </is>
      </c>
      <c r="D529" s="251" t="inlineStr">
        <is>
          <t>Vacant</t>
        </is>
      </c>
      <c r="E529" s="260" t="inlineStr">
        <is>
          <t>Technology Manager Finance Platforms</t>
        </is>
      </c>
      <c r="F529" s="220" t="inlineStr">
        <is>
          <t>TDD Group Functions</t>
        </is>
      </c>
      <c r="G529" s="260" t="inlineStr">
        <is>
          <t>P&amp;C, Finance &amp; Legal</t>
        </is>
      </c>
      <c r="H529" s="251" t="inlineStr">
        <is>
          <t>Tech, Finance Platforms</t>
        </is>
      </c>
      <c r="I529" s="251" t="inlineStr">
        <is>
          <t>Finance</t>
        </is>
      </c>
      <c r="J529" s="251" t="inlineStr">
        <is>
          <t>AU Finance</t>
        </is>
      </c>
      <c r="K529" s="251" t="inlineStr">
        <is>
          <t>SAP ERP</t>
        </is>
      </c>
      <c r="L529" s="251" t="n"/>
      <c r="M529" s="252" t="n"/>
      <c r="N529" t="inlineStr">
        <is>
          <t>Finance</t>
        </is>
      </c>
      <c r="O529" t="inlineStr">
        <is>
          <t>AU Finance</t>
        </is>
      </c>
      <c r="P529" t="inlineStr">
        <is>
          <t>AU Finance</t>
        </is>
      </c>
      <c r="Q529" t="inlineStr">
        <is>
          <t>Squad</t>
        </is>
      </c>
      <c r="R529" t="inlineStr">
        <is>
          <t>Vacant</t>
        </is>
      </c>
    </row>
    <row r="530" ht="18" customHeight="1" s="849">
      <c r="A530" s="250" t="n"/>
      <c r="B530" s="273" t="inlineStr">
        <is>
          <t>Vacant</t>
        </is>
      </c>
      <c r="C530" s="260" t="inlineStr">
        <is>
          <t>SAP Functional Specialist</t>
        </is>
      </c>
      <c r="D530" s="251" t="inlineStr">
        <is>
          <t>Vacant</t>
        </is>
      </c>
      <c r="E530" s="260" t="inlineStr">
        <is>
          <t>Technology Manager Finance Platforms</t>
        </is>
      </c>
      <c r="F530" s="220" t="inlineStr">
        <is>
          <t>TDD Group Functions</t>
        </is>
      </c>
      <c r="G530" s="260" t="inlineStr">
        <is>
          <t>P&amp;C, Finance &amp; Legal</t>
        </is>
      </c>
      <c r="H530" s="251" t="inlineStr">
        <is>
          <t>Tech, Finance Platforms</t>
        </is>
      </c>
      <c r="I530" s="251" t="inlineStr">
        <is>
          <t>Finance</t>
        </is>
      </c>
      <c r="J530" s="251" t="inlineStr">
        <is>
          <t>AU Finance</t>
        </is>
      </c>
      <c r="K530" s="251" t="inlineStr">
        <is>
          <t>SAP ERP</t>
        </is>
      </c>
      <c r="L530" s="251" t="n"/>
      <c r="M530" s="252" t="n"/>
      <c r="N530" t="inlineStr">
        <is>
          <t>Finance</t>
        </is>
      </c>
      <c r="O530" t="inlineStr">
        <is>
          <t>AU Finance</t>
        </is>
      </c>
      <c r="P530" t="inlineStr">
        <is>
          <t>AU Finance</t>
        </is>
      </c>
      <c r="Q530" t="inlineStr">
        <is>
          <t>Squad</t>
        </is>
      </c>
      <c r="R530" t="inlineStr">
        <is>
          <t>Vacant</t>
        </is>
      </c>
    </row>
    <row r="531" ht="18" customHeight="1" s="849">
      <c r="A531" s="250" t="n"/>
      <c r="B531" s="273" t="inlineStr">
        <is>
          <t>Vacant</t>
        </is>
      </c>
      <c r="C531" s="260" t="inlineStr">
        <is>
          <t>Delivery Lead (SAP)</t>
        </is>
      </c>
      <c r="D531" s="251" t="inlineStr">
        <is>
          <t>Vacant</t>
        </is>
      </c>
      <c r="E531" s="260" t="inlineStr">
        <is>
          <t>Delivery Manager, P&amp;C, Finance &amp; Legal</t>
        </is>
      </c>
      <c r="F531" s="220" t="inlineStr">
        <is>
          <t>TDD Group Functions</t>
        </is>
      </c>
      <c r="G531" s="260" t="inlineStr">
        <is>
          <t>P&amp;C, Finance &amp; Legal</t>
        </is>
      </c>
      <c r="H531" s="251" t="inlineStr">
        <is>
          <t>Delivery, P&amp;C, Finance &amp; Legal</t>
        </is>
      </c>
      <c r="I531" s="251" t="inlineStr">
        <is>
          <t>Finance</t>
        </is>
      </c>
      <c r="J531" s="251" t="inlineStr">
        <is>
          <t>AU Finance</t>
        </is>
      </c>
      <c r="K531" s="251" t="inlineStr">
        <is>
          <t>SAP ERP</t>
        </is>
      </c>
      <c r="L531" s="251" t="n"/>
      <c r="M531" s="252" t="n"/>
      <c r="N531" t="inlineStr">
        <is>
          <t>Finance</t>
        </is>
      </c>
      <c r="O531" t="inlineStr">
        <is>
          <t>AU Finance</t>
        </is>
      </c>
      <c r="P531" t="inlineStr">
        <is>
          <t>AU Finance</t>
        </is>
      </c>
      <c r="Q531" t="inlineStr">
        <is>
          <t>Squad</t>
        </is>
      </c>
      <c r="R531" t="inlineStr">
        <is>
          <t>Vacant</t>
        </is>
      </c>
    </row>
    <row r="532" ht="18" customHeight="1" s="849">
      <c r="A532" s="250" t="n">
        <v>99999101446</v>
      </c>
      <c r="B532" s="220" t="inlineStr">
        <is>
          <t>Rob Struthers</t>
        </is>
      </c>
      <c r="C532" s="220" t="inlineStr">
        <is>
          <t>Engineer - Modern Workplaces</t>
        </is>
      </c>
      <c r="D532" s="251" t="inlineStr">
        <is>
          <t>Vacant</t>
        </is>
      </c>
      <c r="E532" s="220" t="inlineStr">
        <is>
          <t>Technology Manager, Enterprise Tooling</t>
        </is>
      </c>
      <c r="F532" s="220" t="inlineStr">
        <is>
          <t>TDD Group Functions</t>
        </is>
      </c>
      <c r="G532" s="251" t="inlineStr">
        <is>
          <t xml:space="preserve">TDD &amp; Engineering </t>
        </is>
      </c>
      <c r="H532" s="220" t="inlineStr">
        <is>
          <t>Workplace &amp; Enterprise Tooling</t>
        </is>
      </c>
      <c r="I532" s="220" t="inlineStr">
        <is>
          <t>TDD</t>
        </is>
      </c>
      <c r="J532" s="251" t="inlineStr">
        <is>
          <t>TDD</t>
        </is>
      </c>
      <c r="K532" s="251" t="inlineStr">
        <is>
          <t>Workplace &amp; Enterprise Tooling</t>
        </is>
      </c>
      <c r="L532" s="251" t="n"/>
      <c r="M532" s="252"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849">
      <c r="A533" s="250" t="n">
        <v>99999101229</v>
      </c>
      <c r="B533" s="220" t="inlineStr">
        <is>
          <t>Billie Connolly</t>
        </is>
      </c>
      <c r="C533" s="220" t="inlineStr">
        <is>
          <t>Engineer - Modern Workplaces</t>
        </is>
      </c>
      <c r="D533" s="251" t="inlineStr">
        <is>
          <t>Vacant</t>
        </is>
      </c>
      <c r="E533" s="220" t="inlineStr">
        <is>
          <t>Technology Manager, Workplace and Enterprise Tooling</t>
        </is>
      </c>
      <c r="F533" s="220" t="inlineStr">
        <is>
          <t>TDD Group Functions</t>
        </is>
      </c>
      <c r="G533" s="251" t="inlineStr">
        <is>
          <t xml:space="preserve">TDD &amp; Engineering </t>
        </is>
      </c>
      <c r="H533" s="220" t="inlineStr">
        <is>
          <t>Workplace &amp; Enterprise Tooling</t>
        </is>
      </c>
      <c r="I533" s="220" t="inlineStr">
        <is>
          <t>TDD</t>
        </is>
      </c>
      <c r="J533" s="251" t="inlineStr">
        <is>
          <t>TDD</t>
        </is>
      </c>
      <c r="K533" s="251" t="inlineStr">
        <is>
          <t>Workplace &amp; Enterprise Tooling</t>
        </is>
      </c>
      <c r="L533" s="251" t="n"/>
      <c r="M533" s="252"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849">
      <c r="A534" s="250" t="n"/>
      <c r="B534" s="273" t="inlineStr">
        <is>
          <t>Vacant</t>
        </is>
      </c>
      <c r="C534" s="260" t="inlineStr">
        <is>
          <t>Business Analyst (Workplace &amp; Enterprise Tooling)</t>
        </is>
      </c>
      <c r="D534" s="251" t="inlineStr">
        <is>
          <t>vacant</t>
        </is>
      </c>
      <c r="E534" s="260" t="inlineStr">
        <is>
          <t xml:space="preserve">Delivery Manager </t>
        </is>
      </c>
      <c r="F534" s="220" t="inlineStr">
        <is>
          <t>TDD Group Functions</t>
        </is>
      </c>
      <c r="G534" s="251" t="inlineStr">
        <is>
          <t>TDD &amp; Engineering</t>
        </is>
      </c>
      <c r="H534" s="220" t="inlineStr">
        <is>
          <t>Delivery, TDD &amp; Engineering</t>
        </is>
      </c>
      <c r="I534" s="220" t="inlineStr">
        <is>
          <t>TDD</t>
        </is>
      </c>
      <c r="J534" s="251" t="inlineStr">
        <is>
          <t>TDD</t>
        </is>
      </c>
      <c r="K534" s="251" t="inlineStr">
        <is>
          <t>Workplace &amp; Enterprise Tooling</t>
        </is>
      </c>
      <c r="L534" s="251" t="n"/>
      <c r="M534" s="252" t="n"/>
      <c r="N534" t="inlineStr">
        <is>
          <t>TDD Group Functions</t>
        </is>
      </c>
      <c r="O534" t="inlineStr">
        <is>
          <t>TDD Group Functions</t>
        </is>
      </c>
      <c r="P534" t="inlineStr">
        <is>
          <t>Workplace &amp; Enterprise Tooling</t>
        </is>
      </c>
      <c r="Q534" t="inlineStr">
        <is>
          <t>Squad</t>
        </is>
      </c>
      <c r="R534" t="inlineStr">
        <is>
          <t>Vacant</t>
        </is>
      </c>
    </row>
    <row r="535" ht="18" customHeight="1" s="849">
      <c r="A535" s="250" t="n">
        <v>95018</v>
      </c>
      <c r="B535" s="220" t="inlineStr">
        <is>
          <t>Ken Thomson</t>
        </is>
      </c>
      <c r="C535" s="220" t="inlineStr">
        <is>
          <t>Servicenow Platform Specialist</t>
        </is>
      </c>
      <c r="D535" s="251" t="inlineStr">
        <is>
          <t>Vacant</t>
        </is>
      </c>
      <c r="E535" s="220" t="inlineStr">
        <is>
          <t>Technology Manager, Workplace and Enterprise Tooling</t>
        </is>
      </c>
      <c r="F535" s="220" t="inlineStr">
        <is>
          <t>TDD Group Functions</t>
        </is>
      </c>
      <c r="G535" s="251" t="inlineStr">
        <is>
          <t xml:space="preserve">TDD &amp; Engineering </t>
        </is>
      </c>
      <c r="H535" s="220" t="inlineStr">
        <is>
          <t>Workplace &amp; Enterprise Tooling</t>
        </is>
      </c>
      <c r="I535" s="220" t="inlineStr">
        <is>
          <t>TDD</t>
        </is>
      </c>
      <c r="J535" s="251" t="inlineStr">
        <is>
          <t>TDD</t>
        </is>
      </c>
      <c r="K535" s="251" t="inlineStr">
        <is>
          <t>Workplace &amp; Enterprise Tooling</t>
        </is>
      </c>
      <c r="L535" s="251" t="n"/>
      <c r="M535" s="252"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849">
      <c r="A536" s="250" t="n">
        <v>106024</v>
      </c>
      <c r="B536" s="220" t="inlineStr">
        <is>
          <t>Nicholas McKay</t>
        </is>
      </c>
      <c r="C536" s="220" t="inlineStr">
        <is>
          <t>Workplace Tooling Specialist</t>
        </is>
      </c>
      <c r="D536" s="251" t="inlineStr">
        <is>
          <t>Vacant</t>
        </is>
      </c>
      <c r="E536" s="220" t="inlineStr">
        <is>
          <t>Technology Manager, Workplace and Enterprise Tooling</t>
        </is>
      </c>
      <c r="F536" s="220" t="inlineStr">
        <is>
          <t>TDD Group Functions</t>
        </is>
      </c>
      <c r="G536" s="251" t="inlineStr">
        <is>
          <t xml:space="preserve">TDD &amp; Engineering </t>
        </is>
      </c>
      <c r="H536" s="220" t="inlineStr">
        <is>
          <t>Workplace &amp; Enterprise Tooling</t>
        </is>
      </c>
      <c r="I536" s="220" t="inlineStr">
        <is>
          <t>TDD</t>
        </is>
      </c>
      <c r="J536" s="251" t="inlineStr">
        <is>
          <t>TDD</t>
        </is>
      </c>
      <c r="K536" s="251" t="inlineStr">
        <is>
          <t>Workplace &amp; Enterprise Tooling</t>
        </is>
      </c>
      <c r="L536" s="251" t="n"/>
      <c r="M536" s="252"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849">
      <c r="A537" s="250" t="n"/>
      <c r="B537" s="273" t="inlineStr">
        <is>
          <t>Vacant</t>
        </is>
      </c>
      <c r="C537" s="260" t="inlineStr">
        <is>
          <t>Enterprise Systems Specialist</t>
        </is>
      </c>
      <c r="D537" s="251" t="inlineStr">
        <is>
          <t>Vacant</t>
        </is>
      </c>
      <c r="E537" s="220" t="inlineStr">
        <is>
          <t>Technology Manager, Workplace and Enterprise Tooling</t>
        </is>
      </c>
      <c r="F537" s="220" t="inlineStr">
        <is>
          <t>TDD Group Functions</t>
        </is>
      </c>
      <c r="G537" s="251" t="inlineStr">
        <is>
          <t xml:space="preserve">TDD &amp; Engineering </t>
        </is>
      </c>
      <c r="H537" s="220" t="inlineStr">
        <is>
          <t>Workplace &amp; Enterprise Tooling</t>
        </is>
      </c>
      <c r="I537" s="220" t="inlineStr">
        <is>
          <t>TDD</t>
        </is>
      </c>
      <c r="J537" s="251" t="inlineStr">
        <is>
          <t>TDD</t>
        </is>
      </c>
      <c r="K537" s="251" t="inlineStr">
        <is>
          <t>Workplace &amp; Enterprise Tooling</t>
        </is>
      </c>
      <c r="L537" s="251" t="n"/>
      <c r="M537" s="252" t="n"/>
      <c r="N537" t="inlineStr">
        <is>
          <t>TDD Group Functions</t>
        </is>
      </c>
      <c r="O537" t="inlineStr">
        <is>
          <t>TDD Group Functions</t>
        </is>
      </c>
      <c r="P537" t="inlineStr">
        <is>
          <t>Workplace &amp; Enterprise Tooling</t>
        </is>
      </c>
      <c r="Q537" t="inlineStr">
        <is>
          <t>Squad</t>
        </is>
      </c>
      <c r="R537" t="inlineStr">
        <is>
          <t>Vacant</t>
        </is>
      </c>
    </row>
    <row r="538" ht="18" customHeight="1" s="849">
      <c r="A538" s="250" t="n">
        <v>99999102124</v>
      </c>
      <c r="B538" s="220" t="n"/>
      <c r="C538" s="220" t="n"/>
      <c r="D538" s="220" t="inlineStr">
        <is>
          <t>Vacant</t>
        </is>
      </c>
      <c r="E538" s="220" t="n"/>
      <c r="F538" s="220" t="n"/>
      <c r="G538" s="251" t="n"/>
      <c r="H538" s="220" t="n"/>
      <c r="I538" s="251" t="n"/>
      <c r="J538" s="220" t="n"/>
      <c r="K538" s="220" t="n"/>
      <c r="L538" s="251" t="n"/>
      <c r="M538" s="252"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7.xml><?xml version="1.0" encoding="utf-8"?>
<worksheet xmlns="http://schemas.openxmlformats.org/spreadsheetml/2006/main">
  <sheetPr filterMode="1">
    <tabColor rgb="FF375623"/>
    <outlinePr summaryBelow="1" summaryRight="1"/>
    <pageSetUpPr/>
  </sheetPr>
  <dimension ref="A1:AG572"/>
  <sheetViews>
    <sheetView showGridLines="0" zoomScale="78" zoomScaleNormal="78" workbookViewId="0">
      <selection activeCell="A1" sqref="A1"/>
    </sheetView>
  </sheetViews>
  <sheetFormatPr baseColWidth="8" defaultColWidth="8.7265625" defaultRowHeight="18" customHeight="1"/>
  <cols>
    <col width="16.26953125" customWidth="1" style="408" min="1" max="1"/>
    <col width="20.7265625" customWidth="1" style="316" min="2" max="2"/>
    <col width="26.81640625" customWidth="1" style="409" min="3" max="3"/>
    <col width="19.453125" customWidth="1" style="316" min="4" max="4"/>
    <col width="37.453125" customWidth="1" style="316" min="5" max="5"/>
    <col width="37" customWidth="1" style="316" min="6" max="6"/>
    <col width="30.54296875" bestFit="1" customWidth="1" style="316" min="7" max="7"/>
    <col width="33" bestFit="1" customWidth="1" style="316" min="8" max="8"/>
    <col width="23.453125" customWidth="1" style="316" min="9" max="9"/>
    <col width="23.26953125" customWidth="1" style="316" min="10" max="10"/>
    <col width="17.1796875" customWidth="1" style="316" min="11" max="11"/>
    <col width="6.54296875" customWidth="1" style="316" min="12" max="12"/>
    <col width="9.453125" customWidth="1" style="316" min="13" max="13"/>
    <col width="8.26953125" customWidth="1" style="329" min="14" max="14"/>
    <col width="8.7265625" customWidth="1" style="329" min="15" max="15"/>
    <col width="17.1796875" customWidth="1" style="329" min="16" max="16"/>
    <col width="16.453125" customWidth="1" style="329" min="17" max="17"/>
    <col width="10.1796875" customWidth="1" style="329" min="18" max="18"/>
    <col width="8.7265625" customWidth="1" style="329" min="19" max="19"/>
    <col width="14.81640625" customWidth="1" style="329" min="20" max="20"/>
    <col width="15.1796875" customWidth="1" style="329" min="21" max="21"/>
    <col width="14.81640625" customWidth="1" style="329" min="22" max="24"/>
    <col width="14.81640625" customWidth="1" style="316" min="25" max="25"/>
    <col width="14.81640625" customWidth="1" style="329" min="26" max="26"/>
    <col width="14.81640625" customWidth="1" style="316" min="27" max="27"/>
    <col width="8.7265625" customWidth="1" style="316" min="28" max="30"/>
    <col width="8.7265625" customWidth="1" style="316" min="31" max="16384"/>
  </cols>
  <sheetData>
    <row r="1" ht="41.5" customFormat="1" customHeight="1" s="304">
      <c r="A1" s="242" t="inlineStr">
        <is>
          <t>EE Number</t>
        </is>
      </c>
      <c r="B1" s="243" t="inlineStr">
        <is>
          <t>Name</t>
        </is>
      </c>
      <c r="C1" s="243" t="inlineStr">
        <is>
          <t>Position Title</t>
        </is>
      </c>
      <c r="D1" s="243" t="inlineStr">
        <is>
          <t>Reports to name</t>
        </is>
      </c>
      <c r="E1" s="243" t="inlineStr">
        <is>
          <t>Reports to Position</t>
        </is>
      </c>
      <c r="F1" s="294" t="inlineStr">
        <is>
          <t>Division (GM)</t>
        </is>
      </c>
      <c r="G1" s="295" t="inlineStr">
        <is>
          <t>Department (GM-1)</t>
        </is>
      </c>
      <c r="H1" s="295" t="inlineStr">
        <is>
          <t>Team (GM-2)</t>
        </is>
      </c>
      <c r="I1" s="296" t="inlineStr">
        <is>
          <t>Portfolio</t>
        </is>
      </c>
      <c r="J1" s="247" t="inlineStr">
        <is>
          <t>Platform</t>
        </is>
      </c>
      <c r="K1" s="296" t="inlineStr">
        <is>
          <t>Squad</t>
        </is>
      </c>
      <c r="L1" s="296" t="inlineStr">
        <is>
          <t>CC</t>
        </is>
      </c>
      <c r="M1" s="248" t="inlineStr">
        <is>
          <t>Country</t>
        </is>
      </c>
      <c r="N1" s="297" t="inlineStr">
        <is>
          <t>Job Level</t>
        </is>
      </c>
      <c r="O1" s="297" t="inlineStr">
        <is>
          <t>FTE</t>
        </is>
      </c>
      <c r="P1" s="297" t="n"/>
      <c r="Q1" s="297" t="inlineStr">
        <is>
          <t>Type</t>
        </is>
      </c>
      <c r="R1" s="298" t="inlineStr">
        <is>
          <t>Unit</t>
        </is>
      </c>
      <c r="S1" s="298" t="inlineStr">
        <is>
          <t>day rate</t>
        </is>
      </c>
      <c r="T1" s="299" t="inlineStr">
        <is>
          <t>FTE Base
 Local</t>
        </is>
      </c>
      <c r="U1" s="300" t="inlineStr">
        <is>
          <t>FTE Base 
AUD</t>
        </is>
      </c>
      <c r="V1" s="301" t="inlineStr">
        <is>
          <t>STI</t>
        </is>
      </c>
      <c r="W1" s="302" t="inlineStr">
        <is>
          <t>Payroll</t>
        </is>
      </c>
      <c r="X1" s="302" t="inlineStr">
        <is>
          <t>Pensions</t>
        </is>
      </c>
      <c r="Y1" s="302" t="inlineStr">
        <is>
          <t>medical</t>
        </is>
      </c>
      <c r="Z1" s="302" t="inlineStr">
        <is>
          <t>CPI</t>
        </is>
      </c>
      <c r="AA1" s="303" t="inlineStr">
        <is>
          <t>Full Cost 
AUD</t>
        </is>
      </c>
      <c r="AB1" s="304" t="inlineStr">
        <is>
          <t>MyHR ee no</t>
        </is>
      </c>
      <c r="AC1" s="243" t="inlineStr">
        <is>
          <t>Model Portfolio</t>
        </is>
      </c>
      <c r="AD1" s="243" t="inlineStr">
        <is>
          <t>Model Platform</t>
        </is>
      </c>
      <c r="AE1" s="243" t="inlineStr">
        <is>
          <t>Model Squad</t>
        </is>
      </c>
      <c r="AF1" s="243" t="inlineStr">
        <is>
          <t>Class</t>
        </is>
      </c>
      <c r="AG1" s="243" t="inlineStr">
        <is>
          <t>Status</t>
        </is>
      </c>
    </row>
    <row r="2" hidden="1" ht="18" customHeight="1" s="849">
      <c r="A2" s="250" t="n">
        <v>99999101533</v>
      </c>
      <c r="B2" s="220" t="inlineStr">
        <is>
          <t>Adrian Alcance</t>
        </is>
      </c>
      <c r="C2" s="305" t="inlineStr">
        <is>
          <t>Senior Engineer - DevOps</t>
        </is>
      </c>
      <c r="D2" s="220" t="inlineStr">
        <is>
          <t>Vacant</t>
        </is>
      </c>
      <c r="E2" s="220" t="inlineStr">
        <is>
          <t>Technology Manager, Engineering</t>
        </is>
      </c>
      <c r="F2" s="220" t="inlineStr">
        <is>
          <t>Ampol Retail &amp; Z</t>
        </is>
      </c>
      <c r="G2" s="220" t="inlineStr">
        <is>
          <t>Z &amp; Group Retail</t>
        </is>
      </c>
      <c r="H2" s="220" t="inlineStr">
        <is>
          <t>Z &amp; Group Retail, Engineering</t>
        </is>
      </c>
      <c r="I2" s="220" t="inlineStr">
        <is>
          <t>Z</t>
        </is>
      </c>
      <c r="J2" s="220" t="inlineStr">
        <is>
          <t>Z Customer</t>
        </is>
      </c>
      <c r="K2" s="220" t="inlineStr">
        <is>
          <t xml:space="preserve">Z Retail Backend </t>
        </is>
      </c>
      <c r="L2" s="306" t="n"/>
      <c r="M2" s="307" t="inlineStr">
        <is>
          <t>NZ</t>
        </is>
      </c>
      <c r="N2" s="308" t="inlineStr">
        <is>
          <t>CIA</t>
        </is>
      </c>
      <c r="O2" s="309" t="n">
        <v>1</v>
      </c>
      <c r="P2" s="308" t="n"/>
      <c r="Q2" s="309" t="inlineStr">
        <is>
          <t>Permanent - Full Time</t>
        </is>
      </c>
      <c r="R2" s="310" t="n"/>
      <c r="S2" s="310" t="n"/>
      <c r="T2" s="310" t="n">
        <v>123710</v>
      </c>
      <c r="U2" s="311" t="n">
        <v>113813.2</v>
      </c>
      <c r="V2" s="312" t="n">
        <v>0.15</v>
      </c>
      <c r="W2" s="309" t="n"/>
      <c r="X2" s="313" t="n">
        <v>0.05</v>
      </c>
      <c r="Y2" s="951" t="n">
        <v>2910</v>
      </c>
      <c r="Z2" s="313" t="n">
        <v>0.03</v>
      </c>
      <c r="AA2" s="952">
        <f>U2*(1+V2+X2+Z2)+Y2</f>
        <v>142900.236</v>
      </c>
      <c r="AB2" t="n">
        <v>113501</v>
      </c>
      <c r="AC2" t="inlineStr">
        <is>
          <t>Z Retail</t>
        </is>
      </c>
      <c r="AD2" t="inlineStr">
        <is>
          <t>Z Customer</t>
        </is>
      </c>
      <c r="AE2" t="inlineStr">
        <is>
          <t>Z Retail Backend</t>
        </is>
      </c>
      <c r="AF2" t="inlineStr">
        <is>
          <t>Squad</t>
        </is>
      </c>
      <c r="AG2" t="inlineStr">
        <is>
          <t>Filled</t>
        </is>
      </c>
    </row>
    <row r="3" hidden="1" ht="18" customHeight="1" s="849">
      <c r="A3" s="250" t="n">
        <v>110388</v>
      </c>
      <c r="B3" s="220" t="inlineStr">
        <is>
          <t>Adrian Lueng</t>
        </is>
      </c>
      <c r="C3" s="305" t="inlineStr">
        <is>
          <t>Quality Assurance</t>
        </is>
      </c>
      <c r="D3" s="220" t="inlineStr">
        <is>
          <t>Vedran Jukic</t>
        </is>
      </c>
      <c r="E3" s="220" t="inlineStr">
        <is>
          <t>Technology Manager, Retail</t>
        </is>
      </c>
      <c r="F3" s="220" t="inlineStr">
        <is>
          <t>Ampol Retail &amp; Z</t>
        </is>
      </c>
      <c r="G3" s="306" t="inlineStr">
        <is>
          <t>Ampol Retail</t>
        </is>
      </c>
      <c r="H3" s="220" t="inlineStr">
        <is>
          <t>Ampol Retail, Technology</t>
        </is>
      </c>
      <c r="I3" s="220" t="inlineStr">
        <is>
          <t>Retail</t>
        </is>
      </c>
      <c r="J3" s="306" t="inlineStr">
        <is>
          <t>Network/QSR</t>
        </is>
      </c>
      <c r="K3" s="220" t="inlineStr">
        <is>
          <t>Network &amp; QSR</t>
        </is>
      </c>
      <c r="L3" s="306" t="n"/>
      <c r="M3" s="307" t="inlineStr">
        <is>
          <t>Australia</t>
        </is>
      </c>
      <c r="N3" s="308" t="inlineStr">
        <is>
          <t>CIA</t>
        </is>
      </c>
      <c r="O3" s="308" t="n">
        <v>1</v>
      </c>
      <c r="P3" s="308" t="n"/>
      <c r="Q3" s="308" t="inlineStr">
        <is>
          <t>Permanent - Full Time</t>
        </is>
      </c>
      <c r="R3" s="310" t="n"/>
      <c r="S3" s="310" t="n"/>
      <c r="T3" s="310" t="n">
        <v>120030</v>
      </c>
      <c r="U3" s="311" t="n">
        <v>120030</v>
      </c>
      <c r="V3" s="313" t="n">
        <v>0.1</v>
      </c>
      <c r="W3" s="953" t="n">
        <v>0.055</v>
      </c>
      <c r="X3" s="953" t="n">
        <v>0.12</v>
      </c>
      <c r="Y3" s="954" t="n"/>
      <c r="Z3" s="953" t="n">
        <v>0.04</v>
      </c>
      <c r="AA3" s="952">
        <f>U3*(1+V3+W3+X3+Y3+Z3)</f>
        <v>157839.44999999998</v>
      </c>
      <c r="AC3" t="inlineStr">
        <is>
          <t>Ampol Retail</t>
        </is>
      </c>
      <c r="AD3" t="inlineStr">
        <is>
          <t>Network / QSR</t>
        </is>
      </c>
      <c r="AE3" t="inlineStr">
        <is>
          <t>Network / QSR</t>
        </is>
      </c>
      <c r="AF3" t="inlineStr">
        <is>
          <t>Squad</t>
        </is>
      </c>
      <c r="AG3" t="inlineStr">
        <is>
          <t>Filled</t>
        </is>
      </c>
    </row>
    <row r="4" hidden="1" ht="18" customHeight="1" s="849">
      <c r="A4" s="250" t="inlineStr">
        <is>
          <t>C</t>
        </is>
      </c>
      <c r="B4" s="220" t="inlineStr">
        <is>
          <t>Alex Prakhiy</t>
        </is>
      </c>
      <c r="C4" s="305" t="inlineStr">
        <is>
          <t>Business Analyst</t>
        </is>
      </c>
      <c r="D4" s="220" t="inlineStr">
        <is>
          <t>Vanessa Allen</t>
        </is>
      </c>
      <c r="E4" s="220" t="inlineStr">
        <is>
          <t>Delivery Manager, Ampol Retail</t>
        </is>
      </c>
      <c r="F4" s="220" t="inlineStr">
        <is>
          <t>Ampol Retail &amp; Z</t>
        </is>
      </c>
      <c r="G4" s="306" t="inlineStr">
        <is>
          <t>Ampol Retail</t>
        </is>
      </c>
      <c r="H4" s="220" t="inlineStr">
        <is>
          <t>Ampol Retail, Delivery</t>
        </is>
      </c>
      <c r="I4" s="220" t="inlineStr">
        <is>
          <t>EGI Integration</t>
        </is>
      </c>
      <c r="J4" s="306" t="inlineStr">
        <is>
          <t>EGI</t>
        </is>
      </c>
      <c r="K4" s="220" t="inlineStr">
        <is>
          <t>EGI</t>
        </is>
      </c>
      <c r="L4" s="306" t="n"/>
      <c r="M4" s="307" t="inlineStr">
        <is>
          <t>Australia</t>
        </is>
      </c>
      <c r="N4" s="310" t="inlineStr">
        <is>
          <t>NA</t>
        </is>
      </c>
      <c r="O4" s="308" t="n">
        <v>1</v>
      </c>
      <c r="P4" s="310" t="n"/>
      <c r="Q4" s="310" t="inlineStr">
        <is>
          <t>cxc</t>
        </is>
      </c>
      <c r="R4" s="319" t="inlineStr">
        <is>
          <t>Daily</t>
        </is>
      </c>
      <c r="S4" s="310" t="n">
        <v>1000</v>
      </c>
      <c r="T4" s="310" t="n">
        <v>0</v>
      </c>
      <c r="U4" s="310" t="n"/>
      <c r="V4" s="306" t="n"/>
      <c r="W4" s="306" t="n"/>
      <c r="X4" s="306" t="n"/>
      <c r="Y4" s="306" t="n"/>
      <c r="Z4" s="306" t="n"/>
      <c r="AA4" s="320">
        <f>S4*222</f>
        <v>222000.0</v>
      </c>
      <c r="AC4" t="inlineStr">
        <is>
          <t>EGI</t>
        </is>
      </c>
      <c r="AD4" t="inlineStr">
        <is>
          <t>EGI</t>
        </is>
      </c>
      <c r="AE4" t="inlineStr">
        <is>
          <t>EGI (unassigned)</t>
        </is>
      </c>
      <c r="AF4" t="inlineStr">
        <is>
          <t>Unmapped</t>
        </is>
      </c>
      <c r="AG4" t="inlineStr">
        <is>
          <t>Filled</t>
        </is>
      </c>
    </row>
    <row r="5" hidden="1" ht="18" customHeight="1" s="849">
      <c r="A5" s="250" t="n">
        <v>99999101643</v>
      </c>
      <c r="B5" s="220" t="inlineStr">
        <is>
          <t>Alex Sutherland</t>
        </is>
      </c>
      <c r="C5" s="305" t="inlineStr">
        <is>
          <t>Site Systems Analyst</t>
        </is>
      </c>
      <c r="D5" s="220" t="inlineStr">
        <is>
          <t>Callan McLaughlin</t>
        </is>
      </c>
      <c r="E5" s="220" t="inlineStr">
        <is>
          <t>Technology Manager,  Site Systems</t>
        </is>
      </c>
      <c r="F5" s="220" t="inlineStr">
        <is>
          <t>Ampol Retail &amp; Z</t>
        </is>
      </c>
      <c r="G5" s="306" t="inlineStr">
        <is>
          <t>Z &amp; Group Retail</t>
        </is>
      </c>
      <c r="H5" s="220" t="inlineStr">
        <is>
          <t>Z &amp; Group Retail, Site Systems</t>
        </is>
      </c>
      <c r="I5" s="220" t="inlineStr">
        <is>
          <t>Z</t>
        </is>
      </c>
      <c r="J5" s="306" t="inlineStr">
        <is>
          <t>Z Customer</t>
        </is>
      </c>
      <c r="K5" s="220" t="inlineStr">
        <is>
          <t>Site Systems</t>
        </is>
      </c>
      <c r="L5" s="306" t="n"/>
      <c r="M5" s="307" t="inlineStr">
        <is>
          <t>NZ</t>
        </is>
      </c>
      <c r="N5" s="308" t="inlineStr">
        <is>
          <t>CDB</t>
        </is>
      </c>
      <c r="O5" s="309" t="n">
        <v>1</v>
      </c>
      <c r="P5" s="308" t="n"/>
      <c r="Q5" s="309" t="inlineStr">
        <is>
          <t>Permanent - Full Time</t>
        </is>
      </c>
      <c r="R5" s="310" t="n"/>
      <c r="S5" s="310" t="n"/>
      <c r="T5" s="310" t="n">
        <v>86540</v>
      </c>
      <c r="U5" s="311" t="n">
        <v>79616.8</v>
      </c>
      <c r="V5" s="312" t="n">
        <v>0.1</v>
      </c>
      <c r="W5" s="309" t="n"/>
      <c r="X5" s="313" t="n">
        <v>0.05</v>
      </c>
      <c r="Y5" s="951" t="n">
        <v>2910</v>
      </c>
      <c r="Z5" s="313" t="n">
        <v>0.03</v>
      </c>
      <c r="AA5" s="952">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849">
      <c r="A6" s="250" t="n">
        <v>99999101548</v>
      </c>
      <c r="B6" s="220" t="inlineStr">
        <is>
          <t>Allana Arbuckle</t>
        </is>
      </c>
      <c r="C6" s="305" t="inlineStr">
        <is>
          <t>Business Analyst</t>
        </is>
      </c>
      <c r="D6" s="306" t="inlineStr">
        <is>
          <t>Vacant</t>
        </is>
      </c>
      <c r="E6" s="220" t="inlineStr">
        <is>
          <t>Delivery Manager, Z and Retail Data</t>
        </is>
      </c>
      <c r="F6" s="220" t="inlineStr">
        <is>
          <t>Ampol Retail &amp; Z</t>
        </is>
      </c>
      <c r="G6" s="306" t="inlineStr">
        <is>
          <t>Z &amp; Group Retail</t>
        </is>
      </c>
      <c r="H6" s="220" t="inlineStr">
        <is>
          <t>Z &amp; Group Retail, Delivery</t>
        </is>
      </c>
      <c r="I6" s="220" t="inlineStr">
        <is>
          <t>Z</t>
        </is>
      </c>
      <c r="J6" s="220" t="inlineStr">
        <is>
          <t>Z Customer</t>
        </is>
      </c>
      <c r="K6" s="220" t="inlineStr">
        <is>
          <t xml:space="preserve">Z Retail Backend </t>
        </is>
      </c>
      <c r="L6" s="306" t="n"/>
      <c r="M6" s="307" t="inlineStr">
        <is>
          <t>NZ</t>
        </is>
      </c>
      <c r="N6" s="308" t="inlineStr">
        <is>
          <t>CDB</t>
        </is>
      </c>
      <c r="O6" s="309" t="n">
        <v>1</v>
      </c>
      <c r="P6" s="308" t="n"/>
      <c r="Q6" s="309" t="inlineStr">
        <is>
          <t>Permanent - Full Time</t>
        </is>
      </c>
      <c r="R6" s="310" t="n"/>
      <c r="S6" s="310" t="n"/>
      <c r="T6" s="310" t="n">
        <v>100900</v>
      </c>
      <c r="U6" s="311" t="n">
        <v>92828</v>
      </c>
      <c r="V6" s="312" t="n">
        <v>0.1</v>
      </c>
      <c r="W6" s="309" t="n"/>
      <c r="X6" s="313" t="n">
        <v>0.05</v>
      </c>
      <c r="Y6" s="951" t="n">
        <v>2910</v>
      </c>
      <c r="Z6" s="313" t="n">
        <v>0.03</v>
      </c>
      <c r="AA6" s="952">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849">
      <c r="A7" s="250" t="n">
        <v>4534</v>
      </c>
      <c r="B7" s="220" t="inlineStr">
        <is>
          <t>Andrew Whitford</t>
        </is>
      </c>
      <c r="C7" s="305" t="inlineStr">
        <is>
          <t>Field Systems Operations Lead - WA</t>
        </is>
      </c>
      <c r="D7" s="220" t="inlineStr">
        <is>
          <t>Ephriam Adan</t>
        </is>
      </c>
      <c r="E7" s="220" t="inlineStr">
        <is>
          <t>Manager, AU Retail Operations</t>
        </is>
      </c>
      <c r="F7" s="220" t="inlineStr">
        <is>
          <t>Ampol Retail &amp; Z</t>
        </is>
      </c>
      <c r="G7" s="306" t="inlineStr">
        <is>
          <t>Ampol Retail</t>
        </is>
      </c>
      <c r="H7" s="220" t="inlineStr">
        <is>
          <t>Ampol Retail, Technology</t>
        </is>
      </c>
      <c r="I7" s="220" t="inlineStr">
        <is>
          <t>Retail</t>
        </is>
      </c>
      <c r="J7" s="306" t="inlineStr">
        <is>
          <t>Store Operations</t>
        </is>
      </c>
      <c r="K7" s="220" t="inlineStr">
        <is>
          <t>Store Operations</t>
        </is>
      </c>
      <c r="L7" s="306" t="n"/>
      <c r="M7" s="307" t="inlineStr">
        <is>
          <t>Australia</t>
        </is>
      </c>
      <c r="N7" s="310" t="inlineStr">
        <is>
          <t>CIA</t>
        </is>
      </c>
      <c r="O7" s="310" t="n">
        <v>1</v>
      </c>
      <c r="P7" s="310" t="n"/>
      <c r="Q7" s="310" t="inlineStr">
        <is>
          <t>Permanent - Full Time</t>
        </is>
      </c>
      <c r="R7" s="310" t="n"/>
      <c r="S7" s="310" t="n"/>
      <c r="T7" s="310" t="n">
        <v>124740</v>
      </c>
      <c r="U7" s="321" t="n">
        <v>124740</v>
      </c>
      <c r="V7" s="313" t="n">
        <v>0.1</v>
      </c>
      <c r="W7" s="953" t="n">
        <v>0.055</v>
      </c>
      <c r="X7" s="953" t="n">
        <v>0.12</v>
      </c>
      <c r="Y7" s="954" t="n"/>
      <c r="Z7" s="953" t="n">
        <v>0.04</v>
      </c>
      <c r="AA7" s="952">
        <f>U7*(1+V7+W7+X7+Y7+Z7)</f>
        <v>164033.1</v>
      </c>
      <c r="AC7" t="inlineStr">
        <is>
          <t>Ampol Retail</t>
        </is>
      </c>
      <c r="AD7" t="inlineStr">
        <is>
          <t>Store Operations</t>
        </is>
      </c>
      <c r="AE7" t="inlineStr">
        <is>
          <t>Store Operations</t>
        </is>
      </c>
      <c r="AF7" t="inlineStr">
        <is>
          <t>Squad</t>
        </is>
      </c>
      <c r="AG7" t="inlineStr">
        <is>
          <t>Filled</t>
        </is>
      </c>
    </row>
    <row r="8" hidden="1" ht="18" customHeight="1" s="849">
      <c r="A8" s="250" t="n">
        <v>111451</v>
      </c>
      <c r="B8" s="220" t="inlineStr">
        <is>
          <t>Aniket Banerji</t>
        </is>
      </c>
      <c r="C8" s="305" t="inlineStr">
        <is>
          <t>Deployment Lead</t>
        </is>
      </c>
      <c r="D8" s="220" t="inlineStr">
        <is>
          <t>Matthew Patane</t>
        </is>
      </c>
      <c r="E8" s="220" t="inlineStr">
        <is>
          <t>Release &amp; Deployment Manager</t>
        </is>
      </c>
      <c r="F8" s="220" t="inlineStr">
        <is>
          <t>Ampol Retail &amp; Z</t>
        </is>
      </c>
      <c r="G8" s="306" t="inlineStr">
        <is>
          <t>Ampol Retail</t>
        </is>
      </c>
      <c r="H8" s="220" t="inlineStr">
        <is>
          <t>Ampol Retail, Technology</t>
        </is>
      </c>
      <c r="I8" s="220" t="inlineStr">
        <is>
          <t>Retail</t>
        </is>
      </c>
      <c r="J8" s="306" t="inlineStr">
        <is>
          <t>Store Operations</t>
        </is>
      </c>
      <c r="K8" s="261" t="inlineStr">
        <is>
          <t>Deployment</t>
        </is>
      </c>
      <c r="L8" s="306" t="n"/>
      <c r="M8" s="307" t="inlineStr">
        <is>
          <t>Australia</t>
        </is>
      </c>
      <c r="N8" s="308" t="inlineStr">
        <is>
          <t>CIB</t>
        </is>
      </c>
      <c r="O8" s="308" t="n">
        <v>1</v>
      </c>
      <c r="P8" s="308" t="n"/>
      <c r="Q8" s="308" t="inlineStr">
        <is>
          <t>Temporary - Full Time</t>
        </is>
      </c>
      <c r="R8" s="310" t="n"/>
      <c r="S8" s="310" t="n"/>
      <c r="T8" s="310" t="n">
        <v>150000</v>
      </c>
      <c r="U8" s="321" t="n">
        <v>150000</v>
      </c>
      <c r="V8" s="313" t="n">
        <v>0.12</v>
      </c>
      <c r="W8" s="953" t="n">
        <v>0.055</v>
      </c>
      <c r="X8" s="953" t="n">
        <v>0.12</v>
      </c>
      <c r="Y8" s="954" t="n"/>
      <c r="Z8" s="953" t="n">
        <v>0.04</v>
      </c>
      <c r="AA8" s="952">
        <f>U8*(1+V8+W8+X8+Y8+Z8)</f>
        <v>200250.0</v>
      </c>
      <c r="AC8" t="inlineStr">
        <is>
          <t>Ampol Retail</t>
        </is>
      </c>
      <c r="AD8" t="inlineStr">
        <is>
          <t>Store Operations</t>
        </is>
      </c>
      <c r="AE8" t="inlineStr">
        <is>
          <t>Deployment</t>
        </is>
      </c>
      <c r="AF8" t="inlineStr">
        <is>
          <t>Squad</t>
        </is>
      </c>
      <c r="AG8" t="inlineStr">
        <is>
          <t>Filled</t>
        </is>
      </c>
    </row>
    <row r="9" hidden="1" ht="18" customHeight="1" s="849">
      <c r="A9" s="250" t="n">
        <v>99999101214</v>
      </c>
      <c r="B9" s="220" t="inlineStr">
        <is>
          <t>Anna Koot</t>
        </is>
      </c>
      <c r="C9" s="305" t="inlineStr">
        <is>
          <t>Senior Business Analyst</t>
        </is>
      </c>
      <c r="D9" s="306" t="inlineStr">
        <is>
          <t>Vacant</t>
        </is>
      </c>
      <c r="E9" s="220" t="inlineStr">
        <is>
          <t>Delivery Manager, Z and Retail Data</t>
        </is>
      </c>
      <c r="F9" s="220" t="inlineStr">
        <is>
          <t>Ampol Retail &amp; Z</t>
        </is>
      </c>
      <c r="G9" s="306" t="inlineStr">
        <is>
          <t>Z &amp; Group Retail</t>
        </is>
      </c>
      <c r="H9" s="220" t="inlineStr">
        <is>
          <t>Z &amp; Group Retail, Delivery</t>
        </is>
      </c>
      <c r="I9" s="220" t="inlineStr">
        <is>
          <t>Z</t>
        </is>
      </c>
      <c r="J9" s="306" t="inlineStr">
        <is>
          <t>Z Supply</t>
        </is>
      </c>
      <c r="K9" s="220" t="inlineStr">
        <is>
          <t>Z Supply</t>
        </is>
      </c>
      <c r="L9" s="306" t="n"/>
      <c r="M9" s="307" t="inlineStr">
        <is>
          <t>NZ</t>
        </is>
      </c>
      <c r="N9" s="308" t="inlineStr">
        <is>
          <t>CIA</t>
        </is>
      </c>
      <c r="O9" s="309" t="n">
        <v>1</v>
      </c>
      <c r="P9" s="308" t="n"/>
      <c r="Q9" s="309" t="inlineStr">
        <is>
          <t>Permanent - Full Time</t>
        </is>
      </c>
      <c r="R9" s="310" t="n"/>
      <c r="S9" s="310" t="n"/>
      <c r="T9" s="310" t="n">
        <v>133320</v>
      </c>
      <c r="U9" s="321" t="n">
        <v>122654.4</v>
      </c>
      <c r="V9" s="312" t="n">
        <v>0.15</v>
      </c>
      <c r="W9" s="309" t="n"/>
      <c r="X9" s="313" t="n">
        <v>0.05</v>
      </c>
      <c r="Y9" s="951" t="n">
        <v>2910</v>
      </c>
      <c r="Z9" s="313" t="n">
        <v>0.03</v>
      </c>
      <c r="AA9" s="952">
        <f>U9*(1+V9+X9+Z9)+Y9</f>
        <v>153774.91199999998</v>
      </c>
      <c r="AB9" t="n">
        <v>113512</v>
      </c>
      <c r="AC9" t="inlineStr">
        <is>
          <t>Z Retail</t>
        </is>
      </c>
      <c r="AD9" t="inlineStr">
        <is>
          <t>Z Supply</t>
        </is>
      </c>
      <c r="AE9" t="inlineStr">
        <is>
          <t>Z Supply</t>
        </is>
      </c>
      <c r="AF9" t="inlineStr">
        <is>
          <t>Squad</t>
        </is>
      </c>
      <c r="AG9" t="inlineStr">
        <is>
          <t>Filled</t>
        </is>
      </c>
    </row>
    <row r="10" hidden="1" ht="18" customHeight="1" s="849">
      <c r="A10" s="250" t="n">
        <v>9999970029518</v>
      </c>
      <c r="B10" s="220" t="inlineStr">
        <is>
          <t>Anne Pretorius</t>
        </is>
      </c>
      <c r="C10" s="305" t="inlineStr">
        <is>
          <t>Lead Business Analyst</t>
        </is>
      </c>
      <c r="D10" s="306" t="inlineStr">
        <is>
          <t>Vacant</t>
        </is>
      </c>
      <c r="E10" s="220" t="inlineStr">
        <is>
          <t>Delivery Manager, Z and Retail Data</t>
        </is>
      </c>
      <c r="F10" s="220" t="inlineStr">
        <is>
          <t>Ampol Retail &amp; Z</t>
        </is>
      </c>
      <c r="G10" s="306" t="inlineStr">
        <is>
          <t>Z &amp; Group Retail</t>
        </is>
      </c>
      <c r="H10" s="220" t="inlineStr">
        <is>
          <t>Z &amp; Group Retail, Delivery</t>
        </is>
      </c>
      <c r="I10" s="220" t="inlineStr">
        <is>
          <t>EGI Integration</t>
        </is>
      </c>
      <c r="J10" s="306" t="inlineStr">
        <is>
          <t>EGI</t>
        </is>
      </c>
      <c r="K10" s="220" t="inlineStr">
        <is>
          <t>EGI</t>
        </is>
      </c>
      <c r="L10" s="306" t="n"/>
      <c r="M10" s="307" t="inlineStr">
        <is>
          <t>NZ</t>
        </is>
      </c>
      <c r="N10" s="308" t="inlineStr">
        <is>
          <t>CIC</t>
        </is>
      </c>
      <c r="O10" s="309" t="n">
        <v>0.8</v>
      </c>
      <c r="P10" s="308" t="n"/>
      <c r="Q10" s="309" t="inlineStr">
        <is>
          <t>Permanent - Part Time</t>
        </is>
      </c>
      <c r="R10" s="310" t="n"/>
      <c r="S10" s="310" t="n"/>
      <c r="T10" s="310" t="n">
        <v>170290</v>
      </c>
      <c r="U10" s="321" t="n">
        <v>156666.8</v>
      </c>
      <c r="V10" s="312" t="n">
        <v>0.15</v>
      </c>
      <c r="W10" s="309" t="n"/>
      <c r="X10" s="313" t="n">
        <v>0.05</v>
      </c>
      <c r="Y10" s="951" t="n">
        <v>2910</v>
      </c>
      <c r="Z10" s="313" t="n">
        <v>0.03</v>
      </c>
      <c r="AA10" s="952">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849">
      <c r="A11" s="250" t="n">
        <v>110197</v>
      </c>
      <c r="B11" s="220" t="inlineStr">
        <is>
          <t>Anthony Dumbrell</t>
        </is>
      </c>
      <c r="C11" s="305" t="inlineStr">
        <is>
          <t>Technology &amp; Lab Specialist Stores</t>
        </is>
      </c>
      <c r="D11" s="220" t="inlineStr">
        <is>
          <t>Vedran Jukic</t>
        </is>
      </c>
      <c r="E11" s="220" t="inlineStr">
        <is>
          <t>Technology Manager, Retail</t>
        </is>
      </c>
      <c r="F11" s="220" t="inlineStr">
        <is>
          <t>Ampol Retail &amp; Z</t>
        </is>
      </c>
      <c r="G11" s="306" t="inlineStr">
        <is>
          <t>Ampol Retail</t>
        </is>
      </c>
      <c r="H11" s="220" t="inlineStr">
        <is>
          <t>Ampol Retail, Technology</t>
        </is>
      </c>
      <c r="I11" s="220" t="inlineStr">
        <is>
          <t>Retail</t>
        </is>
      </c>
      <c r="J11" s="306" t="inlineStr">
        <is>
          <t>Store Operations</t>
        </is>
      </c>
      <c r="K11" s="220" t="inlineStr">
        <is>
          <t>Deployment</t>
        </is>
      </c>
      <c r="L11" s="306" t="n"/>
      <c r="M11" s="307" t="inlineStr">
        <is>
          <t>Australia</t>
        </is>
      </c>
      <c r="N11" s="308" t="inlineStr">
        <is>
          <t>CIB</t>
        </is>
      </c>
      <c r="O11" s="308" t="n">
        <v>1</v>
      </c>
      <c r="P11" s="308" t="n"/>
      <c r="Q11" s="308" t="inlineStr">
        <is>
          <t>Permanent - Full Time</t>
        </is>
      </c>
      <c r="R11" s="310" t="n"/>
      <c r="S11" s="310" t="n"/>
      <c r="T11" s="310" t="n">
        <v>154360</v>
      </c>
      <c r="U11" s="321" t="n">
        <v>154360</v>
      </c>
      <c r="V11" s="313" t="n">
        <v>0.12</v>
      </c>
      <c r="W11" s="953" t="n">
        <v>0.055</v>
      </c>
      <c r="X11" s="953" t="n">
        <v>0.12</v>
      </c>
      <c r="Y11" s="954" t="n"/>
      <c r="Z11" s="953" t="n">
        <v>0.04</v>
      </c>
      <c r="AA11" s="952">
        <f>U11*(1+V11+W11+X11+Y11+Z11)</f>
        <v>206070.6</v>
      </c>
      <c r="AC11" t="inlineStr">
        <is>
          <t>Ampol Retail</t>
        </is>
      </c>
      <c r="AD11" t="inlineStr">
        <is>
          <t>Store Operations</t>
        </is>
      </c>
      <c r="AE11" t="inlineStr">
        <is>
          <t>Deployment</t>
        </is>
      </c>
      <c r="AF11" t="inlineStr">
        <is>
          <t>Squad</t>
        </is>
      </c>
      <c r="AG11" t="inlineStr">
        <is>
          <t>Filled</t>
        </is>
      </c>
    </row>
    <row r="12" hidden="1" ht="18" customHeight="1" s="849">
      <c r="A12" s="250" t="n">
        <v>99999101647</v>
      </c>
      <c r="B12" s="220" t="inlineStr">
        <is>
          <t>Ash Muthumala</t>
        </is>
      </c>
      <c r="C12" s="305" t="inlineStr">
        <is>
          <t>Senior QA Analyst</t>
        </is>
      </c>
      <c r="D12" s="306" t="inlineStr">
        <is>
          <t>Vacant</t>
        </is>
      </c>
      <c r="E12" s="220" t="inlineStr">
        <is>
          <t>Technology Manager, Data</t>
        </is>
      </c>
      <c r="F12" s="220" t="inlineStr">
        <is>
          <t>Ampol Retail &amp; Z</t>
        </is>
      </c>
      <c r="G12" s="306" t="inlineStr">
        <is>
          <t>Z &amp; Group Retail</t>
        </is>
      </c>
      <c r="H12" t="inlineStr">
        <is>
          <t>Z &amp; Group Retail, Data</t>
        </is>
      </c>
      <c r="I12" s="220" t="inlineStr">
        <is>
          <t>Z</t>
        </is>
      </c>
      <c r="J12" s="306" t="inlineStr">
        <is>
          <t>Z Customer &amp; Z Supply</t>
        </is>
      </c>
      <c r="K12" s="220" t="inlineStr">
        <is>
          <t>Data - NZ</t>
        </is>
      </c>
      <c r="L12" s="306" t="n"/>
      <c r="M12" s="307" t="inlineStr">
        <is>
          <t>NZ</t>
        </is>
      </c>
      <c r="N12" s="308" t="inlineStr">
        <is>
          <t>CIA</t>
        </is>
      </c>
      <c r="O12" s="309" t="n">
        <v>1</v>
      </c>
      <c r="P12" s="308" t="n"/>
      <c r="Q12" s="309" t="inlineStr">
        <is>
          <t>Permanent - Full Time</t>
        </is>
      </c>
      <c r="R12" s="310" t="n"/>
      <c r="S12" s="310" t="n"/>
      <c r="T12" s="310" t="n">
        <v>121830</v>
      </c>
      <c r="U12" s="321" t="n">
        <v>112083.6</v>
      </c>
      <c r="V12" s="312" t="n">
        <v>0.15</v>
      </c>
      <c r="W12" s="309" t="n"/>
      <c r="X12" s="313" t="n">
        <v>0.05</v>
      </c>
      <c r="Y12" s="951" t="n">
        <v>2910</v>
      </c>
      <c r="Z12" s="313" t="n">
        <v>0.03</v>
      </c>
      <c r="AA12" s="952">
        <f>U12*(1+V12+X12+Z12)+Y12</f>
        <v>140772.828</v>
      </c>
      <c r="AB12" t="n">
        <v>113515</v>
      </c>
      <c r="AC12" t="inlineStr">
        <is>
          <t>Z Retail</t>
        </is>
      </c>
      <c r="AD12" t="inlineStr">
        <is>
          <t>-</t>
        </is>
      </c>
      <c r="AE12" t="inlineStr">
        <is>
          <t>Data NZ</t>
        </is>
      </c>
      <c r="AF12" t="inlineStr">
        <is>
          <t>Unmapped</t>
        </is>
      </c>
      <c r="AG12" t="inlineStr">
        <is>
          <t>Filled</t>
        </is>
      </c>
    </row>
    <row r="13" hidden="1" ht="18" customHeight="1" s="849">
      <c r="A13" s="250" t="n">
        <v>97784</v>
      </c>
      <c r="B13" s="220" t="inlineStr">
        <is>
          <t>Balaji Murugan</t>
        </is>
      </c>
      <c r="C13" s="305" t="inlineStr">
        <is>
          <t>Delivery Lead</t>
        </is>
      </c>
      <c r="D13" s="220" t="inlineStr">
        <is>
          <t>Vanessa Allen</t>
        </is>
      </c>
      <c r="E13" s="220" t="inlineStr">
        <is>
          <t>Delivery Manager, Ampol Retail</t>
        </is>
      </c>
      <c r="F13" s="220" t="inlineStr">
        <is>
          <t>Ampol Retail &amp; Z</t>
        </is>
      </c>
      <c r="G13" s="306" t="inlineStr">
        <is>
          <t>Ampol Retail</t>
        </is>
      </c>
      <c r="H13" s="220" t="inlineStr">
        <is>
          <t>Ampol Retail, Delivery</t>
        </is>
      </c>
      <c r="I13" s="220" t="inlineStr">
        <is>
          <t>Retail</t>
        </is>
      </c>
      <c r="J13" s="306" t="inlineStr">
        <is>
          <t>AMPOS</t>
        </is>
      </c>
      <c r="K13" s="220" t="inlineStr">
        <is>
          <t>Ampos</t>
        </is>
      </c>
      <c r="L13" s="306" t="n"/>
      <c r="M13" s="307" t="inlineStr">
        <is>
          <t>Australia</t>
        </is>
      </c>
      <c r="N13" s="308" t="inlineStr">
        <is>
          <t>CIC</t>
        </is>
      </c>
      <c r="O13" s="308" t="n">
        <v>1</v>
      </c>
      <c r="P13" s="308" t="n"/>
      <c r="Q13" s="308" t="inlineStr">
        <is>
          <t>Permanent - Full Time</t>
        </is>
      </c>
      <c r="R13" s="310" t="n"/>
      <c r="S13" s="310" t="n"/>
      <c r="T13" s="310" t="n">
        <v>178018</v>
      </c>
      <c r="U13" s="321" t="n">
        <v>178018</v>
      </c>
      <c r="V13" s="313" t="n">
        <v>0.12</v>
      </c>
      <c r="W13" s="953" t="n">
        <v>0.055</v>
      </c>
      <c r="X13" s="953" t="n">
        <v>0.12</v>
      </c>
      <c r="Y13" s="954" t="n"/>
      <c r="Z13" s="953" t="n">
        <v>0.04</v>
      </c>
      <c r="AA13" s="952">
        <f>U13*(1+V13+W13+X13+Y13+Z13)</f>
        <v>237654.03</v>
      </c>
      <c r="AC13" t="inlineStr">
        <is>
          <t>Ampol Retail</t>
        </is>
      </c>
      <c r="AD13" t="inlineStr">
        <is>
          <t>AmPOS</t>
        </is>
      </c>
      <c r="AE13" t="inlineStr">
        <is>
          <t>AmPOS</t>
        </is>
      </c>
      <c r="AF13" t="inlineStr">
        <is>
          <t>Strategic Program</t>
        </is>
      </c>
      <c r="AG13" t="inlineStr">
        <is>
          <t>Filled</t>
        </is>
      </c>
    </row>
    <row r="14" hidden="1" ht="18" customHeight="1" s="849">
      <c r="A14" s="250" t="n">
        <v>97847</v>
      </c>
      <c r="B14" s="220" t="inlineStr">
        <is>
          <t>Beenu Murali</t>
        </is>
      </c>
      <c r="C14" s="305" t="inlineStr">
        <is>
          <t>Quality Assurance</t>
        </is>
      </c>
      <c r="D14" s="306" t="inlineStr">
        <is>
          <t>Vacant</t>
        </is>
      </c>
      <c r="E14" s="220" t="inlineStr">
        <is>
          <t>Lead Quality Assurance</t>
        </is>
      </c>
      <c r="F14" s="220" t="inlineStr">
        <is>
          <t>Ampol Retail &amp; Z</t>
        </is>
      </c>
      <c r="G14" s="306" t="inlineStr">
        <is>
          <t>Ampol Retail</t>
        </is>
      </c>
      <c r="H14" s="220" t="inlineStr">
        <is>
          <t>Ampol Retail, Store Platforms</t>
        </is>
      </c>
      <c r="I14" s="220" t="inlineStr">
        <is>
          <t>Retail</t>
        </is>
      </c>
      <c r="J14" s="306" t="inlineStr">
        <is>
          <t>Store Operations</t>
        </is>
      </c>
      <c r="K14" s="220" t="inlineStr">
        <is>
          <t>Payments</t>
        </is>
      </c>
      <c r="L14" s="306" t="n"/>
      <c r="M14" s="307" t="inlineStr">
        <is>
          <t>Australia</t>
        </is>
      </c>
      <c r="N14" s="308" t="inlineStr">
        <is>
          <t>CDC</t>
        </is>
      </c>
      <c r="O14" s="308" t="n">
        <v>1</v>
      </c>
      <c r="P14" s="308" t="n"/>
      <c r="Q14" s="308" t="inlineStr">
        <is>
          <t>Permanent - Full Time</t>
        </is>
      </c>
      <c r="R14" s="310" t="n"/>
      <c r="S14" s="310" t="n"/>
      <c r="T14" s="310" t="n">
        <v>111090</v>
      </c>
      <c r="U14" s="321" t="n">
        <v>111090</v>
      </c>
      <c r="V14" s="313" t="n">
        <v>0.1</v>
      </c>
      <c r="W14" s="953" t="n">
        <v>0.055</v>
      </c>
      <c r="X14" s="953" t="n">
        <v>0.12</v>
      </c>
      <c r="Y14" s="954" t="n"/>
      <c r="Z14" s="953" t="n">
        <v>0.04</v>
      </c>
      <c r="AA14" s="952">
        <f>U14*(1+V14+W14+X14+Y14+Z14)</f>
        <v>146083.35</v>
      </c>
      <c r="AC14" t="inlineStr">
        <is>
          <t>Ampol Retail</t>
        </is>
      </c>
      <c r="AD14" t="inlineStr">
        <is>
          <t>Store Operations</t>
        </is>
      </c>
      <c r="AE14" t="inlineStr">
        <is>
          <t>Payments</t>
        </is>
      </c>
      <c r="AF14" t="inlineStr">
        <is>
          <t>Squad</t>
        </is>
      </c>
      <c r="AG14" t="inlineStr">
        <is>
          <t>Filled</t>
        </is>
      </c>
    </row>
    <row r="15" hidden="1" ht="18" customHeight="1" s="849">
      <c r="A15" s="250" t="n">
        <v>99999101333</v>
      </c>
      <c r="B15" s="220" t="inlineStr">
        <is>
          <t>Benjamin Sheffield</t>
        </is>
      </c>
      <c r="C15" s="305" t="inlineStr">
        <is>
          <t>Lead Engineer - Software</t>
        </is>
      </c>
      <c r="D15" s="220" t="inlineStr">
        <is>
          <t>Vacant</t>
        </is>
      </c>
      <c r="E15" s="220" t="inlineStr">
        <is>
          <t>Technology Manager, Engineering</t>
        </is>
      </c>
      <c r="F15" s="220" t="inlineStr">
        <is>
          <t>Ampol Retail &amp; Z</t>
        </is>
      </c>
      <c r="G15" s="306" t="inlineStr">
        <is>
          <t>Z &amp; Group Retail</t>
        </is>
      </c>
      <c r="H15" s="220" t="inlineStr">
        <is>
          <t>Z &amp; Group Retail, Engineering</t>
        </is>
      </c>
      <c r="I15" s="220" t="inlineStr">
        <is>
          <t>Z</t>
        </is>
      </c>
      <c r="J15" s="306" t="inlineStr">
        <is>
          <t>Z Supply</t>
        </is>
      </c>
      <c r="K15" s="220" t="inlineStr">
        <is>
          <t>Z Supply</t>
        </is>
      </c>
      <c r="L15" s="306" t="n"/>
      <c r="M15" s="307" t="inlineStr">
        <is>
          <t>NZ</t>
        </is>
      </c>
      <c r="N15" s="308" t="inlineStr">
        <is>
          <t>CIC</t>
        </is>
      </c>
      <c r="O15" s="309" t="n">
        <v>1</v>
      </c>
      <c r="P15" s="308" t="n"/>
      <c r="Q15" s="309" t="inlineStr">
        <is>
          <t>Permanent - Full Time</t>
        </is>
      </c>
      <c r="R15" s="310" t="n"/>
      <c r="S15" s="310" t="n"/>
      <c r="T15" s="310" t="n">
        <v>160250</v>
      </c>
      <c r="U15" s="321" t="n">
        <v>147430</v>
      </c>
      <c r="V15" s="312" t="n">
        <v>0.15</v>
      </c>
      <c r="W15" s="309" t="n"/>
      <c r="X15" s="313" t="n">
        <v>0.05</v>
      </c>
      <c r="Y15" s="951" t="n">
        <v>2910</v>
      </c>
      <c r="Z15" s="313" t="n">
        <v>0.03</v>
      </c>
      <c r="AA15" s="952">
        <f>U15*(1+V15+X15+Z15)+Y15</f>
        <v>184248.9</v>
      </c>
      <c r="AB15" t="n">
        <v>113518</v>
      </c>
      <c r="AC15" t="inlineStr">
        <is>
          <t>Z Retail</t>
        </is>
      </c>
      <c r="AD15" t="inlineStr">
        <is>
          <t>Z Supply</t>
        </is>
      </c>
      <c r="AE15" t="inlineStr">
        <is>
          <t>Z Supply</t>
        </is>
      </c>
      <c r="AF15" t="inlineStr">
        <is>
          <t>Squad</t>
        </is>
      </c>
      <c r="AG15" t="inlineStr">
        <is>
          <t>Filled</t>
        </is>
      </c>
    </row>
    <row r="16" hidden="1" ht="18" customHeight="1" s="849">
      <c r="A16" s="250" t="inlineStr">
        <is>
          <t>C</t>
        </is>
      </c>
      <c r="B16" s="220" t="inlineStr">
        <is>
          <t>Bhaskar Nandi</t>
        </is>
      </c>
      <c r="C16" s="305" t="inlineStr">
        <is>
          <t>Business Analyst</t>
        </is>
      </c>
      <c r="D16" s="220" t="inlineStr">
        <is>
          <t>Vanessa Allen</t>
        </is>
      </c>
      <c r="E16" s="220" t="inlineStr">
        <is>
          <t>Delivery Manager, Ampol Retail</t>
        </is>
      </c>
      <c r="F16" s="220" t="inlineStr">
        <is>
          <t>Ampol Retail &amp; Z</t>
        </is>
      </c>
      <c r="G16" s="306" t="inlineStr">
        <is>
          <t>Ampol Retail</t>
        </is>
      </c>
      <c r="H16" s="220" t="inlineStr">
        <is>
          <t>Ampol Retail, Delivery</t>
        </is>
      </c>
      <c r="I16" s="220" t="inlineStr">
        <is>
          <t>EGI Integration</t>
        </is>
      </c>
      <c r="J16" s="306" t="inlineStr">
        <is>
          <t>EGI</t>
        </is>
      </c>
      <c r="K16" s="220" t="inlineStr">
        <is>
          <t>EGI</t>
        </is>
      </c>
      <c r="L16" s="306" t="n"/>
      <c r="M16" s="307" t="inlineStr">
        <is>
          <t>Australia</t>
        </is>
      </c>
      <c r="N16" s="310" t="inlineStr">
        <is>
          <t>NA</t>
        </is>
      </c>
      <c r="O16" s="308" t="n">
        <v>1</v>
      </c>
      <c r="P16" s="310" t="n"/>
      <c r="Q16" s="310" t="inlineStr">
        <is>
          <t>cxc</t>
        </is>
      </c>
      <c r="R16" s="319" t="inlineStr">
        <is>
          <t>Daily</t>
        </is>
      </c>
      <c r="S16" s="310" t="n">
        <v>900</v>
      </c>
      <c r="T16" s="310" t="n">
        <v>0</v>
      </c>
      <c r="U16" s="322" t="n"/>
      <c r="V16" s="306" t="n"/>
      <c r="W16" s="306" t="n"/>
      <c r="X16" s="306" t="n"/>
      <c r="Y16" s="306" t="n"/>
      <c r="Z16" s="306" t="n"/>
      <c r="AA16" s="320">
        <f>S16*222</f>
        <v>199800.0</v>
      </c>
      <c r="AC16" t="inlineStr">
        <is>
          <t>EGI</t>
        </is>
      </c>
      <c r="AD16" t="inlineStr">
        <is>
          <t>EGI</t>
        </is>
      </c>
      <c r="AE16" t="inlineStr">
        <is>
          <t>EGI (unassigned)</t>
        </is>
      </c>
      <c r="AF16" t="inlineStr">
        <is>
          <t>Unmapped</t>
        </is>
      </c>
      <c r="AG16" t="inlineStr">
        <is>
          <t>Filled</t>
        </is>
      </c>
    </row>
    <row r="17" hidden="1" ht="18" customHeight="1" s="849">
      <c r="A17" s="250" t="n">
        <v>99999101553</v>
      </c>
      <c r="B17" s="220" t="inlineStr">
        <is>
          <t>Bradley Cunningham</t>
        </is>
      </c>
      <c r="C17" s="305" t="inlineStr">
        <is>
          <t>Site Systems Analyst</t>
        </is>
      </c>
      <c r="D17" s="220" t="inlineStr">
        <is>
          <t>Callan McLaughlin</t>
        </is>
      </c>
      <c r="E17" s="220" t="inlineStr">
        <is>
          <t>Technology Manager,  Site Systems</t>
        </is>
      </c>
      <c r="F17" s="220" t="inlineStr">
        <is>
          <t>Ampol Retail &amp; Z</t>
        </is>
      </c>
      <c r="G17" s="306" t="inlineStr">
        <is>
          <t>Z &amp; Group Retail</t>
        </is>
      </c>
      <c r="H17" s="220" t="inlineStr">
        <is>
          <t>Z &amp; Group Retail, Site Systems</t>
        </is>
      </c>
      <c r="I17" s="220" t="inlineStr">
        <is>
          <t>Z</t>
        </is>
      </c>
      <c r="J17" s="306" t="inlineStr">
        <is>
          <t>Z Customer</t>
        </is>
      </c>
      <c r="K17" s="220" t="inlineStr">
        <is>
          <t>Site Systems</t>
        </is>
      </c>
      <c r="L17" s="306" t="n"/>
      <c r="M17" s="307" t="inlineStr">
        <is>
          <t>NZ</t>
        </is>
      </c>
      <c r="N17" s="308" t="inlineStr">
        <is>
          <t>CDC</t>
        </is>
      </c>
      <c r="O17" s="309" t="n">
        <v>1</v>
      </c>
      <c r="P17" s="308" t="n"/>
      <c r="Q17" s="309" t="inlineStr">
        <is>
          <t>Permanent - Full Time</t>
        </is>
      </c>
      <c r="R17" s="310" t="n"/>
      <c r="S17" s="310" t="n"/>
      <c r="T17" s="310" t="n">
        <v>96110</v>
      </c>
      <c r="U17" s="311" t="n">
        <v>88421.2</v>
      </c>
      <c r="V17" s="312" t="n">
        <v>0.1</v>
      </c>
      <c r="W17" s="309" t="n"/>
      <c r="X17" s="313" t="n">
        <v>0.05</v>
      </c>
      <c r="Y17" s="951" t="n">
        <v>2910</v>
      </c>
      <c r="Z17" s="313" t="n">
        <v>0.03</v>
      </c>
      <c r="AA17" s="952">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849">
      <c r="A18" s="250" t="n">
        <v>99999101959</v>
      </c>
      <c r="B18" s="220" t="inlineStr">
        <is>
          <t>Brian Lai</t>
        </is>
      </c>
      <c r="C18" s="305" t="inlineStr">
        <is>
          <t>Engineer - Data</t>
        </is>
      </c>
      <c r="D18" s="306" t="inlineStr">
        <is>
          <t>Vacant</t>
        </is>
      </c>
      <c r="E18" s="220" t="inlineStr">
        <is>
          <t>Technology Manager, Data</t>
        </is>
      </c>
      <c r="F18" s="220" t="inlineStr">
        <is>
          <t>Ampol Retail &amp; Z</t>
        </is>
      </c>
      <c r="G18" s="306" t="inlineStr">
        <is>
          <t>Z &amp; Group Retail</t>
        </is>
      </c>
      <c r="H18" s="220" t="inlineStr">
        <is>
          <t>Z &amp; Group Retail, Data</t>
        </is>
      </c>
      <c r="I18" s="220" t="inlineStr">
        <is>
          <t>Z</t>
        </is>
      </c>
      <c r="J18" s="306" t="inlineStr">
        <is>
          <t>Z Customer &amp; Z Supply</t>
        </is>
      </c>
      <c r="K18" s="220" t="inlineStr">
        <is>
          <t>Data - NZ</t>
        </is>
      </c>
      <c r="L18" s="306" t="n"/>
      <c r="M18" s="307" t="inlineStr">
        <is>
          <t>NZ</t>
        </is>
      </c>
      <c r="N18" s="308" t="inlineStr">
        <is>
          <t>CIA</t>
        </is>
      </c>
      <c r="O18" s="309" t="n">
        <v>1</v>
      </c>
      <c r="P18" s="308" t="n"/>
      <c r="Q18" s="309" t="inlineStr">
        <is>
          <t>Permanent - Full Time</t>
        </is>
      </c>
      <c r="R18" s="310" t="n"/>
      <c r="S18" s="310" t="n"/>
      <c r="T18" s="310" t="n">
        <v>135000</v>
      </c>
      <c r="U18" s="311" t="n">
        <v>124200</v>
      </c>
      <c r="V18" s="312" t="n">
        <v>0.15</v>
      </c>
      <c r="W18" s="309" t="n"/>
      <c r="X18" s="313" t="n">
        <v>0.05</v>
      </c>
      <c r="Y18" s="951" t="n">
        <v>2910</v>
      </c>
      <c r="Z18" s="313" t="n">
        <v>0.03</v>
      </c>
      <c r="AA18" s="952">
        <f>U18*(1+V18+X18+Z18)+Y18</f>
        <v>155676.0</v>
      </c>
      <c r="AB18" t="n">
        <v>113523</v>
      </c>
      <c r="AC18" t="inlineStr">
        <is>
          <t>Z Retail</t>
        </is>
      </c>
      <c r="AD18" t="inlineStr">
        <is>
          <t>-</t>
        </is>
      </c>
      <c r="AE18" t="inlineStr">
        <is>
          <t>Data NZ</t>
        </is>
      </c>
      <c r="AF18" t="inlineStr">
        <is>
          <t>Unmapped</t>
        </is>
      </c>
      <c r="AG18" t="inlineStr">
        <is>
          <t>Filled</t>
        </is>
      </c>
    </row>
    <row r="19" hidden="1" ht="18" customHeight="1" s="849">
      <c r="A19" s="250" t="n">
        <v>99999100418</v>
      </c>
      <c r="B19" s="323" t="inlineStr">
        <is>
          <t>Callan McLaughlin</t>
        </is>
      </c>
      <c r="C19" s="324" t="inlineStr">
        <is>
          <t>Technology Manager, Site Systems</t>
        </is>
      </c>
      <c r="D19" s="306" t="inlineStr">
        <is>
          <t>vacant</t>
        </is>
      </c>
      <c r="E19" s="306" t="inlineStr">
        <is>
          <t>Head of Technology, Z and Group Retail Platforms</t>
        </is>
      </c>
      <c r="F19" s="220" t="inlineStr">
        <is>
          <t>Ampol Retail &amp; Z</t>
        </is>
      </c>
      <c r="G19" s="306" t="inlineStr">
        <is>
          <t>Z &amp; Group Retail</t>
        </is>
      </c>
      <c r="H19" s="220" t="inlineStr">
        <is>
          <t>Z &amp; Group Retail, Site Systems</t>
        </is>
      </c>
      <c r="I19" s="220" t="inlineStr">
        <is>
          <t>Z</t>
        </is>
      </c>
      <c r="J19" s="306" t="inlineStr">
        <is>
          <t>Z Customer &amp; Z Supply</t>
        </is>
      </c>
      <c r="K19" s="306" t="inlineStr">
        <is>
          <t>Leadership</t>
        </is>
      </c>
      <c r="L19" s="306" t="n"/>
      <c r="M19" s="307" t="inlineStr">
        <is>
          <t>NZ</t>
        </is>
      </c>
      <c r="N19" s="308" t="inlineStr">
        <is>
          <t>CSB</t>
        </is>
      </c>
      <c r="O19" s="309" t="n">
        <v>1</v>
      </c>
      <c r="P19" s="308" t="n"/>
      <c r="Q19" s="309" t="inlineStr">
        <is>
          <t>Permanent - Full Time</t>
        </is>
      </c>
      <c r="R19" s="310" t="n"/>
      <c r="S19" s="310" t="n"/>
      <c r="T19" s="310" t="n">
        <v>183480</v>
      </c>
      <c r="U19" s="311" t="n">
        <v>168801.6</v>
      </c>
      <c r="V19" s="312" t="n">
        <v>0.15</v>
      </c>
      <c r="W19" s="309" t="n"/>
      <c r="X19" s="313" t="n">
        <v>0.05</v>
      </c>
      <c r="Y19" s="951" t="n">
        <v>2910</v>
      </c>
      <c r="Z19" s="313" t="n">
        <v>0.03</v>
      </c>
      <c r="AA19" s="952">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849">
      <c r="A20" s="250" t="n">
        <v>99999100975</v>
      </c>
      <c r="B20" s="220" t="inlineStr">
        <is>
          <t>Chris Mitchell</t>
        </is>
      </c>
      <c r="C20" s="305" t="inlineStr">
        <is>
          <t>Deployment Lead</t>
        </is>
      </c>
      <c r="D20" s="220" t="inlineStr">
        <is>
          <t>Callan McLaughlin</t>
        </is>
      </c>
      <c r="E20" s="220" t="inlineStr">
        <is>
          <t>Technology Manager,  Site Systems</t>
        </is>
      </c>
      <c r="F20" s="220" t="inlineStr">
        <is>
          <t>Ampol Retail &amp; Z</t>
        </is>
      </c>
      <c r="G20" s="306" t="inlineStr">
        <is>
          <t>Z &amp; Group Retail</t>
        </is>
      </c>
      <c r="H20" s="220" t="inlineStr">
        <is>
          <t>Z &amp; Group Retail, Site Systems</t>
        </is>
      </c>
      <c r="I20" s="220" t="inlineStr">
        <is>
          <t>Z</t>
        </is>
      </c>
      <c r="J20" s="306" t="inlineStr">
        <is>
          <t>Z Customer</t>
        </is>
      </c>
      <c r="K20" s="220" t="inlineStr">
        <is>
          <t>Site Systems</t>
        </is>
      </c>
      <c r="L20" s="306" t="n"/>
      <c r="M20" s="307" t="inlineStr">
        <is>
          <t>NZ</t>
        </is>
      </c>
      <c r="N20" s="308" t="inlineStr">
        <is>
          <t>CIA</t>
        </is>
      </c>
      <c r="O20" s="309" t="n">
        <v>1</v>
      </c>
      <c r="P20" s="308" t="n"/>
      <c r="Q20" s="309" t="inlineStr">
        <is>
          <t>Permanent - Full Time</t>
        </is>
      </c>
      <c r="R20" s="310" t="n"/>
      <c r="S20" s="310" t="n"/>
      <c r="T20" s="310" t="n">
        <v>118000</v>
      </c>
      <c r="U20" s="311" t="n">
        <v>108560</v>
      </c>
      <c r="V20" s="312" t="n">
        <v>0.15</v>
      </c>
      <c r="W20" s="309" t="n"/>
      <c r="X20" s="313" t="n">
        <v>0.05</v>
      </c>
      <c r="Y20" s="951" t="n">
        <v>2910</v>
      </c>
      <c r="Z20" s="313" t="n">
        <v>0.03</v>
      </c>
      <c r="AA20" s="952">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849">
      <c r="A21" s="250" t="n">
        <v>99999101233</v>
      </c>
      <c r="B21" s="220" t="inlineStr">
        <is>
          <t>Chris Wilson</t>
        </is>
      </c>
      <c r="C21" s="305" t="inlineStr">
        <is>
          <t>Solution Architect</t>
        </is>
      </c>
      <c r="D21" s="220" t="inlineStr">
        <is>
          <t>Callan McLaughlin</t>
        </is>
      </c>
      <c r="E21" s="220" t="inlineStr">
        <is>
          <t>Technology Manager,  Site Systems</t>
        </is>
      </c>
      <c r="F21" s="220" t="inlineStr">
        <is>
          <t>Ampol Retail &amp; Z</t>
        </is>
      </c>
      <c r="G21" s="306" t="inlineStr">
        <is>
          <t>Z &amp; Group Retail</t>
        </is>
      </c>
      <c r="H21" s="220" t="inlineStr">
        <is>
          <t>Z &amp; Group Retail, Site Systems</t>
        </is>
      </c>
      <c r="I21" s="220" t="inlineStr">
        <is>
          <t>Z</t>
        </is>
      </c>
      <c r="J21" s="306" t="inlineStr">
        <is>
          <t>Z Customer</t>
        </is>
      </c>
      <c r="K21" s="220" t="inlineStr">
        <is>
          <t>Site Systems</t>
        </is>
      </c>
      <c r="L21" s="306" t="n"/>
      <c r="M21" s="307" t="inlineStr">
        <is>
          <t>NZ</t>
        </is>
      </c>
      <c r="N21" s="308" t="inlineStr">
        <is>
          <t>CIC</t>
        </is>
      </c>
      <c r="O21" s="309" t="n">
        <v>1</v>
      </c>
      <c r="P21" s="308" t="n"/>
      <c r="Q21" s="309" t="inlineStr">
        <is>
          <t>Permanent - Full Time</t>
        </is>
      </c>
      <c r="R21" s="310" t="n"/>
      <c r="S21" s="310" t="n"/>
      <c r="T21" s="310" t="n">
        <v>161990</v>
      </c>
      <c r="U21" s="321" t="n">
        <v>149030.8</v>
      </c>
      <c r="V21" s="312" t="n">
        <v>0.15</v>
      </c>
      <c r="W21" s="309" t="n"/>
      <c r="X21" s="313" t="n">
        <v>0.05</v>
      </c>
      <c r="Y21" s="951" t="n">
        <v>2910</v>
      </c>
      <c r="Z21" s="313" t="n">
        <v>0.03</v>
      </c>
      <c r="AA21" s="952">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849">
      <c r="A22" s="250" t="n">
        <v>99999102141</v>
      </c>
      <c r="B22" s="220" t="inlineStr">
        <is>
          <t>Christian Guo</t>
        </is>
      </c>
      <c r="C22" s="305" t="inlineStr">
        <is>
          <t>Solution Architect</t>
        </is>
      </c>
      <c r="D22" s="220" t="inlineStr">
        <is>
          <t>Callan McLaughlin</t>
        </is>
      </c>
      <c r="E22" s="220" t="inlineStr">
        <is>
          <t>Technology Manager,  Site Systems</t>
        </is>
      </c>
      <c r="F22" s="220" t="inlineStr">
        <is>
          <t>Ampol Retail &amp; Z</t>
        </is>
      </c>
      <c r="G22" s="306" t="inlineStr">
        <is>
          <t>Z &amp; Group Retail</t>
        </is>
      </c>
      <c r="H22" s="220" t="inlineStr">
        <is>
          <t>Z &amp; Group Retail, Site Systems</t>
        </is>
      </c>
      <c r="I22" s="220" t="inlineStr">
        <is>
          <t>Z</t>
        </is>
      </c>
      <c r="J22" s="220" t="inlineStr">
        <is>
          <t>Z Customer</t>
        </is>
      </c>
      <c r="K22" s="220" t="inlineStr">
        <is>
          <t>Z Retail Backend &amp; Supply</t>
        </is>
      </c>
      <c r="L22" s="306" t="n"/>
      <c r="M22" s="307" t="inlineStr">
        <is>
          <t>NZ</t>
        </is>
      </c>
      <c r="N22" s="308" t="inlineStr">
        <is>
          <t>CIC</t>
        </is>
      </c>
      <c r="O22" s="309" t="n">
        <v>1</v>
      </c>
      <c r="P22" s="308" t="n"/>
      <c r="Q22" s="309" t="inlineStr">
        <is>
          <t>Permanent - Full Time</t>
        </is>
      </c>
      <c r="R22" s="310" t="n"/>
      <c r="S22" s="310" t="n"/>
      <c r="T22" s="310" t="n">
        <v>180000</v>
      </c>
      <c r="U22" s="321" t="n">
        <v>165600</v>
      </c>
      <c r="V22" s="312" t="n">
        <v>0.15</v>
      </c>
      <c r="W22" s="309" t="n"/>
      <c r="X22" s="313" t="n">
        <v>0.05</v>
      </c>
      <c r="Y22" s="951" t="n">
        <v>2910</v>
      </c>
      <c r="Z22" s="313" t="n">
        <v>0.03</v>
      </c>
      <c r="AA22" s="952">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849">
      <c r="A23" s="250" t="n">
        <v>95128</v>
      </c>
      <c r="B23" s="220" t="inlineStr">
        <is>
          <t>Deepak Kubendran</t>
        </is>
      </c>
      <c r="C23" s="305" t="inlineStr">
        <is>
          <t>Project Manager – Deployments</t>
        </is>
      </c>
      <c r="D23" s="220" t="inlineStr">
        <is>
          <t>Matthew Patane</t>
        </is>
      </c>
      <c r="E23" s="220" t="inlineStr">
        <is>
          <t>Release &amp; Deployment Manager</t>
        </is>
      </c>
      <c r="F23" s="220" t="inlineStr">
        <is>
          <t>Ampol Retail &amp; Z</t>
        </is>
      </c>
      <c r="G23" s="306" t="inlineStr">
        <is>
          <t>Ampol Retail</t>
        </is>
      </c>
      <c r="H23" s="220" t="inlineStr">
        <is>
          <t>Ampol Retail, Technology</t>
        </is>
      </c>
      <c r="I23" s="220" t="inlineStr">
        <is>
          <t>Retail</t>
        </is>
      </c>
      <c r="J23" s="306" t="inlineStr">
        <is>
          <t>Store Operations</t>
        </is>
      </c>
      <c r="K23" s="261" t="inlineStr">
        <is>
          <t>Deployment</t>
        </is>
      </c>
      <c r="L23" s="306" t="n"/>
      <c r="M23" s="307" t="inlineStr">
        <is>
          <t>Australia</t>
        </is>
      </c>
      <c r="N23" s="308" t="inlineStr">
        <is>
          <t>CIB</t>
        </is>
      </c>
      <c r="O23" s="308" t="n">
        <v>1</v>
      </c>
      <c r="P23" s="308" t="n"/>
      <c r="Q23" s="308" t="inlineStr">
        <is>
          <t>Permanent - Full Time</t>
        </is>
      </c>
      <c r="R23" s="310" t="n"/>
      <c r="S23" s="310" t="n"/>
      <c r="T23" s="310" t="n">
        <v>153920</v>
      </c>
      <c r="U23" s="321" t="n">
        <v>153920</v>
      </c>
      <c r="V23" s="313" t="n">
        <v>0.12</v>
      </c>
      <c r="W23" s="953" t="n">
        <v>0.055</v>
      </c>
      <c r="X23" s="953" t="n">
        <v>0.12</v>
      </c>
      <c r="Y23" s="954" t="n"/>
      <c r="Z23" s="953" t="n">
        <v>0.04</v>
      </c>
      <c r="AA23" s="952">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849">
      <c r="A24" s="250" t="n">
        <v>4259</v>
      </c>
      <c r="B24" s="220" t="inlineStr">
        <is>
          <t>Ephraim Adan</t>
        </is>
      </c>
      <c r="C24" s="305" t="inlineStr">
        <is>
          <t>Manager - AU Retail Operations</t>
        </is>
      </c>
      <c r="D24" s="220" t="inlineStr">
        <is>
          <t>Vedran Jukic</t>
        </is>
      </c>
      <c r="E24" s="220" t="inlineStr">
        <is>
          <t>Technology Manager, Retail</t>
        </is>
      </c>
      <c r="F24" s="220" t="inlineStr">
        <is>
          <t>Ampol Retail &amp; Z</t>
        </is>
      </c>
      <c r="G24" s="306" t="inlineStr">
        <is>
          <t>Ampol Retail</t>
        </is>
      </c>
      <c r="H24" s="220" t="inlineStr">
        <is>
          <t>Ampol Retail, Technology</t>
        </is>
      </c>
      <c r="I24" s="220" t="inlineStr">
        <is>
          <t>Retail</t>
        </is>
      </c>
      <c r="J24" s="306" t="inlineStr">
        <is>
          <t>Store Operations</t>
        </is>
      </c>
      <c r="K24" s="220" t="inlineStr">
        <is>
          <t>Retail Operations</t>
        </is>
      </c>
      <c r="L24" s="306" t="n"/>
      <c r="M24" s="307" t="inlineStr">
        <is>
          <t>Australia</t>
        </is>
      </c>
      <c r="N24" s="310" t="inlineStr">
        <is>
          <t>CIC</t>
        </is>
      </c>
      <c r="O24" s="310" t="n">
        <v>1</v>
      </c>
      <c r="P24" s="310" t="n"/>
      <c r="Q24" s="310" t="inlineStr">
        <is>
          <t>Permanent - Full Time</t>
        </is>
      </c>
      <c r="R24" s="310" t="n"/>
      <c r="S24" s="310" t="n"/>
      <c r="T24" s="310" t="n">
        <v>177320</v>
      </c>
      <c r="U24" s="321" t="n">
        <v>177320</v>
      </c>
      <c r="V24" s="313" t="n">
        <v>0.12</v>
      </c>
      <c r="W24" s="953" t="n">
        <v>0.055</v>
      </c>
      <c r="X24" s="953" t="n">
        <v>0.12</v>
      </c>
      <c r="Y24" s="954" t="n"/>
      <c r="Z24" s="953" t="n">
        <v>0.04</v>
      </c>
      <c r="AA24" s="952">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849">
      <c r="A25" s="250" t="n">
        <v>99999102110</v>
      </c>
      <c r="B25" s="220" t="inlineStr">
        <is>
          <t>Eugene Yeo</t>
        </is>
      </c>
      <c r="C25" s="305" t="inlineStr">
        <is>
          <t>Engineer - DevOps</t>
        </is>
      </c>
      <c r="D25" s="220" t="inlineStr">
        <is>
          <t>Vacant</t>
        </is>
      </c>
      <c r="E25" s="220" t="inlineStr">
        <is>
          <t>Technology Manager, Engineering</t>
        </is>
      </c>
      <c r="F25" s="220" t="inlineStr">
        <is>
          <t>Ampol Retail &amp; Z</t>
        </is>
      </c>
      <c r="G25" s="306" t="inlineStr">
        <is>
          <t>Z &amp; Group Retail</t>
        </is>
      </c>
      <c r="H25" s="220" t="inlineStr">
        <is>
          <t>Z &amp; Group Retail, Engineering</t>
        </is>
      </c>
      <c r="I25" s="220" t="inlineStr">
        <is>
          <t>Z</t>
        </is>
      </c>
      <c r="J25" s="306" t="inlineStr">
        <is>
          <t>Z Supply</t>
        </is>
      </c>
      <c r="K25" s="220" t="inlineStr">
        <is>
          <t>Z Supply</t>
        </is>
      </c>
      <c r="L25" s="306" t="n"/>
      <c r="M25" s="307" t="inlineStr">
        <is>
          <t>NZ</t>
        </is>
      </c>
      <c r="N25" s="308" t="inlineStr">
        <is>
          <t>CDA</t>
        </is>
      </c>
      <c r="O25" s="309" t="n">
        <v>1</v>
      </c>
      <c r="P25" s="308" t="n"/>
      <c r="Q25" s="309" t="inlineStr">
        <is>
          <t>Permanent - Full Time</t>
        </is>
      </c>
      <c r="R25" s="310" t="n"/>
      <c r="S25" s="310" t="n"/>
      <c r="T25" s="310" t="n">
        <v>68900</v>
      </c>
      <c r="U25" s="321" t="n">
        <v>63388</v>
      </c>
      <c r="V25" s="312" t="n">
        <v>0.1</v>
      </c>
      <c r="W25" s="309" t="n"/>
      <c r="X25" s="313" t="n">
        <v>0.05</v>
      </c>
      <c r="Y25" s="951" t="n">
        <v>2910</v>
      </c>
      <c r="Z25" s="313" t="n">
        <v>0.03</v>
      </c>
      <c r="AA25" s="952">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849">
      <c r="A26" s="325" t="n">
        <v>99999102111</v>
      </c>
      <c r="B26" s="220" t="inlineStr">
        <is>
          <t>Gayan Liyana Arachchige</t>
        </is>
      </c>
      <c r="C26" s="305" t="inlineStr">
        <is>
          <t>Engineer - DevOps</t>
        </is>
      </c>
      <c r="D26" s="220" t="inlineStr">
        <is>
          <t>Vacant</t>
        </is>
      </c>
      <c r="E26" s="220" t="inlineStr">
        <is>
          <t>Technology Manager, Engineering</t>
        </is>
      </c>
      <c r="F26" s="220" t="inlineStr">
        <is>
          <t>Ampol Retail &amp; Z</t>
        </is>
      </c>
      <c r="G26" s="306" t="inlineStr">
        <is>
          <t>Z &amp; Group Retail</t>
        </is>
      </c>
      <c r="H26" s="220" t="inlineStr">
        <is>
          <t>Z &amp; Group Retail, Engineering</t>
        </is>
      </c>
      <c r="I26" s="220" t="inlineStr">
        <is>
          <t>Z</t>
        </is>
      </c>
      <c r="J26" s="306" t="inlineStr">
        <is>
          <t>Z Supply</t>
        </is>
      </c>
      <c r="K26" s="220" t="inlineStr">
        <is>
          <t>Z Supply</t>
        </is>
      </c>
      <c r="L26" s="306" t="n"/>
      <c r="M26" s="307" t="inlineStr">
        <is>
          <t>NZ</t>
        </is>
      </c>
      <c r="N26" s="308" t="inlineStr">
        <is>
          <t>CDB</t>
        </is>
      </c>
      <c r="O26" s="309" t="n">
        <v>1</v>
      </c>
      <c r="P26" s="308" t="n"/>
      <c r="Q26" s="309" t="inlineStr">
        <is>
          <t>Permanent - Full Time</t>
        </is>
      </c>
      <c r="R26" s="310" t="n"/>
      <c r="S26" s="310" t="n"/>
      <c r="T26" s="310" t="n">
        <v>105000</v>
      </c>
      <c r="U26" s="321" t="n">
        <v>96600</v>
      </c>
      <c r="V26" s="312" t="n">
        <v>0.1</v>
      </c>
      <c r="W26" s="309" t="n"/>
      <c r="X26" s="313" t="n">
        <v>0.05</v>
      </c>
      <c r="Y26" s="951" t="n">
        <v>2910</v>
      </c>
      <c r="Z26" s="313" t="n">
        <v>0.03</v>
      </c>
      <c r="AA26" s="952">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849">
      <c r="A27" s="250" t="n">
        <v>8445</v>
      </c>
      <c r="B27" s="220" t="inlineStr">
        <is>
          <t>Geoff Goddard</t>
        </is>
      </c>
      <c r="C27" s="305" t="inlineStr">
        <is>
          <t>Field Systems Operations Lead - VIC</t>
        </is>
      </c>
      <c r="D27" s="220" t="inlineStr">
        <is>
          <t>Ephraim Adan</t>
        </is>
      </c>
      <c r="E27" s="220" t="inlineStr">
        <is>
          <t>Manager, AU Retail Operations</t>
        </is>
      </c>
      <c r="F27" s="220" t="inlineStr">
        <is>
          <t>Ampol Retail &amp; Z</t>
        </is>
      </c>
      <c r="G27" s="306" t="inlineStr">
        <is>
          <t>Ampol Retail</t>
        </is>
      </c>
      <c r="H27" s="220" t="inlineStr">
        <is>
          <t>Ampol Retail, Technology</t>
        </is>
      </c>
      <c r="I27" s="220" t="inlineStr">
        <is>
          <t>Retail</t>
        </is>
      </c>
      <c r="J27" s="306" t="inlineStr">
        <is>
          <t>Store Operations</t>
        </is>
      </c>
      <c r="K27" s="220" t="inlineStr">
        <is>
          <t>Retail Operations</t>
        </is>
      </c>
      <c r="L27" s="306" t="n"/>
      <c r="M27" s="307" t="inlineStr">
        <is>
          <t>Australia</t>
        </is>
      </c>
      <c r="N27" s="310" t="inlineStr">
        <is>
          <t>CIA</t>
        </is>
      </c>
      <c r="O27" s="310" t="n">
        <v>1</v>
      </c>
      <c r="P27" s="310" t="n"/>
      <c r="Q27" s="310" t="inlineStr">
        <is>
          <t>Permanent - Full Time</t>
        </is>
      </c>
      <c r="R27" s="310" t="n"/>
      <c r="S27" s="310" t="n"/>
      <c r="T27" s="310" t="n">
        <v>132710</v>
      </c>
      <c r="U27" s="321" t="n">
        <v>132710</v>
      </c>
      <c r="V27" s="313" t="n">
        <v>0.1</v>
      </c>
      <c r="W27" s="953" t="n">
        <v>0.055</v>
      </c>
      <c r="X27" s="953" t="n">
        <v>0.12</v>
      </c>
      <c r="Y27" s="954" t="n"/>
      <c r="Z27" s="953" t="n">
        <v>0.04</v>
      </c>
      <c r="AA27" s="952">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849">
      <c r="A28" s="250" t="n">
        <v>109974</v>
      </c>
      <c r="B28" s="220" t="inlineStr">
        <is>
          <t>Gerald Aguas</t>
        </is>
      </c>
      <c r="C28" s="305" t="inlineStr">
        <is>
          <t>Field Systems Operations Lead - NSW</t>
        </is>
      </c>
      <c r="D28" s="220" t="inlineStr">
        <is>
          <t>Ephraim Adan</t>
        </is>
      </c>
      <c r="E28" s="220" t="inlineStr">
        <is>
          <t>Manager, AU Retail Operations</t>
        </is>
      </c>
      <c r="F28" s="220" t="inlineStr">
        <is>
          <t>Ampol Retail &amp; Z</t>
        </is>
      </c>
      <c r="G28" s="306" t="inlineStr">
        <is>
          <t>Ampol Retail</t>
        </is>
      </c>
      <c r="H28" s="220" t="inlineStr">
        <is>
          <t>Ampol Retail, Technology</t>
        </is>
      </c>
      <c r="I28" s="220" t="inlineStr">
        <is>
          <t>Retail</t>
        </is>
      </c>
      <c r="J28" s="306" t="inlineStr">
        <is>
          <t>Store Operations</t>
        </is>
      </c>
      <c r="K28" s="220" t="inlineStr">
        <is>
          <t>Retail Operations</t>
        </is>
      </c>
      <c r="L28" s="306" t="n"/>
      <c r="M28" s="307" t="inlineStr">
        <is>
          <t>Australia</t>
        </is>
      </c>
      <c r="N28" s="308" t="inlineStr">
        <is>
          <t>CIA</t>
        </is>
      </c>
      <c r="O28" s="308" t="n">
        <v>1</v>
      </c>
      <c r="P28" s="308" t="n"/>
      <c r="Q28" s="308" t="inlineStr">
        <is>
          <t>Permanent - Full Time</t>
        </is>
      </c>
      <c r="R28" s="310" t="n"/>
      <c r="S28" s="310" t="n"/>
      <c r="T28" s="310" t="n">
        <v>127270</v>
      </c>
      <c r="U28" s="321" t="n">
        <v>127270</v>
      </c>
      <c r="V28" s="313" t="n">
        <v>0.1</v>
      </c>
      <c r="W28" s="953" t="n">
        <v>0.055</v>
      </c>
      <c r="X28" s="953" t="n">
        <v>0.12</v>
      </c>
      <c r="Y28" s="954" t="n"/>
      <c r="Z28" s="953" t="n">
        <v>0.04</v>
      </c>
      <c r="AA28" s="952">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849">
      <c r="A29" s="250" t="n">
        <v>99999100699</v>
      </c>
      <c r="B29" s="220" t="inlineStr">
        <is>
          <t>Helen Jones</t>
        </is>
      </c>
      <c r="C29" s="305" t="inlineStr">
        <is>
          <t>Delivery Lead</t>
        </is>
      </c>
      <c r="D29" s="306" t="inlineStr">
        <is>
          <t>Vacant</t>
        </is>
      </c>
      <c r="E29" s="220" t="inlineStr">
        <is>
          <t>Delivery Manager, Z and Retail Data</t>
        </is>
      </c>
      <c r="F29" s="220" t="inlineStr">
        <is>
          <t>Ampol Retail &amp; Z</t>
        </is>
      </c>
      <c r="G29" s="306" t="inlineStr">
        <is>
          <t>Z &amp; Group Retail</t>
        </is>
      </c>
      <c r="H29" s="220" t="inlineStr">
        <is>
          <t>Z &amp; Group Retail, Delivery</t>
        </is>
      </c>
      <c r="I29" s="220" t="inlineStr">
        <is>
          <t>Z</t>
        </is>
      </c>
      <c r="J29" s="306" t="inlineStr">
        <is>
          <t>Z Supply</t>
        </is>
      </c>
      <c r="K29" s="220" t="inlineStr">
        <is>
          <t>Z Supply</t>
        </is>
      </c>
      <c r="L29" s="306" t="n"/>
      <c r="M29" s="307" t="inlineStr">
        <is>
          <t>NZ</t>
        </is>
      </c>
      <c r="N29" s="308" t="inlineStr">
        <is>
          <t>CIC</t>
        </is>
      </c>
      <c r="O29" s="309" t="n">
        <v>1</v>
      </c>
      <c r="P29" s="308" t="n"/>
      <c r="Q29" s="309" t="inlineStr">
        <is>
          <t>Permanent - Full Time</t>
        </is>
      </c>
      <c r="R29" s="310" t="n"/>
      <c r="S29" s="310" t="n"/>
      <c r="T29" s="310" t="n">
        <v>165470</v>
      </c>
      <c r="U29" s="321" t="n">
        <v>152232.4</v>
      </c>
      <c r="V29" s="312" t="n">
        <v>0.15</v>
      </c>
      <c r="W29" s="309" t="n"/>
      <c r="X29" s="313" t="n">
        <v>0.05</v>
      </c>
      <c r="Y29" s="951" t="n">
        <v>2910</v>
      </c>
      <c r="Z29" s="313" t="n">
        <v>0.03</v>
      </c>
      <c r="AA29" s="952">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849">
      <c r="A30" s="250" t="n">
        <v>110704</v>
      </c>
      <c r="B30" s="220" t="inlineStr">
        <is>
          <t>Irfan Zavahir</t>
        </is>
      </c>
      <c r="C30" s="305" t="inlineStr">
        <is>
          <t>Delivery Lead</t>
        </is>
      </c>
      <c r="D30" s="220" t="inlineStr">
        <is>
          <t>Vanessa Allen</t>
        </is>
      </c>
      <c r="E30" s="220" t="inlineStr">
        <is>
          <t>Delivery Manager, Ampol Retail</t>
        </is>
      </c>
      <c r="F30" s="220" t="inlineStr">
        <is>
          <t>Ampol Retail &amp; Z</t>
        </is>
      </c>
      <c r="G30" s="306" t="inlineStr">
        <is>
          <t>Ampol Retail</t>
        </is>
      </c>
      <c r="H30" s="220" t="inlineStr">
        <is>
          <t>Ampol Retail, Delivery</t>
        </is>
      </c>
      <c r="I30" s="220" t="inlineStr">
        <is>
          <t>Retail</t>
        </is>
      </c>
      <c r="J30" s="306" t="inlineStr">
        <is>
          <t>AMPOS</t>
        </is>
      </c>
      <c r="K30" s="220" t="inlineStr">
        <is>
          <t>Ampos</t>
        </is>
      </c>
      <c r="L30" s="306" t="n"/>
      <c r="M30" s="307" t="inlineStr">
        <is>
          <t>Australia</t>
        </is>
      </c>
      <c r="N30" s="308" t="inlineStr">
        <is>
          <t>CIC</t>
        </is>
      </c>
      <c r="O30" s="308" t="n">
        <v>1</v>
      </c>
      <c r="P30" s="308" t="n"/>
      <c r="Q30" s="308" t="inlineStr">
        <is>
          <t>Permanent - Full Time</t>
        </is>
      </c>
      <c r="R30" s="310" t="n"/>
      <c r="S30" s="310" t="n"/>
      <c r="T30" s="310" t="n">
        <v>179340</v>
      </c>
      <c r="U30" s="321" t="n">
        <v>179340</v>
      </c>
      <c r="V30" s="313" t="n">
        <v>0.12</v>
      </c>
      <c r="W30" s="953" t="n">
        <v>0.055</v>
      </c>
      <c r="X30" s="953" t="n">
        <v>0.12</v>
      </c>
      <c r="Y30" s="954" t="n"/>
      <c r="Z30" s="953" t="n">
        <v>0.04</v>
      </c>
      <c r="AA30" s="952">
        <f>U30*(1+V30+W30+X30+Y30+Z30)</f>
        <v>239418.9</v>
      </c>
      <c r="AC30" t="inlineStr">
        <is>
          <t>Ampol Retail</t>
        </is>
      </c>
      <c r="AD30" t="inlineStr">
        <is>
          <t>AmPOS</t>
        </is>
      </c>
      <c r="AE30" t="inlineStr">
        <is>
          <t>AmPOS</t>
        </is>
      </c>
      <c r="AF30" t="inlineStr">
        <is>
          <t>Strategic Program</t>
        </is>
      </c>
      <c r="AG30" t="inlineStr">
        <is>
          <t>Filled</t>
        </is>
      </c>
    </row>
    <row r="31" hidden="1" ht="18" customHeight="1" s="849">
      <c r="A31" s="250" t="n">
        <v>99999102104</v>
      </c>
      <c r="B31" s="220" t="inlineStr">
        <is>
          <t>Isuru Herath</t>
        </is>
      </c>
      <c r="C31" s="305" t="inlineStr">
        <is>
          <t>Senior Engineer - Software</t>
        </is>
      </c>
      <c r="D31" s="220" t="inlineStr">
        <is>
          <t>Vacant</t>
        </is>
      </c>
      <c r="E31" s="220" t="inlineStr">
        <is>
          <t>Technology Manager, Engineering</t>
        </is>
      </c>
      <c r="F31" s="220" t="inlineStr">
        <is>
          <t>Ampol Retail &amp; Z</t>
        </is>
      </c>
      <c r="G31" s="306" t="inlineStr">
        <is>
          <t>Z &amp; Group Retail</t>
        </is>
      </c>
      <c r="H31" s="220" t="inlineStr">
        <is>
          <t>Z &amp; Group Retail, Engineering</t>
        </is>
      </c>
      <c r="I31" s="220" t="inlineStr">
        <is>
          <t>Z</t>
        </is>
      </c>
      <c r="J31" s="306" t="inlineStr">
        <is>
          <t>Z Supply</t>
        </is>
      </c>
      <c r="K31" s="220" t="inlineStr">
        <is>
          <t>Z Supply</t>
        </is>
      </c>
      <c r="L31" s="306" t="n"/>
      <c r="M31" s="307" t="inlineStr">
        <is>
          <t>NZ</t>
        </is>
      </c>
      <c r="N31" s="308" t="inlineStr">
        <is>
          <t>CIB</t>
        </is>
      </c>
      <c r="O31" s="309" t="n">
        <v>1</v>
      </c>
      <c r="P31" s="308" t="n"/>
      <c r="Q31" s="309" t="inlineStr">
        <is>
          <t>Permanent - Full Time</t>
        </is>
      </c>
      <c r="R31" s="310" t="n"/>
      <c r="S31" s="310" t="n"/>
      <c r="T31" s="310" t="n">
        <v>140000</v>
      </c>
      <c r="U31" s="321" t="n">
        <v>128800</v>
      </c>
      <c r="V31" s="312" t="n">
        <v>0.15</v>
      </c>
      <c r="W31" s="309" t="n"/>
      <c r="X31" s="313" t="n">
        <v>0.05</v>
      </c>
      <c r="Y31" s="951" t="n">
        <v>2910</v>
      </c>
      <c r="Z31" s="313" t="n">
        <v>0.03</v>
      </c>
      <c r="AA31" s="952">
        <f>U31*(1+V31+X31+Z31)+Y31</f>
        <v>161334.0</v>
      </c>
      <c r="AB31" t="n">
        <v>115813</v>
      </c>
      <c r="AC31" t="inlineStr">
        <is>
          <t>Z Retail</t>
        </is>
      </c>
      <c r="AD31" t="inlineStr">
        <is>
          <t>Z Supply</t>
        </is>
      </c>
      <c r="AE31" t="inlineStr">
        <is>
          <t>Z Supply</t>
        </is>
      </c>
      <c r="AF31" t="inlineStr">
        <is>
          <t>Squad</t>
        </is>
      </c>
      <c r="AG31" t="inlineStr">
        <is>
          <t>Filled</t>
        </is>
      </c>
    </row>
    <row r="32" hidden="1" ht="18" customHeight="1" s="849">
      <c r="A32" s="250" t="n">
        <v>91356</v>
      </c>
      <c r="B32" s="220" t="inlineStr">
        <is>
          <t>Javier Aguirre Castellanos</t>
        </is>
      </c>
      <c r="C32" s="305" t="inlineStr">
        <is>
          <t>Solution Architect</t>
        </is>
      </c>
      <c r="D32" s="220" t="inlineStr">
        <is>
          <t>Vedran Jukic</t>
        </is>
      </c>
      <c r="E32" s="220" t="inlineStr">
        <is>
          <t>Technology Manager, Retail</t>
        </is>
      </c>
      <c r="F32" s="220" t="inlineStr">
        <is>
          <t>Ampol Retail &amp; Z</t>
        </is>
      </c>
      <c r="G32" s="306" t="inlineStr">
        <is>
          <t>Ampol Retail</t>
        </is>
      </c>
      <c r="H32" s="220" t="inlineStr">
        <is>
          <t>Ampol Retail, Technology</t>
        </is>
      </c>
      <c r="I32" s="220" t="inlineStr">
        <is>
          <t>Retail</t>
        </is>
      </c>
      <c r="J32" s="306" t="inlineStr">
        <is>
          <t>Network/QSR</t>
        </is>
      </c>
      <c r="K32" s="220" t="inlineStr">
        <is>
          <t>Network &amp; QSR</t>
        </is>
      </c>
      <c r="L32" s="306" t="n"/>
      <c r="M32" s="307" t="inlineStr">
        <is>
          <t>Australia</t>
        </is>
      </c>
      <c r="N32" s="308" t="inlineStr">
        <is>
          <t>CIB</t>
        </is>
      </c>
      <c r="O32" s="308" t="n">
        <v>1</v>
      </c>
      <c r="P32" s="308" t="n"/>
      <c r="Q32" s="308" t="inlineStr">
        <is>
          <t>Permanent - Full Time</t>
        </is>
      </c>
      <c r="R32" s="310" t="n"/>
      <c r="S32" s="310" t="n"/>
      <c r="T32" s="310" t="n">
        <v>168160</v>
      </c>
      <c r="U32" s="321" t="n">
        <v>168160</v>
      </c>
      <c r="V32" s="313" t="n">
        <v>0.12</v>
      </c>
      <c r="W32" s="953" t="n">
        <v>0.055</v>
      </c>
      <c r="X32" s="953" t="n">
        <v>0.12</v>
      </c>
      <c r="Y32" s="954" t="n"/>
      <c r="Z32" s="953" t="n">
        <v>0.04</v>
      </c>
      <c r="AA32" s="952">
        <f>U32*(1+V32+W32+X32+Y32+Z32)</f>
        <v>224493.6</v>
      </c>
      <c r="AC32" t="inlineStr">
        <is>
          <t>Ampol Retail</t>
        </is>
      </c>
      <c r="AD32" t="inlineStr">
        <is>
          <t>Network / QSR</t>
        </is>
      </c>
      <c r="AE32" t="inlineStr">
        <is>
          <t>Network / QSR</t>
        </is>
      </c>
      <c r="AF32" t="inlineStr">
        <is>
          <t>Squad</t>
        </is>
      </c>
      <c r="AG32" t="inlineStr">
        <is>
          <t>Filled</t>
        </is>
      </c>
    </row>
    <row r="33" hidden="1" ht="18" customHeight="1" s="849">
      <c r="A33" s="250" t="n">
        <v>99999102123</v>
      </c>
      <c r="B33" s="220" t="inlineStr">
        <is>
          <t>Jodie Marquez</t>
        </is>
      </c>
      <c r="C33" s="305" t="inlineStr">
        <is>
          <t>Data Analyst</t>
        </is>
      </c>
      <c r="D33" s="306" t="inlineStr">
        <is>
          <t>Vacant</t>
        </is>
      </c>
      <c r="E33" s="220" t="inlineStr">
        <is>
          <t>Technology Manager, Data</t>
        </is>
      </c>
      <c r="F33" s="220" t="inlineStr">
        <is>
          <t>Ampol Retail &amp; Z</t>
        </is>
      </c>
      <c r="G33" s="306" t="inlineStr">
        <is>
          <t>Z &amp; Group Retail</t>
        </is>
      </c>
      <c r="H33" s="220" t="inlineStr">
        <is>
          <t>Z &amp; Group Retail, Data</t>
        </is>
      </c>
      <c r="I33" s="220" t="inlineStr">
        <is>
          <t>Z</t>
        </is>
      </c>
      <c r="J33" s="306" t="inlineStr">
        <is>
          <t>Z Customer &amp; Z Supply</t>
        </is>
      </c>
      <c r="K33" s="220" t="inlineStr">
        <is>
          <t>Data - NZ</t>
        </is>
      </c>
      <c r="L33" s="306" t="n"/>
      <c r="M33" s="307" t="inlineStr">
        <is>
          <t>NZ</t>
        </is>
      </c>
      <c r="N33" s="308" t="inlineStr">
        <is>
          <t>CIA</t>
        </is>
      </c>
      <c r="O33" s="309" t="n">
        <v>1</v>
      </c>
      <c r="P33" s="308" t="n"/>
      <c r="Q33" s="309" t="inlineStr">
        <is>
          <t>Permanent - Full Time</t>
        </is>
      </c>
      <c r="R33" s="310" t="n"/>
      <c r="S33" s="310" t="n"/>
      <c r="T33" s="310" t="n">
        <v>115000</v>
      </c>
      <c r="U33" s="321" t="n">
        <v>105800</v>
      </c>
      <c r="V33" s="312" t="n">
        <v>0.15</v>
      </c>
      <c r="W33" s="309" t="n"/>
      <c r="X33" s="313" t="n">
        <v>0.05</v>
      </c>
      <c r="Y33" s="951" t="n">
        <v>2910</v>
      </c>
      <c r="Z33" s="313" t="n">
        <v>0.03</v>
      </c>
      <c r="AA33" s="952">
        <f>U33*(1+V33+X33+Z33)+Y33</f>
        <v>133044.0</v>
      </c>
      <c r="AB33" t="n">
        <v>115821</v>
      </c>
      <c r="AC33" t="inlineStr">
        <is>
          <t>Z Retail</t>
        </is>
      </c>
      <c r="AD33" t="inlineStr">
        <is>
          <t>-</t>
        </is>
      </c>
      <c r="AE33" t="inlineStr">
        <is>
          <t>Data NZ</t>
        </is>
      </c>
      <c r="AF33" t="inlineStr">
        <is>
          <t>Unmapped</t>
        </is>
      </c>
      <c r="AG33" t="inlineStr">
        <is>
          <t>Filled</t>
        </is>
      </c>
    </row>
    <row r="34" hidden="1" ht="18" customHeight="1" s="849">
      <c r="A34" s="250" t="n">
        <v>99999101542</v>
      </c>
      <c r="B34" s="220" t="inlineStr">
        <is>
          <t>Joe Kuttikkatt</t>
        </is>
      </c>
      <c r="C34" s="305" t="inlineStr">
        <is>
          <t>Senior Quality Assurance</t>
        </is>
      </c>
      <c r="D34" s="220" t="inlineStr">
        <is>
          <t>Vacant</t>
        </is>
      </c>
      <c r="E34" s="220" t="inlineStr">
        <is>
          <t>Technology Manager, Engineering</t>
        </is>
      </c>
      <c r="F34" s="220" t="inlineStr">
        <is>
          <t>Ampol Retail &amp; Z</t>
        </is>
      </c>
      <c r="G34" s="306" t="inlineStr">
        <is>
          <t>Z &amp; Group Retail</t>
        </is>
      </c>
      <c r="H34" s="220" t="inlineStr">
        <is>
          <t>Z &amp; Group Retail, Engineering</t>
        </is>
      </c>
      <c r="I34" s="220" t="inlineStr">
        <is>
          <t>Z</t>
        </is>
      </c>
      <c r="J34" s="306" t="inlineStr">
        <is>
          <t>Z Supply</t>
        </is>
      </c>
      <c r="K34" s="220" t="inlineStr">
        <is>
          <t>Z Supply</t>
        </is>
      </c>
      <c r="L34" s="306" t="n"/>
      <c r="M34" s="307" t="inlineStr">
        <is>
          <t>NZ</t>
        </is>
      </c>
      <c r="N34" s="308" t="inlineStr">
        <is>
          <t>CIA</t>
        </is>
      </c>
      <c r="O34" s="309" t="n">
        <v>1</v>
      </c>
      <c r="P34" s="308" t="n"/>
      <c r="Q34" s="309" t="inlineStr">
        <is>
          <t>Permanent - Full Time</t>
        </is>
      </c>
      <c r="R34" s="310" t="n"/>
      <c r="S34" s="310" t="n"/>
      <c r="T34" s="310" t="n">
        <v>125250</v>
      </c>
      <c r="U34" s="321" t="n">
        <v>115230</v>
      </c>
      <c r="V34" s="312" t="n">
        <v>0.15</v>
      </c>
      <c r="W34" s="309" t="n"/>
      <c r="X34" s="313" t="n">
        <v>0.05</v>
      </c>
      <c r="Y34" s="951" t="n">
        <v>2910</v>
      </c>
      <c r="Z34" s="313" t="n">
        <v>0.03</v>
      </c>
      <c r="AA34" s="952">
        <f>U34*(1+V34+X34+Z34)+Y34</f>
        <v>144642.9</v>
      </c>
      <c r="AB34" t="n">
        <v>113556</v>
      </c>
      <c r="AC34" t="inlineStr">
        <is>
          <t>Z Retail</t>
        </is>
      </c>
      <c r="AD34" t="inlineStr">
        <is>
          <t>Z Supply</t>
        </is>
      </c>
      <c r="AE34" t="inlineStr">
        <is>
          <t>Z Supply</t>
        </is>
      </c>
      <c r="AF34" t="inlineStr">
        <is>
          <t>Squad</t>
        </is>
      </c>
      <c r="AG34" t="inlineStr">
        <is>
          <t>Filled</t>
        </is>
      </c>
    </row>
    <row r="35" hidden="1" ht="18" customHeight="1" s="849">
      <c r="A35" s="250" t="n">
        <v>99999101620</v>
      </c>
      <c r="B35" s="220" t="inlineStr">
        <is>
          <t>Johanah Gloria</t>
        </is>
      </c>
      <c r="C35" s="305" t="inlineStr">
        <is>
          <t>Engineer - Software</t>
        </is>
      </c>
      <c r="D35" s="220" t="inlineStr">
        <is>
          <t>Vacant</t>
        </is>
      </c>
      <c r="E35" s="220" t="inlineStr">
        <is>
          <t>Technology Manager, Engineering</t>
        </is>
      </c>
      <c r="F35" s="220" t="inlineStr">
        <is>
          <t>Ampol Retail &amp; Z</t>
        </is>
      </c>
      <c r="G35" s="306" t="inlineStr">
        <is>
          <t>Z &amp; Group Retail</t>
        </is>
      </c>
      <c r="H35" s="220" t="inlineStr">
        <is>
          <t>Z &amp; Group Retail, Engineering</t>
        </is>
      </c>
      <c r="I35" s="220" t="inlineStr">
        <is>
          <t>Z</t>
        </is>
      </c>
      <c r="J35" s="306" t="inlineStr">
        <is>
          <t>Z Supply</t>
        </is>
      </c>
      <c r="K35" s="220" t="inlineStr">
        <is>
          <t>Z Supply</t>
        </is>
      </c>
      <c r="L35" s="306" t="n"/>
      <c r="M35" s="307" t="inlineStr">
        <is>
          <t>NZ</t>
        </is>
      </c>
      <c r="N35" s="308" t="inlineStr">
        <is>
          <t>CDB</t>
        </is>
      </c>
      <c r="O35" s="309" t="n">
        <v>1</v>
      </c>
      <c r="P35" s="308" t="n"/>
      <c r="Q35" s="309" t="inlineStr">
        <is>
          <t>Permanent - Full Time</t>
        </is>
      </c>
      <c r="R35" s="310" t="n"/>
      <c r="S35" s="310" t="n"/>
      <c r="T35" s="310" t="n">
        <v>93640</v>
      </c>
      <c r="U35" s="321" t="n">
        <v>86148.8</v>
      </c>
      <c r="V35" s="312" t="n">
        <v>0.1</v>
      </c>
      <c r="W35" s="309" t="n"/>
      <c r="X35" s="313" t="n">
        <v>0.05</v>
      </c>
      <c r="Y35" s="951" t="n">
        <v>2910</v>
      </c>
      <c r="Z35" s="313" t="n">
        <v>0.03</v>
      </c>
      <c r="AA35" s="952">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849">
      <c r="A36" s="250" t="n">
        <v>7001</v>
      </c>
      <c r="B36" s="220" t="inlineStr">
        <is>
          <t>Joseph Maroun</t>
        </is>
      </c>
      <c r="C36" s="326" t="inlineStr">
        <is>
          <t>Delivery Lead, Integrations</t>
        </is>
      </c>
      <c r="D36" s="220" t="inlineStr">
        <is>
          <t>Tracy Lee Reaper</t>
        </is>
      </c>
      <c r="E36" s="220" t="inlineStr">
        <is>
          <t>Tech Manager, Merchandising &amp; WFM</t>
        </is>
      </c>
      <c r="F36" s="220" t="inlineStr">
        <is>
          <t>Ampol Retail &amp; Z</t>
        </is>
      </c>
      <c r="G36" s="306" t="inlineStr">
        <is>
          <t>Ampol Retail</t>
        </is>
      </c>
      <c r="H36" s="220" t="inlineStr">
        <is>
          <t>Ampol Retail, Merch &amp; RTA</t>
        </is>
      </c>
      <c r="I36" s="220" t="inlineStr">
        <is>
          <t>Retail</t>
        </is>
      </c>
      <c r="J36" s="306" t="inlineStr">
        <is>
          <t>Merch / Supply Chain</t>
        </is>
      </c>
      <c r="K36" s="220" t="inlineStr">
        <is>
          <t>Merchandising &amp; Supply Chain</t>
        </is>
      </c>
      <c r="L36" s="306" t="n"/>
      <c r="M36" s="307" t="inlineStr">
        <is>
          <t>Australia</t>
        </is>
      </c>
      <c r="N36" s="310" t="inlineStr">
        <is>
          <t>CIB</t>
        </is>
      </c>
      <c r="O36" s="310" t="n">
        <v>1</v>
      </c>
      <c r="P36" s="310" t="n"/>
      <c r="Q36" s="310" t="inlineStr">
        <is>
          <t>Permanent - Full Time</t>
        </is>
      </c>
      <c r="R36" s="310" t="n"/>
      <c r="S36" s="310" t="n"/>
      <c r="T36" s="310" t="n">
        <v>142360</v>
      </c>
      <c r="U36" s="321" t="n">
        <v>142360</v>
      </c>
      <c r="V36" s="313" t="n">
        <v>0.12</v>
      </c>
      <c r="W36" s="953" t="n">
        <v>0.055</v>
      </c>
      <c r="X36" s="953" t="n">
        <v>0.12</v>
      </c>
      <c r="Y36" s="954" t="n"/>
      <c r="Z36" s="953" t="n">
        <v>0.04</v>
      </c>
      <c r="AA36" s="952">
        <f>U36*(1+V36+W36+X36+Y36+Z36)</f>
        <v>190050.6</v>
      </c>
      <c r="AC36" t="inlineStr">
        <is>
          <t>Ampol Retail</t>
        </is>
      </c>
      <c r="AD36" t="inlineStr">
        <is>
          <t>Above Store</t>
        </is>
      </c>
      <c r="AE36" t="inlineStr">
        <is>
          <t>Above Store</t>
        </is>
      </c>
      <c r="AF36" t="inlineStr">
        <is>
          <t>Squad</t>
        </is>
      </c>
      <c r="AG36" t="inlineStr">
        <is>
          <t>Filled</t>
        </is>
      </c>
    </row>
    <row r="37" hidden="1" ht="18" customHeight="1" s="849">
      <c r="A37" s="250" t="inlineStr">
        <is>
          <t>C</t>
        </is>
      </c>
      <c r="B37" s="220" t="inlineStr">
        <is>
          <t>Kanti Hirani</t>
        </is>
      </c>
      <c r="C37" s="305" t="inlineStr">
        <is>
          <t>Business Analyst (PEP13 UK)</t>
        </is>
      </c>
      <c r="D37" s="220" t="inlineStr">
        <is>
          <t>Vanessa Allen</t>
        </is>
      </c>
      <c r="E37" s="220" t="inlineStr">
        <is>
          <t>Delivery Manager, Ampol Retail</t>
        </is>
      </c>
      <c r="F37" s="220" t="inlineStr">
        <is>
          <t>Ampol Retail &amp; Z</t>
        </is>
      </c>
      <c r="G37" s="306" t="inlineStr">
        <is>
          <t>Ampol Retail</t>
        </is>
      </c>
      <c r="H37" s="220" t="inlineStr">
        <is>
          <t>Ampol Retail, Delivery</t>
        </is>
      </c>
      <c r="I37" s="220" t="inlineStr">
        <is>
          <t>EGI Integration</t>
        </is>
      </c>
      <c r="J37" s="306" t="inlineStr">
        <is>
          <t>EGI</t>
        </is>
      </c>
      <c r="K37" s="220" t="inlineStr">
        <is>
          <t>EGI</t>
        </is>
      </c>
      <c r="L37" s="306" t="n"/>
      <c r="M37" s="307" t="inlineStr">
        <is>
          <t>Australia</t>
        </is>
      </c>
      <c r="N37" s="310" t="inlineStr">
        <is>
          <t>NA</t>
        </is>
      </c>
      <c r="O37" s="308" t="n">
        <v>1</v>
      </c>
      <c r="P37" s="310" t="n"/>
      <c r="Q37" s="310" t="inlineStr">
        <is>
          <t>cxc</t>
        </is>
      </c>
      <c r="R37" s="319" t="inlineStr">
        <is>
          <t>Daily</t>
        </is>
      </c>
      <c r="S37" s="310" t="n">
        <v>952</v>
      </c>
      <c r="T37" s="310" t="n">
        <v>0</v>
      </c>
      <c r="U37" s="322" t="n"/>
      <c r="V37" s="306" t="n"/>
      <c r="W37" s="306" t="n"/>
      <c r="X37" s="306" t="n"/>
      <c r="Y37" s="306" t="n"/>
      <c r="Z37" s="306" t="n"/>
      <c r="AA37" s="320">
        <f>S37*222</f>
        <v>211344.0</v>
      </c>
      <c r="AC37" t="inlineStr">
        <is>
          <t>EGI</t>
        </is>
      </c>
      <c r="AD37" t="inlineStr">
        <is>
          <t>EGI</t>
        </is>
      </c>
      <c r="AE37" t="inlineStr">
        <is>
          <t>EGI (unassigned)</t>
        </is>
      </c>
      <c r="AF37" t="inlineStr">
        <is>
          <t>Unmapped</t>
        </is>
      </c>
      <c r="AG37" t="inlineStr">
        <is>
          <t>Filled</t>
        </is>
      </c>
    </row>
    <row r="38" hidden="1" ht="18" customHeight="1" s="849">
      <c r="A38" s="250" t="n">
        <v>84413</v>
      </c>
      <c r="B38" s="220" t="inlineStr">
        <is>
          <t>Karthick Sathiyamoorthy</t>
        </is>
      </c>
      <c r="C38" s="305" t="inlineStr">
        <is>
          <t>Quality Assurance</t>
        </is>
      </c>
      <c r="D38" s="306" t="inlineStr">
        <is>
          <t>Vacant</t>
        </is>
      </c>
      <c r="E38" s="220" t="inlineStr">
        <is>
          <t>Lead Quality Assurance</t>
        </is>
      </c>
      <c r="F38" s="220" t="inlineStr">
        <is>
          <t>Ampol Retail &amp; Z</t>
        </is>
      </c>
      <c r="G38" s="306" t="inlineStr">
        <is>
          <t>Ampol Retail</t>
        </is>
      </c>
      <c r="H38" s="220" t="inlineStr">
        <is>
          <t>Ampol Retail, Store Platforms</t>
        </is>
      </c>
      <c r="I38" s="220" t="inlineStr">
        <is>
          <t>Retail</t>
        </is>
      </c>
      <c r="J38" s="306" t="inlineStr">
        <is>
          <t>AMPOS</t>
        </is>
      </c>
      <c r="K38" s="220" t="inlineStr">
        <is>
          <t>AmPos</t>
        </is>
      </c>
      <c r="L38" s="306" t="n"/>
      <c r="M38" s="307" t="inlineStr">
        <is>
          <t>Australia</t>
        </is>
      </c>
      <c r="N38" s="310" t="inlineStr">
        <is>
          <t>CIA</t>
        </is>
      </c>
      <c r="O38" s="310" t="n">
        <v>1</v>
      </c>
      <c r="P38" s="310" t="n"/>
      <c r="Q38" s="310" t="inlineStr">
        <is>
          <t>Permanent - Full Time</t>
        </is>
      </c>
      <c r="R38" s="310" t="n"/>
      <c r="S38" s="310" t="n"/>
      <c r="T38" s="310" t="n">
        <v>134270</v>
      </c>
      <c r="U38" s="321" t="n">
        <v>134270</v>
      </c>
      <c r="V38" s="313" t="n">
        <v>0.1</v>
      </c>
      <c r="W38" s="953" t="n">
        <v>0.055</v>
      </c>
      <c r="X38" s="953" t="n">
        <v>0.12</v>
      </c>
      <c r="Y38" s="954" t="n"/>
      <c r="Z38" s="953" t="n">
        <v>0.04</v>
      </c>
      <c r="AA38" s="952">
        <f>U38*(1+V38+W38+X38+Y38+Z38)</f>
        <v>176565.05</v>
      </c>
      <c r="AC38" t="inlineStr">
        <is>
          <t>Ampol Retail</t>
        </is>
      </c>
      <c r="AD38" t="inlineStr">
        <is>
          <t>AmPOS</t>
        </is>
      </c>
      <c r="AE38" t="inlineStr">
        <is>
          <t>AmPOS</t>
        </is>
      </c>
      <c r="AF38" t="inlineStr">
        <is>
          <t>Strategic Program</t>
        </is>
      </c>
      <c r="AG38" t="inlineStr">
        <is>
          <t>Filled</t>
        </is>
      </c>
    </row>
    <row r="39" hidden="1" ht="18" customHeight="1" s="849">
      <c r="A39" s="250" t="n">
        <v>85321</v>
      </c>
      <c r="B39" s="220" t="inlineStr">
        <is>
          <t>Karthikeyan Kuppan</t>
        </is>
      </c>
      <c r="C39" s="305" t="inlineStr">
        <is>
          <t>Lead - AU Retail Operations</t>
        </is>
      </c>
      <c r="D39" s="220" t="inlineStr">
        <is>
          <t>Vaishnavi Viswanathan</t>
        </is>
      </c>
      <c r="E39" s="220" t="inlineStr">
        <is>
          <t>Technology Manager, Store Platform</t>
        </is>
      </c>
      <c r="F39" s="220" t="inlineStr">
        <is>
          <t>Ampol Retail &amp; Z</t>
        </is>
      </c>
      <c r="G39" s="306" t="inlineStr">
        <is>
          <t>Ampol Retail</t>
        </is>
      </c>
      <c r="H39" s="220" t="inlineStr">
        <is>
          <t>Ampol Retail, Store Platforms</t>
        </is>
      </c>
      <c r="I39" s="220" t="inlineStr">
        <is>
          <t>Retail</t>
        </is>
      </c>
      <c r="J39" s="306" t="inlineStr">
        <is>
          <t>Store Operations</t>
        </is>
      </c>
      <c r="K39" s="220" t="inlineStr">
        <is>
          <t>Retail Operations</t>
        </is>
      </c>
      <c r="L39" s="306" t="n"/>
      <c r="M39" s="307" t="inlineStr">
        <is>
          <t>Australia</t>
        </is>
      </c>
      <c r="N39" s="310" t="inlineStr">
        <is>
          <t>CIB</t>
        </is>
      </c>
      <c r="O39" s="310" t="n">
        <v>1</v>
      </c>
      <c r="P39" s="310" t="n"/>
      <c r="Q39" s="310" t="inlineStr">
        <is>
          <t>Permanent - Full Time</t>
        </is>
      </c>
      <c r="R39" s="310" t="n"/>
      <c r="S39" s="310" t="n"/>
      <c r="T39" s="310" t="n">
        <v>145340</v>
      </c>
      <c r="U39" s="321" t="n">
        <v>145340</v>
      </c>
      <c r="V39" s="313" t="n">
        <v>0.12</v>
      </c>
      <c r="W39" s="953" t="n">
        <v>0.055</v>
      </c>
      <c r="X39" s="953" t="n">
        <v>0.12</v>
      </c>
      <c r="Y39" s="954" t="n"/>
      <c r="Z39" s="953" t="n">
        <v>0.04</v>
      </c>
      <c r="AA39" s="952">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849">
      <c r="A40" s="250" t="n">
        <v>99999101804</v>
      </c>
      <c r="B40" s="323" t="inlineStr">
        <is>
          <t>Kate Johnstone</t>
        </is>
      </c>
      <c r="C40" s="324" t="inlineStr">
        <is>
          <t>Program Manager POS</t>
        </is>
      </c>
      <c r="D40" s="220" t="inlineStr">
        <is>
          <t>Vance Anderson</t>
        </is>
      </c>
      <c r="E40" s="306" t="inlineStr">
        <is>
          <t>GM TDD, Ampol Retail &amp; Z</t>
        </is>
      </c>
      <c r="F40" s="220" t="inlineStr">
        <is>
          <t>Ampol Retail &amp; Z</t>
        </is>
      </c>
      <c r="G40" s="306" t="inlineStr">
        <is>
          <t>Program Management</t>
        </is>
      </c>
      <c r="H40" s="220" t="n"/>
      <c r="I40" s="220" t="inlineStr">
        <is>
          <t>Retail</t>
        </is>
      </c>
      <c r="J40" s="306" t="inlineStr">
        <is>
          <t>AMPOS</t>
        </is>
      </c>
      <c r="K40" s="306" t="inlineStr">
        <is>
          <t>Leadership</t>
        </is>
      </c>
      <c r="L40" s="306" t="n"/>
      <c r="M40" s="307" t="inlineStr">
        <is>
          <t>NZ</t>
        </is>
      </c>
      <c r="N40" s="308" t="inlineStr">
        <is>
          <t>CSB</t>
        </is>
      </c>
      <c r="O40" s="309" t="n">
        <v>1</v>
      </c>
      <c r="P40" s="308" t="n"/>
      <c r="Q40" s="309" t="inlineStr">
        <is>
          <t>Permanent - Full Time</t>
        </is>
      </c>
      <c r="R40" s="310" t="n"/>
      <c r="S40" s="310" t="n"/>
      <c r="T40" s="310" t="n">
        <v>212110</v>
      </c>
      <c r="U40" s="321" t="n">
        <v>195141.2</v>
      </c>
      <c r="V40" s="312" t="n">
        <v>0.15</v>
      </c>
      <c r="W40" s="309" t="n"/>
      <c r="X40" s="313" t="n">
        <v>0.05</v>
      </c>
      <c r="Y40" s="951" t="n">
        <v>2910</v>
      </c>
      <c r="Z40" s="313" t="n">
        <v>0.03</v>
      </c>
      <c r="AA40" s="952">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849">
      <c r="A41" s="250" t="n">
        <v>99999100476</v>
      </c>
      <c r="B41" s="220" t="inlineStr">
        <is>
          <t>Kelly Russell</t>
        </is>
      </c>
      <c r="C41" s="305" t="inlineStr">
        <is>
          <t>Lead Quality Assurance</t>
        </is>
      </c>
      <c r="D41" s="220" t="inlineStr">
        <is>
          <t>Callan McLaughlin</t>
        </is>
      </c>
      <c r="E41" s="220" t="inlineStr">
        <is>
          <t>Technology Manager,  Site Systems</t>
        </is>
      </c>
      <c r="F41" s="220" t="inlineStr">
        <is>
          <t>Ampol Retail &amp; Z</t>
        </is>
      </c>
      <c r="G41" s="306" t="inlineStr">
        <is>
          <t>Z &amp; Group Retail</t>
        </is>
      </c>
      <c r="H41" s="220" t="inlineStr">
        <is>
          <t>Z &amp; Group Retail, Site Systems</t>
        </is>
      </c>
      <c r="I41" s="220" t="inlineStr">
        <is>
          <t>Z</t>
        </is>
      </c>
      <c r="J41" s="306" t="inlineStr">
        <is>
          <t>Z Customer</t>
        </is>
      </c>
      <c r="K41" s="220" t="inlineStr">
        <is>
          <t>Site Systems</t>
        </is>
      </c>
      <c r="L41" s="306" t="n"/>
      <c r="M41" s="307" t="inlineStr">
        <is>
          <t>NZ</t>
        </is>
      </c>
      <c r="N41" s="308" t="inlineStr">
        <is>
          <t>CIC</t>
        </is>
      </c>
      <c r="O41" s="309" t="n">
        <v>1</v>
      </c>
      <c r="P41" s="308" t="n"/>
      <c r="Q41" s="309" t="inlineStr">
        <is>
          <t>Permanent - Full Time</t>
        </is>
      </c>
      <c r="R41" s="310" t="n"/>
      <c r="S41" s="310" t="n"/>
      <c r="T41" s="310" t="n">
        <v>175960</v>
      </c>
      <c r="U41" s="321" t="n">
        <v>161883.2</v>
      </c>
      <c r="V41" s="312" t="n">
        <v>0.15</v>
      </c>
      <c r="W41" s="309" t="n"/>
      <c r="X41" s="313" t="n">
        <v>0.05</v>
      </c>
      <c r="Y41" s="951" t="n">
        <v>2910</v>
      </c>
      <c r="Z41" s="313" t="n">
        <v>0.03</v>
      </c>
      <c r="AA41" s="952">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849">
      <c r="A42" s="250" t="n">
        <v>99999102028</v>
      </c>
      <c r="B42" s="220" t="inlineStr">
        <is>
          <t>Lauren Lancaster</t>
        </is>
      </c>
      <c r="C42" s="305" t="inlineStr">
        <is>
          <t>Associate Engineer - Software</t>
        </is>
      </c>
      <c r="D42" s="220" t="inlineStr">
        <is>
          <t>Vacant</t>
        </is>
      </c>
      <c r="E42" s="220" t="inlineStr">
        <is>
          <t>Technology Manager, Engineering</t>
        </is>
      </c>
      <c r="F42" s="220" t="inlineStr">
        <is>
          <t>Ampol Retail &amp; Z</t>
        </is>
      </c>
      <c r="G42" s="220" t="inlineStr">
        <is>
          <t>Z &amp; Group Retail</t>
        </is>
      </c>
      <c r="H42" s="220" t="inlineStr">
        <is>
          <t>Z &amp; Group Retail, Engineering</t>
        </is>
      </c>
      <c r="I42" s="220" t="inlineStr">
        <is>
          <t>Z</t>
        </is>
      </c>
      <c r="J42" s="220" t="inlineStr">
        <is>
          <t>Z Customer</t>
        </is>
      </c>
      <c r="K42" s="220" t="inlineStr">
        <is>
          <t xml:space="preserve">Z Retail Backend </t>
        </is>
      </c>
      <c r="L42" s="306" t="n"/>
      <c r="M42" s="307" t="inlineStr">
        <is>
          <t>NZ</t>
        </is>
      </c>
      <c r="N42" s="308" t="inlineStr">
        <is>
          <t>CDA</t>
        </is>
      </c>
      <c r="O42" s="309" t="n">
        <v>1</v>
      </c>
      <c r="P42" s="308" t="n"/>
      <c r="Q42" s="309" t="inlineStr">
        <is>
          <t>Permanent - Full Time</t>
        </is>
      </c>
      <c r="R42" s="310" t="n"/>
      <c r="S42" s="310" t="n"/>
      <c r="T42" s="322" t="n">
        <v>72000</v>
      </c>
      <c r="U42" s="321" t="n">
        <v>66240</v>
      </c>
      <c r="V42" s="312" t="n">
        <v>0.1</v>
      </c>
      <c r="W42" s="310" t="n"/>
      <c r="X42" s="313" t="n">
        <v>0.05</v>
      </c>
      <c r="Y42" s="951" t="n">
        <v>2910</v>
      </c>
      <c r="Z42" s="313" t="n">
        <v>0.03</v>
      </c>
      <c r="AA42" s="952">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849">
      <c r="A43" s="250" t="n">
        <v>110852</v>
      </c>
      <c r="B43" s="220" t="inlineStr">
        <is>
          <t>Madan Murthy</t>
        </is>
      </c>
      <c r="C43" s="305" t="inlineStr">
        <is>
          <t>Head of Technology, AU Retail</t>
        </is>
      </c>
      <c r="D43" s="220" t="inlineStr">
        <is>
          <t>Vance Anderson</t>
        </is>
      </c>
      <c r="E43" s="306" t="inlineStr">
        <is>
          <t>GM TDD, Ampol Retail &amp; Z</t>
        </is>
      </c>
      <c r="F43" s="220" t="inlineStr">
        <is>
          <t>Ampol Retail &amp; Z</t>
        </is>
      </c>
      <c r="G43" s="306" t="inlineStr">
        <is>
          <t>Ampol Retail</t>
        </is>
      </c>
      <c r="H43" s="220" t="inlineStr">
        <is>
          <t>na</t>
        </is>
      </c>
      <c r="I43" s="220" t="inlineStr">
        <is>
          <t>Retail</t>
        </is>
      </c>
      <c r="J43" s="220" t="inlineStr">
        <is>
          <t>(All Retail)</t>
        </is>
      </c>
      <c r="K43" s="306" t="inlineStr">
        <is>
          <t>Leadership</t>
        </is>
      </c>
      <c r="L43" s="306" t="n"/>
      <c r="M43" s="307" t="inlineStr">
        <is>
          <t>Australia</t>
        </is>
      </c>
      <c r="N43" s="308" t="inlineStr">
        <is>
          <t>CSC</t>
        </is>
      </c>
      <c r="O43" s="308" t="n">
        <v>1</v>
      </c>
      <c r="P43" s="308" t="n"/>
      <c r="Q43" s="308" t="inlineStr">
        <is>
          <t>Permanent - Full Time</t>
        </is>
      </c>
      <c r="R43" s="310" t="n"/>
      <c r="S43" s="310" t="n"/>
      <c r="T43" s="322" t="n">
        <v>310000</v>
      </c>
      <c r="U43" s="321" t="n">
        <v>310000</v>
      </c>
      <c r="V43" s="313" t="n">
        <v>0.2</v>
      </c>
      <c r="W43" s="953" t="n">
        <v>0.055</v>
      </c>
      <c r="X43" s="953" t="n">
        <v>0.12</v>
      </c>
      <c r="Y43" s="954" t="n"/>
      <c r="Z43" s="953" t="n">
        <v>0.04</v>
      </c>
      <c r="AA43" s="952">
        <f>U43*(1+V43+W43+X43+Y43+Z43)</f>
        <v>438650.0</v>
      </c>
      <c r="AC43" t="inlineStr">
        <is>
          <t>Ampol Retail</t>
        </is>
      </c>
      <c r="AD43" t="inlineStr">
        <is>
          <t>Leadership</t>
        </is>
      </c>
      <c r="AE43" t="inlineStr">
        <is>
          <t>Leadership</t>
        </is>
      </c>
      <c r="AF43" t="inlineStr">
        <is>
          <t>Leadership</t>
        </is>
      </c>
      <c r="AG43" t="inlineStr">
        <is>
          <t>Filled</t>
        </is>
      </c>
    </row>
    <row r="44" hidden="1" ht="18" customHeight="1" s="849">
      <c r="A44" s="250" t="n">
        <v>86743</v>
      </c>
      <c r="B44" s="220" t="inlineStr">
        <is>
          <t>Majdi Abedi</t>
        </is>
      </c>
      <c r="C44" s="305" t="inlineStr">
        <is>
          <t>Systems Analyst</t>
        </is>
      </c>
      <c r="D44" s="220" t="inlineStr">
        <is>
          <t>Tracy Lee Reaper</t>
        </is>
      </c>
      <c r="E44" s="220" t="inlineStr">
        <is>
          <t>Tech Manager, Merchandising &amp; WFM</t>
        </is>
      </c>
      <c r="F44" s="220" t="inlineStr">
        <is>
          <t>Ampol Retail &amp; Z</t>
        </is>
      </c>
      <c r="G44" s="306" t="inlineStr">
        <is>
          <t>Ampol Retail</t>
        </is>
      </c>
      <c r="H44" s="220" t="inlineStr">
        <is>
          <t>Ampol Retail, Merch &amp; RTA</t>
        </is>
      </c>
      <c r="I44" s="220" t="inlineStr">
        <is>
          <t>Retail</t>
        </is>
      </c>
      <c r="J44" s="327" t="inlineStr">
        <is>
          <t>Pricing / WFM</t>
        </is>
      </c>
      <c r="K44" s="261" t="inlineStr">
        <is>
          <t>Pricing &amp; WFM</t>
        </is>
      </c>
      <c r="L44" s="306" t="n"/>
      <c r="M44" s="307" t="inlineStr">
        <is>
          <t>Australia</t>
        </is>
      </c>
      <c r="N44" s="310" t="inlineStr">
        <is>
          <t>CIB</t>
        </is>
      </c>
      <c r="O44" s="310" t="n">
        <v>1</v>
      </c>
      <c r="P44" s="310" t="n"/>
      <c r="Q44" s="310" t="inlineStr">
        <is>
          <t>Permanent - Full Time</t>
        </is>
      </c>
      <c r="R44" s="310" t="n"/>
      <c r="S44" s="310" t="n"/>
      <c r="T44" s="322" t="n">
        <v>139350</v>
      </c>
      <c r="U44" s="321" t="n">
        <v>139350</v>
      </c>
      <c r="V44" s="313" t="n">
        <v>0.12</v>
      </c>
      <c r="W44" s="953" t="n">
        <v>0.055</v>
      </c>
      <c r="X44" s="953" t="n">
        <v>0.12</v>
      </c>
      <c r="Y44" s="954" t="n"/>
      <c r="Z44" s="953" t="n">
        <v>0.04</v>
      </c>
      <c r="AA44" s="952">
        <f>U44*(1+V44+W44+X44+Y44+Z44)</f>
        <v>186032.25</v>
      </c>
      <c r="AC44" t="inlineStr">
        <is>
          <t>Ampol Retail</t>
        </is>
      </c>
      <c r="AD44" t="inlineStr">
        <is>
          <t>Above Store</t>
        </is>
      </c>
      <c r="AE44" t="inlineStr">
        <is>
          <t>Above Store</t>
        </is>
      </c>
      <c r="AF44" t="inlineStr">
        <is>
          <t>Squad</t>
        </is>
      </c>
      <c r="AG44" t="inlineStr">
        <is>
          <t>Filled</t>
        </is>
      </c>
    </row>
    <row r="45" hidden="1" ht="18" customHeight="1" s="849">
      <c r="A45" s="250" t="n">
        <v>99999101222</v>
      </c>
      <c r="B45" s="220" t="inlineStr">
        <is>
          <t>Malachi Ah Hoi</t>
        </is>
      </c>
      <c r="C45" s="305" t="inlineStr">
        <is>
          <t>Senior Quality Assurance</t>
        </is>
      </c>
      <c r="D45" s="220" t="inlineStr">
        <is>
          <t>Vacant</t>
        </is>
      </c>
      <c r="E45" s="220" t="inlineStr">
        <is>
          <t>Technology Manager, Engineering</t>
        </is>
      </c>
      <c r="F45" s="220" t="inlineStr">
        <is>
          <t>Ampol Retail &amp; Z</t>
        </is>
      </c>
      <c r="G45" s="220" t="inlineStr">
        <is>
          <t>Z &amp; Group Retail</t>
        </is>
      </c>
      <c r="H45" s="220" t="inlineStr">
        <is>
          <t>Z &amp; Group Retail, Engineering</t>
        </is>
      </c>
      <c r="I45" s="220" t="inlineStr">
        <is>
          <t>Z</t>
        </is>
      </c>
      <c r="J45" s="220" t="inlineStr">
        <is>
          <t>Z Customer</t>
        </is>
      </c>
      <c r="K45" s="220" t="inlineStr">
        <is>
          <t xml:space="preserve">Z Retail Backend </t>
        </is>
      </c>
      <c r="L45" s="306" t="n"/>
      <c r="M45" s="307" t="inlineStr">
        <is>
          <t>NZ</t>
        </is>
      </c>
      <c r="N45" s="308" t="inlineStr">
        <is>
          <t>CIA</t>
        </is>
      </c>
      <c r="O45" s="309" t="n">
        <v>1</v>
      </c>
      <c r="P45" s="308" t="n"/>
      <c r="Q45" s="309" t="inlineStr">
        <is>
          <t>Permanent - Full Time</t>
        </is>
      </c>
      <c r="R45" s="310" t="n"/>
      <c r="S45" s="310" t="n"/>
      <c r="T45" s="322" t="n">
        <v>116170</v>
      </c>
      <c r="U45" s="321" t="n">
        <v>106876.4</v>
      </c>
      <c r="V45" s="312" t="n">
        <v>0.15</v>
      </c>
      <c r="W45" s="310" t="n"/>
      <c r="X45" s="313" t="n">
        <v>0.05</v>
      </c>
      <c r="Y45" s="951" t="n">
        <v>2910</v>
      </c>
      <c r="Z45" s="313" t="n">
        <v>0.03</v>
      </c>
      <c r="AA45" s="952">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849">
      <c r="A46" s="250" t="n">
        <v>99999170431</v>
      </c>
      <c r="B46" s="220" t="inlineStr">
        <is>
          <t>Mark Dickson</t>
        </is>
      </c>
      <c r="C46" s="305" t="inlineStr">
        <is>
          <t>Delivery Lead</t>
        </is>
      </c>
      <c r="D46" s="306" t="inlineStr">
        <is>
          <t>Vacant</t>
        </is>
      </c>
      <c r="E46" s="220" t="inlineStr">
        <is>
          <t>Delivery Manager, Z and Retail Data</t>
        </is>
      </c>
      <c r="F46" s="220" t="inlineStr">
        <is>
          <t>Ampol Retail &amp; Z</t>
        </is>
      </c>
      <c r="G46" s="306" t="inlineStr">
        <is>
          <t>Z &amp; Group Retail</t>
        </is>
      </c>
      <c r="H46" s="220" t="inlineStr">
        <is>
          <t>Z &amp; Group Retail, Delivery</t>
        </is>
      </c>
      <c r="I46" s="220" t="inlineStr">
        <is>
          <t>Z</t>
        </is>
      </c>
      <c r="J46" s="220" t="inlineStr">
        <is>
          <t>Z Customer</t>
        </is>
      </c>
      <c r="K46" s="220" t="inlineStr">
        <is>
          <t xml:space="preserve">Z Retail Backend </t>
        </is>
      </c>
      <c r="L46" s="306" t="n"/>
      <c r="M46" s="307" t="inlineStr">
        <is>
          <t>NZ</t>
        </is>
      </c>
      <c r="N46" s="308" t="inlineStr">
        <is>
          <t>CIC</t>
        </is>
      </c>
      <c r="O46" s="309" t="n">
        <v>1</v>
      </c>
      <c r="P46" s="308" t="n"/>
      <c r="Q46" s="309" t="inlineStr">
        <is>
          <t>Permanent - Full Time</t>
        </is>
      </c>
      <c r="R46" s="310" t="n"/>
      <c r="S46" s="310" t="n"/>
      <c r="T46" s="322" t="n">
        <v>173620</v>
      </c>
      <c r="U46" s="321" t="n">
        <v>159730.4</v>
      </c>
      <c r="V46" s="312" t="n">
        <v>0.15</v>
      </c>
      <c r="W46" s="328" t="n"/>
      <c r="X46" s="313" t="n">
        <v>0.05</v>
      </c>
      <c r="Y46" s="951" t="n">
        <v>2910</v>
      </c>
      <c r="Z46" s="313" t="n">
        <v>0.03</v>
      </c>
      <c r="AA46" s="952">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849">
      <c r="A47" s="250" t="n">
        <v>114616</v>
      </c>
      <c r="B47" s="220" t="inlineStr">
        <is>
          <t>Marty O'Shea</t>
        </is>
      </c>
      <c r="C47" s="305" t="inlineStr">
        <is>
          <t>Systems Analyst</t>
        </is>
      </c>
      <c r="D47" s="220" t="inlineStr">
        <is>
          <t>Vedran Jukic</t>
        </is>
      </c>
      <c r="E47" s="220" t="inlineStr">
        <is>
          <t>Technology Manager, Retail</t>
        </is>
      </c>
      <c r="F47" s="220" t="inlineStr">
        <is>
          <t>Ampol Retail &amp; Z</t>
        </is>
      </c>
      <c r="G47" s="306" t="inlineStr">
        <is>
          <t>Ampol Retail</t>
        </is>
      </c>
      <c r="H47" s="220" t="inlineStr">
        <is>
          <t>Ampol Retail, Technology</t>
        </is>
      </c>
      <c r="I47" s="220" t="inlineStr">
        <is>
          <t>EGI Integration</t>
        </is>
      </c>
      <c r="J47" s="306" t="inlineStr">
        <is>
          <t>EGI</t>
        </is>
      </c>
      <c r="K47" s="220" t="inlineStr">
        <is>
          <t>EGI Retail</t>
        </is>
      </c>
      <c r="L47" s="306" t="n"/>
      <c r="M47" s="307" t="inlineStr">
        <is>
          <t>Australia</t>
        </is>
      </c>
      <c r="N47" s="308" t="inlineStr">
        <is>
          <t>CIB</t>
        </is>
      </c>
      <c r="O47" s="308" t="n">
        <v>1</v>
      </c>
      <c r="P47" s="308" t="n"/>
      <c r="Q47" s="308" t="inlineStr">
        <is>
          <t>Permanent - Full Time</t>
        </is>
      </c>
      <c r="R47" s="310" t="n"/>
      <c r="S47" s="310" t="n"/>
      <c r="T47" s="322" t="n">
        <v>135000</v>
      </c>
      <c r="U47" s="321" t="n">
        <v>135000</v>
      </c>
      <c r="V47" s="313" t="n">
        <v>0.12</v>
      </c>
      <c r="W47" s="953" t="n">
        <v>0.055</v>
      </c>
      <c r="X47" s="953" t="n">
        <v>0.12</v>
      </c>
      <c r="Y47" s="954" t="n"/>
      <c r="Z47" s="953" t="n">
        <v>0.04</v>
      </c>
      <c r="AA47" s="952">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849">
      <c r="A48" s="250" t="n">
        <v>111835</v>
      </c>
      <c r="B48" s="220" t="inlineStr">
        <is>
          <t>Matthew Patane</t>
        </is>
      </c>
      <c r="C48" s="305" t="inlineStr">
        <is>
          <t>Release &amp; Deployment Manager</t>
        </is>
      </c>
      <c r="D48" s="220" t="inlineStr">
        <is>
          <t>Vedran Jukic</t>
        </is>
      </c>
      <c r="E48" s="220" t="inlineStr">
        <is>
          <t>Technology Manager, Retail</t>
        </is>
      </c>
      <c r="F48" s="220" t="inlineStr">
        <is>
          <t>Ampol Retail &amp; Z</t>
        </is>
      </c>
      <c r="G48" s="306" t="inlineStr">
        <is>
          <t>Ampol Retail</t>
        </is>
      </c>
      <c r="H48" s="220" t="inlineStr">
        <is>
          <t>Ampol Retail, Technology</t>
        </is>
      </c>
      <c r="I48" s="220" t="inlineStr">
        <is>
          <t>Retail</t>
        </is>
      </c>
      <c r="J48" s="306" t="inlineStr">
        <is>
          <t>Store Operations</t>
        </is>
      </c>
      <c r="K48" s="220" t="inlineStr">
        <is>
          <t>Deployment</t>
        </is>
      </c>
      <c r="L48" s="306" t="n"/>
      <c r="M48" s="307" t="inlineStr">
        <is>
          <t>Australia</t>
        </is>
      </c>
      <c r="N48" s="308" t="inlineStr">
        <is>
          <t>CIC</t>
        </is>
      </c>
      <c r="O48" s="308" t="n">
        <v>1</v>
      </c>
      <c r="P48" s="308" t="n"/>
      <c r="Q48" s="308" t="inlineStr">
        <is>
          <t>Permanent - Full Time</t>
        </is>
      </c>
      <c r="R48" s="310" t="n"/>
      <c r="S48" s="310" t="n"/>
      <c r="T48" s="322" t="n">
        <v>185140</v>
      </c>
      <c r="U48" s="321" t="n">
        <v>185140</v>
      </c>
      <c r="V48" s="313" t="n">
        <v>0.12</v>
      </c>
      <c r="W48" s="953" t="n">
        <v>0.055</v>
      </c>
      <c r="X48" s="953" t="n">
        <v>0.12</v>
      </c>
      <c r="Y48" s="954" t="n"/>
      <c r="Z48" s="953" t="n">
        <v>0.04</v>
      </c>
      <c r="AA48" s="952">
        <f>U48*(1+V48+W48+X48+Y48+Z48)</f>
        <v>247161.9</v>
      </c>
      <c r="AC48" t="inlineStr">
        <is>
          <t>Ampol Retail</t>
        </is>
      </c>
      <c r="AD48" t="inlineStr">
        <is>
          <t>Store Operations</t>
        </is>
      </c>
      <c r="AE48" t="inlineStr">
        <is>
          <t>Deployment</t>
        </is>
      </c>
      <c r="AF48" t="inlineStr">
        <is>
          <t>Squad</t>
        </is>
      </c>
      <c r="AG48" t="inlineStr">
        <is>
          <t>Filled</t>
        </is>
      </c>
    </row>
    <row r="49" hidden="1" ht="18" customHeight="1" s="849">
      <c r="A49" s="250" t="n">
        <v>99999101668</v>
      </c>
      <c r="B49" s="220" t="inlineStr">
        <is>
          <t>McKenzie Tournquist</t>
        </is>
      </c>
      <c r="C49" s="305" t="inlineStr">
        <is>
          <t>Data Analyst</t>
        </is>
      </c>
      <c r="D49" s="306" t="inlineStr">
        <is>
          <t>Vacant</t>
        </is>
      </c>
      <c r="E49" s="220" t="inlineStr">
        <is>
          <t>Technology Manager, Data</t>
        </is>
      </c>
      <c r="F49" s="220" t="inlineStr">
        <is>
          <t>Ampol Retail &amp; Z</t>
        </is>
      </c>
      <c r="G49" s="306" t="inlineStr">
        <is>
          <t>Z &amp; Group Retail</t>
        </is>
      </c>
      <c r="H49" s="220" t="inlineStr">
        <is>
          <t>Z &amp; Group Retail, Data</t>
        </is>
      </c>
      <c r="I49" s="220" t="inlineStr">
        <is>
          <t>Z</t>
        </is>
      </c>
      <c r="J49" s="306" t="inlineStr">
        <is>
          <t>Z Customer &amp; Z Supply</t>
        </is>
      </c>
      <c r="K49" s="220" t="inlineStr">
        <is>
          <t>Data - NZ</t>
        </is>
      </c>
      <c r="L49" s="306" t="n"/>
      <c r="M49" s="307" t="inlineStr">
        <is>
          <t>NZ</t>
        </is>
      </c>
      <c r="N49" s="308" t="inlineStr">
        <is>
          <t>CIA</t>
        </is>
      </c>
      <c r="O49" s="309" t="n">
        <v>1</v>
      </c>
      <c r="P49" s="308" t="n"/>
      <c r="Q49" s="309" t="inlineStr">
        <is>
          <t>Permanent - Full Time</t>
        </is>
      </c>
      <c r="R49" s="310" t="n"/>
      <c r="S49" s="310" t="n"/>
      <c r="T49" s="322" t="n">
        <v>118020</v>
      </c>
      <c r="U49" s="321" t="n">
        <v>108578.4</v>
      </c>
      <c r="V49" s="312" t="n">
        <v>0.15</v>
      </c>
      <c r="W49" s="310" t="n"/>
      <c r="X49" s="313" t="n">
        <v>0.05</v>
      </c>
      <c r="Y49" s="951" t="n">
        <v>2910</v>
      </c>
      <c r="Z49" s="313" t="n">
        <v>0.03</v>
      </c>
      <c r="AA49" s="952">
        <f>U49*(1+V49+X49+Z49)+Y49</f>
        <v>136461.432</v>
      </c>
      <c r="AB49" t="n">
        <v>113589</v>
      </c>
      <c r="AC49" t="inlineStr">
        <is>
          <t>Z Retail</t>
        </is>
      </c>
      <c r="AD49" t="inlineStr">
        <is>
          <t>-</t>
        </is>
      </c>
      <c r="AE49" t="inlineStr">
        <is>
          <t>Data NZ</t>
        </is>
      </c>
      <c r="AF49" t="inlineStr">
        <is>
          <t>Unmapped</t>
        </is>
      </c>
      <c r="AG49" t="inlineStr">
        <is>
          <t>Filled</t>
        </is>
      </c>
    </row>
    <row r="50" hidden="1" ht="18" customHeight="1" s="849">
      <c r="A50" s="250" t="n">
        <v>99999101623</v>
      </c>
      <c r="B50" s="220" t="inlineStr">
        <is>
          <t>Michael Dasan</t>
        </is>
      </c>
      <c r="C50" s="305" t="inlineStr">
        <is>
          <t>Engineer - Data</t>
        </is>
      </c>
      <c r="D50" s="306" t="inlineStr">
        <is>
          <t>Vacant</t>
        </is>
      </c>
      <c r="E50" s="220" t="inlineStr">
        <is>
          <t>Technology Manager, Data</t>
        </is>
      </c>
      <c r="F50" s="220" t="inlineStr">
        <is>
          <t>Ampol Retail &amp; Z</t>
        </is>
      </c>
      <c r="G50" s="306" t="inlineStr">
        <is>
          <t>Z &amp; Group Retail</t>
        </is>
      </c>
      <c r="H50" s="220" t="inlineStr">
        <is>
          <t>Z &amp; Group Retail, Data</t>
        </is>
      </c>
      <c r="I50" s="220" t="inlineStr">
        <is>
          <t>Z</t>
        </is>
      </c>
      <c r="J50" s="306" t="inlineStr">
        <is>
          <t>Z Customer &amp; Z Supply</t>
        </is>
      </c>
      <c r="K50" s="220" t="inlineStr">
        <is>
          <t>Data - NZ</t>
        </is>
      </c>
      <c r="L50" s="306" t="n"/>
      <c r="M50" s="307" t="inlineStr">
        <is>
          <t>NZ</t>
        </is>
      </c>
      <c r="N50" s="308" t="inlineStr">
        <is>
          <t>CDB</t>
        </is>
      </c>
      <c r="O50" s="309" t="n">
        <v>1</v>
      </c>
      <c r="P50" s="308" t="n"/>
      <c r="Q50" s="309" t="inlineStr">
        <is>
          <t>Permanent - Full Time</t>
        </is>
      </c>
      <c r="R50" s="310" t="n"/>
      <c r="S50" s="310" t="n"/>
      <c r="T50" s="322" t="n">
        <v>81890</v>
      </c>
      <c r="U50" s="321" t="n">
        <v>75338.8</v>
      </c>
      <c r="V50" s="312" t="n">
        <v>0.1</v>
      </c>
      <c r="W50" s="310" t="n"/>
      <c r="X50" s="313" t="n">
        <v>0.05</v>
      </c>
      <c r="Y50" s="951" t="n">
        <v>2910</v>
      </c>
      <c r="Z50" s="313" t="n">
        <v>0.03</v>
      </c>
      <c r="AA50" s="952">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849">
      <c r="A51" s="250" t="n">
        <v>85137</v>
      </c>
      <c r="B51" s="220" t="inlineStr">
        <is>
          <t>Mick Standen</t>
        </is>
      </c>
      <c r="C51" s="305" t="inlineStr">
        <is>
          <t>Systems Analyst</t>
        </is>
      </c>
      <c r="D51" s="220" t="inlineStr">
        <is>
          <t>Vaishnavi Viswanathan</t>
        </is>
      </c>
      <c r="E51" s="220" t="inlineStr">
        <is>
          <t>Technology Manager, Store Platform</t>
        </is>
      </c>
      <c r="F51" s="220" t="inlineStr">
        <is>
          <t>Ampol Retail &amp; Z</t>
        </is>
      </c>
      <c r="G51" s="306" t="inlineStr">
        <is>
          <t>Ampol Retail</t>
        </is>
      </c>
      <c r="H51" s="220" t="inlineStr">
        <is>
          <t>Ampol Retail, Store Platforms</t>
        </is>
      </c>
      <c r="I51" s="220" t="inlineStr">
        <is>
          <t>Retail</t>
        </is>
      </c>
      <c r="J51" s="306" t="inlineStr">
        <is>
          <t>AMPOS</t>
        </is>
      </c>
      <c r="K51" s="220" t="inlineStr">
        <is>
          <t>AmPos</t>
        </is>
      </c>
      <c r="L51" s="306" t="n"/>
      <c r="M51" s="307" t="inlineStr">
        <is>
          <t>Australia</t>
        </is>
      </c>
      <c r="N51" s="310" t="inlineStr">
        <is>
          <t>CIB</t>
        </is>
      </c>
      <c r="O51" s="310" t="n">
        <v>1</v>
      </c>
      <c r="P51" s="310" t="n"/>
      <c r="Q51" s="310" t="inlineStr">
        <is>
          <t>Permanent - Full Time</t>
        </is>
      </c>
      <c r="R51" s="310" t="n"/>
      <c r="S51" s="310" t="n"/>
      <c r="T51" s="322" t="n">
        <v>159010</v>
      </c>
      <c r="U51" s="321" t="n">
        <v>159010</v>
      </c>
      <c r="V51" s="313" t="n">
        <v>0.12</v>
      </c>
      <c r="W51" s="953" t="n">
        <v>0.055</v>
      </c>
      <c r="X51" s="953" t="n">
        <v>0.12</v>
      </c>
      <c r="Y51" s="954" t="n"/>
      <c r="Z51" s="953" t="n">
        <v>0.04</v>
      </c>
      <c r="AA51" s="952">
        <f>U51*(1+V51+W51+X51+Y51+Z51)</f>
        <v>212278.35</v>
      </c>
      <c r="AC51" t="inlineStr">
        <is>
          <t>Ampol Retail</t>
        </is>
      </c>
      <c r="AD51" t="inlineStr">
        <is>
          <t>AmPOS</t>
        </is>
      </c>
      <c r="AE51" t="inlineStr">
        <is>
          <t>AmPOS</t>
        </is>
      </c>
      <c r="AF51" t="inlineStr">
        <is>
          <t>Strategic Program</t>
        </is>
      </c>
      <c r="AG51" t="inlineStr">
        <is>
          <t>Filled</t>
        </is>
      </c>
    </row>
    <row r="52" hidden="1" ht="18" customHeight="1" s="849">
      <c r="A52" s="250" t="n">
        <v>95286</v>
      </c>
      <c r="B52" s="220" t="inlineStr">
        <is>
          <t>Navneet Singh</t>
        </is>
      </c>
      <c r="C52" s="305" t="inlineStr">
        <is>
          <t>Solution Architect</t>
        </is>
      </c>
      <c r="D52" s="220" t="inlineStr">
        <is>
          <t>Vedran Jukic</t>
        </is>
      </c>
      <c r="E52" s="220" t="inlineStr">
        <is>
          <t>Technology Manager, Retail</t>
        </is>
      </c>
      <c r="F52" s="220" t="inlineStr">
        <is>
          <t>Ampol Retail &amp; Z</t>
        </is>
      </c>
      <c r="G52" s="306" t="inlineStr">
        <is>
          <t>Ampol Retail</t>
        </is>
      </c>
      <c r="H52" s="220" t="inlineStr">
        <is>
          <t>Ampol Retail, Technology</t>
        </is>
      </c>
      <c r="I52" s="220" t="inlineStr">
        <is>
          <t>EGI Integration</t>
        </is>
      </c>
      <c r="J52" s="306" t="inlineStr">
        <is>
          <t>EGI</t>
        </is>
      </c>
      <c r="K52" s="220" t="inlineStr">
        <is>
          <t>EGI Retail</t>
        </is>
      </c>
      <c r="L52" s="306" t="n"/>
      <c r="M52" s="307" t="inlineStr">
        <is>
          <t>Australia</t>
        </is>
      </c>
      <c r="N52" s="308" t="inlineStr">
        <is>
          <t>CIC</t>
        </is>
      </c>
      <c r="O52" s="308" t="n">
        <v>1</v>
      </c>
      <c r="P52" s="308" t="n"/>
      <c r="Q52" s="308" t="inlineStr">
        <is>
          <t>Permanent - Full Time</t>
        </is>
      </c>
      <c r="R52" s="310" t="n"/>
      <c r="S52" s="310" t="n"/>
      <c r="T52" s="329" t="n">
        <v>196740</v>
      </c>
      <c r="U52" s="321" t="n">
        <v>196740</v>
      </c>
      <c r="V52" s="313" t="n">
        <v>0.12</v>
      </c>
      <c r="W52" s="953" t="n">
        <v>0.055</v>
      </c>
      <c r="X52" s="953" t="n">
        <v>0.12</v>
      </c>
      <c r="Y52" s="954" t="n"/>
      <c r="Z52" s="953" t="n">
        <v>0.04</v>
      </c>
      <c r="AA52" s="952">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849">
      <c r="A53" s="250" t="n">
        <v>108357</v>
      </c>
      <c r="B53" s="220" t="inlineStr">
        <is>
          <t>Pahul Oberoi</t>
        </is>
      </c>
      <c r="C53" s="305" t="inlineStr">
        <is>
          <t>Systems Analyst</t>
        </is>
      </c>
      <c r="D53" s="220" t="inlineStr">
        <is>
          <t>Tracy Lee Reaper</t>
        </is>
      </c>
      <c r="E53" s="220" t="inlineStr">
        <is>
          <t>Tech Manager, Merchandising &amp; WFM</t>
        </is>
      </c>
      <c r="F53" s="220" t="inlineStr">
        <is>
          <t>Ampol Retail &amp; Z</t>
        </is>
      </c>
      <c r="G53" s="306" t="inlineStr">
        <is>
          <t>Ampol Retail</t>
        </is>
      </c>
      <c r="H53" s="220" t="inlineStr">
        <is>
          <t>Ampol Retail, Merch &amp; RTA</t>
        </is>
      </c>
      <c r="I53" s="220" t="inlineStr">
        <is>
          <t>Retail</t>
        </is>
      </c>
      <c r="J53" s="306" t="inlineStr">
        <is>
          <t>Merch / Supply Chain</t>
        </is>
      </c>
      <c r="K53" s="220" t="inlineStr">
        <is>
          <t>Merchandising &amp; Supply Chain</t>
        </is>
      </c>
      <c r="L53" s="306" t="n"/>
      <c r="M53" s="307" t="inlineStr">
        <is>
          <t>Australia</t>
        </is>
      </c>
      <c r="N53" s="308" t="inlineStr">
        <is>
          <t>CIB</t>
        </is>
      </c>
      <c r="O53" s="308" t="n">
        <v>1</v>
      </c>
      <c r="P53" s="308" t="n"/>
      <c r="Q53" s="308" t="inlineStr">
        <is>
          <t>Permanent - Full Time</t>
        </is>
      </c>
      <c r="R53" s="310" t="n"/>
      <c r="S53" s="310" t="n"/>
      <c r="T53" s="322" t="n">
        <v>100000</v>
      </c>
      <c r="U53" s="321" t="n">
        <v>100000</v>
      </c>
      <c r="V53" s="313" t="n">
        <v>0.12</v>
      </c>
      <c r="W53" s="953" t="n">
        <v>0.055</v>
      </c>
      <c r="X53" s="953" t="n">
        <v>0.12</v>
      </c>
      <c r="Y53" s="954" t="n"/>
      <c r="Z53" s="953" t="n">
        <v>0.04</v>
      </c>
      <c r="AA53" s="952">
        <f>U53*(1+V53+W53+X53+Y53+Z53)</f>
        <v>133500.0</v>
      </c>
      <c r="AC53" t="inlineStr">
        <is>
          <t>Ampol Retail</t>
        </is>
      </c>
      <c r="AD53" t="inlineStr">
        <is>
          <t>Above Store</t>
        </is>
      </c>
      <c r="AE53" t="inlineStr">
        <is>
          <t>Above Store</t>
        </is>
      </c>
      <c r="AF53" t="inlineStr">
        <is>
          <t>Squad</t>
        </is>
      </c>
      <c r="AG53" t="inlineStr">
        <is>
          <t>Filled</t>
        </is>
      </c>
    </row>
    <row r="54" hidden="1" ht="18" customHeight="1" s="849">
      <c r="A54" s="250" t="n">
        <v>90097</v>
      </c>
      <c r="B54" s="220" t="inlineStr">
        <is>
          <t>Patrick Ericson Nario</t>
        </is>
      </c>
      <c r="C54" s="305" t="inlineStr">
        <is>
          <t>Support Analyst - Field Operations</t>
        </is>
      </c>
      <c r="D54" s="220" t="inlineStr">
        <is>
          <t>Ephriam Adan</t>
        </is>
      </c>
      <c r="E54" s="220" t="inlineStr">
        <is>
          <t>Manager, AU Retail Operations</t>
        </is>
      </c>
      <c r="F54" s="220" t="inlineStr">
        <is>
          <t>Ampol Retail &amp; Z</t>
        </is>
      </c>
      <c r="G54" s="306" t="inlineStr">
        <is>
          <t>Ampol Retail</t>
        </is>
      </c>
      <c r="H54" s="220" t="inlineStr">
        <is>
          <t>Ampol Retail, Technology</t>
        </is>
      </c>
      <c r="I54" s="220" t="inlineStr">
        <is>
          <t>Retail</t>
        </is>
      </c>
      <c r="J54" s="306" t="inlineStr">
        <is>
          <t>Store Operations</t>
        </is>
      </c>
      <c r="K54" s="220" t="inlineStr">
        <is>
          <t>Retail Operations</t>
        </is>
      </c>
      <c r="L54" s="306" t="n"/>
      <c r="M54" s="307" t="inlineStr">
        <is>
          <t>Australia</t>
        </is>
      </c>
      <c r="N54" s="308" t="inlineStr">
        <is>
          <t>CIA</t>
        </is>
      </c>
      <c r="O54" s="308" t="n">
        <v>1</v>
      </c>
      <c r="P54" s="308" t="n"/>
      <c r="Q54" s="308" t="inlineStr">
        <is>
          <t>Permanent - Full Time</t>
        </is>
      </c>
      <c r="R54" s="310" t="n"/>
      <c r="S54" s="310" t="n"/>
      <c r="T54" s="322" t="n">
        <v>123240</v>
      </c>
      <c r="U54" s="321" t="n">
        <v>123240</v>
      </c>
      <c r="V54" s="313" t="n">
        <v>0.1</v>
      </c>
      <c r="W54" s="953" t="n">
        <v>0.055</v>
      </c>
      <c r="X54" s="953" t="n">
        <v>0.12</v>
      </c>
      <c r="Y54" s="954" t="n"/>
      <c r="Z54" s="953" t="n">
        <v>0.04</v>
      </c>
      <c r="AA54" s="952">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849">
      <c r="A55" s="250" t="n">
        <v>94420</v>
      </c>
      <c r="B55" s="220" t="inlineStr">
        <is>
          <t>Peter Nicolopoulos</t>
        </is>
      </c>
      <c r="C55" s="305" t="inlineStr">
        <is>
          <t>Systems Analyst</t>
        </is>
      </c>
      <c r="D55" s="220" t="inlineStr">
        <is>
          <t>Vaishnavi Viswanathan</t>
        </is>
      </c>
      <c r="E55" s="220" t="inlineStr">
        <is>
          <t>Technology Manager, Store Platform</t>
        </is>
      </c>
      <c r="F55" s="220" t="inlineStr">
        <is>
          <t>Ampol Retail &amp; Z</t>
        </is>
      </c>
      <c r="G55" s="306" t="inlineStr">
        <is>
          <t>Ampol Retail</t>
        </is>
      </c>
      <c r="H55" s="220" t="inlineStr">
        <is>
          <t>Ampol Retail, Store Platforms</t>
        </is>
      </c>
      <c r="I55" s="220" t="inlineStr">
        <is>
          <t>Retail</t>
        </is>
      </c>
      <c r="J55" s="306" t="inlineStr">
        <is>
          <t>AMPOS</t>
        </is>
      </c>
      <c r="K55" s="220" t="inlineStr">
        <is>
          <t>AmPos</t>
        </is>
      </c>
      <c r="L55" s="306" t="n"/>
      <c r="M55" s="307" t="inlineStr">
        <is>
          <t>Australia</t>
        </is>
      </c>
      <c r="N55" s="308" t="inlineStr">
        <is>
          <t>CIB</t>
        </is>
      </c>
      <c r="O55" s="308" t="n">
        <v>1</v>
      </c>
      <c r="P55" s="308" t="n"/>
      <c r="Q55" s="308" t="inlineStr">
        <is>
          <t>Permanent - Full Time</t>
        </is>
      </c>
      <c r="R55" s="310" t="n"/>
      <c r="S55" s="310" t="n"/>
      <c r="T55" s="322" t="n">
        <v>160460</v>
      </c>
      <c r="U55" s="321" t="n">
        <v>160460</v>
      </c>
      <c r="V55" s="313" t="n">
        <v>0.12</v>
      </c>
      <c r="W55" s="953" t="n">
        <v>0.055</v>
      </c>
      <c r="X55" s="953" t="n">
        <v>0.12</v>
      </c>
      <c r="Y55" s="954" t="n"/>
      <c r="Z55" s="953" t="n">
        <v>0.04</v>
      </c>
      <c r="AA55" s="952">
        <f>U55*(1+V55+W55+X55+Y55+Z55)</f>
        <v>214214.1</v>
      </c>
      <c r="AC55" t="inlineStr">
        <is>
          <t>Ampol Retail</t>
        </is>
      </c>
      <c r="AD55" t="inlineStr">
        <is>
          <t>AmPOS</t>
        </is>
      </c>
      <c r="AE55" t="inlineStr">
        <is>
          <t>AmPOS</t>
        </is>
      </c>
      <c r="AF55" t="inlineStr">
        <is>
          <t>Strategic Program</t>
        </is>
      </c>
      <c r="AG55" t="inlineStr">
        <is>
          <t>Filled</t>
        </is>
      </c>
    </row>
    <row r="56" hidden="1" ht="18" customHeight="1" s="849">
      <c r="A56" s="250" t="n">
        <v>99999101650</v>
      </c>
      <c r="B56" s="220" t="inlineStr">
        <is>
          <t>Sakshi Sachdeva</t>
        </is>
      </c>
      <c r="C56" s="305" t="inlineStr">
        <is>
          <t xml:space="preserve">Senior Quality Assurance </t>
        </is>
      </c>
      <c r="D56" s="220" t="inlineStr">
        <is>
          <t>Callan McLaughlin</t>
        </is>
      </c>
      <c r="E56" s="220" t="inlineStr">
        <is>
          <t>Technology Manager,  Site Systems</t>
        </is>
      </c>
      <c r="F56" s="220" t="inlineStr">
        <is>
          <t>Ampol Retail &amp; Z</t>
        </is>
      </c>
      <c r="G56" s="306" t="inlineStr">
        <is>
          <t>Z &amp; Group Retail</t>
        </is>
      </c>
      <c r="H56" s="220" t="inlineStr">
        <is>
          <t>Z &amp; Group Retail, Site Systems</t>
        </is>
      </c>
      <c r="I56" s="220" t="inlineStr">
        <is>
          <t>Z</t>
        </is>
      </c>
      <c r="J56" s="306" t="inlineStr">
        <is>
          <t>Z Customer</t>
        </is>
      </c>
      <c r="K56" s="220" t="inlineStr">
        <is>
          <t>Site Systems</t>
        </is>
      </c>
      <c r="L56" s="306" t="n"/>
      <c r="M56" s="307" t="inlineStr">
        <is>
          <t>NZ</t>
        </is>
      </c>
      <c r="N56" s="308" t="inlineStr">
        <is>
          <t>CIA</t>
        </is>
      </c>
      <c r="O56" s="309" t="n">
        <v>1</v>
      </c>
      <c r="P56" s="308" t="n"/>
      <c r="Q56" s="309" t="inlineStr">
        <is>
          <t>Permanent - Full Time</t>
        </is>
      </c>
      <c r="R56" s="310" t="n"/>
      <c r="S56" s="310" t="n"/>
      <c r="T56" s="322" t="n">
        <v>127740</v>
      </c>
      <c r="U56" s="321" t="n">
        <v>117520.8</v>
      </c>
      <c r="V56" s="312" t="n">
        <v>0.15</v>
      </c>
      <c r="W56" s="310" t="n"/>
      <c r="X56" s="313" t="n">
        <v>0.05</v>
      </c>
      <c r="Y56" s="951" t="n">
        <v>2910</v>
      </c>
      <c r="Z56" s="313" t="n">
        <v>0.03</v>
      </c>
      <c r="AA56" s="952">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849">
      <c r="A57" s="250" t="n">
        <v>107164</v>
      </c>
      <c r="B57" s="220" t="inlineStr">
        <is>
          <t>Santiago Hernandez Arevalo</t>
        </is>
      </c>
      <c r="C57" s="305" t="inlineStr">
        <is>
          <t>Systems Analyst</t>
        </is>
      </c>
      <c r="D57" s="220" t="inlineStr">
        <is>
          <t>Vedran Jukic</t>
        </is>
      </c>
      <c r="E57" s="220" t="inlineStr">
        <is>
          <t>Technology Manager, Retail</t>
        </is>
      </c>
      <c r="F57" s="220" t="inlineStr">
        <is>
          <t>Ampol Retail &amp; Z</t>
        </is>
      </c>
      <c r="G57" s="306" t="inlineStr">
        <is>
          <t>Ampol Retail</t>
        </is>
      </c>
      <c r="H57" s="220" t="inlineStr">
        <is>
          <t>Ampol Retail, Technology</t>
        </is>
      </c>
      <c r="I57" s="220" t="inlineStr">
        <is>
          <t>Retail</t>
        </is>
      </c>
      <c r="J57" s="306" t="inlineStr">
        <is>
          <t>Network/QSR</t>
        </is>
      </c>
      <c r="K57" s="220" t="inlineStr">
        <is>
          <t>Network &amp; QSR</t>
        </is>
      </c>
      <c r="L57" s="306" t="n"/>
      <c r="M57" s="307" t="inlineStr">
        <is>
          <t>Australia</t>
        </is>
      </c>
      <c r="N57" s="308" t="inlineStr">
        <is>
          <t>CIA</t>
        </is>
      </c>
      <c r="O57" s="308" t="n">
        <v>1</v>
      </c>
      <c r="P57" s="308" t="n"/>
      <c r="Q57" s="308" t="inlineStr">
        <is>
          <t>Permanent - Full Time</t>
        </is>
      </c>
      <c r="R57" s="310" t="n"/>
      <c r="S57" s="310" t="n"/>
      <c r="T57" s="322" t="n">
        <v>133110</v>
      </c>
      <c r="U57" s="321" t="n">
        <v>133110</v>
      </c>
      <c r="V57" s="313" t="n">
        <v>0.1</v>
      </c>
      <c r="W57" s="953" t="n">
        <v>0.055</v>
      </c>
      <c r="X57" s="953" t="n">
        <v>0.12</v>
      </c>
      <c r="Y57" s="954" t="n"/>
      <c r="Z57" s="953" t="n">
        <v>0.04</v>
      </c>
      <c r="AA57" s="952">
        <f>U57*(1+V57+W57+X57+Y57+Z57)</f>
        <v>175039.65</v>
      </c>
      <c r="AC57" t="inlineStr">
        <is>
          <t>Ampol Retail</t>
        </is>
      </c>
      <c r="AD57" t="inlineStr">
        <is>
          <t>Network / QSR</t>
        </is>
      </c>
      <c r="AE57" t="inlineStr">
        <is>
          <t>Network / QSR</t>
        </is>
      </c>
      <c r="AF57" t="inlineStr">
        <is>
          <t>Squad</t>
        </is>
      </c>
      <c r="AG57" t="inlineStr">
        <is>
          <t>Filled</t>
        </is>
      </c>
    </row>
    <row r="58" hidden="1" ht="18" customHeight="1" s="849">
      <c r="A58" s="250" t="n">
        <v>11424</v>
      </c>
      <c r="B58" s="220" t="inlineStr">
        <is>
          <t>Sao Keawprasit</t>
        </is>
      </c>
      <c r="C58" s="305" t="inlineStr">
        <is>
          <t>Systems Analyst</t>
        </is>
      </c>
      <c r="D58" s="220" t="inlineStr">
        <is>
          <t>Tracy Lee Reaper</t>
        </is>
      </c>
      <c r="E58" s="220" t="inlineStr">
        <is>
          <t>Tech Manager, Merchandising &amp; WFM</t>
        </is>
      </c>
      <c r="F58" s="220" t="inlineStr">
        <is>
          <t>Ampol Retail &amp; Z</t>
        </is>
      </c>
      <c r="G58" s="306" t="inlineStr">
        <is>
          <t>Ampol Retail</t>
        </is>
      </c>
      <c r="H58" s="220" t="inlineStr">
        <is>
          <t>Ampol Retail, Merch &amp; RTA</t>
        </is>
      </c>
      <c r="I58" s="220" t="inlineStr">
        <is>
          <t>Retail</t>
        </is>
      </c>
      <c r="J58" s="306" t="inlineStr">
        <is>
          <t>Merch / Supply Chain</t>
        </is>
      </c>
      <c r="K58" s="220" t="inlineStr">
        <is>
          <t>Merchandising &amp; Supply Chain</t>
        </is>
      </c>
      <c r="L58" s="306" t="n"/>
      <c r="M58" s="307" t="inlineStr">
        <is>
          <t>Australia</t>
        </is>
      </c>
      <c r="N58" s="310" t="inlineStr">
        <is>
          <t>CIB</t>
        </is>
      </c>
      <c r="O58" s="310" t="n">
        <v>1</v>
      </c>
      <c r="P58" s="310" t="n"/>
      <c r="Q58" s="310" t="inlineStr">
        <is>
          <t>Permanent - Full Time</t>
        </is>
      </c>
      <c r="R58" s="310" t="n"/>
      <c r="S58" s="310" t="n"/>
      <c r="T58" s="322" t="n">
        <v>154420</v>
      </c>
      <c r="U58" s="321" t="n">
        <v>154420</v>
      </c>
      <c r="V58" s="313" t="n">
        <v>0.12</v>
      </c>
      <c r="W58" s="953" t="n">
        <v>0.055</v>
      </c>
      <c r="X58" s="953" t="n">
        <v>0.12</v>
      </c>
      <c r="Y58" s="954" t="n"/>
      <c r="Z58" s="953" t="n">
        <v>0.04</v>
      </c>
      <c r="AA58" s="952">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849">
      <c r="A59" s="250" t="n">
        <v>114003</v>
      </c>
      <c r="B59" s="220" t="inlineStr">
        <is>
          <t>Sayan Kar</t>
        </is>
      </c>
      <c r="C59" s="305" t="inlineStr">
        <is>
          <t>Systems Analyst</t>
        </is>
      </c>
      <c r="D59" s="220" t="inlineStr">
        <is>
          <t>Vaishnavi Viswanathan</t>
        </is>
      </c>
      <c r="E59" s="220" t="inlineStr">
        <is>
          <t>Technology Manager, Store Platform</t>
        </is>
      </c>
      <c r="F59" s="220" t="inlineStr">
        <is>
          <t>Ampol Retail &amp; Z</t>
        </is>
      </c>
      <c r="G59" s="306" t="inlineStr">
        <is>
          <t>Ampol Retail</t>
        </is>
      </c>
      <c r="H59" s="220" t="inlineStr">
        <is>
          <t>Ampol Retail, Store Platforms</t>
        </is>
      </c>
      <c r="I59" s="220" t="inlineStr">
        <is>
          <t>Retail</t>
        </is>
      </c>
      <c r="J59" s="306" t="inlineStr">
        <is>
          <t>Store Operations</t>
        </is>
      </c>
      <c r="K59" s="220" t="inlineStr">
        <is>
          <t>Payments</t>
        </is>
      </c>
      <c r="L59" s="306" t="n"/>
      <c r="M59" s="307" t="inlineStr">
        <is>
          <t>Australia</t>
        </is>
      </c>
      <c r="N59" s="308" t="inlineStr">
        <is>
          <t>CIB</t>
        </is>
      </c>
      <c r="O59" s="308" t="n">
        <v>1</v>
      </c>
      <c r="P59" s="308" t="n"/>
      <c r="Q59" s="308" t="inlineStr">
        <is>
          <t>Permanent - Full Time</t>
        </is>
      </c>
      <c r="R59" s="310" t="n"/>
      <c r="S59" s="310" t="n"/>
      <c r="T59" s="322" t="n">
        <v>152220</v>
      </c>
      <c r="U59" s="321" t="n">
        <v>152220</v>
      </c>
      <c r="V59" s="313" t="n">
        <v>0.12</v>
      </c>
      <c r="W59" s="953" t="n">
        <v>0.055</v>
      </c>
      <c r="X59" s="953" t="n">
        <v>0.12</v>
      </c>
      <c r="Y59" s="954" t="n"/>
      <c r="Z59" s="953" t="n">
        <v>0.04</v>
      </c>
      <c r="AA59" s="952">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849">
      <c r="A60" s="250" t="n">
        <v>98007</v>
      </c>
      <c r="B60" s="220" t="inlineStr">
        <is>
          <t>Sendhil Vinayagam (75% EGI)</t>
        </is>
      </c>
      <c r="C60" s="305" t="inlineStr">
        <is>
          <t>Solution Architect</t>
        </is>
      </c>
      <c r="D60" s="220" t="inlineStr">
        <is>
          <t>Vedran Jukic</t>
        </is>
      </c>
      <c r="E60" s="220" t="inlineStr">
        <is>
          <t>Technology Manager, Retail</t>
        </is>
      </c>
      <c r="F60" s="220" t="inlineStr">
        <is>
          <t>Ampol Retail &amp; Z</t>
        </is>
      </c>
      <c r="G60" s="306" t="inlineStr">
        <is>
          <t>Ampol Retail</t>
        </is>
      </c>
      <c r="H60" s="220" t="inlineStr">
        <is>
          <t>Ampol Retail, Technology</t>
        </is>
      </c>
      <c r="I60" s="220" t="inlineStr">
        <is>
          <t>EGI Integration</t>
        </is>
      </c>
      <c r="J60" s="306" t="inlineStr">
        <is>
          <t>EGI</t>
        </is>
      </c>
      <c r="K60" s="220" t="inlineStr">
        <is>
          <t>EGI Retail</t>
        </is>
      </c>
      <c r="L60" s="306" t="n"/>
      <c r="M60" s="307" t="inlineStr">
        <is>
          <t>Australia</t>
        </is>
      </c>
      <c r="N60" s="308" t="inlineStr">
        <is>
          <t>CIC</t>
        </is>
      </c>
      <c r="O60" s="308" t="n">
        <v>1</v>
      </c>
      <c r="P60" s="308" t="n"/>
      <c r="Q60" s="308" t="inlineStr">
        <is>
          <t>Permanent - Full Time</t>
        </is>
      </c>
      <c r="R60" s="310" t="n"/>
      <c r="S60" s="310" t="n"/>
      <c r="T60" s="322" t="n">
        <v>194190</v>
      </c>
      <c r="U60" s="321" t="n">
        <v>194190</v>
      </c>
      <c r="V60" s="313" t="n">
        <v>0.12</v>
      </c>
      <c r="W60" s="953" t="n">
        <v>0.055</v>
      </c>
      <c r="X60" s="953" t="n">
        <v>0.12</v>
      </c>
      <c r="Y60" s="954" t="n"/>
      <c r="Z60" s="953" t="n">
        <v>0.04</v>
      </c>
      <c r="AA60" s="952">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849">
      <c r="A61" s="250" t="n">
        <v>95017</v>
      </c>
      <c r="B61" s="323" t="inlineStr">
        <is>
          <t>Sjoerd Van Sluijs</t>
        </is>
      </c>
      <c r="C61" s="305" t="inlineStr">
        <is>
          <t>Senior PM PEP1, PEP18</t>
        </is>
      </c>
      <c r="D61" s="306" t="inlineStr">
        <is>
          <t>Greg Cassis</t>
        </is>
      </c>
      <c r="E61" s="306" t="inlineStr">
        <is>
          <t>GM TDD, EGI</t>
        </is>
      </c>
      <c r="F61" s="220" t="inlineStr">
        <is>
          <t>Ampol Retail &amp; Z</t>
        </is>
      </c>
      <c r="G61" s="306" t="inlineStr">
        <is>
          <t>EGI</t>
        </is>
      </c>
      <c r="H61" s="306" t="inlineStr">
        <is>
          <t>EGI</t>
        </is>
      </c>
      <c r="I61" s="220" t="inlineStr">
        <is>
          <t>EGI Integration</t>
        </is>
      </c>
      <c r="J61" s="306" t="inlineStr">
        <is>
          <t>EGI</t>
        </is>
      </c>
      <c r="K61" s="306" t="inlineStr">
        <is>
          <t>EGI Retail</t>
        </is>
      </c>
      <c r="L61" s="306" t="n"/>
      <c r="M61" s="307" t="inlineStr">
        <is>
          <t>Australia</t>
        </is>
      </c>
      <c r="N61" s="308" t="inlineStr">
        <is>
          <t>CIC</t>
        </is>
      </c>
      <c r="O61" s="308" t="n">
        <v>1</v>
      </c>
      <c r="P61" s="308" t="n"/>
      <c r="Q61" s="308" t="inlineStr">
        <is>
          <t>Permanent - Full Time</t>
        </is>
      </c>
      <c r="R61" s="310" t="n"/>
      <c r="S61" s="310" t="n"/>
      <c r="T61" s="322" t="n">
        <v>200410</v>
      </c>
      <c r="U61" s="321" t="n">
        <v>200410</v>
      </c>
      <c r="V61" s="313" t="n">
        <v>0.12</v>
      </c>
      <c r="W61" s="953" t="n">
        <v>0.055</v>
      </c>
      <c r="X61" s="953" t="n">
        <v>0.12</v>
      </c>
      <c r="Y61" s="954" t="n"/>
      <c r="Z61" s="953" t="n">
        <v>0.04</v>
      </c>
      <c r="AA61" s="952">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849">
      <c r="A62" s="250" t="n">
        <v>113783</v>
      </c>
      <c r="B62" s="220" t="inlineStr">
        <is>
          <t>Tabitha Raharadjo</t>
        </is>
      </c>
      <c r="C62" s="305" t="inlineStr">
        <is>
          <t>Project Coordinator</t>
        </is>
      </c>
      <c r="D62" s="220" t="inlineStr">
        <is>
          <t>Vanessa Allen</t>
        </is>
      </c>
      <c r="E62" s="220" t="inlineStr">
        <is>
          <t>Delivery Manager, Ampol Retail</t>
        </is>
      </c>
      <c r="F62" s="220" t="inlineStr">
        <is>
          <t>Ampol Retail &amp; Z</t>
        </is>
      </c>
      <c r="G62" s="306" t="inlineStr">
        <is>
          <t>Ampol Retail</t>
        </is>
      </c>
      <c r="H62" s="220" t="inlineStr">
        <is>
          <t>Ampol Retail, Delivery</t>
        </is>
      </c>
      <c r="I62" s="220" t="inlineStr">
        <is>
          <t>Retail</t>
        </is>
      </c>
      <c r="J62" s="306" t="inlineStr">
        <is>
          <t>AMPOS</t>
        </is>
      </c>
      <c r="K62" s="220" t="inlineStr">
        <is>
          <t>Ampos</t>
        </is>
      </c>
      <c r="L62" s="306" t="n"/>
      <c r="M62" s="307" t="inlineStr">
        <is>
          <t>Australia</t>
        </is>
      </c>
      <c r="N62" s="308" t="inlineStr">
        <is>
          <t>CDC</t>
        </is>
      </c>
      <c r="O62" s="308" t="n">
        <v>1</v>
      </c>
      <c r="P62" s="308" t="n"/>
      <c r="Q62" s="308" t="inlineStr">
        <is>
          <t>Permanent - Full Time</t>
        </is>
      </c>
      <c r="R62" s="310" t="n"/>
      <c r="S62" s="310" t="n"/>
      <c r="T62" s="322" t="n">
        <v>118280</v>
      </c>
      <c r="U62" s="321" t="n">
        <v>118280</v>
      </c>
      <c r="V62" s="313" t="n">
        <v>0.1</v>
      </c>
      <c r="W62" s="953" t="n">
        <v>0.055</v>
      </c>
      <c r="X62" s="953" t="n">
        <v>0.12</v>
      </c>
      <c r="Y62" s="954" t="n"/>
      <c r="Z62" s="953" t="n">
        <v>0.04</v>
      </c>
      <c r="AA62" s="952">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849">
      <c r="A63" s="250" t="n">
        <v>9999922690</v>
      </c>
      <c r="B63" s="220" t="inlineStr">
        <is>
          <t>Tim Gurnsey</t>
        </is>
      </c>
      <c r="C63" s="305" t="inlineStr">
        <is>
          <t>Delivery Lead</t>
        </is>
      </c>
      <c r="D63" s="306" t="inlineStr">
        <is>
          <t>Vacant</t>
        </is>
      </c>
      <c r="E63" s="220" t="inlineStr">
        <is>
          <t>Delivery Manager, Z and Retail Data</t>
        </is>
      </c>
      <c r="F63" s="220" t="inlineStr">
        <is>
          <t>Ampol Retail &amp; Z</t>
        </is>
      </c>
      <c r="G63" s="306" t="inlineStr">
        <is>
          <t>Z &amp; Group Retail</t>
        </is>
      </c>
      <c r="H63" s="220" t="inlineStr">
        <is>
          <t>Z &amp; Group Retail, Delivery</t>
        </is>
      </c>
      <c r="I63" s="220" t="inlineStr">
        <is>
          <t>Z</t>
        </is>
      </c>
      <c r="J63" s="306" t="inlineStr">
        <is>
          <t>Z Customer</t>
        </is>
      </c>
      <c r="K63" s="220" t="inlineStr">
        <is>
          <t>Site Systems</t>
        </is>
      </c>
      <c r="L63" s="306" t="n"/>
      <c r="M63" s="307" t="inlineStr">
        <is>
          <t>NZ</t>
        </is>
      </c>
      <c r="N63" s="308" t="inlineStr">
        <is>
          <t>CIC</t>
        </is>
      </c>
      <c r="O63" s="309" t="n">
        <v>1</v>
      </c>
      <c r="P63" s="308" t="n"/>
      <c r="Q63" s="309" t="inlineStr">
        <is>
          <t>Permanent - Full Time</t>
        </is>
      </c>
      <c r="R63" s="310" t="n"/>
      <c r="S63" s="310" t="n"/>
      <c r="T63" s="322" t="n">
        <v>173230</v>
      </c>
      <c r="U63" s="321" t="n">
        <v>159371.6</v>
      </c>
      <c r="V63" s="312" t="n">
        <v>0.15</v>
      </c>
      <c r="W63" s="310" t="n"/>
      <c r="X63" s="313" t="n">
        <v>0.05</v>
      </c>
      <c r="Y63" s="951" t="n">
        <v>2910</v>
      </c>
      <c r="Z63" s="313" t="n">
        <v>0.03</v>
      </c>
      <c r="AA63" s="952">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849">
      <c r="A64" s="250" t="n">
        <v>95285</v>
      </c>
      <c r="B64" s="220" t="inlineStr">
        <is>
          <t>Tracy Lee Reaper</t>
        </is>
      </c>
      <c r="C64" s="305" t="inlineStr">
        <is>
          <t>Technology Manager, Merchandising &amp; WFM</t>
        </is>
      </c>
      <c r="D64" s="306" t="inlineStr">
        <is>
          <t>Madan Murthy</t>
        </is>
      </c>
      <c r="E64" s="220" t="inlineStr">
        <is>
          <t>Head of Technology,  Ampol Retail</t>
        </is>
      </c>
      <c r="F64" s="220" t="inlineStr">
        <is>
          <t>Ampol Retail &amp; Z</t>
        </is>
      </c>
      <c r="G64" s="306" t="inlineStr">
        <is>
          <t>Ampol Retail</t>
        </is>
      </c>
      <c r="H64" s="220" t="inlineStr">
        <is>
          <t>Ampol Retail, Merch &amp; RTA</t>
        </is>
      </c>
      <c r="I64" s="220" t="inlineStr">
        <is>
          <t>Retail</t>
        </is>
      </c>
      <c r="J64" s="220" t="inlineStr">
        <is>
          <t>Merch / Supply Chain</t>
        </is>
      </c>
      <c r="K64" s="306" t="inlineStr">
        <is>
          <t>Leadership</t>
        </is>
      </c>
      <c r="L64" s="306" t="n"/>
      <c r="M64" s="307" t="inlineStr">
        <is>
          <t>Australia</t>
        </is>
      </c>
      <c r="N64" s="308" t="inlineStr">
        <is>
          <t>CSB</t>
        </is>
      </c>
      <c r="O64" s="308" t="n">
        <v>1</v>
      </c>
      <c r="P64" s="308" t="n"/>
      <c r="Q64" s="308" t="inlineStr">
        <is>
          <t>Permanent - Full Time</t>
        </is>
      </c>
      <c r="R64" s="310" t="n"/>
      <c r="S64" s="310" t="n"/>
      <c r="T64" s="322" t="n">
        <v>189604</v>
      </c>
      <c r="U64" s="321" t="n">
        <v>189604</v>
      </c>
      <c r="V64" s="313" t="n">
        <v>0.14</v>
      </c>
      <c r="W64" s="953" t="n">
        <v>0.055</v>
      </c>
      <c r="X64" s="953" t="n">
        <v>0.12</v>
      </c>
      <c r="Y64" s="954" t="n"/>
      <c r="Z64" s="953" t="n">
        <v>0.04</v>
      </c>
      <c r="AA64" s="952">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849">
      <c r="A65" s="250" t="n">
        <v>99999101426</v>
      </c>
      <c r="B65" s="220" t="inlineStr">
        <is>
          <t>Trevor Weaver</t>
        </is>
      </c>
      <c r="C65" s="305" t="inlineStr">
        <is>
          <t>Lead  Engineer - Software</t>
        </is>
      </c>
      <c r="D65" s="220" t="inlineStr">
        <is>
          <t>Vacant</t>
        </is>
      </c>
      <c r="E65" s="220" t="inlineStr">
        <is>
          <t>Technology Manager, Engineering</t>
        </is>
      </c>
      <c r="F65" s="220" t="inlineStr">
        <is>
          <t>Ampol Retail &amp; Z</t>
        </is>
      </c>
      <c r="G65" s="220" t="inlineStr">
        <is>
          <t>Z &amp; Group Retail</t>
        </is>
      </c>
      <c r="H65" s="220" t="inlineStr">
        <is>
          <t>Z &amp; Group Retail, Engineering</t>
        </is>
      </c>
      <c r="I65" s="220" t="inlineStr">
        <is>
          <t>Z</t>
        </is>
      </c>
      <c r="J65" s="220" t="inlineStr">
        <is>
          <t>Z Customer</t>
        </is>
      </c>
      <c r="K65" s="220" t="inlineStr">
        <is>
          <t xml:space="preserve">Z Retail Backend </t>
        </is>
      </c>
      <c r="L65" s="306" t="n"/>
      <c r="M65" s="307" t="inlineStr">
        <is>
          <t>NZ</t>
        </is>
      </c>
      <c r="N65" s="308" t="inlineStr">
        <is>
          <t>CIC</t>
        </is>
      </c>
      <c r="O65" s="309" t="n">
        <v>1</v>
      </c>
      <c r="P65" s="308" t="n"/>
      <c r="Q65" s="309" t="inlineStr">
        <is>
          <t>Permanent - Full Time</t>
        </is>
      </c>
      <c r="R65" s="310" t="n"/>
      <c r="S65" s="310" t="n"/>
      <c r="T65" s="322" t="n">
        <v>195680</v>
      </c>
      <c r="U65" s="321" t="n">
        <v>180025.6</v>
      </c>
      <c r="V65" s="312" t="n">
        <v>0.15</v>
      </c>
      <c r="W65" s="310" t="n"/>
      <c r="X65" s="313" t="n">
        <v>0.05</v>
      </c>
      <c r="Y65" s="951" t="n">
        <v>2910</v>
      </c>
      <c r="Z65" s="313" t="n">
        <v>0.03</v>
      </c>
      <c r="AA65" s="952">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30">
      <c r="A66" s="250" t="n">
        <v>85136</v>
      </c>
      <c r="B66" s="220" t="inlineStr">
        <is>
          <t>Tuan Edwards</t>
        </is>
      </c>
      <c r="C66" s="305" t="inlineStr">
        <is>
          <t>Field Systems Operations Lead - QLD</t>
        </is>
      </c>
      <c r="D66" s="220" t="inlineStr">
        <is>
          <t>Ephraim Adan</t>
        </is>
      </c>
      <c r="E66" s="220" t="inlineStr">
        <is>
          <t>Manager, AU Retail Operations</t>
        </is>
      </c>
      <c r="F66" s="220" t="inlineStr">
        <is>
          <t>Ampol Retail &amp; Z</t>
        </is>
      </c>
      <c r="G66" s="306" t="inlineStr">
        <is>
          <t>Ampol Retail</t>
        </is>
      </c>
      <c r="H66" s="220" t="inlineStr">
        <is>
          <t>Ampol Retail, Technology</t>
        </is>
      </c>
      <c r="I66" s="220" t="inlineStr">
        <is>
          <t>Retail</t>
        </is>
      </c>
      <c r="J66" s="306" t="inlineStr">
        <is>
          <t>Store Operations</t>
        </is>
      </c>
      <c r="K66" s="220" t="inlineStr">
        <is>
          <t>Retail Operations</t>
        </is>
      </c>
      <c r="L66" s="306" t="n"/>
      <c r="M66" s="307" t="inlineStr">
        <is>
          <t>Australia</t>
        </is>
      </c>
      <c r="N66" s="310" t="inlineStr">
        <is>
          <t>CIA</t>
        </is>
      </c>
      <c r="O66" s="310" t="n">
        <v>1</v>
      </c>
      <c r="P66" s="310" t="n"/>
      <c r="Q66" s="310" t="inlineStr">
        <is>
          <t>Permanent - Full Time</t>
        </is>
      </c>
      <c r="R66" s="310" t="n"/>
      <c r="S66" s="310" t="n"/>
      <c r="T66" s="322" t="n">
        <v>133300</v>
      </c>
      <c r="U66" s="321" t="n">
        <v>133300</v>
      </c>
      <c r="V66" s="313" t="n">
        <v>0.1</v>
      </c>
      <c r="W66" s="953" t="n">
        <v>0.055</v>
      </c>
      <c r="X66" s="953" t="n">
        <v>0.12</v>
      </c>
      <c r="Y66" s="954" t="n"/>
      <c r="Z66" s="953" t="n">
        <v>0.04</v>
      </c>
      <c r="AA66" s="952">
        <f>U66*(1+V66+W66+X66+Y66+Z66)</f>
        <v>175289.5</v>
      </c>
      <c r="AB66" s="316" t="n"/>
      <c r="AC66" s="316" t="inlineStr">
        <is>
          <t>Ampol Retail</t>
        </is>
      </c>
      <c r="AD66" t="inlineStr">
        <is>
          <t>Store Operations</t>
        </is>
      </c>
      <c r="AE66" t="inlineStr">
        <is>
          <t>Retail Operations</t>
        </is>
      </c>
      <c r="AF66" t="inlineStr">
        <is>
          <t>Unmapped</t>
        </is>
      </c>
      <c r="AG66" t="inlineStr">
        <is>
          <t>Filled</t>
        </is>
      </c>
    </row>
    <row r="67" hidden="1" ht="18" customHeight="1" s="849">
      <c r="A67" s="250" t="inlineStr">
        <is>
          <t>V</t>
        </is>
      </c>
      <c r="B67" s="220" t="inlineStr">
        <is>
          <t>Vacant</t>
        </is>
      </c>
      <c r="C67" s="305" t="inlineStr">
        <is>
          <t>Engineer - Integration</t>
        </is>
      </c>
      <c r="D67" s="220" t="inlineStr">
        <is>
          <t>Tracy Lee Reaper</t>
        </is>
      </c>
      <c r="E67" s="220" t="inlineStr">
        <is>
          <t>Tech Manager, Merchandising &amp; WFM</t>
        </is>
      </c>
      <c r="F67" s="220" t="inlineStr">
        <is>
          <t>Ampol Retail &amp; Z</t>
        </is>
      </c>
      <c r="G67" s="306" t="inlineStr">
        <is>
          <t>Ampol Retail</t>
        </is>
      </c>
      <c r="H67" s="220" t="inlineStr">
        <is>
          <t>Ampol Retail, Merch &amp; RTA</t>
        </is>
      </c>
      <c r="I67" s="220" t="inlineStr">
        <is>
          <t>Retail</t>
        </is>
      </c>
      <c r="J67" s="306" t="inlineStr">
        <is>
          <t>Merch / Supply Chain</t>
        </is>
      </c>
      <c r="K67" s="220" t="inlineStr">
        <is>
          <t>Merchandising &amp; Supply Chain</t>
        </is>
      </c>
      <c r="L67" s="306" t="n"/>
      <c r="M67" s="307" t="inlineStr">
        <is>
          <t>Australia</t>
        </is>
      </c>
      <c r="N67" s="308" t="inlineStr">
        <is>
          <t>CIB</t>
        </is>
      </c>
      <c r="O67" s="308" t="n">
        <v>1</v>
      </c>
      <c r="P67" s="308" t="n"/>
      <c r="Q67" s="308" t="inlineStr">
        <is>
          <t>V</t>
        </is>
      </c>
      <c r="R67" s="310" t="n"/>
      <c r="S67" s="310" t="n"/>
      <c r="T67" s="322" t="n">
        <v>151950</v>
      </c>
      <c r="U67" s="321" t="n">
        <v>151950</v>
      </c>
      <c r="V67" s="313" t="n">
        <v>0.12</v>
      </c>
      <c r="W67" s="953" t="n">
        <v>0.055</v>
      </c>
      <c r="X67" s="953" t="n">
        <v>0.12</v>
      </c>
      <c r="Y67" s="954" t="n"/>
      <c r="Z67" s="953" t="n">
        <v>0.04</v>
      </c>
      <c r="AA67" s="952">
        <f>U67*(1+V67+W67+X67+Y67+Z67)</f>
        <v>202853.25</v>
      </c>
      <c r="AC67" t="inlineStr">
        <is>
          <t>Ampol Retail</t>
        </is>
      </c>
      <c r="AD67" t="inlineStr">
        <is>
          <t>Above Store</t>
        </is>
      </c>
      <c r="AE67" t="inlineStr">
        <is>
          <t>Above Store</t>
        </is>
      </c>
      <c r="AF67" t="inlineStr">
        <is>
          <t>Squad</t>
        </is>
      </c>
      <c r="AG67" t="inlineStr">
        <is>
          <t>Vacant</t>
        </is>
      </c>
    </row>
    <row r="68" hidden="1" ht="18" customHeight="1" s="849">
      <c r="A68" s="250" t="inlineStr">
        <is>
          <t>V</t>
        </is>
      </c>
      <c r="B68" s="220" t="inlineStr">
        <is>
          <t>vacant</t>
        </is>
      </c>
      <c r="C68" s="305" t="inlineStr">
        <is>
          <t>Quality Assurance</t>
        </is>
      </c>
      <c r="D68" s="220" t="inlineStr">
        <is>
          <t>Tracy Lee Reaper</t>
        </is>
      </c>
      <c r="E68" s="220" t="inlineStr">
        <is>
          <t>Tech Manager, Merchandising &amp; WFM</t>
        </is>
      </c>
      <c r="F68" s="220" t="inlineStr">
        <is>
          <t>Ampol Retail &amp; Z</t>
        </is>
      </c>
      <c r="G68" s="306" t="inlineStr">
        <is>
          <t>Ampol Retail</t>
        </is>
      </c>
      <c r="H68" s="220" t="inlineStr">
        <is>
          <t>Ampol Retail, Merch &amp; RTA</t>
        </is>
      </c>
      <c r="I68" s="220" t="inlineStr">
        <is>
          <t>Retail</t>
        </is>
      </c>
      <c r="J68" s="306" t="inlineStr">
        <is>
          <t>Merch / Supply Chain</t>
        </is>
      </c>
      <c r="K68" s="220" t="inlineStr">
        <is>
          <t>Merchandising &amp; Supply Chain</t>
        </is>
      </c>
      <c r="L68" s="306" t="n"/>
      <c r="M68" s="307" t="inlineStr">
        <is>
          <t>Australia</t>
        </is>
      </c>
      <c r="N68" s="308" t="inlineStr">
        <is>
          <t>CIA</t>
        </is>
      </c>
      <c r="O68" s="308" t="n">
        <v>1</v>
      </c>
      <c r="P68" s="308" t="n"/>
      <c r="Q68" s="308" t="inlineStr">
        <is>
          <t>v</t>
        </is>
      </c>
      <c r="R68" s="310" t="n"/>
      <c r="S68" s="310" t="n"/>
      <c r="T68" s="322" t="n">
        <v>129650</v>
      </c>
      <c r="U68" s="321" t="n">
        <v>129650</v>
      </c>
      <c r="V68" s="313" t="n">
        <v>0.1</v>
      </c>
      <c r="W68" s="953" t="n">
        <v>0.055</v>
      </c>
      <c r="X68" s="953" t="n">
        <v>0.12</v>
      </c>
      <c r="Y68" s="954" t="n"/>
      <c r="Z68" s="953" t="n">
        <v>0.04</v>
      </c>
      <c r="AA68" s="952">
        <f>U68*(1+V68+W68+X68+Y68+Z68)</f>
        <v>170489.75</v>
      </c>
      <c r="AC68" t="inlineStr">
        <is>
          <t>Ampol Retail</t>
        </is>
      </c>
      <c r="AD68" t="inlineStr">
        <is>
          <t>Above Store</t>
        </is>
      </c>
      <c r="AE68" t="inlineStr">
        <is>
          <t>Above Store</t>
        </is>
      </c>
      <c r="AF68" t="inlineStr">
        <is>
          <t>Squad</t>
        </is>
      </c>
      <c r="AG68" t="inlineStr">
        <is>
          <t>Vacant</t>
        </is>
      </c>
    </row>
    <row r="69" hidden="1" ht="18" customHeight="1" s="849">
      <c r="A69" s="250" t="inlineStr">
        <is>
          <t>V</t>
        </is>
      </c>
      <c r="B69" s="220" t="inlineStr">
        <is>
          <t>vacant</t>
        </is>
      </c>
      <c r="C69" s="305" t="inlineStr">
        <is>
          <t>Quality Assurance</t>
        </is>
      </c>
      <c r="D69" s="220" t="inlineStr">
        <is>
          <t>Tracy Lee Reaper</t>
        </is>
      </c>
      <c r="E69" s="220" t="inlineStr">
        <is>
          <t>Tech Manager, Merchandising &amp; WFM</t>
        </is>
      </c>
      <c r="F69" s="220" t="inlineStr">
        <is>
          <t>Ampol Retail &amp; Z</t>
        </is>
      </c>
      <c r="G69" s="306" t="inlineStr">
        <is>
          <t>Ampol Retail</t>
        </is>
      </c>
      <c r="H69" s="220" t="inlineStr">
        <is>
          <t>Ampol Retail, Merch &amp; RTA</t>
        </is>
      </c>
      <c r="I69" s="220" t="inlineStr">
        <is>
          <t>Retail</t>
        </is>
      </c>
      <c r="J69" s="306" t="inlineStr">
        <is>
          <t>Pricing / WFM</t>
        </is>
      </c>
      <c r="K69" s="220" t="inlineStr">
        <is>
          <t>Pricing &amp; WFM</t>
        </is>
      </c>
      <c r="L69" s="306" t="n"/>
      <c r="M69" s="307" t="inlineStr">
        <is>
          <t>Australia</t>
        </is>
      </c>
      <c r="N69" s="308" t="inlineStr">
        <is>
          <t>CIA</t>
        </is>
      </c>
      <c r="O69" s="308" t="n">
        <v>1</v>
      </c>
      <c r="P69" s="308" t="n"/>
      <c r="Q69" s="308" t="inlineStr">
        <is>
          <t>v</t>
        </is>
      </c>
      <c r="R69" s="310" t="n"/>
      <c r="S69" s="310" t="n"/>
      <c r="T69" s="322" t="n">
        <v>129650</v>
      </c>
      <c r="U69" s="321" t="n">
        <v>129650</v>
      </c>
      <c r="V69" s="313" t="n">
        <v>0.1</v>
      </c>
      <c r="W69" s="953" t="n">
        <v>0.055</v>
      </c>
      <c r="X69" s="953" t="n">
        <v>0.12</v>
      </c>
      <c r="Y69" s="954" t="n"/>
      <c r="Z69" s="953" t="n">
        <v>0.04</v>
      </c>
      <c r="AA69" s="952">
        <f>U69*(1+V69+W69+X69+Y69+Z69)</f>
        <v>170489.75</v>
      </c>
      <c r="AC69" t="inlineStr">
        <is>
          <t>Ampol Retail</t>
        </is>
      </c>
      <c r="AD69" t="inlineStr">
        <is>
          <t>Above Store</t>
        </is>
      </c>
      <c r="AE69" t="inlineStr">
        <is>
          <t>Above Store</t>
        </is>
      </c>
      <c r="AF69" t="inlineStr">
        <is>
          <t>Squad</t>
        </is>
      </c>
      <c r="AG69" t="inlineStr">
        <is>
          <t>Vacant</t>
        </is>
      </c>
    </row>
    <row r="70" hidden="1" ht="18" customHeight="1" s="849">
      <c r="A70" s="250" t="inlineStr">
        <is>
          <t>V</t>
        </is>
      </c>
      <c r="B70" s="220" t="inlineStr">
        <is>
          <t>Vacant</t>
        </is>
      </c>
      <c r="C70" s="305" t="inlineStr">
        <is>
          <t>Systems Analyst</t>
        </is>
      </c>
      <c r="D70" s="220" t="inlineStr">
        <is>
          <t>Tracy Lee Reaper</t>
        </is>
      </c>
      <c r="E70" s="220" t="inlineStr">
        <is>
          <t>Tech Manager, Merchandising &amp; WFM</t>
        </is>
      </c>
      <c r="F70" s="220" t="inlineStr">
        <is>
          <t>Ampol Retail &amp; Z</t>
        </is>
      </c>
      <c r="G70" s="306" t="inlineStr">
        <is>
          <t>Ampol Retail</t>
        </is>
      </c>
      <c r="H70" s="220" t="inlineStr">
        <is>
          <t>Ampol Retail, Merch &amp; RTA</t>
        </is>
      </c>
      <c r="I70" t="inlineStr">
        <is>
          <t>Retail</t>
        </is>
      </c>
      <c r="J70" s="306" t="inlineStr">
        <is>
          <t>Merch / Supply Chain</t>
        </is>
      </c>
      <c r="K70" t="inlineStr">
        <is>
          <t>Merchandising &amp; Supply Chain</t>
        </is>
      </c>
      <c r="L70" s="306" t="n"/>
      <c r="M70" s="307" t="inlineStr">
        <is>
          <t>Australia</t>
        </is>
      </c>
      <c r="N70" s="308" t="inlineStr">
        <is>
          <t>CIA</t>
        </is>
      </c>
      <c r="O70" s="308" t="n">
        <v>1</v>
      </c>
      <c r="P70" s="308" t="n"/>
      <c r="Q70" s="308" t="inlineStr">
        <is>
          <t>v</t>
        </is>
      </c>
      <c r="R70" s="310" t="n"/>
      <c r="S70" s="310" t="n"/>
      <c r="T70" s="322" t="n">
        <v>129659</v>
      </c>
      <c r="U70" s="321" t="n">
        <v>129659</v>
      </c>
      <c r="V70" s="313" t="n">
        <v>0.1</v>
      </c>
      <c r="W70" s="953" t="n">
        <v>0.055</v>
      </c>
      <c r="X70" s="953" t="n">
        <v>0.12</v>
      </c>
      <c r="Y70" s="954" t="n"/>
      <c r="Z70" s="953" t="n">
        <v>0.04</v>
      </c>
      <c r="AA70" s="952">
        <f>U70*(1+V70+W70+X70+Y70+Z70)</f>
        <v>170501.585</v>
      </c>
      <c r="AC70" t="inlineStr">
        <is>
          <t>Ampol Retail</t>
        </is>
      </c>
      <c r="AD70" t="inlineStr">
        <is>
          <t>Above Store</t>
        </is>
      </c>
      <c r="AE70" t="inlineStr">
        <is>
          <t>Above Store</t>
        </is>
      </c>
      <c r="AF70" t="inlineStr">
        <is>
          <t>Squad</t>
        </is>
      </c>
      <c r="AG70" t="inlineStr">
        <is>
          <t>Vacant</t>
        </is>
      </c>
    </row>
    <row r="71" hidden="1" ht="18" customHeight="1" s="849">
      <c r="A71" s="250" t="inlineStr">
        <is>
          <t>V</t>
        </is>
      </c>
      <c r="B71" s="220" t="inlineStr">
        <is>
          <t>Vacant</t>
        </is>
      </c>
      <c r="C71" s="305" t="inlineStr">
        <is>
          <t>Systems Analyst</t>
        </is>
      </c>
      <c r="D71" s="220" t="inlineStr">
        <is>
          <t>Tracy Lee Reaper</t>
        </is>
      </c>
      <c r="E71" s="220" t="inlineStr">
        <is>
          <t>Tech Manager, Merchandising &amp; WFM</t>
        </is>
      </c>
      <c r="F71" s="220" t="inlineStr">
        <is>
          <t>Ampol Retail &amp; Z</t>
        </is>
      </c>
      <c r="G71" s="306" t="inlineStr">
        <is>
          <t>Ampol Retail</t>
        </is>
      </c>
      <c r="H71" s="220" t="inlineStr">
        <is>
          <t>Ampol Retail, Merch &amp; RTA</t>
        </is>
      </c>
      <c r="I71" s="220" t="inlineStr">
        <is>
          <t>Retail</t>
        </is>
      </c>
      <c r="J71" s="306" t="inlineStr">
        <is>
          <t>Pricing / WFM</t>
        </is>
      </c>
      <c r="K71" s="220" t="inlineStr">
        <is>
          <t>Pricing &amp; WFM</t>
        </is>
      </c>
      <c r="L71" s="306" t="n"/>
      <c r="M71" s="307" t="inlineStr">
        <is>
          <t>Australia</t>
        </is>
      </c>
      <c r="N71" s="308" t="inlineStr">
        <is>
          <t>CIA</t>
        </is>
      </c>
      <c r="O71" s="308" t="n">
        <v>1</v>
      </c>
      <c r="P71" s="308" t="n"/>
      <c r="Q71" s="308" t="inlineStr">
        <is>
          <t>v</t>
        </is>
      </c>
      <c r="R71" s="310" t="n"/>
      <c r="S71" s="310" t="n"/>
      <c r="T71" s="322" t="n">
        <v>129659</v>
      </c>
      <c r="U71" s="321" t="n">
        <v>129659</v>
      </c>
      <c r="V71" s="313" t="n">
        <v>0.1</v>
      </c>
      <c r="W71" s="953" t="n">
        <v>0.055</v>
      </c>
      <c r="X71" s="953" t="n">
        <v>0.12</v>
      </c>
      <c r="Y71" s="954" t="n"/>
      <c r="Z71" s="953" t="n">
        <v>0.04</v>
      </c>
      <c r="AA71" s="952">
        <f>U71*(1+V71+W71+X71+Y71+Z71)</f>
        <v>170501.585</v>
      </c>
      <c r="AC71" t="inlineStr">
        <is>
          <t>Ampol Retail</t>
        </is>
      </c>
      <c r="AD71" t="inlineStr">
        <is>
          <t>Above Store</t>
        </is>
      </c>
      <c r="AE71" t="inlineStr">
        <is>
          <t>Above Store</t>
        </is>
      </c>
      <c r="AF71" t="inlineStr">
        <is>
          <t>Squad</t>
        </is>
      </c>
      <c r="AG71" t="inlineStr">
        <is>
          <t>Vacant</t>
        </is>
      </c>
    </row>
    <row r="72" hidden="1" ht="18" customHeight="1" s="849">
      <c r="A72" s="250" t="inlineStr">
        <is>
          <t>V</t>
        </is>
      </c>
      <c r="B72" s="220" t="inlineStr">
        <is>
          <t>Vacant</t>
        </is>
      </c>
      <c r="C72" s="305" t="inlineStr">
        <is>
          <t>Data Analyst</t>
        </is>
      </c>
      <c r="D72" s="306" t="inlineStr">
        <is>
          <t>Vacant</t>
        </is>
      </c>
      <c r="E72" s="220" t="inlineStr">
        <is>
          <t>Technology Manager, Data</t>
        </is>
      </c>
      <c r="F72" s="220" t="inlineStr">
        <is>
          <t>Ampol Retail &amp; Z</t>
        </is>
      </c>
      <c r="G72" s="306" t="inlineStr">
        <is>
          <t>Z &amp; Group Retail</t>
        </is>
      </c>
      <c r="H72" s="220" t="inlineStr">
        <is>
          <t>Z &amp; Group Retail, Data</t>
        </is>
      </c>
      <c r="I72" s="220" t="inlineStr">
        <is>
          <t>Retail</t>
        </is>
      </c>
      <c r="J72" s="306" t="inlineStr">
        <is>
          <t>(All Retail)</t>
        </is>
      </c>
      <c r="K72" s="220" t="inlineStr">
        <is>
          <t>Data - AU</t>
        </is>
      </c>
      <c r="L72" s="306" t="n"/>
      <c r="M72" s="307" t="inlineStr">
        <is>
          <t>Australia</t>
        </is>
      </c>
      <c r="N72" s="308" t="inlineStr">
        <is>
          <t>CIB</t>
        </is>
      </c>
      <c r="O72" s="308" t="n">
        <v>1</v>
      </c>
      <c r="P72" s="308" t="n"/>
      <c r="Q72" s="308" t="inlineStr">
        <is>
          <t>V</t>
        </is>
      </c>
      <c r="R72" s="310" t="n"/>
      <c r="S72" s="310" t="n"/>
      <c r="T72" s="322" t="n">
        <v>151000</v>
      </c>
      <c r="U72" s="321" t="n">
        <v>151000</v>
      </c>
      <c r="V72" s="313" t="n">
        <v>0.12</v>
      </c>
      <c r="W72" s="953" t="n">
        <v>0.055</v>
      </c>
      <c r="X72" s="953" t="n">
        <v>0.12</v>
      </c>
      <c r="Y72" s="954" t="n"/>
      <c r="Z72" s="953" t="n">
        <v>0.04</v>
      </c>
      <c r="AA72" s="952">
        <f>U72*(1+V72+W72+X72+Y72+Z72)</f>
        <v>201585.0</v>
      </c>
      <c r="AC72" t="inlineStr">
        <is>
          <t>Ampol Retail</t>
        </is>
      </c>
      <c r="AD72" t="inlineStr">
        <is>
          <t>Data AU</t>
        </is>
      </c>
      <c r="AE72" t="inlineStr">
        <is>
          <t>Data AU</t>
        </is>
      </c>
      <c r="AF72" t="inlineStr">
        <is>
          <t>Squad</t>
        </is>
      </c>
      <c r="AG72" t="inlineStr">
        <is>
          <t>Vacant</t>
        </is>
      </c>
    </row>
    <row r="73" hidden="1" ht="18" customHeight="1" s="849">
      <c r="A73" s="250" t="inlineStr">
        <is>
          <t>V</t>
        </is>
      </c>
      <c r="B73" s="220" t="inlineStr">
        <is>
          <t>Vacant</t>
        </is>
      </c>
      <c r="C73" s="305" t="inlineStr">
        <is>
          <t>Data Analyst</t>
        </is>
      </c>
      <c r="D73" s="306" t="inlineStr">
        <is>
          <t>Vacant</t>
        </is>
      </c>
      <c r="E73" s="220" t="inlineStr">
        <is>
          <t>Technology Manager, Data</t>
        </is>
      </c>
      <c r="F73" s="220" t="inlineStr">
        <is>
          <t>Ampol Retail &amp; Z</t>
        </is>
      </c>
      <c r="G73" s="306" t="inlineStr">
        <is>
          <t>Z &amp; Group Retail</t>
        </is>
      </c>
      <c r="H73" s="220" t="inlineStr">
        <is>
          <t>Z &amp; Group Retail, Data</t>
        </is>
      </c>
      <c r="I73" s="220" t="inlineStr">
        <is>
          <t>Retail</t>
        </is>
      </c>
      <c r="J73" s="306" t="inlineStr">
        <is>
          <t>(All Retail)</t>
        </is>
      </c>
      <c r="K73" s="220" t="inlineStr">
        <is>
          <t>Data - AU</t>
        </is>
      </c>
      <c r="L73" s="306" t="n"/>
      <c r="M73" s="307" t="inlineStr">
        <is>
          <t>Australia</t>
        </is>
      </c>
      <c r="N73" s="308" t="inlineStr">
        <is>
          <t>CIB</t>
        </is>
      </c>
      <c r="O73" s="308" t="n">
        <v>1</v>
      </c>
      <c r="P73" s="308" t="n"/>
      <c r="Q73" s="308" t="inlineStr">
        <is>
          <t>V</t>
        </is>
      </c>
      <c r="R73" s="310" t="n"/>
      <c r="S73" s="310" t="n"/>
      <c r="T73" s="322" t="n">
        <v>151000</v>
      </c>
      <c r="U73" s="321" t="n">
        <v>151000</v>
      </c>
      <c r="V73" s="313" t="n">
        <v>0.12</v>
      </c>
      <c r="W73" s="953" t="n">
        <v>0.055</v>
      </c>
      <c r="X73" s="953" t="n">
        <v>0.12</v>
      </c>
      <c r="Y73" s="954" t="n"/>
      <c r="Z73" s="953" t="n">
        <v>0.04</v>
      </c>
      <c r="AA73" s="952">
        <f>U73*(1+V73+W73+X73+Y73+Z73)</f>
        <v>201585.0</v>
      </c>
      <c r="AC73" t="inlineStr">
        <is>
          <t>Ampol Retail</t>
        </is>
      </c>
      <c r="AD73" t="inlineStr">
        <is>
          <t>Data AU</t>
        </is>
      </c>
      <c r="AE73" t="inlineStr">
        <is>
          <t>Data AU</t>
        </is>
      </c>
      <c r="AF73" t="inlineStr">
        <is>
          <t>Squad</t>
        </is>
      </c>
      <c r="AG73" t="inlineStr">
        <is>
          <t>Vacant</t>
        </is>
      </c>
    </row>
    <row r="74" hidden="1" ht="18" customHeight="1" s="849">
      <c r="A74" s="250" t="inlineStr">
        <is>
          <t>V</t>
        </is>
      </c>
      <c r="B74" s="220" t="inlineStr">
        <is>
          <t>Vacant</t>
        </is>
      </c>
      <c r="C74" s="305" t="inlineStr">
        <is>
          <t>Delivery Lead</t>
        </is>
      </c>
      <c r="D74" s="306" t="inlineStr">
        <is>
          <t>Vacant</t>
        </is>
      </c>
      <c r="E74" s="220" t="inlineStr">
        <is>
          <t>Delivery Manager, Z and Retail Data</t>
        </is>
      </c>
      <c r="F74" s="220" t="inlineStr">
        <is>
          <t>Ampol Retail &amp; Z</t>
        </is>
      </c>
      <c r="G74" s="306" t="inlineStr">
        <is>
          <t>Z &amp; Group Retail</t>
        </is>
      </c>
      <c r="H74" s="220" t="inlineStr">
        <is>
          <t>Z &amp; Group Retail, Delivery</t>
        </is>
      </c>
      <c r="I74" s="220" t="inlineStr">
        <is>
          <t>Retail</t>
        </is>
      </c>
      <c r="J74" s="306" t="inlineStr">
        <is>
          <t>(All Retail)</t>
        </is>
      </c>
      <c r="K74" s="220" t="inlineStr">
        <is>
          <t>Data - AU</t>
        </is>
      </c>
      <c r="L74" s="306" t="n"/>
      <c r="M74" s="307" t="inlineStr">
        <is>
          <t>Australia</t>
        </is>
      </c>
      <c r="N74" s="308" t="inlineStr">
        <is>
          <t>CIC</t>
        </is>
      </c>
      <c r="O74" s="308" t="n">
        <v>1</v>
      </c>
      <c r="P74" s="308" t="n"/>
      <c r="Q74" s="308" t="inlineStr">
        <is>
          <t>V</t>
        </is>
      </c>
      <c r="R74" s="310" t="n"/>
      <c r="S74" s="310" t="n"/>
      <c r="T74" s="322" t="n">
        <v>173550</v>
      </c>
      <c r="U74" s="321" t="n">
        <v>173550</v>
      </c>
      <c r="V74" s="313" t="n">
        <v>0.12</v>
      </c>
      <c r="W74" s="953" t="n">
        <v>0.055</v>
      </c>
      <c r="X74" s="953" t="n">
        <v>0.12</v>
      </c>
      <c r="Y74" s="954" t="n"/>
      <c r="Z74" s="953" t="n">
        <v>0.04</v>
      </c>
      <c r="AA74" s="952">
        <f>U74*(1+V74+W74+X74+Y74+Z74)</f>
        <v>231689.25</v>
      </c>
      <c r="AC74" t="inlineStr">
        <is>
          <t>Ampol Retail</t>
        </is>
      </c>
      <c r="AD74" t="inlineStr">
        <is>
          <t>Data AU</t>
        </is>
      </c>
      <c r="AE74" t="inlineStr">
        <is>
          <t>Data AU</t>
        </is>
      </c>
      <c r="AF74" t="inlineStr">
        <is>
          <t>Squad</t>
        </is>
      </c>
      <c r="AG74" t="inlineStr">
        <is>
          <t>Vacant</t>
        </is>
      </c>
    </row>
    <row r="75" hidden="1" ht="18" customHeight="1" s="849">
      <c r="A75" s="250" t="inlineStr">
        <is>
          <t>V</t>
        </is>
      </c>
      <c r="B75" s="220" t="inlineStr">
        <is>
          <t>Vacant</t>
        </is>
      </c>
      <c r="C75" s="305" t="inlineStr">
        <is>
          <t>Engineer - Data</t>
        </is>
      </c>
      <c r="D75" s="306" t="inlineStr">
        <is>
          <t>Vacant</t>
        </is>
      </c>
      <c r="E75" s="220" t="inlineStr">
        <is>
          <t>Technology Manager, Data</t>
        </is>
      </c>
      <c r="F75" s="220" t="inlineStr">
        <is>
          <t>Ampol Retail &amp; Z</t>
        </is>
      </c>
      <c r="G75" s="306" t="inlineStr">
        <is>
          <t>Z &amp; Group Retail</t>
        </is>
      </c>
      <c r="H75" s="220" t="inlineStr">
        <is>
          <t>Z &amp; Group Retail, Data</t>
        </is>
      </c>
      <c r="I75" s="220" t="inlineStr">
        <is>
          <t>Retail</t>
        </is>
      </c>
      <c r="J75" s="306" t="inlineStr">
        <is>
          <t>(All Retail)</t>
        </is>
      </c>
      <c r="K75" s="220" t="inlineStr">
        <is>
          <t>Data - AU</t>
        </is>
      </c>
      <c r="L75" s="306" t="n"/>
      <c r="M75" s="307" t="inlineStr">
        <is>
          <t>Australia</t>
        </is>
      </c>
      <c r="N75" s="308" t="inlineStr">
        <is>
          <t>CIB</t>
        </is>
      </c>
      <c r="O75" s="308" t="n">
        <v>1</v>
      </c>
      <c r="P75" s="308" t="n"/>
      <c r="Q75" s="308" t="inlineStr">
        <is>
          <t>V</t>
        </is>
      </c>
      <c r="R75" s="310" t="n"/>
      <c r="S75" s="310" t="n"/>
      <c r="T75" s="322" t="n">
        <v>151950</v>
      </c>
      <c r="U75" s="321" t="n">
        <v>151950</v>
      </c>
      <c r="V75" s="313" t="n">
        <v>0.12</v>
      </c>
      <c r="W75" s="953" t="n">
        <v>0.055</v>
      </c>
      <c r="X75" s="953" t="n">
        <v>0.12</v>
      </c>
      <c r="Y75" s="954" t="n"/>
      <c r="Z75" s="953" t="n">
        <v>0.04</v>
      </c>
      <c r="AA75" s="952">
        <f>U75*(1+V75+W75+X75+Y75+Z75)</f>
        <v>202853.25</v>
      </c>
      <c r="AC75" t="inlineStr">
        <is>
          <t>Ampol Retail</t>
        </is>
      </c>
      <c r="AD75" t="inlineStr">
        <is>
          <t>Data AU</t>
        </is>
      </c>
      <c r="AE75" t="inlineStr">
        <is>
          <t>Data AU</t>
        </is>
      </c>
      <c r="AF75" t="inlineStr">
        <is>
          <t>Squad</t>
        </is>
      </c>
      <c r="AG75" t="inlineStr">
        <is>
          <t>Vacant</t>
        </is>
      </c>
    </row>
    <row r="76" hidden="1" ht="18" customHeight="1" s="849">
      <c r="A76" s="250" t="inlineStr">
        <is>
          <t>V</t>
        </is>
      </c>
      <c r="B76" s="220" t="inlineStr">
        <is>
          <t>Vacant</t>
        </is>
      </c>
      <c r="C76" s="305" t="inlineStr">
        <is>
          <t>Engineer - Data</t>
        </is>
      </c>
      <c r="D76" s="306" t="inlineStr">
        <is>
          <t>Vacant</t>
        </is>
      </c>
      <c r="E76" s="220" t="inlineStr">
        <is>
          <t>Technology Manager, Data</t>
        </is>
      </c>
      <c r="F76" s="220" t="inlineStr">
        <is>
          <t>Ampol Retail &amp; Z</t>
        </is>
      </c>
      <c r="G76" s="306" t="inlineStr">
        <is>
          <t>Z &amp; Group Retail</t>
        </is>
      </c>
      <c r="H76" s="220" t="inlineStr">
        <is>
          <t>Z &amp; Group Retail, Data</t>
        </is>
      </c>
      <c r="I76" s="220" t="inlineStr">
        <is>
          <t>Retail</t>
        </is>
      </c>
      <c r="J76" s="306" t="inlineStr">
        <is>
          <t>(All Retail)</t>
        </is>
      </c>
      <c r="K76" s="220" t="inlineStr">
        <is>
          <t>Data - AU</t>
        </is>
      </c>
      <c r="L76" s="306" t="n"/>
      <c r="M76" s="307" t="inlineStr">
        <is>
          <t>Australia</t>
        </is>
      </c>
      <c r="N76" s="308" t="inlineStr">
        <is>
          <t>CIB</t>
        </is>
      </c>
      <c r="O76" s="308" t="n">
        <v>1</v>
      </c>
      <c r="P76" s="308" t="n"/>
      <c r="Q76" s="308" t="inlineStr">
        <is>
          <t>V</t>
        </is>
      </c>
      <c r="R76" s="310" t="n"/>
      <c r="S76" s="310" t="n"/>
      <c r="T76" s="322" t="n">
        <v>151950</v>
      </c>
      <c r="U76" s="321" t="n">
        <v>151950</v>
      </c>
      <c r="V76" s="313" t="n">
        <v>0.12</v>
      </c>
      <c r="W76" s="953" t="n">
        <v>0.055</v>
      </c>
      <c r="X76" s="953" t="n">
        <v>0.12</v>
      </c>
      <c r="Y76" s="954" t="n"/>
      <c r="Z76" s="953" t="n">
        <v>0.04</v>
      </c>
      <c r="AA76" s="952">
        <f>U76*(1+V76+W76+X76+Y76+Z76)</f>
        <v>202853.25</v>
      </c>
      <c r="AC76" t="inlineStr">
        <is>
          <t>Ampol Retail</t>
        </is>
      </c>
      <c r="AD76" t="inlineStr">
        <is>
          <t>Data AU</t>
        </is>
      </c>
      <c r="AE76" t="inlineStr">
        <is>
          <t>Data AU</t>
        </is>
      </c>
      <c r="AF76" t="inlineStr">
        <is>
          <t>Squad</t>
        </is>
      </c>
      <c r="AG76" t="inlineStr">
        <is>
          <t>Vacant</t>
        </is>
      </c>
    </row>
    <row r="77" hidden="1" ht="18" customHeight="1" s="849">
      <c r="A77" s="250" t="inlineStr">
        <is>
          <t>V</t>
        </is>
      </c>
      <c r="B77" s="220" t="inlineStr">
        <is>
          <t>Vacant</t>
        </is>
      </c>
      <c r="C77" s="305" t="inlineStr">
        <is>
          <t>Engineer - Data</t>
        </is>
      </c>
      <c r="D77" s="306" t="inlineStr">
        <is>
          <t>Vacant</t>
        </is>
      </c>
      <c r="E77" s="220" t="inlineStr">
        <is>
          <t>Technology Manager, Data</t>
        </is>
      </c>
      <c r="F77" s="220" t="inlineStr">
        <is>
          <t>Ampol Retail &amp; Z</t>
        </is>
      </c>
      <c r="G77" s="306" t="inlineStr">
        <is>
          <t>Z &amp; Group Retail</t>
        </is>
      </c>
      <c r="H77" s="220" t="inlineStr">
        <is>
          <t>Z &amp; Group Retail, Data</t>
        </is>
      </c>
      <c r="I77" s="220" t="inlineStr">
        <is>
          <t>Retail</t>
        </is>
      </c>
      <c r="J77" s="306" t="inlineStr">
        <is>
          <t>(All Retail)</t>
        </is>
      </c>
      <c r="K77" s="220" t="inlineStr">
        <is>
          <t>Data - AU</t>
        </is>
      </c>
      <c r="L77" s="306" t="n"/>
      <c r="M77" s="307" t="inlineStr">
        <is>
          <t>Australia</t>
        </is>
      </c>
      <c r="N77" s="308" t="inlineStr">
        <is>
          <t>CIB</t>
        </is>
      </c>
      <c r="O77" s="308" t="n">
        <v>1</v>
      </c>
      <c r="P77" s="308" t="n"/>
      <c r="Q77" s="308" t="inlineStr">
        <is>
          <t>V</t>
        </is>
      </c>
      <c r="R77" s="310" t="n"/>
      <c r="S77" s="310" t="n"/>
      <c r="T77" s="322" t="n">
        <v>151950</v>
      </c>
      <c r="U77" s="321" t="n">
        <v>151950</v>
      </c>
      <c r="V77" s="313" t="n">
        <v>0.12</v>
      </c>
      <c r="W77" s="953" t="n">
        <v>0.055</v>
      </c>
      <c r="X77" s="953" t="n">
        <v>0.12</v>
      </c>
      <c r="Y77" s="954" t="n"/>
      <c r="Z77" s="953" t="n">
        <v>0.04</v>
      </c>
      <c r="AA77" s="952">
        <f>U77*(1+V77+W77+X77+Y77+Z77)</f>
        <v>202853.25</v>
      </c>
      <c r="AC77" t="inlineStr">
        <is>
          <t>Ampol Retail</t>
        </is>
      </c>
      <c r="AD77" t="inlineStr">
        <is>
          <t>Data AU</t>
        </is>
      </c>
      <c r="AE77" t="inlineStr">
        <is>
          <t>Data AU</t>
        </is>
      </c>
      <c r="AF77" t="inlineStr">
        <is>
          <t>Squad</t>
        </is>
      </c>
      <c r="AG77" t="inlineStr">
        <is>
          <t>Vacant</t>
        </is>
      </c>
    </row>
    <row r="78" hidden="1" ht="18" customHeight="1" s="849">
      <c r="A78" s="250" t="inlineStr">
        <is>
          <t>V</t>
        </is>
      </c>
      <c r="B78" s="220" t="inlineStr">
        <is>
          <t>Vacant</t>
        </is>
      </c>
      <c r="C78" s="305" t="inlineStr">
        <is>
          <t>Quality Assurance</t>
        </is>
      </c>
      <c r="D78" s="306" t="inlineStr">
        <is>
          <t>Vacant</t>
        </is>
      </c>
      <c r="E78" s="220" t="inlineStr">
        <is>
          <t>Lead Quality Assurance</t>
        </is>
      </c>
      <c r="F78" s="220" t="inlineStr">
        <is>
          <t>Ampol Retail &amp; Z</t>
        </is>
      </c>
      <c r="G78" s="306" t="inlineStr">
        <is>
          <t>Ampol Retail</t>
        </is>
      </c>
      <c r="H78" s="220" t="inlineStr">
        <is>
          <t>Ampol Retail, Store Platforms</t>
        </is>
      </c>
      <c r="I78" s="220" t="inlineStr">
        <is>
          <t>Retail</t>
        </is>
      </c>
      <c r="J78" s="306" t="inlineStr">
        <is>
          <t>AMPOS</t>
        </is>
      </c>
      <c r="K78" s="220" t="inlineStr">
        <is>
          <t>AmPos</t>
        </is>
      </c>
      <c r="L78" s="306" t="n"/>
      <c r="M78" s="307" t="inlineStr">
        <is>
          <t>Australia</t>
        </is>
      </c>
      <c r="N78" s="308" t="inlineStr">
        <is>
          <t>CIA</t>
        </is>
      </c>
      <c r="O78" s="308" t="n">
        <v>1</v>
      </c>
      <c r="P78" s="308" t="n"/>
      <c r="Q78" s="308" t="inlineStr">
        <is>
          <t>v</t>
        </is>
      </c>
      <c r="R78" s="310" t="n"/>
      <c r="S78" s="310" t="n"/>
      <c r="T78" s="322" t="n">
        <v>129650</v>
      </c>
      <c r="U78" s="321" t="n">
        <v>129650</v>
      </c>
      <c r="V78" s="313" t="n">
        <v>0.1</v>
      </c>
      <c r="W78" s="953" t="n">
        <v>0.055</v>
      </c>
      <c r="X78" s="953" t="n">
        <v>0.12</v>
      </c>
      <c r="Y78" s="954" t="n"/>
      <c r="Z78" s="953" t="n">
        <v>0.04</v>
      </c>
      <c r="AA78" s="952">
        <f>U78*(1+V78+W78+X78+Y78+Z78)</f>
        <v>170489.75</v>
      </c>
      <c r="AC78" t="inlineStr">
        <is>
          <t>Ampol Retail</t>
        </is>
      </c>
      <c r="AD78" t="inlineStr">
        <is>
          <t>AmPOS</t>
        </is>
      </c>
      <c r="AE78" t="inlineStr">
        <is>
          <t>AmPOS</t>
        </is>
      </c>
      <c r="AF78" t="inlineStr">
        <is>
          <t>Strategic Program</t>
        </is>
      </c>
      <c r="AG78" t="inlineStr">
        <is>
          <t>Vacant</t>
        </is>
      </c>
    </row>
    <row r="79" hidden="1" ht="18" customHeight="1" s="849">
      <c r="A79" s="250" t="inlineStr">
        <is>
          <t>V</t>
        </is>
      </c>
      <c r="B79" s="220" t="inlineStr">
        <is>
          <t>Vacant</t>
        </is>
      </c>
      <c r="C79" s="305" t="inlineStr">
        <is>
          <t>Quality Assurance</t>
        </is>
      </c>
      <c r="D79" s="306" t="inlineStr">
        <is>
          <t>Vacant</t>
        </is>
      </c>
      <c r="E79" s="220" t="inlineStr">
        <is>
          <t>Lead Quality Assurance</t>
        </is>
      </c>
      <c r="F79" s="220" t="inlineStr">
        <is>
          <t>Ampol Retail &amp; Z</t>
        </is>
      </c>
      <c r="G79" s="306" t="inlineStr">
        <is>
          <t>Ampol Retail</t>
        </is>
      </c>
      <c r="H79" s="220" t="inlineStr">
        <is>
          <t>Ampol Retail, Store Platforms</t>
        </is>
      </c>
      <c r="I79" s="220" t="inlineStr">
        <is>
          <t>Retail</t>
        </is>
      </c>
      <c r="J79" s="306" t="inlineStr">
        <is>
          <t>AMPOS</t>
        </is>
      </c>
      <c r="K79" s="220" t="inlineStr">
        <is>
          <t>AmPos</t>
        </is>
      </c>
      <c r="L79" s="306" t="n"/>
      <c r="M79" s="307" t="inlineStr">
        <is>
          <t>Australia</t>
        </is>
      </c>
      <c r="N79" s="308" t="inlineStr">
        <is>
          <t>CIA</t>
        </is>
      </c>
      <c r="O79" s="308" t="n">
        <v>1</v>
      </c>
      <c r="P79" s="308" t="n"/>
      <c r="Q79" s="308" t="inlineStr">
        <is>
          <t>v</t>
        </is>
      </c>
      <c r="R79" s="310" t="n"/>
      <c r="S79" s="310" t="n"/>
      <c r="T79" s="322" t="n">
        <v>129650</v>
      </c>
      <c r="U79" s="321" t="n">
        <v>129650</v>
      </c>
      <c r="V79" s="313" t="n">
        <v>0.1</v>
      </c>
      <c r="W79" s="953" t="n">
        <v>0.055</v>
      </c>
      <c r="X79" s="953" t="n">
        <v>0.12</v>
      </c>
      <c r="Y79" s="954" t="n"/>
      <c r="Z79" s="953" t="n">
        <v>0.04</v>
      </c>
      <c r="AA79" s="952">
        <f>U79*(1+V79+W79+X79+Y79+Z79)</f>
        <v>170489.75</v>
      </c>
      <c r="AC79" t="inlineStr">
        <is>
          <t>Ampol Retail</t>
        </is>
      </c>
      <c r="AD79" t="inlineStr">
        <is>
          <t>AmPOS</t>
        </is>
      </c>
      <c r="AE79" t="inlineStr">
        <is>
          <t>AmPOS</t>
        </is>
      </c>
      <c r="AF79" t="inlineStr">
        <is>
          <t>Strategic Program</t>
        </is>
      </c>
      <c r="AG79" t="inlineStr">
        <is>
          <t>Vacant</t>
        </is>
      </c>
    </row>
    <row r="80" hidden="1" ht="18" customHeight="1" s="849">
      <c r="A80" s="250" t="inlineStr">
        <is>
          <t>V</t>
        </is>
      </c>
      <c r="B80" s="220" t="inlineStr">
        <is>
          <t>Vacant</t>
        </is>
      </c>
      <c r="C80" s="305" t="inlineStr">
        <is>
          <t>Quality Assurance</t>
        </is>
      </c>
      <c r="D80" s="306" t="inlineStr">
        <is>
          <t>Vacant</t>
        </is>
      </c>
      <c r="E80" s="220" t="inlineStr">
        <is>
          <t>Lead Quality Assurance</t>
        </is>
      </c>
      <c r="F80" s="220" t="inlineStr">
        <is>
          <t>Ampol Retail &amp; Z</t>
        </is>
      </c>
      <c r="G80" s="306" t="inlineStr">
        <is>
          <t>Ampol Retail</t>
        </is>
      </c>
      <c r="H80" s="220" t="inlineStr">
        <is>
          <t>Ampol Retail, Store Platforms</t>
        </is>
      </c>
      <c r="I80" s="220" t="inlineStr">
        <is>
          <t>Retail</t>
        </is>
      </c>
      <c r="J80" s="306" t="inlineStr">
        <is>
          <t>AMPOS</t>
        </is>
      </c>
      <c r="K80" s="220" t="inlineStr">
        <is>
          <t>AmPos</t>
        </is>
      </c>
      <c r="L80" s="306" t="n"/>
      <c r="M80" s="307" t="inlineStr">
        <is>
          <t>Australia</t>
        </is>
      </c>
      <c r="N80" s="308" t="inlineStr">
        <is>
          <t>CIA</t>
        </is>
      </c>
      <c r="O80" s="308" t="n">
        <v>1</v>
      </c>
      <c r="P80" s="308" t="n"/>
      <c r="Q80" s="308" t="inlineStr">
        <is>
          <t>v</t>
        </is>
      </c>
      <c r="R80" s="310" t="n"/>
      <c r="S80" s="310" t="n"/>
      <c r="T80" s="322" t="n">
        <v>129650</v>
      </c>
      <c r="U80" s="321" t="n">
        <v>129650</v>
      </c>
      <c r="V80" s="313" t="n">
        <v>0.1</v>
      </c>
      <c r="W80" s="953" t="n">
        <v>0.055</v>
      </c>
      <c r="X80" s="953" t="n">
        <v>0.12</v>
      </c>
      <c r="Y80" s="954" t="n"/>
      <c r="Z80" s="953" t="n">
        <v>0.04</v>
      </c>
      <c r="AA80" s="952">
        <f>U80*(1+V80+W80+X80+Y80+Z80)</f>
        <v>170489.75</v>
      </c>
      <c r="AC80" t="inlineStr">
        <is>
          <t>Ampol Retail</t>
        </is>
      </c>
      <c r="AD80" t="inlineStr">
        <is>
          <t>AmPOS</t>
        </is>
      </c>
      <c r="AE80" t="inlineStr">
        <is>
          <t>AmPOS</t>
        </is>
      </c>
      <c r="AF80" t="inlineStr">
        <is>
          <t>Strategic Program</t>
        </is>
      </c>
      <c r="AG80" t="inlineStr">
        <is>
          <t>Vacant</t>
        </is>
      </c>
    </row>
    <row r="81" hidden="1" ht="18" customHeight="1" s="849">
      <c r="A81" s="250" t="inlineStr">
        <is>
          <t>V</t>
        </is>
      </c>
      <c r="B81" s="220" t="inlineStr">
        <is>
          <t>Vacant</t>
        </is>
      </c>
      <c r="C81" s="305" t="inlineStr">
        <is>
          <t>Release &amp; Environments Manager</t>
        </is>
      </c>
      <c r="D81" s="306" t="inlineStr">
        <is>
          <t>Vacant</t>
        </is>
      </c>
      <c r="E81" s="220" t="inlineStr">
        <is>
          <t>Lead Quality Assurance</t>
        </is>
      </c>
      <c r="F81" s="220" t="inlineStr">
        <is>
          <t>Ampol Retail &amp; Z</t>
        </is>
      </c>
      <c r="G81" s="306" t="inlineStr">
        <is>
          <t>Ampol Retail</t>
        </is>
      </c>
      <c r="H81" s="220" t="inlineStr">
        <is>
          <t>Ampol Retail, Store Platforms</t>
        </is>
      </c>
      <c r="I81" s="220" t="inlineStr">
        <is>
          <t>Retail</t>
        </is>
      </c>
      <c r="J81" s="306" t="inlineStr">
        <is>
          <t>AMPOS</t>
        </is>
      </c>
      <c r="K81" s="220" t="inlineStr">
        <is>
          <t>AmPos</t>
        </is>
      </c>
      <c r="L81" s="306" t="n"/>
      <c r="M81" s="307" t="inlineStr">
        <is>
          <t>Australia</t>
        </is>
      </c>
      <c r="N81" s="308" t="inlineStr">
        <is>
          <t>CIB</t>
        </is>
      </c>
      <c r="O81" s="308" t="n">
        <v>1</v>
      </c>
      <c r="P81" s="308" t="n"/>
      <c r="Q81" s="308" t="inlineStr">
        <is>
          <t>v</t>
        </is>
      </c>
      <c r="R81" s="310" t="n"/>
      <c r="S81" s="310" t="n"/>
      <c r="T81" s="322" t="n">
        <v>151950</v>
      </c>
      <c r="U81" s="321" t="n">
        <v>151950</v>
      </c>
      <c r="V81" s="313" t="n">
        <v>0.12</v>
      </c>
      <c r="W81" s="953" t="n">
        <v>0.055</v>
      </c>
      <c r="X81" s="953" t="n">
        <v>0.12</v>
      </c>
      <c r="Y81" s="954" t="n"/>
      <c r="Z81" s="953" t="n">
        <v>0.04</v>
      </c>
      <c r="AA81" s="952">
        <f>U81*(1+V81+W81+X81+Y81+Z81)</f>
        <v>202853.25</v>
      </c>
      <c r="AC81" t="inlineStr">
        <is>
          <t>Ampol Retail</t>
        </is>
      </c>
      <c r="AD81" t="inlineStr">
        <is>
          <t>AmPOS</t>
        </is>
      </c>
      <c r="AE81" t="inlineStr">
        <is>
          <t>AmPOS</t>
        </is>
      </c>
      <c r="AF81" t="inlineStr">
        <is>
          <t>Strategic Program</t>
        </is>
      </c>
      <c r="AG81" t="inlineStr">
        <is>
          <t>Vacant</t>
        </is>
      </c>
    </row>
    <row r="82" hidden="1" ht="18" customHeight="1" s="849">
      <c r="A82" s="250" t="inlineStr">
        <is>
          <t>V</t>
        </is>
      </c>
      <c r="B82" s="220" t="inlineStr">
        <is>
          <t>Vacant</t>
        </is>
      </c>
      <c r="C82" s="305" t="inlineStr">
        <is>
          <t>Engineer Integration</t>
        </is>
      </c>
      <c r="D82" s="220" t="inlineStr">
        <is>
          <t>Vaishnavi Viswanathan</t>
        </is>
      </c>
      <c r="E82" s="220" t="inlineStr">
        <is>
          <t>Technology Manager, Store Platform</t>
        </is>
      </c>
      <c r="F82" s="220" t="inlineStr">
        <is>
          <t>Ampol Retail &amp; Z</t>
        </is>
      </c>
      <c r="G82" s="306" t="inlineStr">
        <is>
          <t>Ampol Retail</t>
        </is>
      </c>
      <c r="H82" s="220" t="inlineStr">
        <is>
          <t>Ampol Retail, Store Platforms</t>
        </is>
      </c>
      <c r="I82" s="220" t="inlineStr">
        <is>
          <t>Retail</t>
        </is>
      </c>
      <c r="J82" s="306" t="inlineStr">
        <is>
          <t>Store Operations</t>
        </is>
      </c>
      <c r="K82" s="220" t="inlineStr">
        <is>
          <t>POS, Payments</t>
        </is>
      </c>
      <c r="L82" s="306" t="n"/>
      <c r="M82" s="307" t="inlineStr">
        <is>
          <t>Australia</t>
        </is>
      </c>
      <c r="N82" s="308" t="inlineStr">
        <is>
          <t>CIB</t>
        </is>
      </c>
      <c r="O82" s="308" t="n">
        <v>1</v>
      </c>
      <c r="P82" s="308" t="n"/>
      <c r="Q82" s="308" t="inlineStr">
        <is>
          <t>V</t>
        </is>
      </c>
      <c r="R82" s="310" t="n"/>
      <c r="S82" s="310" t="n"/>
      <c r="T82" s="322" t="n">
        <v>151950</v>
      </c>
      <c r="U82" s="321" t="n">
        <v>151950</v>
      </c>
      <c r="V82" s="313" t="n">
        <v>0.12</v>
      </c>
      <c r="W82" s="953" t="n">
        <v>0.055</v>
      </c>
      <c r="X82" s="953" t="n">
        <v>0.12</v>
      </c>
      <c r="Y82" s="954" t="n"/>
      <c r="Z82" s="953" t="n">
        <v>0.04</v>
      </c>
      <c r="AA82" s="952">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849">
      <c r="A83" s="250" t="inlineStr">
        <is>
          <t>V</t>
        </is>
      </c>
      <c r="B83" s="220" t="inlineStr">
        <is>
          <t>Vacant</t>
        </is>
      </c>
      <c r="C83" s="305" t="inlineStr">
        <is>
          <t>Lead Quality Assurance</t>
        </is>
      </c>
      <c r="D83" s="220" t="inlineStr">
        <is>
          <t>Vaishnavi Viswanathan</t>
        </is>
      </c>
      <c r="E83" s="220" t="inlineStr">
        <is>
          <t>Technology Manager, Store Platform</t>
        </is>
      </c>
      <c r="F83" s="220" t="inlineStr">
        <is>
          <t>Ampol Retail &amp; Z</t>
        </is>
      </c>
      <c r="G83" s="306" t="inlineStr">
        <is>
          <t>Ampol Retail</t>
        </is>
      </c>
      <c r="H83" s="220" t="inlineStr">
        <is>
          <t>Ampol Retail, Store Platforms</t>
        </is>
      </c>
      <c r="I83" s="220" t="inlineStr">
        <is>
          <t>Retail</t>
        </is>
      </c>
      <c r="J83" s="306" t="inlineStr">
        <is>
          <t>Store Operations</t>
        </is>
      </c>
      <c r="K83" s="220" t="inlineStr">
        <is>
          <t>POS</t>
        </is>
      </c>
      <c r="L83" s="306" t="n"/>
      <c r="M83" s="307" t="inlineStr">
        <is>
          <t>Australia</t>
        </is>
      </c>
      <c r="N83" s="308" t="inlineStr">
        <is>
          <t>CIC</t>
        </is>
      </c>
      <c r="O83" s="308" t="n">
        <v>1</v>
      </c>
      <c r="P83" s="308" t="n"/>
      <c r="Q83" s="308" t="inlineStr">
        <is>
          <t>v</t>
        </is>
      </c>
      <c r="R83" s="310" t="n"/>
      <c r="S83" s="310" t="n"/>
      <c r="T83" s="322" t="n">
        <v>173550</v>
      </c>
      <c r="U83" s="321" t="n">
        <v>173550</v>
      </c>
      <c r="V83" s="313" t="n">
        <v>0.12</v>
      </c>
      <c r="W83" s="953" t="n">
        <v>0.055</v>
      </c>
      <c r="X83" s="953" t="n">
        <v>0.12</v>
      </c>
      <c r="Y83" s="954" t="n"/>
      <c r="Z83" s="953" t="n">
        <v>0.04</v>
      </c>
      <c r="AA83" s="952">
        <f>U83*(1+V83+W83+X83+Y83+Z83)</f>
        <v>231689.25</v>
      </c>
      <c r="AC83" t="inlineStr">
        <is>
          <t>Ampol Retail</t>
        </is>
      </c>
      <c r="AD83" t="inlineStr">
        <is>
          <t>Store Operations</t>
        </is>
      </c>
      <c r="AE83" t="inlineStr">
        <is>
          <t>POS</t>
        </is>
      </c>
      <c r="AF83" t="inlineStr">
        <is>
          <t>Squad</t>
        </is>
      </c>
      <c r="AG83" t="inlineStr">
        <is>
          <t>Vacant</t>
        </is>
      </c>
    </row>
    <row r="84" hidden="1" ht="18" customHeight="1" s="849">
      <c r="A84" s="250" t="inlineStr">
        <is>
          <t>V</t>
        </is>
      </c>
      <c r="B84" s="220" t="inlineStr">
        <is>
          <t>Vacant</t>
        </is>
      </c>
      <c r="C84" s="305" t="inlineStr">
        <is>
          <t>Support Analyst -Retail</t>
        </is>
      </c>
      <c r="D84" s="220" t="inlineStr">
        <is>
          <t>Vaishnavi Viswanathan</t>
        </is>
      </c>
      <c r="E84" s="220" t="inlineStr">
        <is>
          <t>Technology Manager, Store Platform</t>
        </is>
      </c>
      <c r="F84" s="220" t="inlineStr">
        <is>
          <t>Ampol Retail &amp; Z</t>
        </is>
      </c>
      <c r="G84" s="306" t="inlineStr">
        <is>
          <t>Ampol Retail</t>
        </is>
      </c>
      <c r="H84" s="220" t="inlineStr">
        <is>
          <t>Ampol Retail, Store Platforms</t>
        </is>
      </c>
      <c r="I84" s="220" t="inlineStr">
        <is>
          <t>Retail</t>
        </is>
      </c>
      <c r="J84" s="306" t="inlineStr">
        <is>
          <t>Store Operations</t>
        </is>
      </c>
      <c r="K84" s="220" t="inlineStr">
        <is>
          <t>Retail Operations</t>
        </is>
      </c>
      <c r="L84" s="306" t="n"/>
      <c r="M84" s="307" t="inlineStr">
        <is>
          <t>Australia</t>
        </is>
      </c>
      <c r="N84" s="308" t="inlineStr">
        <is>
          <t>CIB</t>
        </is>
      </c>
      <c r="O84" s="308" t="n">
        <v>1</v>
      </c>
      <c r="P84" s="308" t="n"/>
      <c r="Q84" s="308" t="inlineStr">
        <is>
          <t>v</t>
        </is>
      </c>
      <c r="R84" s="310" t="n"/>
      <c r="S84" s="310" t="n"/>
      <c r="T84" s="322" t="n">
        <v>168160</v>
      </c>
      <c r="U84" s="321" t="n">
        <v>168160</v>
      </c>
      <c r="V84" s="313" t="n">
        <v>0.12</v>
      </c>
      <c r="W84" s="953" t="n">
        <v>0.055</v>
      </c>
      <c r="X84" s="953" t="n">
        <v>0.12</v>
      </c>
      <c r="Y84" s="954" t="n"/>
      <c r="Z84" s="953" t="n">
        <v>0.04</v>
      </c>
      <c r="AA84" s="952">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849">
      <c r="A85" s="250" t="inlineStr">
        <is>
          <t>V</t>
        </is>
      </c>
      <c r="B85" s="220" t="inlineStr">
        <is>
          <t>Vacant</t>
        </is>
      </c>
      <c r="C85" s="305" t="inlineStr">
        <is>
          <t>Systems Analyst</t>
        </is>
      </c>
      <c r="D85" s="220" t="inlineStr">
        <is>
          <t>Vaishnavi Viswanathan</t>
        </is>
      </c>
      <c r="E85" s="220" t="inlineStr">
        <is>
          <t>Technology Manager, Store Platform</t>
        </is>
      </c>
      <c r="F85" s="220" t="inlineStr">
        <is>
          <t>Ampol Retail &amp; Z</t>
        </is>
      </c>
      <c r="G85" s="306" t="inlineStr">
        <is>
          <t>Ampol Retail</t>
        </is>
      </c>
      <c r="H85" s="220" t="inlineStr">
        <is>
          <t>Ampol Retail, Store Platforms</t>
        </is>
      </c>
      <c r="I85" s="220" t="inlineStr">
        <is>
          <t>Retail</t>
        </is>
      </c>
      <c r="J85" s="306" t="inlineStr">
        <is>
          <t>Store Operations</t>
        </is>
      </c>
      <c r="K85" s="220" t="inlineStr">
        <is>
          <t>Payments</t>
        </is>
      </c>
      <c r="L85" s="306" t="n"/>
      <c r="M85" s="307" t="inlineStr">
        <is>
          <t>Australia</t>
        </is>
      </c>
      <c r="N85" s="308" t="inlineStr">
        <is>
          <t>CIA</t>
        </is>
      </c>
      <c r="O85" s="308" t="n">
        <v>1</v>
      </c>
      <c r="P85" s="308" t="n"/>
      <c r="Q85" s="331" t="inlineStr">
        <is>
          <t>v</t>
        </is>
      </c>
      <c r="R85" s="310" t="n"/>
      <c r="S85" s="310" t="n"/>
      <c r="T85" s="322" t="n">
        <v>129659</v>
      </c>
      <c r="U85" s="321" t="n">
        <v>129659</v>
      </c>
      <c r="V85" s="313" t="n">
        <v>0.1</v>
      </c>
      <c r="W85" s="953" t="n">
        <v>0.055</v>
      </c>
      <c r="X85" s="953" t="n">
        <v>0.12</v>
      </c>
      <c r="Y85" s="954" t="n"/>
      <c r="Z85" s="953" t="n">
        <v>0.04</v>
      </c>
      <c r="AA85" s="952">
        <f>U85*(1+V85+W85+X85+Y85+Z85)</f>
        <v>170501.585</v>
      </c>
      <c r="AC85" t="inlineStr">
        <is>
          <t>Ampol Retail</t>
        </is>
      </c>
      <c r="AD85" t="inlineStr">
        <is>
          <t>Store Operations</t>
        </is>
      </c>
      <c r="AE85" t="inlineStr">
        <is>
          <t>Payments</t>
        </is>
      </c>
      <c r="AF85" t="inlineStr">
        <is>
          <t>Squad</t>
        </is>
      </c>
      <c r="AG85" t="inlineStr">
        <is>
          <t>Vacant</t>
        </is>
      </c>
    </row>
    <row r="86" hidden="1" ht="18" customHeight="1" s="849">
      <c r="A86" s="250" t="inlineStr">
        <is>
          <t>V</t>
        </is>
      </c>
      <c r="B86" s="220" t="inlineStr">
        <is>
          <t>Vacant</t>
        </is>
      </c>
      <c r="C86" s="305" t="inlineStr">
        <is>
          <t>Systems Analyst</t>
        </is>
      </c>
      <c r="D86" s="220" t="inlineStr">
        <is>
          <t>Vaishnavi Viswanathan</t>
        </is>
      </c>
      <c r="E86" s="220" t="inlineStr">
        <is>
          <t>Technology Manager, Store Platform</t>
        </is>
      </c>
      <c r="F86" s="220" t="inlineStr">
        <is>
          <t>Ampol Retail &amp; Z</t>
        </is>
      </c>
      <c r="G86" s="306" t="inlineStr">
        <is>
          <t>Ampol Retail</t>
        </is>
      </c>
      <c r="H86" s="220" t="inlineStr">
        <is>
          <t>Ampol Retail, Store Platforms</t>
        </is>
      </c>
      <c r="I86" s="220" t="inlineStr">
        <is>
          <t>Retail</t>
        </is>
      </c>
      <c r="J86" s="306" t="inlineStr">
        <is>
          <t>Store Operations</t>
        </is>
      </c>
      <c r="K86" s="220" t="inlineStr">
        <is>
          <t>POS</t>
        </is>
      </c>
      <c r="L86" s="306" t="n"/>
      <c r="M86" s="307" t="inlineStr">
        <is>
          <t>Australia</t>
        </is>
      </c>
      <c r="N86" s="308" t="inlineStr">
        <is>
          <t>CIA</t>
        </is>
      </c>
      <c r="O86" s="308" t="n">
        <v>1</v>
      </c>
      <c r="P86" s="308" t="n"/>
      <c r="Q86" s="331" t="inlineStr">
        <is>
          <t>v</t>
        </is>
      </c>
      <c r="R86" s="310" t="n"/>
      <c r="S86" s="310" t="n"/>
      <c r="T86" s="322" t="n">
        <v>129659</v>
      </c>
      <c r="U86" s="321" t="n">
        <v>129659</v>
      </c>
      <c r="V86" s="313" t="n">
        <v>0.1</v>
      </c>
      <c r="W86" s="953" t="n">
        <v>0.055</v>
      </c>
      <c r="X86" s="953" t="n">
        <v>0.12</v>
      </c>
      <c r="Y86" s="954" t="n"/>
      <c r="Z86" s="953" t="n">
        <v>0.04</v>
      </c>
      <c r="AA86" s="952">
        <f>U86*(1+V86+W86+X86+Y86+Z86)</f>
        <v>170501.585</v>
      </c>
      <c r="AC86" t="inlineStr">
        <is>
          <t>Ampol Retail</t>
        </is>
      </c>
      <c r="AD86" t="inlineStr">
        <is>
          <t>Store Operations</t>
        </is>
      </c>
      <c r="AE86" t="inlineStr">
        <is>
          <t>POS</t>
        </is>
      </c>
      <c r="AF86" t="inlineStr">
        <is>
          <t>Squad</t>
        </is>
      </c>
      <c r="AG86" t="inlineStr">
        <is>
          <t>Vacant</t>
        </is>
      </c>
    </row>
    <row r="87" hidden="1" ht="18" customHeight="1" s="849">
      <c r="A87" s="250" t="inlineStr">
        <is>
          <t>V</t>
        </is>
      </c>
      <c r="B87" s="220" t="inlineStr">
        <is>
          <t>Vacant</t>
        </is>
      </c>
      <c r="C87" s="305" t="inlineStr">
        <is>
          <t>Business Analyst</t>
        </is>
      </c>
      <c r="D87" s="220" t="inlineStr">
        <is>
          <t>Vanessa Allen</t>
        </is>
      </c>
      <c r="E87" s="220" t="inlineStr">
        <is>
          <t>Delivery Manager, Ampol Retail</t>
        </is>
      </c>
      <c r="F87" s="220" t="inlineStr">
        <is>
          <t>Ampol Retail &amp; Z</t>
        </is>
      </c>
      <c r="G87" s="306" t="inlineStr">
        <is>
          <t>Ampol Retail</t>
        </is>
      </c>
      <c r="H87" s="220" t="inlineStr">
        <is>
          <t>Ampol Retail, Delivery</t>
        </is>
      </c>
      <c r="I87" s="220" t="inlineStr">
        <is>
          <t>Retail</t>
        </is>
      </c>
      <c r="J87" s="306" t="inlineStr">
        <is>
          <t>Merch / Supply Chain</t>
        </is>
      </c>
      <c r="K87" s="220" t="inlineStr">
        <is>
          <t>Merchandising &amp; Supply Chain</t>
        </is>
      </c>
      <c r="L87" s="306" t="n"/>
      <c r="M87" s="307" t="inlineStr">
        <is>
          <t>Australia</t>
        </is>
      </c>
      <c r="N87" s="308" t="inlineStr">
        <is>
          <t>CIB</t>
        </is>
      </c>
      <c r="O87" s="308" t="n">
        <v>1</v>
      </c>
      <c r="P87" s="308" t="n"/>
      <c r="Q87" s="331" t="inlineStr">
        <is>
          <t>V</t>
        </is>
      </c>
      <c r="R87" s="310" t="n"/>
      <c r="S87" s="310" t="n"/>
      <c r="T87" s="322" t="n">
        <v>151950</v>
      </c>
      <c r="U87" s="321" t="n">
        <v>151950</v>
      </c>
      <c r="V87" s="313" t="n">
        <v>0.12</v>
      </c>
      <c r="W87" s="953" t="n">
        <v>0.055</v>
      </c>
      <c r="X87" s="953" t="n">
        <v>0.12</v>
      </c>
      <c r="Y87" s="954" t="n"/>
      <c r="Z87" s="953" t="n">
        <v>0.04</v>
      </c>
      <c r="AA87" s="952">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849">
      <c r="A88" s="250" t="inlineStr">
        <is>
          <t>V</t>
        </is>
      </c>
      <c r="B88" s="220" t="inlineStr">
        <is>
          <t>Vacant</t>
        </is>
      </c>
      <c r="C88" s="305" t="inlineStr">
        <is>
          <t>Business Analyst</t>
        </is>
      </c>
      <c r="D88" s="220" t="inlineStr">
        <is>
          <t>Vanessa Allen</t>
        </is>
      </c>
      <c r="E88" s="220" t="inlineStr">
        <is>
          <t>Delivery Manager, Ampol Retail</t>
        </is>
      </c>
      <c r="F88" s="220" t="inlineStr">
        <is>
          <t>Ampol Retail &amp; Z</t>
        </is>
      </c>
      <c r="G88" s="306" t="inlineStr">
        <is>
          <t>Ampol Retail</t>
        </is>
      </c>
      <c r="H88" s="220" t="inlineStr">
        <is>
          <t>Ampol Retail, Delivery</t>
        </is>
      </c>
      <c r="I88" s="220" t="inlineStr">
        <is>
          <t>Retail</t>
        </is>
      </c>
      <c r="J88" s="306" t="inlineStr">
        <is>
          <t>Network/QSR</t>
        </is>
      </c>
      <c r="K88" s="220" t="inlineStr">
        <is>
          <t>Network &amp; QSR</t>
        </is>
      </c>
      <c r="L88" s="306" t="n"/>
      <c r="M88" s="307" t="inlineStr">
        <is>
          <t>Australia</t>
        </is>
      </c>
      <c r="N88" s="308" t="inlineStr">
        <is>
          <t>CIB</t>
        </is>
      </c>
      <c r="O88" s="308" t="n">
        <v>1</v>
      </c>
      <c r="P88" s="308" t="n"/>
      <c r="Q88" s="331" t="inlineStr">
        <is>
          <t>V</t>
        </is>
      </c>
      <c r="R88" s="310" t="n"/>
      <c r="S88" s="310" t="n"/>
      <c r="T88" s="322" t="n">
        <v>151950</v>
      </c>
      <c r="U88" s="321" t="n">
        <v>151950</v>
      </c>
      <c r="V88" s="313" t="n">
        <v>0.12</v>
      </c>
      <c r="W88" s="953" t="n">
        <v>0.055</v>
      </c>
      <c r="X88" s="953" t="n">
        <v>0.12</v>
      </c>
      <c r="Y88" s="954" t="n"/>
      <c r="Z88" s="953" t="n">
        <v>0.04</v>
      </c>
      <c r="AA88" s="952">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849">
      <c r="A89" s="250" t="inlineStr">
        <is>
          <t>V</t>
        </is>
      </c>
      <c r="B89" s="220" t="inlineStr">
        <is>
          <t>Vacant</t>
        </is>
      </c>
      <c r="C89" s="305" t="inlineStr">
        <is>
          <t>Business Analyst</t>
        </is>
      </c>
      <c r="D89" s="220" t="inlineStr">
        <is>
          <t>Vanessa Allen</t>
        </is>
      </c>
      <c r="E89" s="220" t="inlineStr">
        <is>
          <t>Delivery Manager, Ampol Retail</t>
        </is>
      </c>
      <c r="F89" s="220" t="inlineStr">
        <is>
          <t>Ampol Retail &amp; Z</t>
        </is>
      </c>
      <c r="G89" s="306" t="inlineStr">
        <is>
          <t>Ampol Retail</t>
        </is>
      </c>
      <c r="H89" s="220" t="inlineStr">
        <is>
          <t>Ampol Retail, Delivery</t>
        </is>
      </c>
      <c r="I89" s="220" t="inlineStr">
        <is>
          <t>Retail</t>
        </is>
      </c>
      <c r="J89" s="306" t="inlineStr">
        <is>
          <t>Store Operations</t>
        </is>
      </c>
      <c r="K89" s="220" t="inlineStr">
        <is>
          <t>POS</t>
        </is>
      </c>
      <c r="L89" s="306" t="n"/>
      <c r="M89" s="307" t="inlineStr">
        <is>
          <t>Australia</t>
        </is>
      </c>
      <c r="N89" s="308" t="inlineStr">
        <is>
          <t>CIB</t>
        </is>
      </c>
      <c r="O89" s="308" t="n">
        <v>1</v>
      </c>
      <c r="P89" s="308" t="n"/>
      <c r="Q89" s="331" t="inlineStr">
        <is>
          <t>V</t>
        </is>
      </c>
      <c r="R89" s="310" t="n"/>
      <c r="S89" s="310" t="n"/>
      <c r="T89" s="322" t="n">
        <v>151950</v>
      </c>
      <c r="U89" s="321" t="n">
        <v>151950</v>
      </c>
      <c r="V89" s="313" t="n">
        <v>0.12</v>
      </c>
      <c r="W89" s="953" t="n">
        <v>0.055</v>
      </c>
      <c r="X89" s="953" t="n">
        <v>0.12</v>
      </c>
      <c r="Y89" s="954" t="n"/>
      <c r="Z89" s="953" t="n">
        <v>0.04</v>
      </c>
      <c r="AA89" s="952">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849">
      <c r="A90" s="250" t="inlineStr">
        <is>
          <t>V</t>
        </is>
      </c>
      <c r="B90" s="220" t="inlineStr">
        <is>
          <t>Vacant</t>
        </is>
      </c>
      <c r="C90" s="305" t="inlineStr">
        <is>
          <t>Business Analyst</t>
        </is>
      </c>
      <c r="D90" s="220" t="inlineStr">
        <is>
          <t>Vanessa Allen</t>
        </is>
      </c>
      <c r="E90" s="220" t="inlineStr">
        <is>
          <t>Delivery Manager, Ampol Retail</t>
        </is>
      </c>
      <c r="F90" s="220" t="inlineStr">
        <is>
          <t>Ampol Retail &amp; Z</t>
        </is>
      </c>
      <c r="G90" s="306" t="inlineStr">
        <is>
          <t>Ampol Retail</t>
        </is>
      </c>
      <c r="H90" s="220" t="inlineStr">
        <is>
          <t>Ampol Retail, Delivery</t>
        </is>
      </c>
      <c r="I90" s="220" t="inlineStr">
        <is>
          <t>Retail</t>
        </is>
      </c>
      <c r="J90" s="306" t="inlineStr">
        <is>
          <t>Pricing / WFM</t>
        </is>
      </c>
      <c r="K90" s="220" t="inlineStr">
        <is>
          <t>Pricing &amp; WFM</t>
        </is>
      </c>
      <c r="L90" s="306" t="n"/>
      <c r="M90" s="307" t="inlineStr">
        <is>
          <t>Australia</t>
        </is>
      </c>
      <c r="N90" s="308" t="inlineStr">
        <is>
          <t>CIB</t>
        </is>
      </c>
      <c r="O90" s="308" t="n">
        <v>1</v>
      </c>
      <c r="P90" s="308" t="n"/>
      <c r="Q90" s="331" t="inlineStr">
        <is>
          <t>V</t>
        </is>
      </c>
      <c r="R90" s="310" t="n"/>
      <c r="S90" s="310" t="n"/>
      <c r="T90" s="322" t="n">
        <v>151950</v>
      </c>
      <c r="U90" s="321" t="n">
        <v>151950</v>
      </c>
      <c r="V90" s="313" t="n">
        <v>0.12</v>
      </c>
      <c r="W90" s="953" t="n">
        <v>0.055</v>
      </c>
      <c r="X90" s="953" t="n">
        <v>0.12</v>
      </c>
      <c r="Y90" s="954" t="n"/>
      <c r="Z90" s="953" t="n">
        <v>0.04</v>
      </c>
      <c r="AA90" s="952">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849">
      <c r="A91" s="250" t="inlineStr">
        <is>
          <t>V</t>
        </is>
      </c>
      <c r="B91" s="220" t="inlineStr">
        <is>
          <t>Vacant</t>
        </is>
      </c>
      <c r="C91" s="305" t="inlineStr">
        <is>
          <t>Delivery Lead</t>
        </is>
      </c>
      <c r="D91" s="220" t="inlineStr">
        <is>
          <t>Vanessa Allen</t>
        </is>
      </c>
      <c r="E91" s="220" t="inlineStr">
        <is>
          <t>Delivery Manager, Ampol Retail</t>
        </is>
      </c>
      <c r="F91" s="220" t="inlineStr">
        <is>
          <t>Ampol Retail &amp; Z</t>
        </is>
      </c>
      <c r="G91" s="306" t="inlineStr">
        <is>
          <t>Ampol Retail</t>
        </is>
      </c>
      <c r="H91" s="220" t="inlineStr">
        <is>
          <t>Ampol Retail, Delivery</t>
        </is>
      </c>
      <c r="I91" s="220" t="inlineStr">
        <is>
          <t>Retail</t>
        </is>
      </c>
      <c r="J91" s="306" t="inlineStr">
        <is>
          <t>Pricing / WFM</t>
        </is>
      </c>
      <c r="K91" s="220" t="inlineStr">
        <is>
          <t>Pricing &amp; WFM</t>
        </is>
      </c>
      <c r="L91" s="306" t="n"/>
      <c r="M91" s="307" t="inlineStr">
        <is>
          <t>Australia</t>
        </is>
      </c>
      <c r="N91" s="308" t="inlineStr">
        <is>
          <t>CIC</t>
        </is>
      </c>
      <c r="O91" s="308" t="n">
        <v>1</v>
      </c>
      <c r="P91" s="308" t="n"/>
      <c r="Q91" s="331" t="inlineStr">
        <is>
          <t>V</t>
        </is>
      </c>
      <c r="R91" s="310" t="n"/>
      <c r="S91" s="310" t="n"/>
      <c r="T91" s="322" t="n">
        <v>173550</v>
      </c>
      <c r="U91" s="321" t="n">
        <v>173550</v>
      </c>
      <c r="V91" s="313" t="n">
        <v>0.12</v>
      </c>
      <c r="W91" s="953" t="n">
        <v>0.055</v>
      </c>
      <c r="X91" s="953" t="n">
        <v>0.12</v>
      </c>
      <c r="Y91" s="954" t="n"/>
      <c r="Z91" s="953" t="n">
        <v>0.04</v>
      </c>
      <c r="AA91" s="952">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30">
      <c r="A92" s="250" t="inlineStr">
        <is>
          <t>V</t>
        </is>
      </c>
      <c r="B92" s="220" t="inlineStr">
        <is>
          <t>Vacant</t>
        </is>
      </c>
      <c r="C92" s="305" t="inlineStr">
        <is>
          <t>Engineer - Integration</t>
        </is>
      </c>
      <c r="D92" s="220" t="inlineStr">
        <is>
          <t>Vedran Jukic</t>
        </is>
      </c>
      <c r="E92" s="220" t="inlineStr">
        <is>
          <t>Technology Manager, Retail</t>
        </is>
      </c>
      <c r="F92" s="220" t="inlineStr">
        <is>
          <t>Ampol Retail &amp; Z</t>
        </is>
      </c>
      <c r="G92" s="306" t="inlineStr">
        <is>
          <t>Ampol Retail</t>
        </is>
      </c>
      <c r="H92" s="220" t="inlineStr">
        <is>
          <t>Ampol Retail, Technology</t>
        </is>
      </c>
      <c r="I92" s="220" t="inlineStr">
        <is>
          <t>Retail</t>
        </is>
      </c>
      <c r="J92" s="306" t="inlineStr">
        <is>
          <t>Network/QSR</t>
        </is>
      </c>
      <c r="K92" s="220" t="inlineStr">
        <is>
          <t>Network &amp; QSR</t>
        </is>
      </c>
      <c r="L92" s="306" t="n"/>
      <c r="M92" s="307" t="inlineStr">
        <is>
          <t>Australia</t>
        </is>
      </c>
      <c r="N92" s="308" t="inlineStr">
        <is>
          <t>CIB</t>
        </is>
      </c>
      <c r="O92" s="308" t="n">
        <v>1</v>
      </c>
      <c r="P92" s="308" t="n"/>
      <c r="Q92" s="331" t="inlineStr">
        <is>
          <t>V</t>
        </is>
      </c>
      <c r="R92" s="310" t="n"/>
      <c r="S92" s="310" t="n"/>
      <c r="T92" s="322" t="n">
        <v>151950</v>
      </c>
      <c r="U92" s="321" t="n">
        <v>151950</v>
      </c>
      <c r="V92" s="313" t="n">
        <v>0.12</v>
      </c>
      <c r="W92" s="953" t="n">
        <v>0.055</v>
      </c>
      <c r="X92" s="953" t="n">
        <v>0.12</v>
      </c>
      <c r="Y92" s="954" t="n"/>
      <c r="Z92" s="953" t="n">
        <v>0.04</v>
      </c>
      <c r="AA92" s="952">
        <f>U92*(1+V92+W92+X92+Y92+Z92)</f>
        <v>202853.25</v>
      </c>
      <c r="AB92" s="316" t="n"/>
      <c r="AC92" s="316" t="inlineStr">
        <is>
          <t>Ampol Retail</t>
        </is>
      </c>
      <c r="AD92" t="inlineStr">
        <is>
          <t>Network / QSR</t>
        </is>
      </c>
      <c r="AE92" t="inlineStr">
        <is>
          <t>Network / QSR</t>
        </is>
      </c>
      <c r="AF92" t="inlineStr">
        <is>
          <t>Squad</t>
        </is>
      </c>
      <c r="AG92" t="inlineStr">
        <is>
          <t>Vacant</t>
        </is>
      </c>
    </row>
    <row r="93" hidden="1" ht="18" customHeight="1" s="849">
      <c r="A93" s="250" t="inlineStr">
        <is>
          <t>V</t>
        </is>
      </c>
      <c r="B93" s="220" t="inlineStr">
        <is>
          <t>Vacant</t>
        </is>
      </c>
      <c r="C93" s="305" t="inlineStr">
        <is>
          <t>Systems Analyst</t>
        </is>
      </c>
      <c r="D93" s="220" t="inlineStr">
        <is>
          <t>Vedran Jukic</t>
        </is>
      </c>
      <c r="E93" s="220" t="inlineStr">
        <is>
          <t>Technology Manager, Retail</t>
        </is>
      </c>
      <c r="F93" s="220" t="inlineStr">
        <is>
          <t>Ampol Retail &amp; Z</t>
        </is>
      </c>
      <c r="G93" s="306" t="inlineStr">
        <is>
          <t>Ampol Retail</t>
        </is>
      </c>
      <c r="H93" s="220" t="inlineStr">
        <is>
          <t>Ampol Retail, Technology</t>
        </is>
      </c>
      <c r="I93" s="220" t="inlineStr">
        <is>
          <t>Retail</t>
        </is>
      </c>
      <c r="J93" s="306" t="inlineStr">
        <is>
          <t>Network/QSR</t>
        </is>
      </c>
      <c r="K93" s="220" t="inlineStr">
        <is>
          <t>Network &amp; QSR</t>
        </is>
      </c>
      <c r="L93" s="306" t="n"/>
      <c r="M93" s="307" t="inlineStr">
        <is>
          <t>Australia</t>
        </is>
      </c>
      <c r="N93" s="308" t="inlineStr">
        <is>
          <t>CIA</t>
        </is>
      </c>
      <c r="O93" s="308" t="n">
        <v>1</v>
      </c>
      <c r="P93" s="308" t="n"/>
      <c r="Q93" s="331" t="inlineStr">
        <is>
          <t>v</t>
        </is>
      </c>
      <c r="R93" s="310" t="n"/>
      <c r="S93" s="310" t="n"/>
      <c r="T93" s="322" t="n">
        <v>129659</v>
      </c>
      <c r="U93" s="321" t="n">
        <v>129659</v>
      </c>
      <c r="V93" s="313" t="n">
        <v>0.1</v>
      </c>
      <c r="W93" s="953" t="n">
        <v>0.055</v>
      </c>
      <c r="X93" s="953" t="n">
        <v>0.12</v>
      </c>
      <c r="Y93" s="954" t="n"/>
      <c r="Z93" s="953" t="n">
        <v>0.04</v>
      </c>
      <c r="AA93" s="952">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30">
      <c r="A94" s="250" t="inlineStr">
        <is>
          <t>V</t>
        </is>
      </c>
      <c r="B94" s="220" t="inlineStr">
        <is>
          <t>Vacant</t>
        </is>
      </c>
      <c r="C94" s="305" t="inlineStr">
        <is>
          <t>Delivery Lead</t>
        </is>
      </c>
      <c r="D94" s="306" t="inlineStr">
        <is>
          <t>Vacant</t>
        </is>
      </c>
      <c r="E94" s="220" t="inlineStr">
        <is>
          <t>Delivery Manager, Z and Retail Data</t>
        </is>
      </c>
      <c r="F94" s="220" t="inlineStr">
        <is>
          <t>Ampol Retail &amp; Z</t>
        </is>
      </c>
      <c r="G94" s="306" t="inlineStr">
        <is>
          <t>Z &amp; Group Retail</t>
        </is>
      </c>
      <c r="H94" s="220" t="inlineStr">
        <is>
          <t>Z &amp; Group Retail, Delivery</t>
        </is>
      </c>
      <c r="I94" s="220" t="inlineStr">
        <is>
          <t>Z</t>
        </is>
      </c>
      <c r="J94" s="306" t="inlineStr">
        <is>
          <t>Z Customer &amp; Z Supply</t>
        </is>
      </c>
      <c r="K94" s="220" t="inlineStr">
        <is>
          <t>Data - NZ</t>
        </is>
      </c>
      <c r="L94" s="306" t="n"/>
      <c r="M94" s="307" t="inlineStr">
        <is>
          <t>Australia</t>
        </is>
      </c>
      <c r="N94" s="308" t="inlineStr">
        <is>
          <t>CIC</t>
        </is>
      </c>
      <c r="O94" s="308" t="n">
        <v>1</v>
      </c>
      <c r="P94" s="308" t="n"/>
      <c r="Q94" s="331" t="inlineStr">
        <is>
          <t>V</t>
        </is>
      </c>
      <c r="R94" s="310" t="n"/>
      <c r="S94" s="310" t="n"/>
      <c r="T94" s="322" t="n">
        <v>173550</v>
      </c>
      <c r="U94" s="321" t="n">
        <v>173550</v>
      </c>
      <c r="V94" s="313" t="n">
        <v>0.12</v>
      </c>
      <c r="W94" s="953" t="n">
        <v>0.055</v>
      </c>
      <c r="X94" s="953" t="n">
        <v>0.12</v>
      </c>
      <c r="Y94" s="954" t="n"/>
      <c r="Z94" s="953" t="n">
        <v>0.04</v>
      </c>
      <c r="AA94" s="952">
        <f>U94*(1+V94+W94+X94+Y94+Z94)</f>
        <v>231689.25</v>
      </c>
      <c r="AB94" s="316" t="n"/>
      <c r="AC94" s="316" t="inlineStr">
        <is>
          <t>Z Retail</t>
        </is>
      </c>
      <c r="AD94" t="inlineStr">
        <is>
          <t>-</t>
        </is>
      </c>
      <c r="AE94" t="inlineStr">
        <is>
          <t>Data NZ</t>
        </is>
      </c>
      <c r="AF94" t="inlineStr">
        <is>
          <t>Unmapped</t>
        </is>
      </c>
      <c r="AG94" t="inlineStr">
        <is>
          <t>Vacant</t>
        </is>
      </c>
    </row>
    <row r="95" hidden="1" ht="18" customHeight="1" s="849">
      <c r="A95" s="250" t="inlineStr">
        <is>
          <t>V</t>
        </is>
      </c>
      <c r="B95" s="220" t="inlineStr">
        <is>
          <t>Vacant</t>
        </is>
      </c>
      <c r="C95" s="305" t="inlineStr">
        <is>
          <t>Delivery Manager</t>
        </is>
      </c>
      <c r="D95" s="306" t="inlineStr">
        <is>
          <t>Vacant</t>
        </is>
      </c>
      <c r="E95" s="220" t="inlineStr">
        <is>
          <t>Head of Technology, Z and Group Retail Platforms</t>
        </is>
      </c>
      <c r="F95" s="220" t="inlineStr">
        <is>
          <t>Ampol Retail &amp; Z</t>
        </is>
      </c>
      <c r="G95" s="306" t="inlineStr">
        <is>
          <t>Z &amp; Group Retail</t>
        </is>
      </c>
      <c r="H95" s="306" t="inlineStr">
        <is>
          <t>Z &amp; Group Retail, Delivery</t>
        </is>
      </c>
      <c r="I95" s="306" t="inlineStr">
        <is>
          <t>Z</t>
        </is>
      </c>
      <c r="J95" s="220" t="inlineStr">
        <is>
          <t>Z Customer &amp; Z Supply</t>
        </is>
      </c>
      <c r="K95" s="306" t="inlineStr">
        <is>
          <t>Leadership</t>
        </is>
      </c>
      <c r="L95" s="306" t="n"/>
      <c r="M95" s="307" t="inlineStr">
        <is>
          <t>Australia</t>
        </is>
      </c>
      <c r="N95" s="308" t="inlineStr">
        <is>
          <t>CSB</t>
        </is>
      </c>
      <c r="O95" s="308" t="n">
        <v>1</v>
      </c>
      <c r="P95" s="308" t="n"/>
      <c r="Q95" s="331" t="inlineStr">
        <is>
          <t>V</t>
        </is>
      </c>
      <c r="R95" s="310" t="n"/>
      <c r="S95" s="310" t="n"/>
      <c r="T95" s="322" t="n">
        <v>203550</v>
      </c>
      <c r="U95" s="321" t="n">
        <v>203550</v>
      </c>
      <c r="V95" s="313" t="n">
        <v>0.14</v>
      </c>
      <c r="W95" s="953" t="n">
        <v>0.055</v>
      </c>
      <c r="X95" s="953" t="n">
        <v>0.12</v>
      </c>
      <c r="Y95" s="954" t="n"/>
      <c r="Z95" s="953" t="n">
        <v>0.04</v>
      </c>
      <c r="AA95" s="952">
        <f>U95*(1+V95+W95+X95+Y95+Z95)</f>
        <v>275810.25</v>
      </c>
      <c r="AC95" t="inlineStr">
        <is>
          <t>Z Retail</t>
        </is>
      </c>
      <c r="AD95" t="inlineStr">
        <is>
          <t>Leadership</t>
        </is>
      </c>
      <c r="AE95" t="inlineStr">
        <is>
          <t>Leadership</t>
        </is>
      </c>
      <c r="AF95" t="inlineStr">
        <is>
          <t>Leadership</t>
        </is>
      </c>
      <c r="AG95" t="inlineStr">
        <is>
          <t>Vacant</t>
        </is>
      </c>
    </row>
    <row r="96" hidden="1" ht="18" customHeight="1" s="849">
      <c r="A96" s="250" t="inlineStr">
        <is>
          <t>V</t>
        </is>
      </c>
      <c r="B96" s="220" t="inlineStr">
        <is>
          <t>Vacant</t>
        </is>
      </c>
      <c r="C96" s="305" t="inlineStr">
        <is>
          <t>Engineer - Data</t>
        </is>
      </c>
      <c r="D96" s="306" t="inlineStr">
        <is>
          <t>Vacant</t>
        </is>
      </c>
      <c r="E96" s="220" t="inlineStr">
        <is>
          <t>Technology Manager, Data</t>
        </is>
      </c>
      <c r="F96" s="220" t="inlineStr">
        <is>
          <t>Ampol Retail &amp; Z</t>
        </is>
      </c>
      <c r="G96" s="306" t="inlineStr">
        <is>
          <t>Z &amp; Group Retail</t>
        </is>
      </c>
      <c r="H96" s="220" t="inlineStr">
        <is>
          <t>Z &amp; Group Retail, Data</t>
        </is>
      </c>
      <c r="I96" s="220" t="inlineStr">
        <is>
          <t>Z</t>
        </is>
      </c>
      <c r="J96" s="306" t="inlineStr">
        <is>
          <t>Z Customer &amp; Z Supply</t>
        </is>
      </c>
      <c r="K96" s="220" t="inlineStr">
        <is>
          <t>Data - NZ</t>
        </is>
      </c>
      <c r="L96" s="306" t="n"/>
      <c r="M96" s="307" t="inlineStr">
        <is>
          <t>Australia</t>
        </is>
      </c>
      <c r="N96" s="308" t="inlineStr">
        <is>
          <t>CIB</t>
        </is>
      </c>
      <c r="O96" s="308" t="n">
        <v>1</v>
      </c>
      <c r="P96" s="308" t="n"/>
      <c r="Q96" s="331" t="inlineStr">
        <is>
          <t>V</t>
        </is>
      </c>
      <c r="R96" s="310" t="n"/>
      <c r="S96" s="310" t="n"/>
      <c r="T96" s="322" t="n">
        <v>151950</v>
      </c>
      <c r="U96" s="321" t="n">
        <v>151950</v>
      </c>
      <c r="V96" s="313" t="n">
        <v>0.12</v>
      </c>
      <c r="W96" s="953" t="n">
        <v>0.055</v>
      </c>
      <c r="X96" s="953" t="n">
        <v>0.12</v>
      </c>
      <c r="Y96" s="954" t="n"/>
      <c r="Z96" s="953" t="n">
        <v>0.04</v>
      </c>
      <c r="AA96" s="952">
        <f>U96*(1+V96+W96+X96+Y96+Z96)</f>
        <v>202853.25</v>
      </c>
      <c r="AC96" t="inlineStr">
        <is>
          <t>Z Retail</t>
        </is>
      </c>
      <c r="AD96" t="inlineStr">
        <is>
          <t>-</t>
        </is>
      </c>
      <c r="AE96" t="inlineStr">
        <is>
          <t>Data NZ</t>
        </is>
      </c>
      <c r="AF96" t="inlineStr">
        <is>
          <t>Unmapped</t>
        </is>
      </c>
      <c r="AG96" t="inlineStr">
        <is>
          <t>Vacant</t>
        </is>
      </c>
    </row>
    <row r="97" hidden="1" ht="18" customHeight="1" s="849">
      <c r="A97" s="250" t="inlineStr">
        <is>
          <t>V</t>
        </is>
      </c>
      <c r="B97" s="220" t="inlineStr">
        <is>
          <t>Vacant</t>
        </is>
      </c>
      <c r="C97" s="305" t="inlineStr">
        <is>
          <t>Engineer - Software</t>
        </is>
      </c>
      <c r="D97" s="220" t="inlineStr">
        <is>
          <t>Vacant</t>
        </is>
      </c>
      <c r="E97" s="220" t="inlineStr">
        <is>
          <t>Technology Manager, Engineering</t>
        </is>
      </c>
      <c r="F97" s="220" t="inlineStr">
        <is>
          <t>Ampol Retail &amp; Z</t>
        </is>
      </c>
      <c r="G97" s="306" t="inlineStr">
        <is>
          <t>Z &amp; Group Retail</t>
        </is>
      </c>
      <c r="H97" s="220" t="inlineStr">
        <is>
          <t>Z &amp; Group Retail, Engineering</t>
        </is>
      </c>
      <c r="I97" s="220" t="inlineStr">
        <is>
          <t>Z</t>
        </is>
      </c>
      <c r="J97" s="220" t="inlineStr">
        <is>
          <t>Z Customer</t>
        </is>
      </c>
      <c r="K97" s="220" t="inlineStr">
        <is>
          <t xml:space="preserve">Z Retail Backend </t>
        </is>
      </c>
      <c r="L97" s="306" t="n"/>
      <c r="M97" s="307" t="inlineStr">
        <is>
          <t>australia</t>
        </is>
      </c>
      <c r="N97" s="308" t="inlineStr">
        <is>
          <t>cib</t>
        </is>
      </c>
      <c r="O97" s="308" t="n">
        <v>1</v>
      </c>
      <c r="P97" s="308" t="n"/>
      <c r="Q97" s="331" t="inlineStr">
        <is>
          <t>V</t>
        </is>
      </c>
      <c r="R97" s="310" t="n"/>
      <c r="S97" s="310" t="n"/>
      <c r="T97" s="322" t="n">
        <v>151950</v>
      </c>
      <c r="U97" s="321" t="n">
        <v>151950</v>
      </c>
      <c r="V97" s="313" t="n">
        <v>0.12</v>
      </c>
      <c r="W97" s="953" t="n">
        <v>0.055</v>
      </c>
      <c r="X97" s="953" t="n">
        <v>0.12</v>
      </c>
      <c r="Y97" s="954" t="n"/>
      <c r="Z97" s="953" t="n">
        <v>0.04</v>
      </c>
      <c r="AA97" s="952">
        <f>U97*(1+V97+W97+X97+Y97+Z97)</f>
        <v>202853.25</v>
      </c>
      <c r="AC97" t="inlineStr">
        <is>
          <t>Z Retail</t>
        </is>
      </c>
      <c r="AD97" t="inlineStr">
        <is>
          <t>Z Customer</t>
        </is>
      </c>
      <c r="AE97" t="inlineStr">
        <is>
          <t>Z Retail Backend</t>
        </is>
      </c>
      <c r="AF97" t="inlineStr">
        <is>
          <t>Squad</t>
        </is>
      </c>
      <c r="AG97" t="inlineStr">
        <is>
          <t>Vacant</t>
        </is>
      </c>
    </row>
    <row r="98" hidden="1" ht="18" customHeight="1" s="849">
      <c r="A98" s="250" t="inlineStr">
        <is>
          <t>V</t>
        </is>
      </c>
      <c r="B98" s="220" t="inlineStr">
        <is>
          <t>Vacant</t>
        </is>
      </c>
      <c r="C98" s="305" t="inlineStr">
        <is>
          <t>Lead Quality Assurance</t>
        </is>
      </c>
      <c r="D98" s="220" t="inlineStr">
        <is>
          <t>Vacant</t>
        </is>
      </c>
      <c r="E98" s="220" t="inlineStr">
        <is>
          <t>Technology Manager, Engineering</t>
        </is>
      </c>
      <c r="F98" s="220" t="inlineStr">
        <is>
          <t>Ampol Retail &amp; Z</t>
        </is>
      </c>
      <c r="G98" s="306" t="inlineStr">
        <is>
          <t>Z &amp; Group Retail</t>
        </is>
      </c>
      <c r="H98" s="220" t="inlineStr">
        <is>
          <t>Z &amp; Group Retail, Engineering</t>
        </is>
      </c>
      <c r="I98" s="220" t="inlineStr">
        <is>
          <t>Z</t>
        </is>
      </c>
      <c r="J98" s="220" t="inlineStr">
        <is>
          <t>Z Customer</t>
        </is>
      </c>
      <c r="K98" s="220" t="inlineStr">
        <is>
          <t xml:space="preserve">Z Retail Backend </t>
        </is>
      </c>
      <c r="L98" s="306" t="n"/>
      <c r="M98" s="307" t="inlineStr">
        <is>
          <t>Australia</t>
        </is>
      </c>
      <c r="N98" s="308" t="inlineStr">
        <is>
          <t>CIC</t>
        </is>
      </c>
      <c r="O98" s="308" t="n">
        <v>1</v>
      </c>
      <c r="P98" s="308" t="n"/>
      <c r="Q98" s="331" t="inlineStr">
        <is>
          <t>v</t>
        </is>
      </c>
      <c r="R98" s="310" t="n"/>
      <c r="S98" s="310" t="n"/>
      <c r="T98" s="322" t="n">
        <v>173550</v>
      </c>
      <c r="U98" s="321" t="n">
        <v>173550</v>
      </c>
      <c r="V98" s="313" t="n">
        <v>0.12</v>
      </c>
      <c r="W98" s="953" t="n">
        <v>0.055</v>
      </c>
      <c r="X98" s="953" t="n">
        <v>0.12</v>
      </c>
      <c r="Y98" s="954" t="n"/>
      <c r="Z98" s="953" t="n">
        <v>0.04</v>
      </c>
      <c r="AA98" s="952">
        <f>U98*(1+V98+W98+X98+Y98+Z98)</f>
        <v>231689.25</v>
      </c>
      <c r="AC98" t="inlineStr">
        <is>
          <t>Z Retail</t>
        </is>
      </c>
      <c r="AD98" t="inlineStr">
        <is>
          <t>Z Customer</t>
        </is>
      </c>
      <c r="AE98" t="inlineStr">
        <is>
          <t>Z Retail Backend</t>
        </is>
      </c>
      <c r="AF98" t="inlineStr">
        <is>
          <t>Squad</t>
        </is>
      </c>
      <c r="AG98" t="inlineStr">
        <is>
          <t>Vacant</t>
        </is>
      </c>
    </row>
    <row r="99" hidden="1" ht="18" customHeight="1" s="849">
      <c r="A99" s="250" t="inlineStr">
        <is>
          <t>V</t>
        </is>
      </c>
      <c r="B99" s="220" t="inlineStr">
        <is>
          <t>Vacant</t>
        </is>
      </c>
      <c r="C99" s="305" t="inlineStr">
        <is>
          <t>Quality Assurance</t>
        </is>
      </c>
      <c r="D99" s="220" t="inlineStr">
        <is>
          <t>Vacant</t>
        </is>
      </c>
      <c r="E99" s="220" t="inlineStr">
        <is>
          <t>Technology Manager, Engineering</t>
        </is>
      </c>
      <c r="F99" s="220" t="inlineStr">
        <is>
          <t>Ampol Retail &amp; Z</t>
        </is>
      </c>
      <c r="G99" s="306" t="inlineStr">
        <is>
          <t>Z &amp; Group Retail</t>
        </is>
      </c>
      <c r="H99" s="220" t="inlineStr">
        <is>
          <t>Z &amp; Group Retail, Engineering</t>
        </is>
      </c>
      <c r="I99" s="220" t="inlineStr">
        <is>
          <t>Z</t>
        </is>
      </c>
      <c r="J99" s="306" t="inlineStr">
        <is>
          <t>Z Supply</t>
        </is>
      </c>
      <c r="K99" s="220" t="inlineStr">
        <is>
          <t>Z Supply</t>
        </is>
      </c>
      <c r="L99" s="306" t="n"/>
      <c r="M99" s="307" t="inlineStr">
        <is>
          <t>Australia</t>
        </is>
      </c>
      <c r="N99" s="308" t="inlineStr">
        <is>
          <t>CIA</t>
        </is>
      </c>
      <c r="O99" s="308" t="n">
        <v>1</v>
      </c>
      <c r="P99" s="308" t="n"/>
      <c r="Q99" s="331" t="inlineStr">
        <is>
          <t>v</t>
        </is>
      </c>
      <c r="R99" s="310" t="n"/>
      <c r="S99" s="310" t="n"/>
      <c r="T99" s="322" t="n">
        <v>129650</v>
      </c>
      <c r="U99" s="321" t="n">
        <v>129650</v>
      </c>
      <c r="V99" s="313" t="n">
        <v>0.1</v>
      </c>
      <c r="W99" s="953" t="n">
        <v>0.055</v>
      </c>
      <c r="X99" s="953" t="n">
        <v>0.12</v>
      </c>
      <c r="Y99" s="954" t="n"/>
      <c r="Z99" s="953" t="n">
        <v>0.04</v>
      </c>
      <c r="AA99" s="952">
        <f>U99*(1+V99+W99+X99+Y99+Z99)</f>
        <v>170489.75</v>
      </c>
      <c r="AC99" t="inlineStr">
        <is>
          <t>Z Retail</t>
        </is>
      </c>
      <c r="AD99" t="inlineStr">
        <is>
          <t>Z Supply</t>
        </is>
      </c>
      <c r="AE99" t="inlineStr">
        <is>
          <t>Z Supply</t>
        </is>
      </c>
      <c r="AF99" t="inlineStr">
        <is>
          <t>Squad</t>
        </is>
      </c>
      <c r="AG99" t="inlineStr">
        <is>
          <t>Vacant</t>
        </is>
      </c>
    </row>
    <row r="100" hidden="1" ht="18" customHeight="1" s="849">
      <c r="A100" s="250" t="inlineStr">
        <is>
          <t>V</t>
        </is>
      </c>
      <c r="B100" s="220" t="inlineStr">
        <is>
          <t>Vacant</t>
        </is>
      </c>
      <c r="C100" s="305" t="inlineStr">
        <is>
          <t>Technology Manager, Data</t>
        </is>
      </c>
      <c r="D100" s="306" t="inlineStr">
        <is>
          <t>Vacant</t>
        </is>
      </c>
      <c r="E100" s="220" t="inlineStr">
        <is>
          <t>Head of Technology, Z and Group Retail Platforms</t>
        </is>
      </c>
      <c r="F100" s="220" t="inlineStr">
        <is>
          <t>Ampol Retail &amp; Z</t>
        </is>
      </c>
      <c r="G100" s="306" t="inlineStr">
        <is>
          <t>Z &amp; Group Retail</t>
        </is>
      </c>
      <c r="H100" s="220" t="inlineStr">
        <is>
          <t>Z &amp; Group Retail, Data</t>
        </is>
      </c>
      <c r="I100" s="220" t="inlineStr">
        <is>
          <t>Z</t>
        </is>
      </c>
      <c r="J100" s="220" t="inlineStr">
        <is>
          <t>Z Customer &amp; Z Supply</t>
        </is>
      </c>
      <c r="K100" s="306" t="inlineStr">
        <is>
          <t>Leadership</t>
        </is>
      </c>
      <c r="L100" s="306" t="n"/>
      <c r="M100" s="307" t="inlineStr">
        <is>
          <t>Australia</t>
        </is>
      </c>
      <c r="N100" s="308" t="inlineStr">
        <is>
          <t>CSB</t>
        </is>
      </c>
      <c r="O100" s="308" t="n">
        <v>1</v>
      </c>
      <c r="P100" s="308" t="n"/>
      <c r="Q100" s="331" t="inlineStr">
        <is>
          <t>v</t>
        </is>
      </c>
      <c r="R100" s="310" t="n"/>
      <c r="S100" s="310" t="n"/>
      <c r="T100" s="322" t="n">
        <v>203550</v>
      </c>
      <c r="U100" s="321" t="n">
        <v>203550</v>
      </c>
      <c r="V100" s="313" t="n">
        <v>0.14</v>
      </c>
      <c r="W100" s="953" t="n">
        <v>0.055</v>
      </c>
      <c r="X100" s="953" t="n">
        <v>0.12</v>
      </c>
      <c r="Y100" s="954" t="n"/>
      <c r="Z100" s="953" t="n">
        <v>0.04</v>
      </c>
      <c r="AA100" s="952">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849">
      <c r="A101" s="250" t="inlineStr">
        <is>
          <t>V</t>
        </is>
      </c>
      <c r="B101" s="220" t="inlineStr">
        <is>
          <t>Vacant</t>
        </is>
      </c>
      <c r="C101" s="305" t="inlineStr">
        <is>
          <t>Technology Manager, Engineering</t>
        </is>
      </c>
      <c r="D101" s="306" t="inlineStr">
        <is>
          <t>Vacant</t>
        </is>
      </c>
      <c r="E101" s="220" t="inlineStr">
        <is>
          <t>Head of Technology, Z and Group Retail Platforms</t>
        </is>
      </c>
      <c r="F101" s="220" t="inlineStr">
        <is>
          <t>Ampol Retail &amp; Z</t>
        </is>
      </c>
      <c r="G101" s="306" t="inlineStr">
        <is>
          <t>Z &amp; Group Retail</t>
        </is>
      </c>
      <c r="H101" s="332" t="inlineStr">
        <is>
          <t>Technology, CF Engineering</t>
        </is>
      </c>
      <c r="I101" s="220" t="inlineStr">
        <is>
          <t>Z</t>
        </is>
      </c>
      <c r="J101" s="220" t="inlineStr">
        <is>
          <t>Leadership</t>
        </is>
      </c>
      <c r="K101" s="306" t="inlineStr">
        <is>
          <t>Leadership</t>
        </is>
      </c>
      <c r="L101" s="306" t="n"/>
      <c r="M101" s="307" t="inlineStr">
        <is>
          <t>Australia</t>
        </is>
      </c>
      <c r="N101" s="308" t="inlineStr">
        <is>
          <t>CSB</t>
        </is>
      </c>
      <c r="O101" s="308" t="n">
        <v>1</v>
      </c>
      <c r="P101" s="308" t="n"/>
      <c r="Q101" s="331" t="inlineStr">
        <is>
          <t>v</t>
        </is>
      </c>
      <c r="R101" s="310" t="n"/>
      <c r="S101" s="310" t="n"/>
      <c r="T101" s="322" t="n">
        <v>203550</v>
      </c>
      <c r="U101" s="321" t="n">
        <v>203550</v>
      </c>
      <c r="V101" s="313" t="n">
        <v>0.14</v>
      </c>
      <c r="W101" s="953" t="n">
        <v>0.055</v>
      </c>
      <c r="X101" s="953" t="n">
        <v>0.12</v>
      </c>
      <c r="Y101" s="954" t="n"/>
      <c r="Z101" s="953" t="n">
        <v>0.04</v>
      </c>
      <c r="AA101" s="952">
        <f>U101*(1+V101+W101+X101+Y101+Z101)</f>
        <v>275810.25</v>
      </c>
      <c r="AC101" s="330" t="inlineStr">
        <is>
          <t>Z Retail</t>
        </is>
      </c>
      <c r="AD101" t="inlineStr">
        <is>
          <t>Leadership</t>
        </is>
      </c>
      <c r="AE101" t="inlineStr">
        <is>
          <t>Leadership</t>
        </is>
      </c>
      <c r="AF101" t="inlineStr">
        <is>
          <t>Leadership</t>
        </is>
      </c>
      <c r="AG101" t="inlineStr">
        <is>
          <t>Vacant</t>
        </is>
      </c>
    </row>
    <row r="102" hidden="1" ht="18" customHeight="1" s="849">
      <c r="A102" s="250" t="inlineStr">
        <is>
          <t>V</t>
        </is>
      </c>
      <c r="B102" s="220" t="inlineStr">
        <is>
          <t>Vacant</t>
        </is>
      </c>
      <c r="C102" s="305" t="inlineStr">
        <is>
          <t>Head of Technology, Z and Group Retail Platforms</t>
        </is>
      </c>
      <c r="D102" s="220" t="inlineStr">
        <is>
          <t>Vance Anderson</t>
        </is>
      </c>
      <c r="E102" s="306" t="inlineStr">
        <is>
          <t>GM TDD, Ampol Retail &amp; Z</t>
        </is>
      </c>
      <c r="F102" s="220" t="inlineStr">
        <is>
          <t>Ampol Retail &amp; Z</t>
        </is>
      </c>
      <c r="G102" s="306" t="inlineStr">
        <is>
          <t>Z &amp; Group Retail</t>
        </is>
      </c>
      <c r="H102" s="220" t="inlineStr">
        <is>
          <t>na</t>
        </is>
      </c>
      <c r="I102" s="220" t="inlineStr">
        <is>
          <t>Z</t>
        </is>
      </c>
      <c r="J102" s="220" t="inlineStr">
        <is>
          <t>Z Customer &amp; Z Supply</t>
        </is>
      </c>
      <c r="K102" s="306" t="inlineStr">
        <is>
          <t>Leadership</t>
        </is>
      </c>
      <c r="L102" s="306" t="n"/>
      <c r="M102" s="307" t="inlineStr">
        <is>
          <t>NZ</t>
        </is>
      </c>
      <c r="N102" s="308" t="inlineStr">
        <is>
          <t>CSC</t>
        </is>
      </c>
      <c r="O102" s="308" t="n">
        <v>1</v>
      </c>
      <c r="P102" s="308" t="n"/>
      <c r="Q102" s="331" t="inlineStr">
        <is>
          <t>v</t>
        </is>
      </c>
      <c r="R102" s="310" t="n"/>
      <c r="S102" s="310" t="n"/>
      <c r="T102" s="322" t="n">
        <v>245000</v>
      </c>
      <c r="U102" s="321" t="n">
        <v>225400</v>
      </c>
      <c r="V102" s="312" t="n">
        <v>0.2</v>
      </c>
      <c r="W102" s="310" t="n"/>
      <c r="X102" s="313" t="n">
        <v>0.05</v>
      </c>
      <c r="Y102" s="951" t="n">
        <v>2910</v>
      </c>
      <c r="Z102" s="313" t="n">
        <v>0.03</v>
      </c>
      <c r="AA102" s="952">
        <f>U102*(1+V102+X102+Z102)+Y102</f>
        <v>291422.0</v>
      </c>
      <c r="AC102" t="inlineStr">
        <is>
          <t>Z Retail</t>
        </is>
      </c>
      <c r="AD102" t="inlineStr">
        <is>
          <t>Leadership</t>
        </is>
      </c>
      <c r="AE102" t="inlineStr">
        <is>
          <t>Leadership</t>
        </is>
      </c>
      <c r="AF102" t="inlineStr">
        <is>
          <t>Leadership</t>
        </is>
      </c>
      <c r="AG102" t="inlineStr">
        <is>
          <t>Vacant</t>
        </is>
      </c>
    </row>
    <row r="103" hidden="1" ht="18" customHeight="1" s="849">
      <c r="A103" s="250" t="n">
        <v>98379</v>
      </c>
      <c r="B103" s="220" t="inlineStr">
        <is>
          <t>Vaishnavi Viswanathan</t>
        </is>
      </c>
      <c r="C103" s="305" t="inlineStr">
        <is>
          <t>Technology Manager, Store Platform</t>
        </is>
      </c>
      <c r="D103" s="306" t="inlineStr">
        <is>
          <t>Vacant</t>
        </is>
      </c>
      <c r="E103" s="220" t="inlineStr">
        <is>
          <t>Head of Technology,  Ampol Retail</t>
        </is>
      </c>
      <c r="F103" s="220" t="inlineStr">
        <is>
          <t>Ampol Retail &amp; Z</t>
        </is>
      </c>
      <c r="G103" s="306" t="inlineStr">
        <is>
          <t>Ampol Retail</t>
        </is>
      </c>
      <c r="H103" s="220" t="inlineStr">
        <is>
          <t>Ampol Retail, Store Platforms</t>
        </is>
      </c>
      <c r="I103" s="220" t="inlineStr">
        <is>
          <t>Retail</t>
        </is>
      </c>
      <c r="J103" s="220" t="inlineStr">
        <is>
          <t>Store Operations, Payments, POS</t>
        </is>
      </c>
      <c r="K103" s="306" t="inlineStr">
        <is>
          <t>Leadership</t>
        </is>
      </c>
      <c r="L103" s="306" t="n"/>
      <c r="M103" s="307" t="inlineStr">
        <is>
          <t>Australia</t>
        </is>
      </c>
      <c r="N103" s="308" t="inlineStr">
        <is>
          <t>CSB</t>
        </is>
      </c>
      <c r="O103" s="308" t="n">
        <v>1</v>
      </c>
      <c r="P103" s="308" t="n"/>
      <c r="Q103" s="331" t="inlineStr">
        <is>
          <t>Permanent - Full Time</t>
        </is>
      </c>
      <c r="R103" s="310" t="n"/>
      <c r="S103" s="310" t="n"/>
      <c r="T103" s="322" t="n">
        <v>190225</v>
      </c>
      <c r="U103" s="321" t="n">
        <v>190225</v>
      </c>
      <c r="V103" s="313" t="n">
        <v>0.14</v>
      </c>
      <c r="W103" s="953" t="n">
        <v>0.055</v>
      </c>
      <c r="X103" s="953" t="n">
        <v>0.12</v>
      </c>
      <c r="Y103" s="954" t="n"/>
      <c r="Z103" s="953" t="n">
        <v>0.04</v>
      </c>
      <c r="AA103" s="952">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849">
      <c r="A104" s="250" t="n">
        <v>86604</v>
      </c>
      <c r="B104" s="220" t="inlineStr">
        <is>
          <t>Vanessa Allen</t>
        </is>
      </c>
      <c r="C104" s="305" t="inlineStr">
        <is>
          <t>Delivery Manager</t>
        </is>
      </c>
      <c r="D104" s="306" t="inlineStr">
        <is>
          <t>Madan Murthy</t>
        </is>
      </c>
      <c r="E104" s="220" t="inlineStr">
        <is>
          <t>Head of Technology,  Ampol Retail</t>
        </is>
      </c>
      <c r="F104" s="220" t="inlineStr">
        <is>
          <t>Ampol Retail &amp; Z</t>
        </is>
      </c>
      <c r="G104" s="306" t="inlineStr">
        <is>
          <t>Ampol Retail</t>
        </is>
      </c>
      <c r="H104" s="220" t="inlineStr">
        <is>
          <t>Ampol Retail, Delivery</t>
        </is>
      </c>
      <c r="I104" s="220" t="inlineStr">
        <is>
          <t>Retail</t>
        </is>
      </c>
      <c r="J104" s="220" t="inlineStr">
        <is>
          <t>(All Retail)</t>
        </is>
      </c>
      <c r="K104" s="306" t="inlineStr">
        <is>
          <t>Leadership</t>
        </is>
      </c>
      <c r="L104" s="306" t="n"/>
      <c r="M104" s="307" t="inlineStr">
        <is>
          <t>Australia</t>
        </is>
      </c>
      <c r="N104" s="310" t="inlineStr">
        <is>
          <t>CSB</t>
        </is>
      </c>
      <c r="O104" s="310" t="n">
        <v>0.7</v>
      </c>
      <c r="P104" s="310" t="n"/>
      <c r="Q104" s="329" t="inlineStr">
        <is>
          <t>Permanent - Part Time</t>
        </is>
      </c>
      <c r="R104" s="310" t="n"/>
      <c r="S104" s="310" t="n"/>
      <c r="T104" s="322" t="n">
        <v>223570</v>
      </c>
      <c r="U104" s="321" t="n">
        <v>223570</v>
      </c>
      <c r="V104" s="313" t="n">
        <v>0.14</v>
      </c>
      <c r="W104" s="953" t="n">
        <v>0.055</v>
      </c>
      <c r="X104" s="953" t="n">
        <v>0.12</v>
      </c>
      <c r="Y104" s="954" t="n"/>
      <c r="Z104" s="953" t="n">
        <v>0.04</v>
      </c>
      <c r="AA104" s="952">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849">
      <c r="A105" s="250" t="n">
        <v>99999100432</v>
      </c>
      <c r="B105" s="220" t="inlineStr">
        <is>
          <t>Vanessa King</t>
        </is>
      </c>
      <c r="C105" s="305" t="inlineStr">
        <is>
          <t>Lead Quality Assurance</t>
        </is>
      </c>
      <c r="D105" s="220" t="inlineStr">
        <is>
          <t>Callan McLaughlin</t>
        </is>
      </c>
      <c r="E105" s="220" t="inlineStr">
        <is>
          <t>Technology Manager,  Site Systems</t>
        </is>
      </c>
      <c r="F105" s="220" t="inlineStr">
        <is>
          <t>Ampol Retail &amp; Z</t>
        </is>
      </c>
      <c r="G105" s="306" t="inlineStr">
        <is>
          <t>Z &amp; Group Retail</t>
        </is>
      </c>
      <c r="H105" s="220" t="inlineStr">
        <is>
          <t>Z &amp; Group Retail, Site Systems</t>
        </is>
      </c>
      <c r="I105" s="220" t="inlineStr">
        <is>
          <t>Z</t>
        </is>
      </c>
      <c r="J105" s="306" t="inlineStr">
        <is>
          <t>Z Customer</t>
        </is>
      </c>
      <c r="K105" s="220" t="inlineStr">
        <is>
          <t>Site Systems</t>
        </is>
      </c>
      <c r="L105" s="306" t="n"/>
      <c r="M105" s="307" t="inlineStr">
        <is>
          <t>NZ</t>
        </is>
      </c>
      <c r="N105" s="308" t="inlineStr">
        <is>
          <t>CIC</t>
        </is>
      </c>
      <c r="O105" s="309" t="n">
        <v>1</v>
      </c>
      <c r="P105" s="308" t="n"/>
      <c r="Q105" s="333" t="inlineStr">
        <is>
          <t>Permanent - Full Time</t>
        </is>
      </c>
      <c r="R105" s="310" t="n"/>
      <c r="S105" s="310" t="n"/>
      <c r="T105" s="322" t="n">
        <v>174080</v>
      </c>
      <c r="U105" s="321" t="n">
        <v>160153.6</v>
      </c>
      <c r="V105" s="312" t="n">
        <v>0.15</v>
      </c>
      <c r="W105" s="310" t="n"/>
      <c r="X105" s="313" t="n">
        <v>0.05</v>
      </c>
      <c r="Y105" s="951" t="n">
        <v>2910</v>
      </c>
      <c r="Z105" s="313" t="n">
        <v>0.03</v>
      </c>
      <c r="AA105" s="952">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34">
      <c r="A106" s="250" t="n">
        <v>98158</v>
      </c>
      <c r="B106" s="220" t="inlineStr">
        <is>
          <t>Vanessa Trujillo Munoz</t>
        </is>
      </c>
      <c r="C106" s="305" t="inlineStr">
        <is>
          <t>Delivery Lead</t>
        </is>
      </c>
      <c r="D106" s="220" t="inlineStr">
        <is>
          <t>Vanessa Allen</t>
        </is>
      </c>
      <c r="E106" s="220" t="inlineStr">
        <is>
          <t>Delivery Manager, Ampol Retail</t>
        </is>
      </c>
      <c r="F106" s="220" t="inlineStr">
        <is>
          <t>Ampol Retail &amp; Z</t>
        </is>
      </c>
      <c r="G106" s="306" t="inlineStr">
        <is>
          <t>Ampol Retail</t>
        </is>
      </c>
      <c r="H106" s="220" t="inlineStr">
        <is>
          <t>Ampol Retail, Delivery</t>
        </is>
      </c>
      <c r="I106" s="220" t="inlineStr">
        <is>
          <t>Retail</t>
        </is>
      </c>
      <c r="J106" s="306" t="inlineStr">
        <is>
          <t>Network/QSR</t>
        </is>
      </c>
      <c r="K106" s="220" t="inlineStr">
        <is>
          <t>Network &amp; QSR</t>
        </is>
      </c>
      <c r="L106" s="306" t="n"/>
      <c r="M106" s="307" t="inlineStr">
        <is>
          <t>Australia</t>
        </is>
      </c>
      <c r="N106" s="308" t="inlineStr">
        <is>
          <t>CIB</t>
        </is>
      </c>
      <c r="O106" s="308" t="n">
        <v>1</v>
      </c>
      <c r="P106" s="308" t="n"/>
      <c r="Q106" s="331" t="inlineStr">
        <is>
          <t>Permanent - Full Time</t>
        </is>
      </c>
      <c r="R106" s="310" t="n"/>
      <c r="S106" s="310" t="n"/>
      <c r="T106" s="322" t="n">
        <v>136670</v>
      </c>
      <c r="U106" s="321" t="n">
        <v>136670</v>
      </c>
      <c r="V106" s="313" t="n">
        <v>0.12</v>
      </c>
      <c r="W106" s="953" t="n">
        <v>0.055</v>
      </c>
      <c r="X106" s="953" t="n">
        <v>0.12</v>
      </c>
      <c r="Y106" s="954" t="n"/>
      <c r="Z106" s="953" t="n">
        <v>0.04</v>
      </c>
      <c r="AA106" s="952">
        <f>U106*(1+V106+W106+X106+Y106+Z106)</f>
        <v>182454.44999999998</v>
      </c>
      <c r="AB106" s="316" t="n"/>
      <c r="AC106" s="316" t="inlineStr">
        <is>
          <t>Ampol Retail</t>
        </is>
      </c>
      <c r="AD106" t="inlineStr">
        <is>
          <t>Network / QSR</t>
        </is>
      </c>
      <c r="AE106" t="inlineStr">
        <is>
          <t>Network / QSR</t>
        </is>
      </c>
      <c r="AF106" t="inlineStr">
        <is>
          <t>Squad</t>
        </is>
      </c>
      <c r="AG106" t="inlineStr">
        <is>
          <t>Filled</t>
        </is>
      </c>
    </row>
    <row r="107" hidden="1" ht="18" customHeight="1" s="849">
      <c r="A107" s="250" t="n">
        <v>8904</v>
      </c>
      <c r="B107" s="220" t="inlineStr">
        <is>
          <t>Vedran Jukic</t>
        </is>
      </c>
      <c r="C107" s="305" t="inlineStr">
        <is>
          <t>Technology Manager, Retail</t>
        </is>
      </c>
      <c r="D107" s="306" t="inlineStr">
        <is>
          <t>Madan Murthy</t>
        </is>
      </c>
      <c r="E107" s="220" t="inlineStr">
        <is>
          <t>Head of Technology,  Ampol Retail</t>
        </is>
      </c>
      <c r="F107" s="220" t="inlineStr">
        <is>
          <t>Ampol Retail &amp; Z</t>
        </is>
      </c>
      <c r="G107" s="306" t="inlineStr">
        <is>
          <t>Ampol Retail</t>
        </is>
      </c>
      <c r="H107" s="220" t="inlineStr">
        <is>
          <t>Ampol Retail, Technology</t>
        </is>
      </c>
      <c r="I107" s="220" t="inlineStr">
        <is>
          <t>Retail</t>
        </is>
      </c>
      <c r="J107" s="220" t="inlineStr">
        <is>
          <t>Store Operations, Network &amp; QSR, Deployment</t>
        </is>
      </c>
      <c r="K107" s="306" t="inlineStr">
        <is>
          <t>Leadership</t>
        </is>
      </c>
      <c r="L107" s="306" t="n"/>
      <c r="M107" s="307" t="inlineStr">
        <is>
          <t>Australia</t>
        </is>
      </c>
      <c r="N107" s="310" t="inlineStr">
        <is>
          <t>CSB</t>
        </is>
      </c>
      <c r="O107" s="310" t="n">
        <v>1</v>
      </c>
      <c r="P107" s="310" t="n"/>
      <c r="Q107" s="329" t="inlineStr">
        <is>
          <t>Permanent - Full Time</t>
        </is>
      </c>
      <c r="R107" s="310" t="n"/>
      <c r="S107" s="310" t="n"/>
      <c r="T107" s="322" t="n">
        <v>210000</v>
      </c>
      <c r="U107" s="321" t="n">
        <v>210000</v>
      </c>
      <c r="V107" s="313" t="n">
        <v>0.14</v>
      </c>
      <c r="W107" s="953" t="n">
        <v>0.055</v>
      </c>
      <c r="X107" s="953" t="n">
        <v>0.12</v>
      </c>
      <c r="Y107" s="954" t="n"/>
      <c r="Z107" s="953" t="n">
        <v>0.04</v>
      </c>
      <c r="AA107" s="952">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849">
      <c r="A108" s="250" t="n">
        <v>115831</v>
      </c>
      <c r="B108" s="220" t="inlineStr">
        <is>
          <t>Venkat Kedharanathan</t>
        </is>
      </c>
      <c r="C108" s="305" t="inlineStr">
        <is>
          <t>Senior Business Analyst</t>
        </is>
      </c>
      <c r="D108" s="220" t="inlineStr">
        <is>
          <t>Vanessa Allen</t>
        </is>
      </c>
      <c r="E108" s="220" t="inlineStr">
        <is>
          <t>Delivery Manager, Ampol Retail</t>
        </is>
      </c>
      <c r="F108" s="220" t="inlineStr">
        <is>
          <t>Ampol Retail &amp; Z</t>
        </is>
      </c>
      <c r="G108" s="306" t="inlineStr">
        <is>
          <t>Ampol Retail</t>
        </is>
      </c>
      <c r="H108" s="220" t="inlineStr">
        <is>
          <t>Ampol Retail, Delivery</t>
        </is>
      </c>
      <c r="I108" s="220" t="inlineStr">
        <is>
          <t>Retail</t>
        </is>
      </c>
      <c r="J108" s="306" t="inlineStr">
        <is>
          <t>Store Operations</t>
        </is>
      </c>
      <c r="K108" s="220" t="inlineStr">
        <is>
          <t>Payments</t>
        </is>
      </c>
      <c r="L108" s="306" t="n"/>
      <c r="M108" s="307" t="inlineStr">
        <is>
          <t>Australia</t>
        </is>
      </c>
      <c r="N108" s="308" t="inlineStr">
        <is>
          <t>CIB</t>
        </is>
      </c>
      <c r="O108" s="308" t="n">
        <v>1</v>
      </c>
      <c r="P108" s="308" t="n"/>
      <c r="Q108" s="331" t="inlineStr">
        <is>
          <t>Permanent - Full Time</t>
        </is>
      </c>
      <c r="R108" s="310" t="n"/>
      <c r="S108" s="310" t="n"/>
      <c r="T108" s="322" t="n">
        <v>160000</v>
      </c>
      <c r="U108" s="321" t="n">
        <v>160000</v>
      </c>
      <c r="V108" s="313" t="n">
        <v>0.12</v>
      </c>
      <c r="W108" s="953" t="n">
        <v>0.055</v>
      </c>
      <c r="X108" s="953" t="n">
        <v>0.12</v>
      </c>
      <c r="Y108" s="954" t="n"/>
      <c r="Z108" s="953" t="n">
        <v>0.04</v>
      </c>
      <c r="AA108" s="952">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849">
      <c r="A109" s="250" t="n">
        <v>117167</v>
      </c>
      <c r="B109" s="220" t="inlineStr">
        <is>
          <t>Vijay Patel</t>
        </is>
      </c>
      <c r="C109" s="305" t="inlineStr">
        <is>
          <t>Systems Analyst</t>
        </is>
      </c>
      <c r="D109" s="220" t="inlineStr">
        <is>
          <t>Tracy Lee Reaper</t>
        </is>
      </c>
      <c r="E109" s="220" t="inlineStr">
        <is>
          <t>Tech Manager, Merchandising &amp; WFM</t>
        </is>
      </c>
      <c r="F109" s="220" t="inlineStr">
        <is>
          <t>Ampol Retail &amp; Z</t>
        </is>
      </c>
      <c r="G109" s="306" t="inlineStr">
        <is>
          <t>Ampol Retail</t>
        </is>
      </c>
      <c r="H109" s="220" t="inlineStr">
        <is>
          <t>Ampol Retail, Merch &amp; RTA</t>
        </is>
      </c>
      <c r="I109" s="220" t="inlineStr">
        <is>
          <t>Retail</t>
        </is>
      </c>
      <c r="J109" s="327" t="inlineStr">
        <is>
          <t>Pricing / WFM</t>
        </is>
      </c>
      <c r="K109" s="261" t="inlineStr">
        <is>
          <t>Pricing &amp; WFM</t>
        </is>
      </c>
      <c r="L109" s="306" t="n"/>
      <c r="M109" s="307" t="inlineStr">
        <is>
          <t>Australia</t>
        </is>
      </c>
      <c r="N109" s="308" t="inlineStr">
        <is>
          <t>CIB</t>
        </is>
      </c>
      <c r="O109" s="308" t="n">
        <v>1</v>
      </c>
      <c r="P109" s="308" t="n"/>
      <c r="Q109" s="331" t="inlineStr">
        <is>
          <t>Permanent - Full Time</t>
        </is>
      </c>
      <c r="R109" s="310" t="n"/>
      <c r="S109" s="310" t="n"/>
      <c r="T109" s="322" t="n">
        <v>145000</v>
      </c>
      <c r="U109" s="321" t="n">
        <v>145000</v>
      </c>
      <c r="V109" s="313" t="n">
        <v>0.12</v>
      </c>
      <c r="W109" s="953" t="n">
        <v>0.055</v>
      </c>
      <c r="X109" s="953" t="n">
        <v>0.12</v>
      </c>
      <c r="Y109" s="954" t="n"/>
      <c r="Z109" s="953" t="n">
        <v>0.04</v>
      </c>
      <c r="AA109" s="952">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849">
      <c r="A110" s="250" t="n">
        <v>104050</v>
      </c>
      <c r="B110" s="220" t="inlineStr">
        <is>
          <t>Violeta Trajkovski</t>
        </is>
      </c>
      <c r="C110" s="305" t="inlineStr">
        <is>
          <t>Deployment Coordinator</t>
        </is>
      </c>
      <c r="D110" s="220" t="inlineStr">
        <is>
          <t>Matthew Patane</t>
        </is>
      </c>
      <c r="E110" s="220" t="inlineStr">
        <is>
          <t>Release &amp; Deployment Manager</t>
        </is>
      </c>
      <c r="F110" s="220" t="inlineStr">
        <is>
          <t>Ampol Retail &amp; Z</t>
        </is>
      </c>
      <c r="G110" s="306" t="inlineStr">
        <is>
          <t>Ampol Retail</t>
        </is>
      </c>
      <c r="H110" s="220" t="inlineStr">
        <is>
          <t>Ampol Retail, Technology</t>
        </is>
      </c>
      <c r="I110" s="220" t="inlineStr">
        <is>
          <t>Retail</t>
        </is>
      </c>
      <c r="J110" s="306" t="inlineStr">
        <is>
          <t>Store Operations</t>
        </is>
      </c>
      <c r="K110" s="261" t="inlineStr">
        <is>
          <t>Deployment</t>
        </is>
      </c>
      <c r="L110" s="306" t="n"/>
      <c r="M110" s="307" t="inlineStr">
        <is>
          <t>Australia</t>
        </is>
      </c>
      <c r="N110" s="308" t="inlineStr">
        <is>
          <t>CDC</t>
        </is>
      </c>
      <c r="O110" s="308" t="n">
        <v>1</v>
      </c>
      <c r="P110" s="308" t="n"/>
      <c r="Q110" s="331" t="inlineStr">
        <is>
          <t>Permanent - Full Time</t>
        </is>
      </c>
      <c r="R110" s="310" t="n"/>
      <c r="S110" s="310" t="n"/>
      <c r="T110" s="322" t="n">
        <v>110700</v>
      </c>
      <c r="U110" s="321" t="n">
        <v>110700</v>
      </c>
      <c r="V110" s="313" t="n">
        <v>0.1</v>
      </c>
      <c r="W110" s="953" t="n">
        <v>0.055</v>
      </c>
      <c r="X110" s="953" t="n">
        <v>0.12</v>
      </c>
      <c r="Y110" s="954" t="n"/>
      <c r="Z110" s="953" t="n">
        <v>0.04</v>
      </c>
      <c r="AA110" s="952">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849">
      <c r="A111" s="250" t="inlineStr">
        <is>
          <t>C</t>
        </is>
      </c>
      <c r="B111" s="220" t="inlineStr">
        <is>
          <t>Viren Khatri</t>
        </is>
      </c>
      <c r="C111" s="305" t="inlineStr">
        <is>
          <t>Data Migration Lead</t>
        </is>
      </c>
      <c r="D111" s="306" t="inlineStr">
        <is>
          <t>Vacant</t>
        </is>
      </c>
      <c r="E111" s="220" t="inlineStr">
        <is>
          <t>Technology Manager, Data</t>
        </is>
      </c>
      <c r="F111" s="220" t="inlineStr">
        <is>
          <t>Ampol Retail &amp; Z</t>
        </is>
      </c>
      <c r="G111" s="306" t="inlineStr">
        <is>
          <t>Z &amp; Group Retail</t>
        </is>
      </c>
      <c r="H111" s="220" t="inlineStr">
        <is>
          <t>Z &amp; Group Retail, Data</t>
        </is>
      </c>
      <c r="I111" s="220" t="inlineStr">
        <is>
          <t>EGI Integration</t>
        </is>
      </c>
      <c r="J111" s="306" t="inlineStr">
        <is>
          <t>EGI</t>
        </is>
      </c>
      <c r="K111" s="220" t="inlineStr">
        <is>
          <t>EGI TDD</t>
        </is>
      </c>
      <c r="L111" s="306" t="n"/>
      <c r="M111" s="307" t="inlineStr">
        <is>
          <t>Australia</t>
        </is>
      </c>
      <c r="N111" s="310" t="inlineStr">
        <is>
          <t>NA</t>
        </is>
      </c>
      <c r="O111" s="308" t="n">
        <v>1</v>
      </c>
      <c r="P111" s="310" t="n"/>
      <c r="Q111" s="329" t="inlineStr">
        <is>
          <t>cxc</t>
        </is>
      </c>
      <c r="R111" s="319" t="inlineStr">
        <is>
          <t>Daily</t>
        </is>
      </c>
      <c r="S111" s="310" t="n">
        <v>1350</v>
      </c>
      <c r="T111" s="322" t="n">
        <v>0</v>
      </c>
      <c r="U111" s="322" t="n"/>
      <c r="V111" s="306" t="n"/>
      <c r="W111" s="306" t="n"/>
      <c r="X111" s="306" t="n"/>
      <c r="Y111" s="306" t="n"/>
      <c r="Z111" s="306" t="n"/>
      <c r="AA111" s="320">
        <f>S111*222</f>
        <v>299700.0</v>
      </c>
      <c r="AC111" t="inlineStr">
        <is>
          <t>TDD Group Functions</t>
        </is>
      </c>
      <c r="AD111" t="inlineStr">
        <is>
          <t>EGI TDD</t>
        </is>
      </c>
      <c r="AE111" t="inlineStr">
        <is>
          <t>EGI TDD</t>
        </is>
      </c>
      <c r="AF111" t="inlineStr">
        <is>
          <t>Strategic Program</t>
        </is>
      </c>
      <c r="AG111" t="inlineStr">
        <is>
          <t>Filled</t>
        </is>
      </c>
    </row>
    <row r="112" hidden="1" ht="18" customHeight="1" s="849">
      <c r="A112" s="250" t="n">
        <v>99999100977</v>
      </c>
      <c r="B112" s="220" t="inlineStr">
        <is>
          <t>Warren Grieve</t>
        </is>
      </c>
      <c r="C112" s="305" t="inlineStr">
        <is>
          <t>Senior Site Systems Analyst</t>
        </is>
      </c>
      <c r="D112" s="220" t="inlineStr">
        <is>
          <t>Callan McLaughlin</t>
        </is>
      </c>
      <c r="E112" s="220" t="inlineStr">
        <is>
          <t>Technology Manager,  Site Systems</t>
        </is>
      </c>
      <c r="F112" s="220" t="inlineStr">
        <is>
          <t>Ampol Retail &amp; Z</t>
        </is>
      </c>
      <c r="G112" s="306" t="inlineStr">
        <is>
          <t>Z &amp; Group Retail</t>
        </is>
      </c>
      <c r="H112" s="220" t="inlineStr">
        <is>
          <t>Z &amp; Group Retail, Site Systems</t>
        </is>
      </c>
      <c r="I112" s="220" t="inlineStr">
        <is>
          <t>Z</t>
        </is>
      </c>
      <c r="J112" s="306" t="inlineStr">
        <is>
          <t>Z Customer</t>
        </is>
      </c>
      <c r="K112" s="220" t="inlineStr">
        <is>
          <t>Site Systems</t>
        </is>
      </c>
      <c r="L112" s="306" t="n"/>
      <c r="M112" s="307" t="inlineStr">
        <is>
          <t>NZ</t>
        </is>
      </c>
      <c r="N112" s="308" t="inlineStr">
        <is>
          <t>CIA</t>
        </is>
      </c>
      <c r="O112" s="309" t="n">
        <v>1</v>
      </c>
      <c r="P112" s="308" t="n"/>
      <c r="Q112" s="333" t="inlineStr">
        <is>
          <t>Permanent - Full Time</t>
        </is>
      </c>
      <c r="R112" s="310" t="n"/>
      <c r="S112" s="310" t="n"/>
      <c r="T112" s="322" t="n">
        <v>116710</v>
      </c>
      <c r="U112" s="321" t="n">
        <v>107373.2</v>
      </c>
      <c r="V112" s="312" t="n">
        <v>0.15</v>
      </c>
      <c r="W112" s="310" t="n"/>
      <c r="X112" s="313" t="n">
        <v>0.05</v>
      </c>
      <c r="Y112" s="951" t="n">
        <v>2910</v>
      </c>
      <c r="Z112" s="313" t="n">
        <v>0.03</v>
      </c>
      <c r="AA112" s="952">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849">
      <c r="A113" s="250" t="n">
        <v>114990</v>
      </c>
      <c r="B113" s="220" t="inlineStr">
        <is>
          <t>Zhan Zhang</t>
        </is>
      </c>
      <c r="C113" s="305" t="inlineStr">
        <is>
          <t>Solution Architect</t>
        </is>
      </c>
      <c r="D113" s="220" t="inlineStr">
        <is>
          <t>Vedran Jukic</t>
        </is>
      </c>
      <c r="E113" s="220" t="inlineStr">
        <is>
          <t>Technology Manager, Retail</t>
        </is>
      </c>
      <c r="F113" s="220" t="inlineStr">
        <is>
          <t>Ampol Retail &amp; Z</t>
        </is>
      </c>
      <c r="G113" s="306" t="inlineStr">
        <is>
          <t>Ampol Retail</t>
        </is>
      </c>
      <c r="H113" s="220" t="inlineStr">
        <is>
          <t>Ampol Retail, Technology</t>
        </is>
      </c>
      <c r="I113" s="220" t="inlineStr">
        <is>
          <t>Retail</t>
        </is>
      </c>
      <c r="J113" s="306" t="inlineStr">
        <is>
          <t>Merch / Supply Chain</t>
        </is>
      </c>
      <c r="K113" s="220" t="inlineStr">
        <is>
          <t>Merchandising &amp; Supply Chain</t>
        </is>
      </c>
      <c r="L113" s="306" t="n"/>
      <c r="M113" s="307" t="inlineStr">
        <is>
          <t>Australia</t>
        </is>
      </c>
      <c r="N113" s="308" t="inlineStr">
        <is>
          <t>CIC</t>
        </is>
      </c>
      <c r="O113" s="308" t="n">
        <v>1</v>
      </c>
      <c r="P113" s="308" t="n"/>
      <c r="Q113" s="331" t="inlineStr">
        <is>
          <t>Permanent - Full Time</t>
        </is>
      </c>
      <c r="R113" s="310" t="n"/>
      <c r="S113" s="310" t="n"/>
      <c r="T113" s="322" t="n">
        <v>182500</v>
      </c>
      <c r="U113" s="321" t="n">
        <v>182500</v>
      </c>
      <c r="V113" s="313" t="n">
        <v>0.12</v>
      </c>
      <c r="W113" s="953" t="n">
        <v>0.055</v>
      </c>
      <c r="X113" s="953" t="n">
        <v>0.12</v>
      </c>
      <c r="Y113" s="954" t="n"/>
      <c r="Z113" s="953" t="n">
        <v>0.04</v>
      </c>
      <c r="AA113" s="952">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849">
      <c r="A114" s="250" t="n">
        <v>114829</v>
      </c>
      <c r="B114" s="220" t="inlineStr">
        <is>
          <t>Zuan Zheng</t>
        </is>
      </c>
      <c r="C114" s="305" t="inlineStr">
        <is>
          <t>Systems Analyst</t>
        </is>
      </c>
      <c r="D114" s="220" t="inlineStr">
        <is>
          <t>Tracy Lee Reaper</t>
        </is>
      </c>
      <c r="E114" s="220" t="inlineStr">
        <is>
          <t>Tech Manager, Merchandising &amp; WFM</t>
        </is>
      </c>
      <c r="F114" s="220" t="inlineStr">
        <is>
          <t>Ampol Retail &amp; Z</t>
        </is>
      </c>
      <c r="G114" s="306" t="inlineStr">
        <is>
          <t>Ampol Retail</t>
        </is>
      </c>
      <c r="H114" s="220" t="inlineStr">
        <is>
          <t>Ampol Retail, Merch &amp; RTA</t>
        </is>
      </c>
      <c r="I114" s="220" t="inlineStr">
        <is>
          <t>Retail</t>
        </is>
      </c>
      <c r="J114" s="306" t="inlineStr">
        <is>
          <t>Merch / Supply Chain</t>
        </is>
      </c>
      <c r="K114" s="220" t="inlineStr">
        <is>
          <t>Merchandising &amp; Supply Chain</t>
        </is>
      </c>
      <c r="L114" s="306" t="n"/>
      <c r="M114" s="307" t="inlineStr">
        <is>
          <t>Singapore</t>
        </is>
      </c>
      <c r="N114" s="308" t="inlineStr">
        <is>
          <t>CIB</t>
        </is>
      </c>
      <c r="O114" s="308" t="n">
        <v>1</v>
      </c>
      <c r="P114" s="308" t="n"/>
      <c r="Q114" s="331" t="inlineStr">
        <is>
          <t>Permanent - Full Time</t>
        </is>
      </c>
      <c r="R114" s="310" t="n"/>
      <c r="S114" s="310" t="n"/>
      <c r="T114" s="322" t="n">
        <v>133000</v>
      </c>
      <c r="U114" s="321" t="n">
        <v>160930</v>
      </c>
      <c r="V114" s="313" t="n">
        <v>0.25</v>
      </c>
      <c r="W114" s="310" t="n"/>
      <c r="X114" s="313" t="n">
        <v>0.17</v>
      </c>
      <c r="Y114" s="951" t="n">
        <v>3310</v>
      </c>
      <c r="Z114" s="335" t="n">
        <v>0.045</v>
      </c>
      <c r="AA114" s="952">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849">
      <c r="A115" s="250" t="n">
        <v>113463</v>
      </c>
      <c r="B115" s="220" t="inlineStr">
        <is>
          <t>Alisha Allport</t>
        </is>
      </c>
      <c r="C115" s="305" t="inlineStr">
        <is>
          <t>Principal Experience Designer</t>
        </is>
      </c>
      <c r="D115" s="220" t="inlineStr">
        <is>
          <t>Byron Thornhill</t>
        </is>
      </c>
      <c r="E115" s="220" t="inlineStr">
        <is>
          <t>Design Manager</t>
        </is>
      </c>
      <c r="F115" s="220" t="inlineStr">
        <is>
          <t>Customer</t>
        </is>
      </c>
      <c r="G115" s="306" t="inlineStr">
        <is>
          <t>Digital</t>
        </is>
      </c>
      <c r="H115" s="306" t="inlineStr">
        <is>
          <t>Digital, Design</t>
        </is>
      </c>
      <c r="I115" s="306" t="inlineStr">
        <is>
          <t>Customer</t>
        </is>
      </c>
      <c r="J115" s="220" t="inlineStr">
        <is>
          <t>Ampol Digital</t>
        </is>
      </c>
      <c r="K115" s="220" t="inlineStr">
        <is>
          <t>Ampol App</t>
        </is>
      </c>
      <c r="L115" s="306" t="n"/>
      <c r="M115" s="307" t="inlineStr">
        <is>
          <t>Australia</t>
        </is>
      </c>
      <c r="N115" s="308" t="inlineStr">
        <is>
          <t>CIC</t>
        </is>
      </c>
      <c r="O115" s="308" t="n">
        <v>1</v>
      </c>
      <c r="P115" s="308" t="n"/>
      <c r="Q115" s="331" t="inlineStr">
        <is>
          <t>Permanent - Full Time</t>
        </is>
      </c>
      <c r="R115" s="310" t="n"/>
      <c r="S115" s="310" t="n"/>
      <c r="T115" s="322" t="n">
        <v>176280</v>
      </c>
      <c r="U115" s="321" t="n">
        <v>176280</v>
      </c>
      <c r="V115" s="313" t="n">
        <v>0.12</v>
      </c>
      <c r="W115" s="953" t="n">
        <v>0.055</v>
      </c>
      <c r="X115" s="953" t="n">
        <v>0.12</v>
      </c>
      <c r="Y115" s="954" t="n"/>
      <c r="Z115" s="953" t="n">
        <v>0.04</v>
      </c>
      <c r="AA115" s="952">
        <f>U115*(1+V115+W115+X115+Y115+Z115)</f>
        <v>235333.8</v>
      </c>
      <c r="AC115" t="inlineStr">
        <is>
          <t>Customer</t>
        </is>
      </c>
      <c r="AD115" t="inlineStr">
        <is>
          <t>Ampol Digital</t>
        </is>
      </c>
      <c r="AE115" t="inlineStr">
        <is>
          <t>Ampol App</t>
        </is>
      </c>
      <c r="AF115" t="inlineStr">
        <is>
          <t>Squad</t>
        </is>
      </c>
      <c r="AG115" t="inlineStr">
        <is>
          <t>Filled</t>
        </is>
      </c>
    </row>
    <row r="116" hidden="1" ht="18" customHeight="1" s="849">
      <c r="A116" s="250" t="inlineStr">
        <is>
          <t>C</t>
        </is>
      </c>
      <c r="B116" s="220" t="inlineStr">
        <is>
          <t>Annabel Phu</t>
        </is>
      </c>
      <c r="C116" s="305" t="inlineStr">
        <is>
          <t>Engineer - Mobile</t>
        </is>
      </c>
      <c r="D116" s="220" t="inlineStr">
        <is>
          <t>Mitesh Shah</t>
        </is>
      </c>
      <c r="E116" s="220" t="inlineStr">
        <is>
          <t>Technology Manager, Digitial</t>
        </is>
      </c>
      <c r="F116" s="220" t="inlineStr">
        <is>
          <t>Customer</t>
        </is>
      </c>
      <c r="G116" s="306" t="inlineStr">
        <is>
          <t>Digital</t>
        </is>
      </c>
      <c r="H116" s="220" t="inlineStr">
        <is>
          <t>Digital, Tech</t>
        </is>
      </c>
      <c r="I116" s="306" t="inlineStr">
        <is>
          <t>Customer</t>
        </is>
      </c>
      <c r="J116" s="220" t="inlineStr">
        <is>
          <t>Ampol Digital</t>
        </is>
      </c>
      <c r="K116" s="220" t="inlineStr">
        <is>
          <t>Ampol App</t>
        </is>
      </c>
      <c r="L116" s="306" t="n"/>
      <c r="M116" s="307" t="inlineStr">
        <is>
          <t>Australia</t>
        </is>
      </c>
      <c r="N116" s="310" t="inlineStr">
        <is>
          <t>NA</t>
        </is>
      </c>
      <c r="O116" s="308" t="n">
        <v>1</v>
      </c>
      <c r="P116" s="310" t="n"/>
      <c r="Q116" s="336" t="inlineStr">
        <is>
          <t>Contractor</t>
        </is>
      </c>
      <c r="R116" s="319" t="inlineStr">
        <is>
          <t>?</t>
        </is>
      </c>
      <c r="S116" s="337" t="n">
        <v>1200</v>
      </c>
      <c r="T116" s="322" t="n">
        <v>0</v>
      </c>
      <c r="U116" s="322" t="n"/>
      <c r="V116" s="306" t="n"/>
      <c r="W116" s="306" t="n"/>
      <c r="X116" s="306" t="n"/>
      <c r="Y116" s="306" t="n"/>
      <c r="Z116" s="306" t="n"/>
      <c r="AA116" s="320">
        <f>S116*222</f>
        <v>266400.0</v>
      </c>
      <c r="AC116" t="inlineStr">
        <is>
          <t>Customer</t>
        </is>
      </c>
      <c r="AD116" t="inlineStr">
        <is>
          <t>Ampol Digital</t>
        </is>
      </c>
      <c r="AE116" t="inlineStr">
        <is>
          <t>Ampol App</t>
        </is>
      </c>
      <c r="AF116" t="inlineStr">
        <is>
          <t>Squad</t>
        </is>
      </c>
      <c r="AG116" t="inlineStr">
        <is>
          <t>Filled</t>
        </is>
      </c>
    </row>
    <row r="117" hidden="1" ht="18" customHeight="1" s="849">
      <c r="A117" s="250" t="inlineStr">
        <is>
          <t>C</t>
        </is>
      </c>
      <c r="B117" s="220" t="inlineStr">
        <is>
          <t>Anup Antony</t>
        </is>
      </c>
      <c r="C117" s="305" t="inlineStr">
        <is>
          <t>Engineer - BE</t>
        </is>
      </c>
      <c r="D117" s="220" t="inlineStr">
        <is>
          <t>Vacant</t>
        </is>
      </c>
      <c r="E117" s="220" t="inlineStr">
        <is>
          <t>Technology Manager, Digital Engineering</t>
        </is>
      </c>
      <c r="F117" s="220" t="inlineStr">
        <is>
          <t>Customer</t>
        </is>
      </c>
      <c r="G117" s="306" t="inlineStr">
        <is>
          <t>Digital</t>
        </is>
      </c>
      <c r="H117" s="306" t="inlineStr">
        <is>
          <t>Tech, Digital Engineering</t>
        </is>
      </c>
      <c r="I117" s="306" t="inlineStr">
        <is>
          <t>Customer</t>
        </is>
      </c>
      <c r="J117" s="220" t="inlineStr">
        <is>
          <t>Ampol Digital</t>
        </is>
      </c>
      <c r="K117" s="220" t="inlineStr">
        <is>
          <t>Ampol App</t>
        </is>
      </c>
      <c r="L117" s="306" t="n"/>
      <c r="M117" s="307" t="inlineStr">
        <is>
          <t>Australia</t>
        </is>
      </c>
      <c r="N117" s="310" t="inlineStr">
        <is>
          <t>NA</t>
        </is>
      </c>
      <c r="O117" s="308" t="n">
        <v>1</v>
      </c>
      <c r="P117" s="310" t="n"/>
      <c r="Q117" s="329" t="inlineStr">
        <is>
          <t>cxc</t>
        </is>
      </c>
      <c r="R117" s="319" t="inlineStr">
        <is>
          <t>Daily</t>
        </is>
      </c>
      <c r="S117" s="310" t="n">
        <v>1064.26</v>
      </c>
      <c r="T117" s="322" t="n">
        <v>0</v>
      </c>
      <c r="U117" s="322" t="n"/>
      <c r="V117" s="306" t="n"/>
      <c r="W117" s="306" t="n"/>
      <c r="X117" s="306" t="n"/>
      <c r="Y117" s="306" t="n"/>
      <c r="Z117" s="306" t="n"/>
      <c r="AA117" s="320">
        <f>S117*222</f>
        <v>236265.72</v>
      </c>
      <c r="AC117" t="inlineStr">
        <is>
          <t>Customer</t>
        </is>
      </c>
      <c r="AD117" t="inlineStr">
        <is>
          <t>Ampol Digital</t>
        </is>
      </c>
      <c r="AE117" t="inlineStr">
        <is>
          <t>Ampol App</t>
        </is>
      </c>
      <c r="AF117" t="inlineStr">
        <is>
          <t>Squad</t>
        </is>
      </c>
      <c r="AG117" t="inlineStr">
        <is>
          <t>Filled</t>
        </is>
      </c>
    </row>
    <row r="118" hidden="1" ht="18" customHeight="1" s="849">
      <c r="A118" s="250" t="n">
        <v>108287</v>
      </c>
      <c r="B118" s="220" t="inlineStr">
        <is>
          <t>Binumon Mathai</t>
        </is>
      </c>
      <c r="C118" s="305" t="inlineStr">
        <is>
          <t>Senior Quality Assurance</t>
        </is>
      </c>
      <c r="D118" s="220" t="inlineStr">
        <is>
          <t>Mitesh Shah</t>
        </is>
      </c>
      <c r="E118" s="220" t="inlineStr">
        <is>
          <t>Technology Manager, Digitial</t>
        </is>
      </c>
      <c r="F118" s="220" t="inlineStr">
        <is>
          <t>Customer</t>
        </is>
      </c>
      <c r="G118" s="306" t="inlineStr">
        <is>
          <t>Digital</t>
        </is>
      </c>
      <c r="H118" s="220" t="inlineStr">
        <is>
          <t>Digital, Tech</t>
        </is>
      </c>
      <c r="I118" s="306" t="inlineStr">
        <is>
          <t>Customer</t>
        </is>
      </c>
      <c r="J118" s="220" t="inlineStr">
        <is>
          <t>Ampol Digital</t>
        </is>
      </c>
      <c r="K118" s="220" t="inlineStr">
        <is>
          <t>Ampol App</t>
        </is>
      </c>
      <c r="L118" s="306" t="n"/>
      <c r="M118" s="307" t="inlineStr">
        <is>
          <t>Australia</t>
        </is>
      </c>
      <c r="N118" s="308" t="inlineStr">
        <is>
          <t>CIB</t>
        </is>
      </c>
      <c r="O118" s="308" t="n">
        <v>1</v>
      </c>
      <c r="P118" s="308" t="n"/>
      <c r="Q118" s="331" t="inlineStr">
        <is>
          <t>Permanent - Full Time</t>
        </is>
      </c>
      <c r="R118" s="310" t="n"/>
      <c r="S118" s="310" t="n"/>
      <c r="T118" s="322" t="n">
        <v>163310</v>
      </c>
      <c r="U118" s="321" t="n">
        <v>163310</v>
      </c>
      <c r="V118" s="313" t="n">
        <v>0.12</v>
      </c>
      <c r="W118" s="953" t="n">
        <v>0.055</v>
      </c>
      <c r="X118" s="953" t="n">
        <v>0.12</v>
      </c>
      <c r="Y118" s="954" t="n"/>
      <c r="Z118" s="953" t="n">
        <v>0.04</v>
      </c>
      <c r="AA118" s="952">
        <f>U118*(1+V118+W118+X118+Y118+Z118)</f>
        <v>218018.85</v>
      </c>
      <c r="AC118" t="inlineStr">
        <is>
          <t>Customer</t>
        </is>
      </c>
      <c r="AD118" t="inlineStr">
        <is>
          <t>Ampol Digital</t>
        </is>
      </c>
      <c r="AE118" t="inlineStr">
        <is>
          <t>Ampol App</t>
        </is>
      </c>
      <c r="AF118" t="inlineStr">
        <is>
          <t>Squad</t>
        </is>
      </c>
      <c r="AG118" t="inlineStr">
        <is>
          <t>Filled</t>
        </is>
      </c>
    </row>
    <row r="119" hidden="1" ht="18" customHeight="1" s="849">
      <c r="A119" s="250" t="n">
        <v>114411</v>
      </c>
      <c r="B119" s="220" t="inlineStr">
        <is>
          <t>Edwin Justin</t>
        </is>
      </c>
      <c r="C119" s="305" t="inlineStr">
        <is>
          <t>Senior Engineer - BE</t>
        </is>
      </c>
      <c r="D119" s="220" t="inlineStr">
        <is>
          <t>Khalid Mahmud</t>
        </is>
      </c>
      <c r="E119" s="220" t="inlineStr">
        <is>
          <t>Lead Engineer - BE</t>
        </is>
      </c>
      <c r="F119" s="220" t="inlineStr">
        <is>
          <t>Customer</t>
        </is>
      </c>
      <c r="G119" s="306" t="inlineStr">
        <is>
          <t>Digital</t>
        </is>
      </c>
      <c r="H119" s="306" t="inlineStr">
        <is>
          <t>Tech, Digital Engineering</t>
        </is>
      </c>
      <c r="I119" s="306" t="inlineStr">
        <is>
          <t>Customer</t>
        </is>
      </c>
      <c r="J119" s="220" t="inlineStr">
        <is>
          <t>Ampol Digital</t>
        </is>
      </c>
      <c r="K119" s="220" t="inlineStr">
        <is>
          <t>Ampol App</t>
        </is>
      </c>
      <c r="L119" s="306" t="n"/>
      <c r="M119" s="307" t="inlineStr">
        <is>
          <t>Australia</t>
        </is>
      </c>
      <c r="N119" s="308" t="inlineStr">
        <is>
          <t>CIB</t>
        </is>
      </c>
      <c r="O119" s="308" t="n">
        <v>1</v>
      </c>
      <c r="P119" s="308" t="n"/>
      <c r="Q119" s="331" t="inlineStr">
        <is>
          <t>Permanent - Full Time</t>
        </is>
      </c>
      <c r="R119" s="310" t="n"/>
      <c r="S119" s="310" t="n"/>
      <c r="T119" s="322" t="n">
        <v>161830</v>
      </c>
      <c r="U119" s="321" t="n">
        <v>161830</v>
      </c>
      <c r="V119" s="313" t="n">
        <v>0.12</v>
      </c>
      <c r="W119" s="953" t="n">
        <v>0.055</v>
      </c>
      <c r="X119" s="953" t="n">
        <v>0.12</v>
      </c>
      <c r="Y119" s="954" t="n"/>
      <c r="Z119" s="953" t="n">
        <v>0.04</v>
      </c>
      <c r="AA119" s="952">
        <f>U119*(1+V119+W119+X119+Y119+Z119)</f>
        <v>216043.05</v>
      </c>
      <c r="AC119" t="inlineStr">
        <is>
          <t>Customer</t>
        </is>
      </c>
      <c r="AD119" t="inlineStr">
        <is>
          <t>Ampol Digital</t>
        </is>
      </c>
      <c r="AE119" t="inlineStr">
        <is>
          <t>Ampol App</t>
        </is>
      </c>
      <c r="AF119" t="inlineStr">
        <is>
          <t>Squad</t>
        </is>
      </c>
      <c r="AG119" t="inlineStr">
        <is>
          <t>Filled</t>
        </is>
      </c>
    </row>
    <row r="120" hidden="1" ht="18" customHeight="1" s="849">
      <c r="A120" s="250" t="n">
        <v>98015</v>
      </c>
      <c r="B120" s="220" t="inlineStr">
        <is>
          <t>Ethan Laffan</t>
        </is>
      </c>
      <c r="C120" s="305" t="inlineStr">
        <is>
          <t>Associate Experience Designer</t>
        </is>
      </c>
      <c r="D120" s="220" t="inlineStr">
        <is>
          <t>Byron Thornhill</t>
        </is>
      </c>
      <c r="E120" s="220" t="inlineStr">
        <is>
          <t>Design Manager</t>
        </is>
      </c>
      <c r="F120" s="220" t="inlineStr">
        <is>
          <t>Customer</t>
        </is>
      </c>
      <c r="G120" s="306" t="inlineStr">
        <is>
          <t>Digital</t>
        </is>
      </c>
      <c r="H120" s="306" t="inlineStr">
        <is>
          <t>Digital, Design</t>
        </is>
      </c>
      <c r="I120" s="220" t="inlineStr">
        <is>
          <t>Customer</t>
        </is>
      </c>
      <c r="J120" s="220" t="inlineStr">
        <is>
          <t>Ampol Digital</t>
        </is>
      </c>
      <c r="K120" s="220" t="inlineStr">
        <is>
          <t>Ampol App</t>
        </is>
      </c>
      <c r="L120" s="306" t="n"/>
      <c r="M120" s="307" t="inlineStr">
        <is>
          <t>Australia</t>
        </is>
      </c>
      <c r="N120" s="308" t="inlineStr">
        <is>
          <t>CDC</t>
        </is>
      </c>
      <c r="O120" s="308" t="n">
        <v>1</v>
      </c>
      <c r="P120" s="308" t="n"/>
      <c r="Q120" s="331" t="inlineStr">
        <is>
          <t>Permanent - Full Time</t>
        </is>
      </c>
      <c r="R120" s="310" t="n"/>
      <c r="S120" s="310" t="n"/>
      <c r="T120" s="322" t="n">
        <v>111380</v>
      </c>
      <c r="U120" s="321" t="n">
        <v>111380</v>
      </c>
      <c r="V120" s="313" t="n">
        <v>0.1</v>
      </c>
      <c r="W120" s="953" t="n">
        <v>0.055</v>
      </c>
      <c r="X120" s="953" t="n">
        <v>0.12</v>
      </c>
      <c r="Y120" s="954" t="n"/>
      <c r="Z120" s="953" t="n">
        <v>0.04</v>
      </c>
      <c r="AA120" s="952">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849">
      <c r="A121" s="250" t="n">
        <v>97634</v>
      </c>
      <c r="B121" s="220" t="inlineStr">
        <is>
          <t>Khalid Mahmud</t>
        </is>
      </c>
      <c r="C121" s="305" t="inlineStr">
        <is>
          <t>Lead Engineer - BE</t>
        </is>
      </c>
      <c r="D121" s="220" t="inlineStr">
        <is>
          <t>Vacant</t>
        </is>
      </c>
      <c r="E121" s="220" t="inlineStr">
        <is>
          <t>Technology Manager, Digital Engineering</t>
        </is>
      </c>
      <c r="F121" s="220" t="inlineStr">
        <is>
          <t>Customer</t>
        </is>
      </c>
      <c r="G121" s="306" t="inlineStr">
        <is>
          <t>Digital</t>
        </is>
      </c>
      <c r="H121" s="306" t="inlineStr">
        <is>
          <t>Tech, Digital Engineering</t>
        </is>
      </c>
      <c r="I121" s="306" t="inlineStr">
        <is>
          <t>Customer</t>
        </is>
      </c>
      <c r="J121" s="220" t="inlineStr">
        <is>
          <t>Ampol Digital</t>
        </is>
      </c>
      <c r="K121" s="220" t="inlineStr">
        <is>
          <t>Ampol App</t>
        </is>
      </c>
      <c r="L121" s="306" t="n"/>
      <c r="M121" s="307" t="inlineStr">
        <is>
          <t>Australia</t>
        </is>
      </c>
      <c r="N121" s="308" t="inlineStr">
        <is>
          <t>CIC</t>
        </is>
      </c>
      <c r="O121" s="308" t="n">
        <v>1</v>
      </c>
      <c r="P121" s="308" t="n"/>
      <c r="Q121" s="331" t="inlineStr">
        <is>
          <t>Permanent - Full Time</t>
        </is>
      </c>
      <c r="R121" s="310" t="n"/>
      <c r="S121" s="310" t="n"/>
      <c r="T121" s="322" t="n">
        <v>194910</v>
      </c>
      <c r="U121" s="321" t="n">
        <v>194910</v>
      </c>
      <c r="V121" s="313" t="n">
        <v>0.12</v>
      </c>
      <c r="W121" s="953" t="n">
        <v>0.055</v>
      </c>
      <c r="X121" s="953" t="n">
        <v>0.12</v>
      </c>
      <c r="Y121" s="954" t="n"/>
      <c r="Z121" s="953" t="n">
        <v>0.04</v>
      </c>
      <c r="AA121" s="952">
        <f>U121*(1+V121+W121+X121+Y121+Z121)</f>
        <v>260204.85</v>
      </c>
      <c r="AC121" t="inlineStr">
        <is>
          <t>Customer</t>
        </is>
      </c>
      <c r="AD121" t="inlineStr">
        <is>
          <t>Ampol Digital</t>
        </is>
      </c>
      <c r="AE121" t="inlineStr">
        <is>
          <t>Ampol App</t>
        </is>
      </c>
      <c r="AF121" t="inlineStr">
        <is>
          <t>Squad</t>
        </is>
      </c>
      <c r="AG121" t="inlineStr">
        <is>
          <t>Filled</t>
        </is>
      </c>
    </row>
    <row r="122" hidden="1" ht="18" customHeight="1" s="849">
      <c r="A122" s="250" t="n">
        <v>116714</v>
      </c>
      <c r="B122" s="220" t="inlineStr">
        <is>
          <t>Maria Salman</t>
        </is>
      </c>
      <c r="C122" s="305" t="inlineStr">
        <is>
          <t>Experience Designer</t>
        </is>
      </c>
      <c r="D122" s="220" t="inlineStr">
        <is>
          <t>Byron Thornhill</t>
        </is>
      </c>
      <c r="E122" s="220" t="inlineStr">
        <is>
          <t>Design Manager</t>
        </is>
      </c>
      <c r="F122" s="220" t="inlineStr">
        <is>
          <t>Customer</t>
        </is>
      </c>
      <c r="G122" s="306" t="inlineStr">
        <is>
          <t>Digital</t>
        </is>
      </c>
      <c r="H122" s="306" t="inlineStr">
        <is>
          <t>Digital, Design</t>
        </is>
      </c>
      <c r="I122" s="306" t="inlineStr">
        <is>
          <t>Customer</t>
        </is>
      </c>
      <c r="J122" s="220" t="inlineStr">
        <is>
          <t>Ampol Digital</t>
        </is>
      </c>
      <c r="K122" s="220" t="inlineStr">
        <is>
          <t>Ampol App</t>
        </is>
      </c>
      <c r="L122" s="306" t="n"/>
      <c r="M122" s="307" t="inlineStr">
        <is>
          <t>Australia</t>
        </is>
      </c>
      <c r="N122" s="308" t="inlineStr">
        <is>
          <t>CIC</t>
        </is>
      </c>
      <c r="O122" s="308" t="n">
        <v>1</v>
      </c>
      <c r="P122" s="308" t="n"/>
      <c r="Q122" s="331" t="inlineStr">
        <is>
          <t>Temporary - Full Time</t>
        </is>
      </c>
      <c r="R122" s="310" t="n"/>
      <c r="S122" s="310" t="n"/>
      <c r="T122" s="322" t="n">
        <v>150000</v>
      </c>
      <c r="U122" s="321" t="n">
        <v>150000</v>
      </c>
      <c r="V122" s="313" t="n">
        <v>0.12</v>
      </c>
      <c r="W122" s="953" t="n">
        <v>0.055</v>
      </c>
      <c r="X122" s="953" t="n">
        <v>0.12</v>
      </c>
      <c r="Y122" s="954" t="n"/>
      <c r="Z122" s="953" t="n">
        <v>0.04</v>
      </c>
      <c r="AA122" s="952">
        <f>U122*(1+V122+W122+X122+Y122+Z122)</f>
        <v>200250.0</v>
      </c>
      <c r="AC122" t="inlineStr">
        <is>
          <t>Customer</t>
        </is>
      </c>
      <c r="AD122" t="inlineStr">
        <is>
          <t>Ampol Digital</t>
        </is>
      </c>
      <c r="AE122" t="inlineStr">
        <is>
          <t>Ampol App</t>
        </is>
      </c>
      <c r="AF122" t="inlineStr">
        <is>
          <t>Squad</t>
        </is>
      </c>
      <c r="AG122" t="inlineStr">
        <is>
          <t>Filled</t>
        </is>
      </c>
    </row>
    <row r="123" hidden="1" ht="18" customHeight="1" s="849">
      <c r="A123" s="250" t="n">
        <v>94663</v>
      </c>
      <c r="B123" s="220" t="inlineStr">
        <is>
          <t>Penny Pennisi</t>
        </is>
      </c>
      <c r="C123" s="305" t="inlineStr">
        <is>
          <t>Delivery Lead</t>
        </is>
      </c>
      <c r="D123" s="306" t="inlineStr">
        <is>
          <t>Vacant</t>
        </is>
      </c>
      <c r="E123" s="220" t="inlineStr">
        <is>
          <t>Delivery Manager, Digital</t>
        </is>
      </c>
      <c r="F123" s="220" t="inlineStr">
        <is>
          <t>Customer</t>
        </is>
      </c>
      <c r="G123" s="306" t="inlineStr">
        <is>
          <t>Digital</t>
        </is>
      </c>
      <c r="H123" s="306" t="inlineStr">
        <is>
          <t>Digital, Delivery</t>
        </is>
      </c>
      <c r="I123" s="306" t="inlineStr">
        <is>
          <t>Customer</t>
        </is>
      </c>
      <c r="J123" s="220" t="inlineStr">
        <is>
          <t>Ampol Digital</t>
        </is>
      </c>
      <c r="K123" s="220" t="inlineStr">
        <is>
          <t>Ampol App</t>
        </is>
      </c>
      <c r="L123" s="306" t="n"/>
      <c r="M123" s="307" t="inlineStr">
        <is>
          <t>Australia</t>
        </is>
      </c>
      <c r="N123" s="308" t="inlineStr">
        <is>
          <t>CIC</t>
        </is>
      </c>
      <c r="O123" s="308" t="n">
        <v>1</v>
      </c>
      <c r="P123" s="308" t="n"/>
      <c r="Q123" s="331" t="inlineStr">
        <is>
          <t>Permanent - Full Time</t>
        </is>
      </c>
      <c r="R123" s="310" t="n"/>
      <c r="S123" s="310" t="n"/>
      <c r="T123" s="322" t="n">
        <v>190980</v>
      </c>
      <c r="U123" s="321" t="n">
        <v>190980</v>
      </c>
      <c r="V123" s="313" t="n">
        <v>0.12</v>
      </c>
      <c r="W123" s="953" t="n">
        <v>0.055</v>
      </c>
      <c r="X123" s="953" t="n">
        <v>0.12</v>
      </c>
      <c r="Y123" s="954" t="n"/>
      <c r="Z123" s="953" t="n">
        <v>0.04</v>
      </c>
      <c r="AA123" s="952">
        <f>U123*(1+V123+W123+X123+Y123+Z123)</f>
        <v>254958.3</v>
      </c>
      <c r="AC123" t="inlineStr">
        <is>
          <t>Customer</t>
        </is>
      </c>
      <c r="AD123" t="inlineStr">
        <is>
          <t>Ampol Digital</t>
        </is>
      </c>
      <c r="AE123" t="inlineStr">
        <is>
          <t>Ampol App</t>
        </is>
      </c>
      <c r="AF123" t="inlineStr">
        <is>
          <t>Squad</t>
        </is>
      </c>
      <c r="AG123" t="inlineStr">
        <is>
          <t>Filled</t>
        </is>
      </c>
    </row>
    <row r="124" hidden="1" ht="18" customHeight="1" s="849">
      <c r="A124" s="250" t="inlineStr">
        <is>
          <t>C</t>
        </is>
      </c>
      <c r="B124" s="220" t="inlineStr">
        <is>
          <t>Peter Lee</t>
        </is>
      </c>
      <c r="C124" s="305" t="inlineStr">
        <is>
          <t>Snr Business Analyst</t>
        </is>
      </c>
      <c r="D124" s="306" t="inlineStr">
        <is>
          <t>Vacant</t>
        </is>
      </c>
      <c r="E124" s="220" t="inlineStr">
        <is>
          <t>Delivery Manager, Digital</t>
        </is>
      </c>
      <c r="F124" s="220" t="inlineStr">
        <is>
          <t>Customer</t>
        </is>
      </c>
      <c r="G124" s="306" t="inlineStr">
        <is>
          <t>Digital</t>
        </is>
      </c>
      <c r="H124" s="306" t="inlineStr">
        <is>
          <t>Digital, Delivery</t>
        </is>
      </c>
      <c r="I124" s="306" t="inlineStr">
        <is>
          <t>Customer</t>
        </is>
      </c>
      <c r="J124" s="220" t="inlineStr">
        <is>
          <t>Ampol Digital</t>
        </is>
      </c>
      <c r="K124" s="220" t="inlineStr">
        <is>
          <t>Ampol App</t>
        </is>
      </c>
      <c r="L124" s="306" t="n"/>
      <c r="M124" s="307" t="inlineStr">
        <is>
          <t>Australia</t>
        </is>
      </c>
      <c r="N124" s="310" t="inlineStr">
        <is>
          <t>NA</t>
        </is>
      </c>
      <c r="O124" s="308" t="n">
        <v>1</v>
      </c>
      <c r="P124" s="310" t="n"/>
      <c r="Q124" s="336" t="inlineStr">
        <is>
          <t>Contractor</t>
        </is>
      </c>
      <c r="R124" s="319" t="inlineStr">
        <is>
          <t>?</t>
        </is>
      </c>
      <c r="S124" s="337" t="n">
        <v>1200</v>
      </c>
      <c r="T124" s="322" t="n">
        <v>0</v>
      </c>
      <c r="U124" s="322" t="n"/>
      <c r="V124" s="306" t="n"/>
      <c r="W124" s="306" t="n"/>
      <c r="X124" s="306" t="n"/>
      <c r="Y124" s="306" t="n"/>
      <c r="Z124" s="306" t="n"/>
      <c r="AA124" s="320">
        <f>S124*222</f>
        <v>266400.0</v>
      </c>
      <c r="AC124" t="inlineStr">
        <is>
          <t>Customer</t>
        </is>
      </c>
      <c r="AD124" t="inlineStr">
        <is>
          <t>Ampol Digital</t>
        </is>
      </c>
      <c r="AE124" t="inlineStr">
        <is>
          <t>Ampol App</t>
        </is>
      </c>
      <c r="AF124" t="inlineStr">
        <is>
          <t>Squad</t>
        </is>
      </c>
      <c r="AG124" t="inlineStr">
        <is>
          <t>Filled</t>
        </is>
      </c>
    </row>
    <row r="125" hidden="1" ht="18" customHeight="1" s="849">
      <c r="A125" s="250" t="inlineStr">
        <is>
          <t>C</t>
        </is>
      </c>
      <c r="B125" s="220" t="inlineStr">
        <is>
          <t>Phillip Kewley</t>
        </is>
      </c>
      <c r="C125" s="305" t="inlineStr">
        <is>
          <t>Quality Assurance</t>
        </is>
      </c>
      <c r="D125" s="220" t="inlineStr">
        <is>
          <t>Mitesh Shah</t>
        </is>
      </c>
      <c r="E125" s="220" t="inlineStr">
        <is>
          <t>Technology Manager, Digitial</t>
        </is>
      </c>
      <c r="F125" s="220" t="inlineStr">
        <is>
          <t>Customer</t>
        </is>
      </c>
      <c r="G125" s="306" t="inlineStr">
        <is>
          <t>Digital</t>
        </is>
      </c>
      <c r="H125" s="220" t="inlineStr">
        <is>
          <t>Digital, Tech</t>
        </is>
      </c>
      <c r="I125" s="306" t="inlineStr">
        <is>
          <t>Customer</t>
        </is>
      </c>
      <c r="J125" s="220" t="inlineStr">
        <is>
          <t>Ampol Digital</t>
        </is>
      </c>
      <c r="K125" s="220" t="inlineStr">
        <is>
          <t>Ampol App</t>
        </is>
      </c>
      <c r="L125" s="306" t="n"/>
      <c r="M125" s="307" t="inlineStr">
        <is>
          <t>Australia</t>
        </is>
      </c>
      <c r="N125" s="310" t="inlineStr">
        <is>
          <t>NA</t>
        </is>
      </c>
      <c r="O125" s="308" t="n">
        <v>1</v>
      </c>
      <c r="P125" s="310" t="n"/>
      <c r="Q125" s="329" t="inlineStr">
        <is>
          <t>cxc</t>
        </is>
      </c>
      <c r="R125" s="319" t="inlineStr">
        <is>
          <t>Daily</t>
        </is>
      </c>
      <c r="S125" s="310" t="n">
        <v>807.2</v>
      </c>
      <c r="T125" s="322" t="n">
        <v>0</v>
      </c>
      <c r="U125" s="322" t="n"/>
      <c r="V125" s="306" t="n"/>
      <c r="W125" s="306" t="n"/>
      <c r="X125" s="306" t="n"/>
      <c r="Y125" s="306" t="n"/>
      <c r="Z125" s="306" t="n"/>
      <c r="AA125" s="320">
        <f>S125*222</f>
        <v>179198.40000000002</v>
      </c>
      <c r="AC125" t="inlineStr">
        <is>
          <t>Customer</t>
        </is>
      </c>
      <c r="AD125" t="inlineStr">
        <is>
          <t>Ampol Digital</t>
        </is>
      </c>
      <c r="AE125" t="inlineStr">
        <is>
          <t>Ampol App</t>
        </is>
      </c>
      <c r="AF125" t="inlineStr">
        <is>
          <t>Squad</t>
        </is>
      </c>
      <c r="AG125" t="inlineStr">
        <is>
          <t>Filled</t>
        </is>
      </c>
    </row>
    <row r="126" hidden="1" ht="18" customHeight="1" s="849">
      <c r="A126" s="250" t="n">
        <v>116957</v>
      </c>
      <c r="B126" s="323" t="inlineStr">
        <is>
          <t>Raj Ganesan</t>
        </is>
      </c>
      <c r="C126" s="324" t="inlineStr">
        <is>
          <t>Engineer - Mobile (ios)</t>
        </is>
      </c>
      <c r="D126" s="306" t="inlineStr">
        <is>
          <t>Mitesh Shah</t>
        </is>
      </c>
      <c r="E126" s="220" t="inlineStr">
        <is>
          <t>Technology Manager, Digitial</t>
        </is>
      </c>
      <c r="F126" s="220" t="inlineStr">
        <is>
          <t>Customer</t>
        </is>
      </c>
      <c r="G126" s="306" t="inlineStr">
        <is>
          <t>Digital</t>
        </is>
      </c>
      <c r="H126" s="306" t="inlineStr">
        <is>
          <t>Tech, Digital</t>
        </is>
      </c>
      <c r="I126" s="306" t="inlineStr">
        <is>
          <t>Customer</t>
        </is>
      </c>
      <c r="J126" s="220" t="inlineStr">
        <is>
          <t>Ampol Digital</t>
        </is>
      </c>
      <c r="K126" s="220" t="inlineStr">
        <is>
          <t>Ampol App</t>
        </is>
      </c>
      <c r="L126" s="306" t="n"/>
      <c r="M126" s="307" t="inlineStr">
        <is>
          <t>Australia</t>
        </is>
      </c>
      <c r="N126" s="308" t="inlineStr">
        <is>
          <t>CIB</t>
        </is>
      </c>
      <c r="O126" s="338" t="n">
        <v>1</v>
      </c>
      <c r="P126" s="338" t="n"/>
      <c r="Q126" s="331" t="inlineStr">
        <is>
          <t>Temporary - Full Time</t>
        </is>
      </c>
      <c r="R126" s="339" t="n"/>
      <c r="S126" s="339" t="n"/>
      <c r="T126" s="322" t="n">
        <v>165000</v>
      </c>
      <c r="U126" s="321" t="n">
        <v>165000</v>
      </c>
      <c r="V126" s="313" t="n">
        <v>0.12</v>
      </c>
      <c r="W126" s="953" t="n">
        <v>0.055</v>
      </c>
      <c r="X126" s="953" t="n">
        <v>0.12</v>
      </c>
      <c r="Y126" s="954" t="n"/>
      <c r="Z126" s="953" t="n">
        <v>0.04</v>
      </c>
      <c r="AA126" s="952">
        <f>U126*(1+V126+W126+X126+Y126+Z126)</f>
        <v>220275.0</v>
      </c>
      <c r="AC126" t="inlineStr">
        <is>
          <t>Customer</t>
        </is>
      </c>
      <c r="AD126" t="inlineStr">
        <is>
          <t>Ampol Digital</t>
        </is>
      </c>
      <c r="AE126" t="inlineStr">
        <is>
          <t>Ampol App</t>
        </is>
      </c>
      <c r="AF126" t="inlineStr">
        <is>
          <t>Squad</t>
        </is>
      </c>
      <c r="AG126" t="inlineStr">
        <is>
          <t>Filled</t>
        </is>
      </c>
    </row>
    <row r="127" hidden="1" ht="18" customHeight="1" s="849">
      <c r="A127" s="250" t="inlineStr">
        <is>
          <t>C</t>
        </is>
      </c>
      <c r="B127" s="220" t="inlineStr">
        <is>
          <t>Sheetal Karkera</t>
        </is>
      </c>
      <c r="C127" s="305" t="inlineStr">
        <is>
          <t>Lead Engineer - Mobile</t>
        </is>
      </c>
      <c r="D127" s="220" t="inlineStr">
        <is>
          <t>Mitesh Shah</t>
        </is>
      </c>
      <c r="E127" s="220" t="inlineStr">
        <is>
          <t>Technology Manager, Digitial</t>
        </is>
      </c>
      <c r="F127" s="220" t="inlineStr">
        <is>
          <t>Customer</t>
        </is>
      </c>
      <c r="G127" s="306" t="inlineStr">
        <is>
          <t>Digital</t>
        </is>
      </c>
      <c r="H127" s="220" t="inlineStr">
        <is>
          <t>Digital, Tech</t>
        </is>
      </c>
      <c r="I127" s="306" t="inlineStr">
        <is>
          <t>Customer</t>
        </is>
      </c>
      <c r="J127" s="220" t="inlineStr">
        <is>
          <t>Ampol Digital</t>
        </is>
      </c>
      <c r="K127" s="220" t="inlineStr">
        <is>
          <t>Ampol App</t>
        </is>
      </c>
      <c r="L127" s="306" t="n"/>
      <c r="M127" s="307" t="inlineStr">
        <is>
          <t>Australia</t>
        </is>
      </c>
      <c r="N127" s="310" t="inlineStr">
        <is>
          <t>NA</t>
        </is>
      </c>
      <c r="O127" s="308" t="n">
        <v>1</v>
      </c>
      <c r="P127" s="310" t="n"/>
      <c r="Q127" s="310" t="inlineStr">
        <is>
          <t>cxc</t>
        </is>
      </c>
      <c r="R127" s="319" t="inlineStr">
        <is>
          <t>Daily</t>
        </is>
      </c>
      <c r="S127" s="310" t="n">
        <v>1150</v>
      </c>
      <c r="T127" s="322" t="n">
        <v>0</v>
      </c>
      <c r="U127" s="322" t="n"/>
      <c r="V127" s="306" t="n"/>
      <c r="W127" s="306" t="n"/>
      <c r="X127" s="306" t="n"/>
      <c r="Y127" s="306" t="n"/>
      <c r="Z127" s="306" t="n"/>
      <c r="AA127" s="320">
        <f>S127*222</f>
        <v>255300.0</v>
      </c>
      <c r="AC127" t="inlineStr">
        <is>
          <t>Customer</t>
        </is>
      </c>
      <c r="AD127" t="inlineStr">
        <is>
          <t>Ampol Digital</t>
        </is>
      </c>
      <c r="AE127" t="inlineStr">
        <is>
          <t>Ampol App</t>
        </is>
      </c>
      <c r="AF127" t="inlineStr">
        <is>
          <t>Squad</t>
        </is>
      </c>
      <c r="AG127" t="inlineStr">
        <is>
          <t>Filled</t>
        </is>
      </c>
    </row>
    <row r="128" hidden="1" ht="18" customHeight="1" s="849">
      <c r="A128" s="250" t="n">
        <v>115964</v>
      </c>
      <c r="B128" s="220" t="inlineStr">
        <is>
          <t>Toby Clark</t>
        </is>
      </c>
      <c r="C128" s="305" t="inlineStr">
        <is>
          <t>Engineer - Mobile (iOS)</t>
        </is>
      </c>
      <c r="D128" s="220" t="inlineStr">
        <is>
          <t>Mitesh Shah</t>
        </is>
      </c>
      <c r="E128" s="220" t="inlineStr">
        <is>
          <t>Technology Manager, Digitial</t>
        </is>
      </c>
      <c r="F128" s="220" t="inlineStr">
        <is>
          <t>Customer</t>
        </is>
      </c>
      <c r="G128" s="306" t="inlineStr">
        <is>
          <t>Digital</t>
        </is>
      </c>
      <c r="H128" s="220" t="inlineStr">
        <is>
          <t>Digital, Tech</t>
        </is>
      </c>
      <c r="I128" s="306" t="inlineStr">
        <is>
          <t>Customer</t>
        </is>
      </c>
      <c r="J128" s="220" t="inlineStr">
        <is>
          <t>Ampol Digital</t>
        </is>
      </c>
      <c r="K128" s="220" t="inlineStr">
        <is>
          <t>Ampol App</t>
        </is>
      </c>
      <c r="L128" s="306" t="n"/>
      <c r="M128" s="307" t="inlineStr">
        <is>
          <t>Australia</t>
        </is>
      </c>
      <c r="N128" s="308" t="inlineStr">
        <is>
          <t>CIB</t>
        </is>
      </c>
      <c r="O128" s="308" t="n">
        <v>1</v>
      </c>
      <c r="P128" s="308" t="n"/>
      <c r="Q128" s="308" t="inlineStr">
        <is>
          <t>Permanent - Full Time</t>
        </is>
      </c>
      <c r="R128" s="310" t="n"/>
      <c r="S128" s="310" t="n"/>
      <c r="T128" s="322" t="n">
        <v>126350</v>
      </c>
      <c r="U128" s="321" t="n">
        <v>126350</v>
      </c>
      <c r="V128" s="313" t="n">
        <v>0.12</v>
      </c>
      <c r="W128" s="953" t="n">
        <v>0.055</v>
      </c>
      <c r="X128" s="953" t="n">
        <v>0.12</v>
      </c>
      <c r="Y128" s="954" t="n"/>
      <c r="Z128" s="953" t="n">
        <v>0.04</v>
      </c>
      <c r="AA128" s="952">
        <f>U128*(1+V128+W128+X128+Y128+Z128)</f>
        <v>168677.25</v>
      </c>
      <c r="AC128" t="inlineStr">
        <is>
          <t>Customer</t>
        </is>
      </c>
      <c r="AD128" t="inlineStr">
        <is>
          <t>Ampol Digital</t>
        </is>
      </c>
      <c r="AE128" t="inlineStr">
        <is>
          <t>Ampol App</t>
        </is>
      </c>
      <c r="AF128" t="inlineStr">
        <is>
          <t>Squad</t>
        </is>
      </c>
      <c r="AG128" t="inlineStr">
        <is>
          <t>Filled</t>
        </is>
      </c>
    </row>
    <row r="129" hidden="1" ht="18" customHeight="1" s="849">
      <c r="A129" s="250" t="inlineStr">
        <is>
          <t>C</t>
        </is>
      </c>
      <c r="B129" s="220" t="inlineStr">
        <is>
          <t>Aaron Lu</t>
        </is>
      </c>
      <c r="C129" s="305" t="inlineStr">
        <is>
          <t>Engineer - BE</t>
        </is>
      </c>
      <c r="D129" s="220" t="inlineStr">
        <is>
          <t>Vacant</t>
        </is>
      </c>
      <c r="E129" s="220" t="inlineStr">
        <is>
          <t>Technology Manager, Digital Engineering</t>
        </is>
      </c>
      <c r="F129" s="220" t="inlineStr">
        <is>
          <t>Customer</t>
        </is>
      </c>
      <c r="G129" s="306" t="inlineStr">
        <is>
          <t>Digital</t>
        </is>
      </c>
      <c r="H129" s="306" t="inlineStr">
        <is>
          <t>Tech, Digital Engineering</t>
        </is>
      </c>
      <c r="I129" s="306" t="inlineStr">
        <is>
          <t>Customer</t>
        </is>
      </c>
      <c r="J129" s="220" t="inlineStr">
        <is>
          <t>Ampol Digital</t>
        </is>
      </c>
      <c r="K129" s="220" t="inlineStr">
        <is>
          <t>Ampol Web</t>
        </is>
      </c>
      <c r="L129" s="306" t="n"/>
      <c r="M129" s="307" t="inlineStr">
        <is>
          <t>Australia</t>
        </is>
      </c>
      <c r="N129" s="310" t="inlineStr">
        <is>
          <t>NA</t>
        </is>
      </c>
      <c r="O129" s="340" t="n">
        <v>1</v>
      </c>
      <c r="P129" s="341" t="n"/>
      <c r="Q129" s="336" t="inlineStr">
        <is>
          <t>Contractor</t>
        </is>
      </c>
      <c r="R129" s="342" t="inlineStr">
        <is>
          <t>?</t>
        </is>
      </c>
      <c r="S129" s="343" t="n">
        <v>1200</v>
      </c>
      <c r="T129" s="322" t="n">
        <v>0</v>
      </c>
      <c r="U129" s="322" t="n"/>
      <c r="V129" s="306" t="n"/>
      <c r="W129" s="306" t="n"/>
      <c r="X129" s="306" t="n"/>
      <c r="Y129" s="306" t="n"/>
      <c r="Z129" s="306" t="n"/>
      <c r="AA129" s="320">
        <f>S129*222</f>
        <v>266400.0</v>
      </c>
      <c r="AC129" t="inlineStr">
        <is>
          <t>Customer</t>
        </is>
      </c>
      <c r="AD129" t="inlineStr">
        <is>
          <t>Ampol Digital</t>
        </is>
      </c>
      <c r="AE129" t="inlineStr">
        <is>
          <t>Ampol Web</t>
        </is>
      </c>
      <c r="AF129" t="inlineStr">
        <is>
          <t>Squad</t>
        </is>
      </c>
      <c r="AG129" t="inlineStr">
        <is>
          <t>Filled</t>
        </is>
      </c>
    </row>
    <row r="130" hidden="1" ht="18" customHeight="1" s="849">
      <c r="A130" s="250" t="inlineStr">
        <is>
          <t>C</t>
        </is>
      </c>
      <c r="B130" s="220" t="inlineStr">
        <is>
          <t>Adam Anticaglia</t>
        </is>
      </c>
      <c r="C130" s="305" t="inlineStr">
        <is>
          <t>Experience Designer (CMS)</t>
        </is>
      </c>
      <c r="D130" s="220" t="inlineStr">
        <is>
          <t>Byron Thornhill</t>
        </is>
      </c>
      <c r="E130" s="220" t="inlineStr">
        <is>
          <t>Design Manager</t>
        </is>
      </c>
      <c r="F130" s="220" t="inlineStr">
        <is>
          <t>Customer</t>
        </is>
      </c>
      <c r="G130" s="306" t="inlineStr">
        <is>
          <t>Digital</t>
        </is>
      </c>
      <c r="H130" s="306" t="inlineStr">
        <is>
          <t>Digital, Design</t>
        </is>
      </c>
      <c r="I130" s="220" t="inlineStr">
        <is>
          <t>Customer</t>
        </is>
      </c>
      <c r="J130" s="220" t="inlineStr">
        <is>
          <t>Ampol Digital</t>
        </is>
      </c>
      <c r="K130" s="220" t="inlineStr">
        <is>
          <t>Ampol Web</t>
        </is>
      </c>
      <c r="L130" s="306" t="n"/>
      <c r="M130" s="307" t="inlineStr">
        <is>
          <t>Australia</t>
        </is>
      </c>
      <c r="N130" s="310" t="inlineStr">
        <is>
          <t>NA</t>
        </is>
      </c>
      <c r="O130" s="308" t="n">
        <v>1</v>
      </c>
      <c r="P130" s="310" t="n"/>
      <c r="Q130" s="329" t="inlineStr">
        <is>
          <t>cxc</t>
        </is>
      </c>
      <c r="R130" s="319" t="inlineStr">
        <is>
          <t>Daily</t>
        </is>
      </c>
      <c r="S130" s="310" t="n">
        <v>1008</v>
      </c>
      <c r="T130" s="322" t="n">
        <v>0</v>
      </c>
      <c r="U130" s="322" t="n"/>
      <c r="V130" s="306" t="n"/>
      <c r="W130" s="306" t="n"/>
      <c r="X130" s="306" t="n"/>
      <c r="Y130" s="306" t="n"/>
      <c r="Z130" s="306" t="n"/>
      <c r="AA130" s="320">
        <f>S130*222</f>
        <v>223776.0</v>
      </c>
      <c r="AC130" t="inlineStr">
        <is>
          <t>Customer</t>
        </is>
      </c>
      <c r="AD130" t="inlineStr">
        <is>
          <t>Ampol Digital</t>
        </is>
      </c>
      <c r="AE130" t="inlineStr">
        <is>
          <t>Ampol Web</t>
        </is>
      </c>
      <c r="AF130" t="inlineStr">
        <is>
          <t>Squad</t>
        </is>
      </c>
      <c r="AG130" t="inlineStr">
        <is>
          <t>Filled</t>
        </is>
      </c>
    </row>
    <row r="131" hidden="1" ht="18" customHeight="1" s="849">
      <c r="A131" s="250" t="n">
        <v>117173</v>
      </c>
      <c r="B131" s="220" t="inlineStr">
        <is>
          <t>Ashwini Gaikwad</t>
        </is>
      </c>
      <c r="C131" s="305" t="inlineStr">
        <is>
          <t>Quality Assurance</t>
        </is>
      </c>
      <c r="D131" s="220" t="inlineStr">
        <is>
          <t>Mitesh Shah</t>
        </is>
      </c>
      <c r="E131" s="220" t="inlineStr">
        <is>
          <t>Technology Manager, Digitial</t>
        </is>
      </c>
      <c r="F131" s="220" t="inlineStr">
        <is>
          <t>Customer</t>
        </is>
      </c>
      <c r="G131" s="306" t="inlineStr">
        <is>
          <t>Digital</t>
        </is>
      </c>
      <c r="H131" s="220" t="inlineStr">
        <is>
          <t>Digital, Tech</t>
        </is>
      </c>
      <c r="I131" s="306" t="inlineStr">
        <is>
          <t>Customer</t>
        </is>
      </c>
      <c r="J131" s="220" t="inlineStr">
        <is>
          <t>Ampol Digital</t>
        </is>
      </c>
      <c r="K131" s="220" t="inlineStr">
        <is>
          <t>Ampol Web</t>
        </is>
      </c>
      <c r="L131" s="306" t="n"/>
      <c r="M131" s="307" t="inlineStr">
        <is>
          <t>Australia</t>
        </is>
      </c>
      <c r="N131" s="308" t="inlineStr">
        <is>
          <t>CDC</t>
        </is>
      </c>
      <c r="O131" s="308" t="n">
        <v>1</v>
      </c>
      <c r="P131" s="308" t="n"/>
      <c r="Q131" s="331" t="inlineStr">
        <is>
          <t>Permanent - Full Time</t>
        </is>
      </c>
      <c r="R131" s="310" t="n"/>
      <c r="S131" s="310" t="n"/>
      <c r="T131" s="322" t="n">
        <v>119900</v>
      </c>
      <c r="U131" s="321" t="n">
        <v>119900</v>
      </c>
      <c r="V131" s="313" t="n">
        <v>0.1</v>
      </c>
      <c r="W131" s="953" t="n">
        <v>0.055</v>
      </c>
      <c r="X131" s="953" t="n">
        <v>0.12</v>
      </c>
      <c r="Y131" s="954" t="n"/>
      <c r="Z131" s="953" t="n">
        <v>0.04</v>
      </c>
      <c r="AA131" s="952">
        <f>U131*(1+V131+W131+X131+Y131+Z131)</f>
        <v>157668.5</v>
      </c>
      <c r="AC131" t="inlineStr">
        <is>
          <t>Customer</t>
        </is>
      </c>
      <c r="AD131" t="inlineStr">
        <is>
          <t>Ampol Digital</t>
        </is>
      </c>
      <c r="AE131" t="inlineStr">
        <is>
          <t>Ampol Web</t>
        </is>
      </c>
      <c r="AF131" t="inlineStr">
        <is>
          <t>Squad</t>
        </is>
      </c>
      <c r="AG131" t="inlineStr">
        <is>
          <t>Filled</t>
        </is>
      </c>
    </row>
    <row r="132" hidden="1" ht="18" customHeight="1" s="849">
      <c r="A132" s="250" t="n">
        <v>109041</v>
      </c>
      <c r="B132" s="220" t="inlineStr">
        <is>
          <t>Darwin Morales</t>
        </is>
      </c>
      <c r="C132" s="305" t="inlineStr">
        <is>
          <t>Snr Engineer - FE</t>
        </is>
      </c>
      <c r="D132" s="220" t="inlineStr">
        <is>
          <t>Mitesh Shah</t>
        </is>
      </c>
      <c r="E132" s="220" t="inlineStr">
        <is>
          <t>Technology Manager, Digitial</t>
        </is>
      </c>
      <c r="F132" s="220" t="inlineStr">
        <is>
          <t>Customer</t>
        </is>
      </c>
      <c r="G132" s="306" t="inlineStr">
        <is>
          <t>Digital</t>
        </is>
      </c>
      <c r="H132" s="220" t="inlineStr">
        <is>
          <t>Digital, Tech</t>
        </is>
      </c>
      <c r="I132" s="306" t="inlineStr">
        <is>
          <t>Customer</t>
        </is>
      </c>
      <c r="J132" s="220" t="inlineStr">
        <is>
          <t>Ampol Digital</t>
        </is>
      </c>
      <c r="K132" s="220" t="inlineStr">
        <is>
          <t>Ampol Web</t>
        </is>
      </c>
      <c r="L132" s="306" t="n"/>
      <c r="M132" s="307" t="inlineStr">
        <is>
          <t>Australia</t>
        </is>
      </c>
      <c r="N132" s="308" t="inlineStr">
        <is>
          <t>CIB</t>
        </is>
      </c>
      <c r="O132" s="308" t="n">
        <v>1</v>
      </c>
      <c r="P132" s="308" t="n"/>
      <c r="Q132" s="331" t="inlineStr">
        <is>
          <t>Permanent - Full Time</t>
        </is>
      </c>
      <c r="R132" s="310" t="n"/>
      <c r="S132" s="310" t="n"/>
      <c r="T132" s="322" t="n">
        <v>155320</v>
      </c>
      <c r="U132" s="321" t="n">
        <v>155320</v>
      </c>
      <c r="V132" s="313" t="n">
        <v>0.12</v>
      </c>
      <c r="W132" s="953" t="n">
        <v>0.055</v>
      </c>
      <c r="X132" s="953" t="n">
        <v>0.12</v>
      </c>
      <c r="Y132" s="954" t="n"/>
      <c r="Z132" s="953" t="n">
        <v>0.04</v>
      </c>
      <c r="AA132" s="952">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849">
      <c r="A133" s="250" t="n">
        <v>114650</v>
      </c>
      <c r="B133" s="220" t="inlineStr">
        <is>
          <t>Jin Zhong</t>
        </is>
      </c>
      <c r="C133" s="305" t="inlineStr">
        <is>
          <t>Lead Engineer - BE</t>
        </is>
      </c>
      <c r="D133" s="220" t="inlineStr">
        <is>
          <t>Vacant</t>
        </is>
      </c>
      <c r="E133" s="220" t="inlineStr">
        <is>
          <t>Technology Manager, Digital Engineering</t>
        </is>
      </c>
      <c r="F133" s="220" t="inlineStr">
        <is>
          <t>Customer</t>
        </is>
      </c>
      <c r="G133" s="306" t="inlineStr">
        <is>
          <t>Digital</t>
        </is>
      </c>
      <c r="H133" s="306" t="inlineStr">
        <is>
          <t>Tech, Digital Engineering</t>
        </is>
      </c>
      <c r="I133" s="306" t="inlineStr">
        <is>
          <t>Customer</t>
        </is>
      </c>
      <c r="J133" s="220" t="inlineStr">
        <is>
          <t>Ampol Digital</t>
        </is>
      </c>
      <c r="K133" s="220" t="inlineStr">
        <is>
          <t>Ampol Web</t>
        </is>
      </c>
      <c r="L133" s="306" t="n"/>
      <c r="M133" s="307" t="inlineStr">
        <is>
          <t>Australia</t>
        </is>
      </c>
      <c r="N133" s="308" t="inlineStr">
        <is>
          <t>CIC</t>
        </is>
      </c>
      <c r="O133" s="308" t="n">
        <v>1</v>
      </c>
      <c r="P133" s="308" t="n"/>
      <c r="Q133" s="331" t="inlineStr">
        <is>
          <t>Permanent - Full Time</t>
        </is>
      </c>
      <c r="R133" s="310" t="n"/>
      <c r="S133" s="310" t="n"/>
      <c r="T133" s="322" t="n">
        <v>180000</v>
      </c>
      <c r="U133" s="321" t="n">
        <v>180000</v>
      </c>
      <c r="V133" s="313" t="n">
        <v>0.12</v>
      </c>
      <c r="W133" s="953" t="n">
        <v>0.055</v>
      </c>
      <c r="X133" s="953" t="n">
        <v>0.12</v>
      </c>
      <c r="Y133" s="954" t="n"/>
      <c r="Z133" s="953" t="n">
        <v>0.04</v>
      </c>
      <c r="AA133" s="952">
        <f>U133*(1+V133+W133+X133+Y133+Z133)</f>
        <v>240300.0</v>
      </c>
      <c r="AC133" t="inlineStr">
        <is>
          <t>Customer</t>
        </is>
      </c>
      <c r="AD133" t="inlineStr">
        <is>
          <t>Ampol Digital</t>
        </is>
      </c>
      <c r="AE133" t="inlineStr">
        <is>
          <t>Ampol Web</t>
        </is>
      </c>
      <c r="AF133" t="inlineStr">
        <is>
          <t>Squad</t>
        </is>
      </c>
      <c r="AG133" t="inlineStr">
        <is>
          <t>Filled</t>
        </is>
      </c>
    </row>
    <row r="134" hidden="1" ht="18" customHeight="1" s="849">
      <c r="A134" s="250" t="inlineStr">
        <is>
          <t>C</t>
        </is>
      </c>
      <c r="B134" s="220" t="inlineStr">
        <is>
          <t>Jordan Askwith</t>
        </is>
      </c>
      <c r="C134" s="305" t="inlineStr">
        <is>
          <t>Solution Architect</t>
        </is>
      </c>
      <c r="D134" s="220" t="inlineStr">
        <is>
          <t>Mitesh Shah</t>
        </is>
      </c>
      <c r="E134" s="220" t="inlineStr">
        <is>
          <t>Technology Manager, Digitial</t>
        </is>
      </c>
      <c r="F134" s="220" t="inlineStr">
        <is>
          <t>Customer</t>
        </is>
      </c>
      <c r="G134" s="306" t="inlineStr">
        <is>
          <t>Digital</t>
        </is>
      </c>
      <c r="H134" s="220" t="inlineStr">
        <is>
          <t>Digital, Tech</t>
        </is>
      </c>
      <c r="I134" s="306" t="inlineStr">
        <is>
          <t>Customer</t>
        </is>
      </c>
      <c r="J134" s="220" t="inlineStr">
        <is>
          <t>Ampol Digital</t>
        </is>
      </c>
      <c r="K134" s="220" t="inlineStr">
        <is>
          <t>Ampol Web</t>
        </is>
      </c>
      <c r="L134" s="306" t="n"/>
      <c r="M134" s="307" t="inlineStr">
        <is>
          <t>Australia</t>
        </is>
      </c>
      <c r="N134" s="310" t="inlineStr">
        <is>
          <t>NA</t>
        </is>
      </c>
      <c r="O134" s="308" t="n">
        <v>1</v>
      </c>
      <c r="P134" s="310" t="n"/>
      <c r="Q134" s="336" t="inlineStr">
        <is>
          <t>Contractor</t>
        </is>
      </c>
      <c r="R134" s="319" t="inlineStr">
        <is>
          <t>?</t>
        </is>
      </c>
      <c r="S134" s="337" t="n">
        <v>1200</v>
      </c>
      <c r="T134" s="322" t="n">
        <v>0</v>
      </c>
      <c r="U134" s="322" t="n"/>
      <c r="V134" s="306" t="n"/>
      <c r="W134" s="306" t="n"/>
      <c r="X134" s="306" t="n"/>
      <c r="Y134" s="306" t="n"/>
      <c r="Z134" s="306" t="n"/>
      <c r="AA134" s="320">
        <f>S134*222</f>
        <v>266400.0</v>
      </c>
      <c r="AC134" t="inlineStr">
        <is>
          <t>Customer</t>
        </is>
      </c>
      <c r="AD134" t="inlineStr">
        <is>
          <t>Ampol Digital</t>
        </is>
      </c>
      <c r="AE134" t="inlineStr">
        <is>
          <t>Ampol Web</t>
        </is>
      </c>
      <c r="AF134" t="inlineStr">
        <is>
          <t>Squad</t>
        </is>
      </c>
      <c r="AG134" t="inlineStr">
        <is>
          <t>Filled</t>
        </is>
      </c>
    </row>
    <row r="135" hidden="1" ht="18" customHeight="1" s="849">
      <c r="A135" s="250" t="inlineStr">
        <is>
          <t>C</t>
        </is>
      </c>
      <c r="B135" s="220" t="inlineStr">
        <is>
          <t>Lily Fong</t>
        </is>
      </c>
      <c r="C135" s="305" t="inlineStr">
        <is>
          <t>Snr Business Analyst</t>
        </is>
      </c>
      <c r="D135" s="306" t="inlineStr">
        <is>
          <t>Vacant</t>
        </is>
      </c>
      <c r="E135" s="220" t="inlineStr">
        <is>
          <t>Delivery Manager, Digital</t>
        </is>
      </c>
      <c r="F135" s="220" t="inlineStr">
        <is>
          <t>Customer</t>
        </is>
      </c>
      <c r="G135" s="306" t="inlineStr">
        <is>
          <t>Digital</t>
        </is>
      </c>
      <c r="H135" s="306" t="inlineStr">
        <is>
          <t>Digital, Delivery</t>
        </is>
      </c>
      <c r="I135" s="306" t="inlineStr">
        <is>
          <t>Customer</t>
        </is>
      </c>
      <c r="J135" s="220" t="inlineStr">
        <is>
          <t>Ampol Digital</t>
        </is>
      </c>
      <c r="K135" s="220" t="inlineStr">
        <is>
          <t>Ampol Web</t>
        </is>
      </c>
      <c r="L135" s="306" t="n"/>
      <c r="M135" s="307" t="inlineStr">
        <is>
          <t>Australia</t>
        </is>
      </c>
      <c r="N135" s="310" t="inlineStr">
        <is>
          <t>NA</t>
        </is>
      </c>
      <c r="O135" s="308" t="n">
        <v>1</v>
      </c>
      <c r="P135" s="310" t="n"/>
      <c r="Q135" s="329" t="inlineStr">
        <is>
          <t>cxc</t>
        </is>
      </c>
      <c r="R135" s="319" t="inlineStr">
        <is>
          <t>Daily</t>
        </is>
      </c>
      <c r="S135" s="310" t="n">
        <v>1120</v>
      </c>
      <c r="T135" s="322" t="n">
        <v>0</v>
      </c>
      <c r="U135" s="322" t="n"/>
      <c r="V135" s="306" t="n"/>
      <c r="W135" s="306" t="n"/>
      <c r="X135" s="306" t="n"/>
      <c r="Y135" s="306" t="n"/>
      <c r="Z135" s="306" t="n"/>
      <c r="AA135" s="320">
        <f>S135*222</f>
        <v>248640.0</v>
      </c>
      <c r="AC135" t="inlineStr">
        <is>
          <t>Customer</t>
        </is>
      </c>
      <c r="AD135" t="inlineStr">
        <is>
          <t>Ampol Digital</t>
        </is>
      </c>
      <c r="AE135" t="inlineStr">
        <is>
          <t>Ampol Web</t>
        </is>
      </c>
      <c r="AF135" t="inlineStr">
        <is>
          <t>Squad</t>
        </is>
      </c>
      <c r="AG135" t="inlineStr">
        <is>
          <t>Filled</t>
        </is>
      </c>
    </row>
    <row r="136" hidden="1" ht="18" customHeight="1" s="849">
      <c r="A136" s="250" t="n">
        <v>108384</v>
      </c>
      <c r="B136" s="220" t="inlineStr">
        <is>
          <t>Saugata Acharya</t>
        </is>
      </c>
      <c r="C136" s="305" t="inlineStr">
        <is>
          <t>Delivery Lead</t>
        </is>
      </c>
      <c r="D136" s="306" t="inlineStr">
        <is>
          <t>Vacant</t>
        </is>
      </c>
      <c r="E136" s="220" t="inlineStr">
        <is>
          <t>Delivery Manager, Digital</t>
        </is>
      </c>
      <c r="F136" s="220" t="inlineStr">
        <is>
          <t>Customer</t>
        </is>
      </c>
      <c r="G136" s="306" t="inlineStr">
        <is>
          <t>Digital</t>
        </is>
      </c>
      <c r="H136" s="306" t="inlineStr">
        <is>
          <t>Digital, Delivery</t>
        </is>
      </c>
      <c r="I136" s="306" t="inlineStr">
        <is>
          <t>Customer</t>
        </is>
      </c>
      <c r="J136" s="220" t="inlineStr">
        <is>
          <t>Ampol Digital</t>
        </is>
      </c>
      <c r="K136" s="220" t="inlineStr">
        <is>
          <t>Ampol Web</t>
        </is>
      </c>
      <c r="L136" s="306" t="n"/>
      <c r="M136" s="307" t="inlineStr">
        <is>
          <t>Australia</t>
        </is>
      </c>
      <c r="N136" s="308" t="inlineStr">
        <is>
          <t>CIC</t>
        </is>
      </c>
      <c r="O136" s="308" t="n">
        <v>1</v>
      </c>
      <c r="P136" s="308" t="n"/>
      <c r="Q136" s="331" t="inlineStr">
        <is>
          <t>Permanent - Full Time</t>
        </is>
      </c>
      <c r="R136" s="310" t="n"/>
      <c r="S136" s="310" t="n"/>
      <c r="T136" s="322" t="n">
        <v>182090</v>
      </c>
      <c r="U136" s="321" t="n">
        <v>182090</v>
      </c>
      <c r="V136" s="313" t="n">
        <v>0.12</v>
      </c>
      <c r="W136" s="953" t="n">
        <v>0.055</v>
      </c>
      <c r="X136" s="953" t="n">
        <v>0.12</v>
      </c>
      <c r="Y136" s="954" t="n"/>
      <c r="Z136" s="953" t="n">
        <v>0.04</v>
      </c>
      <c r="AA136" s="952">
        <f>U136*(1+V136+W136+X136+Y136+Z136)</f>
        <v>243090.15</v>
      </c>
      <c r="AC136" t="inlineStr">
        <is>
          <t>Customer</t>
        </is>
      </c>
      <c r="AD136" t="inlineStr">
        <is>
          <t>Ampol Digital</t>
        </is>
      </c>
      <c r="AE136" t="inlineStr">
        <is>
          <t>Ampol Web</t>
        </is>
      </c>
      <c r="AF136" t="inlineStr">
        <is>
          <t>Squad</t>
        </is>
      </c>
      <c r="AG136" t="inlineStr">
        <is>
          <t>Filled</t>
        </is>
      </c>
    </row>
    <row r="137" hidden="1" ht="18" customHeight="1" s="849">
      <c r="A137" s="344" t="inlineStr">
        <is>
          <t>V</t>
        </is>
      </c>
      <c r="B137" s="345" t="inlineStr">
        <is>
          <t>Vacant</t>
        </is>
      </c>
      <c r="C137" s="346" t="inlineStr">
        <is>
          <t>Snr Engineer - BE</t>
        </is>
      </c>
      <c r="D137" s="345" t="inlineStr">
        <is>
          <t>Jin Zhong</t>
        </is>
      </c>
      <c r="E137" s="345" t="inlineStr">
        <is>
          <t>Lead Engineer - BE</t>
        </is>
      </c>
      <c r="F137" s="345" t="inlineStr">
        <is>
          <t>Customer</t>
        </is>
      </c>
      <c r="G137" s="347" t="inlineStr">
        <is>
          <t>Digital</t>
        </is>
      </c>
      <c r="H137" s="347" t="inlineStr">
        <is>
          <t>Tech, Digital Engineering</t>
        </is>
      </c>
      <c r="I137" s="347" t="inlineStr">
        <is>
          <t>Customer</t>
        </is>
      </c>
      <c r="J137" s="345" t="inlineStr">
        <is>
          <t>Ampol Digital</t>
        </is>
      </c>
      <c r="K137" t="inlineStr">
        <is>
          <t>Ampol Web</t>
        </is>
      </c>
      <c r="L137" s="347" t="n"/>
      <c r="M137" s="348" t="inlineStr">
        <is>
          <t>NZ</t>
        </is>
      </c>
      <c r="N137" s="338" t="inlineStr">
        <is>
          <t>CIB</t>
        </is>
      </c>
      <c r="O137" s="338" t="n">
        <v>1</v>
      </c>
      <c r="P137" s="338" t="n"/>
      <c r="Q137" s="331" t="inlineStr">
        <is>
          <t>v</t>
        </is>
      </c>
      <c r="R137" s="339" t="n"/>
      <c r="S137" s="339" t="n"/>
      <c r="T137" s="322" t="n">
        <v>164000</v>
      </c>
      <c r="U137" s="321" t="n">
        <v>150880</v>
      </c>
      <c r="V137" s="313" t="n">
        <v>0.15</v>
      </c>
      <c r="W137" s="310" t="n"/>
      <c r="X137" s="313" t="n">
        <v>0.05</v>
      </c>
      <c r="Y137" s="951" t="n">
        <v>2910</v>
      </c>
      <c r="Z137" s="313" t="n">
        <v>0.03</v>
      </c>
      <c r="AA137" s="952">
        <f>U137*(1+V137+X137+Z137)+Y137</f>
        <v>188492.4</v>
      </c>
      <c r="AC137" t="inlineStr">
        <is>
          <t>Customer</t>
        </is>
      </c>
      <c r="AD137" t="inlineStr">
        <is>
          <t>Ampol Digital</t>
        </is>
      </c>
      <c r="AE137" t="inlineStr">
        <is>
          <t>Ampol Web</t>
        </is>
      </c>
      <c r="AF137" t="inlineStr">
        <is>
          <t>Squad</t>
        </is>
      </c>
      <c r="AG137" t="inlineStr">
        <is>
          <t>Vacant</t>
        </is>
      </c>
    </row>
    <row r="138" hidden="1" ht="18" customHeight="1" s="849">
      <c r="A138" s="250" t="n">
        <v>115607</v>
      </c>
      <c r="B138" s="220" t="inlineStr">
        <is>
          <t>Zohan Sim</t>
        </is>
      </c>
      <c r="C138" s="305" t="inlineStr">
        <is>
          <t>Engineer - BE</t>
        </is>
      </c>
      <c r="D138" s="220" t="inlineStr">
        <is>
          <t>Jin Zhong</t>
        </is>
      </c>
      <c r="E138" s="220" t="inlineStr">
        <is>
          <t>Lead Engineer - BE</t>
        </is>
      </c>
      <c r="F138" s="220" t="inlineStr">
        <is>
          <t>Customer</t>
        </is>
      </c>
      <c r="G138" s="306" t="inlineStr">
        <is>
          <t>Digital</t>
        </is>
      </c>
      <c r="H138" s="306" t="inlineStr">
        <is>
          <t>Tech, Digital Engineering</t>
        </is>
      </c>
      <c r="I138" s="306" t="inlineStr">
        <is>
          <t>Customer</t>
        </is>
      </c>
      <c r="J138" s="220" t="inlineStr">
        <is>
          <t>Ampol Digital</t>
        </is>
      </c>
      <c r="K138" s="220" t="inlineStr">
        <is>
          <t>Ampol Web</t>
        </is>
      </c>
      <c r="L138" s="306" t="n"/>
      <c r="M138" s="252" t="inlineStr">
        <is>
          <t>Australia</t>
        </is>
      </c>
      <c r="N138" s="308" t="inlineStr">
        <is>
          <t>CIA</t>
        </is>
      </c>
      <c r="O138" s="308" t="n">
        <v>1</v>
      </c>
      <c r="P138" s="308" t="n"/>
      <c r="Q138" s="308" t="inlineStr">
        <is>
          <t>Permanent - Full Time</t>
        </is>
      </c>
      <c r="R138" s="310" t="n"/>
      <c r="S138" s="310" t="n"/>
      <c r="T138" s="322" t="n">
        <v>135000</v>
      </c>
      <c r="U138" s="311" t="n">
        <v>135000</v>
      </c>
      <c r="V138" s="349" t="n">
        <v>0.1</v>
      </c>
      <c r="W138" s="955" t="n">
        <v>0.055</v>
      </c>
      <c r="X138" s="955" t="n">
        <v>0.12</v>
      </c>
      <c r="Y138" s="956" t="n"/>
      <c r="Z138" s="955" t="n">
        <v>0.04</v>
      </c>
      <c r="AA138" s="957">
        <f>U138*(1+V138+W138+X138+Y138+Z138)</f>
        <v>177525.0</v>
      </c>
      <c r="AC138" t="inlineStr">
        <is>
          <t>Customer</t>
        </is>
      </c>
      <c r="AD138" t="inlineStr">
        <is>
          <t>Ampol Digital</t>
        </is>
      </c>
      <c r="AE138" t="inlineStr">
        <is>
          <t>Ampol Web</t>
        </is>
      </c>
      <c r="AF138" t="inlineStr">
        <is>
          <t>Squad</t>
        </is>
      </c>
      <c r="AG138" t="inlineStr">
        <is>
          <t>Filled</t>
        </is>
      </c>
    </row>
    <row r="139" hidden="1" ht="18" customHeight="1" s="849">
      <c r="A139" s="250" t="n">
        <v>99999101324</v>
      </c>
      <c r="B139" s="323" t="inlineStr">
        <is>
          <t>Angela Gilbert</t>
        </is>
      </c>
      <c r="C139" s="324" t="inlineStr">
        <is>
          <t>Martech Lead - Dynamics</t>
        </is>
      </c>
      <c r="D139" s="306" t="inlineStr">
        <is>
          <t>Vacant</t>
        </is>
      </c>
      <c r="E139" s="306" t="inlineStr">
        <is>
          <t>Delivery Manager, Loyalty</t>
        </is>
      </c>
      <c r="F139" s="220" t="inlineStr">
        <is>
          <t>Customer</t>
        </is>
      </c>
      <c r="G139" s="306" t="inlineStr">
        <is>
          <t>Loyalty &amp; Martech</t>
        </is>
      </c>
      <c r="H139" s="220" t="inlineStr">
        <is>
          <t xml:space="preserve">Loyalty, Delivery </t>
        </is>
      </c>
      <c r="I139" s="220" t="inlineStr">
        <is>
          <t>Customer</t>
        </is>
      </c>
      <c r="J139" s="306" t="inlineStr">
        <is>
          <t>Group Customer</t>
        </is>
      </c>
      <c r="K139" s="306" t="inlineStr">
        <is>
          <t>AU CRM &amp; Martech</t>
        </is>
      </c>
      <c r="L139" s="306" t="n"/>
      <c r="M139" s="252" t="inlineStr">
        <is>
          <t>NZ</t>
        </is>
      </c>
      <c r="N139" s="308" t="inlineStr">
        <is>
          <t>CIC</t>
        </is>
      </c>
      <c r="O139" s="309" t="n">
        <v>0.8</v>
      </c>
      <c r="P139" s="308" t="n"/>
      <c r="Q139" s="309" t="inlineStr">
        <is>
          <t>Permanent - Part Time</t>
        </is>
      </c>
      <c r="R139" s="310" t="n"/>
      <c r="S139" s="310" t="n"/>
      <c r="T139" s="322" t="n">
        <v>169030</v>
      </c>
      <c r="U139" s="321" t="n">
        <v>155507.6</v>
      </c>
      <c r="V139" s="353" t="n">
        <v>0.15</v>
      </c>
      <c r="W139" s="333" t="n"/>
      <c r="X139" s="349" t="n">
        <v>0.05</v>
      </c>
      <c r="Y139" s="958" t="n">
        <v>2910</v>
      </c>
      <c r="Z139" s="349" t="n">
        <v>0.03</v>
      </c>
      <c r="AA139" s="957">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849">
      <c r="A140" s="250" t="n">
        <v>111777</v>
      </c>
      <c r="B140" s="323" t="inlineStr">
        <is>
          <t>Jeremy Xu</t>
        </is>
      </c>
      <c r="C140" s="324" t="inlineStr">
        <is>
          <t>Data Analyst</t>
        </is>
      </c>
      <c r="D140" s="306" t="inlineStr">
        <is>
          <t>Vacant</t>
        </is>
      </c>
      <c r="E140" s="306" t="inlineStr">
        <is>
          <t>Technology Manager, Data &amp; Engineering</t>
        </is>
      </c>
      <c r="F140" s="220" t="inlineStr">
        <is>
          <t>Customer</t>
        </is>
      </c>
      <c r="G140" s="306" t="inlineStr">
        <is>
          <t>Loyalty &amp; Martech</t>
        </is>
      </c>
      <c r="H140" s="220" t="inlineStr">
        <is>
          <t>Loyalty, Data &amp; Engineering</t>
        </is>
      </c>
      <c r="I140" s="220" t="inlineStr">
        <is>
          <t>Customer</t>
        </is>
      </c>
      <c r="J140" s="306" t="inlineStr">
        <is>
          <t>Group Customer</t>
        </is>
      </c>
      <c r="K140" s="220" t="inlineStr">
        <is>
          <t>AU CRM &amp; Martech</t>
        </is>
      </c>
      <c r="L140" s="306" t="n"/>
      <c r="M140" s="252" t="inlineStr">
        <is>
          <t>Australia</t>
        </is>
      </c>
      <c r="N140" s="308" t="inlineStr">
        <is>
          <t>CIB</t>
        </is>
      </c>
      <c r="O140" s="308" t="n">
        <v>1</v>
      </c>
      <c r="P140" s="308" t="n"/>
      <c r="Q140" s="308" t="inlineStr">
        <is>
          <t>Permanent - Full Time</t>
        </is>
      </c>
      <c r="R140" s="310" t="n"/>
      <c r="S140" s="310" t="n"/>
      <c r="T140" s="322" t="n">
        <v>145910</v>
      </c>
      <c r="U140" s="321" t="n">
        <v>145910</v>
      </c>
      <c r="V140" s="313" t="n">
        <v>0.12</v>
      </c>
      <c r="W140" s="953" t="n">
        <v>0.055</v>
      </c>
      <c r="X140" s="953" t="n">
        <v>0.12</v>
      </c>
      <c r="Y140" s="954" t="n"/>
      <c r="Z140" s="953" t="n">
        <v>0.04</v>
      </c>
      <c r="AA140" s="952">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849">
      <c r="A141" s="250" t="n">
        <v>99999101891</v>
      </c>
      <c r="B141" s="323" t="inlineStr">
        <is>
          <t>Shinal Chamberlain</t>
        </is>
      </c>
      <c r="C141" s="324" t="inlineStr">
        <is>
          <t>Business Analyst</t>
        </is>
      </c>
      <c r="D141" s="306" t="inlineStr">
        <is>
          <t>Vacant</t>
        </is>
      </c>
      <c r="E141" s="306" t="inlineStr">
        <is>
          <t>Delivery Manager, Loyalty</t>
        </is>
      </c>
      <c r="F141" s="220" t="inlineStr">
        <is>
          <t>Customer</t>
        </is>
      </c>
      <c r="G141" s="306" t="inlineStr">
        <is>
          <t>Loyalty &amp; Martech</t>
        </is>
      </c>
      <c r="H141" s="220" t="inlineStr">
        <is>
          <t xml:space="preserve">Loyalty, Delivery </t>
        </is>
      </c>
      <c r="I141" s="220" t="inlineStr">
        <is>
          <t>Customer</t>
        </is>
      </c>
      <c r="J141" s="306" t="inlineStr">
        <is>
          <t>Group Customer</t>
        </is>
      </c>
      <c r="K141" s="306" t="inlineStr">
        <is>
          <t>AU CRM &amp; Martech</t>
        </is>
      </c>
      <c r="L141" s="306" t="n"/>
      <c r="M141" s="252" t="inlineStr">
        <is>
          <t>NZ</t>
        </is>
      </c>
      <c r="N141" s="308" t="inlineStr">
        <is>
          <t>CIA</t>
        </is>
      </c>
      <c r="O141" s="309" t="n">
        <v>1</v>
      </c>
      <c r="P141" s="308" t="n"/>
      <c r="Q141" s="309" t="inlineStr">
        <is>
          <t>Permanent - Full Time</t>
        </is>
      </c>
      <c r="R141" s="310" t="n"/>
      <c r="S141" s="310" t="n"/>
      <c r="T141" s="322" t="n">
        <v>133930</v>
      </c>
      <c r="U141" s="321" t="n">
        <v>123215.6</v>
      </c>
      <c r="V141" s="312" t="n">
        <v>0.15</v>
      </c>
      <c r="W141" s="310" t="n"/>
      <c r="X141" s="313" t="n">
        <v>0.05</v>
      </c>
      <c r="Y141" s="951" t="n">
        <v>2910</v>
      </c>
      <c r="Z141" s="313" t="n">
        <v>0.03</v>
      </c>
      <c r="AA141" s="952">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849">
      <c r="A142" s="250" t="inlineStr">
        <is>
          <t>V</t>
        </is>
      </c>
      <c r="B142" s="355" t="inlineStr">
        <is>
          <t>Vacant</t>
        </is>
      </c>
      <c r="C142" s="324" t="inlineStr">
        <is>
          <t>Data Analyst</t>
        </is>
      </c>
      <c r="D142" s="306" t="inlineStr">
        <is>
          <t>Vacant</t>
        </is>
      </c>
      <c r="E142" s="306" t="inlineStr">
        <is>
          <t>Technology Manager, Data &amp; Engineering</t>
        </is>
      </c>
      <c r="F142" s="220" t="inlineStr">
        <is>
          <t>Customer</t>
        </is>
      </c>
      <c r="G142" s="306" t="inlineStr">
        <is>
          <t>Loyalty &amp; Martech</t>
        </is>
      </c>
      <c r="H142" s="220" t="inlineStr">
        <is>
          <t>Loyalty, Data &amp; Engineering</t>
        </is>
      </c>
      <c r="I142" s="220" t="inlineStr">
        <is>
          <t>Customer</t>
        </is>
      </c>
      <c r="J142" s="306" t="inlineStr">
        <is>
          <t>Group Customer</t>
        </is>
      </c>
      <c r="K142" s="220" t="inlineStr">
        <is>
          <t>AU CRM &amp; Martech</t>
        </is>
      </c>
      <c r="L142" s="306" t="n"/>
      <c r="M142" s="252" t="inlineStr">
        <is>
          <t>Australia</t>
        </is>
      </c>
      <c r="N142" s="308" t="inlineStr">
        <is>
          <t>CIB</t>
        </is>
      </c>
      <c r="O142" s="308" t="n">
        <v>1</v>
      </c>
      <c r="P142" s="308" t="n"/>
      <c r="Q142" s="308" t="inlineStr">
        <is>
          <t>V</t>
        </is>
      </c>
      <c r="R142" s="310" t="n"/>
      <c r="S142" s="310" t="n"/>
      <c r="T142" s="322" t="n">
        <v>151000</v>
      </c>
      <c r="U142" s="321" t="n">
        <v>151000</v>
      </c>
      <c r="V142" s="313" t="n">
        <v>0.12</v>
      </c>
      <c r="W142" s="953" t="n">
        <v>0.055</v>
      </c>
      <c r="X142" s="953" t="n">
        <v>0.12</v>
      </c>
      <c r="Y142" s="954" t="n"/>
      <c r="Z142" s="953" t="n">
        <v>0.04</v>
      </c>
      <c r="AA142" s="952">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849">
      <c r="A143" s="356" t="inlineStr">
        <is>
          <t>V</t>
        </is>
      </c>
      <c r="B143" s="357" t="inlineStr">
        <is>
          <t>Vacant</t>
        </is>
      </c>
      <c r="C143" s="358" t="inlineStr">
        <is>
          <t>Engineer Data (Snowflake)</t>
        </is>
      </c>
      <c r="D143" s="359" t="inlineStr">
        <is>
          <t>Vacant</t>
        </is>
      </c>
      <c r="E143" s="359" t="inlineStr">
        <is>
          <t>Technology Manager, Data &amp; Engineering</t>
        </is>
      </c>
      <c r="F143" s="360" t="inlineStr">
        <is>
          <t>Customer</t>
        </is>
      </c>
      <c r="G143" s="359" t="inlineStr">
        <is>
          <t>Loyalty &amp; Martech</t>
        </is>
      </c>
      <c r="H143" s="360" t="inlineStr">
        <is>
          <t>Loyalty, Data &amp; Engineering</t>
        </is>
      </c>
      <c r="I143" s="360" t="inlineStr">
        <is>
          <t>Customer</t>
        </is>
      </c>
      <c r="J143" s="359" t="inlineStr">
        <is>
          <t>Group Customer</t>
        </is>
      </c>
      <c r="K143" s="360" t="inlineStr">
        <is>
          <t>AU CRM &amp; Martech</t>
        </is>
      </c>
      <c r="L143" s="359" t="n"/>
      <c r="M143" s="361" t="inlineStr">
        <is>
          <t>Australia</t>
        </is>
      </c>
      <c r="N143" s="362" t="inlineStr">
        <is>
          <t>CIB</t>
        </is>
      </c>
      <c r="O143" s="362" t="n">
        <v>1</v>
      </c>
      <c r="P143" s="362" t="n"/>
      <c r="Q143" s="331" t="inlineStr">
        <is>
          <t>V</t>
        </is>
      </c>
      <c r="R143" s="363" t="n"/>
      <c r="S143" s="363" t="n"/>
      <c r="T143" s="364" t="n">
        <v>151950</v>
      </c>
      <c r="U143" s="365" t="n">
        <v>151950</v>
      </c>
      <c r="V143" s="366" t="n">
        <v>0.12</v>
      </c>
      <c r="W143" s="959" t="n">
        <v>0.055</v>
      </c>
      <c r="X143" s="959" t="n">
        <v>0.12</v>
      </c>
      <c r="Y143" s="960" t="n"/>
      <c r="Z143" s="959" t="n">
        <v>0.04</v>
      </c>
      <c r="AA143" s="961">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849">
      <c r="A144" s="356" t="inlineStr">
        <is>
          <t>V</t>
        </is>
      </c>
      <c r="B144" s="357" t="inlineStr">
        <is>
          <t>Vacant</t>
        </is>
      </c>
      <c r="C144" s="358" t="inlineStr">
        <is>
          <t>Quality Assurance</t>
        </is>
      </c>
      <c r="D144" s="359" t="inlineStr">
        <is>
          <t>Vacant</t>
        </is>
      </c>
      <c r="E144" s="359" t="inlineStr">
        <is>
          <t>Delivery Manager, Loyalty</t>
        </is>
      </c>
      <c r="F144" s="360" t="inlineStr">
        <is>
          <t>Customer</t>
        </is>
      </c>
      <c r="G144" s="359" t="inlineStr">
        <is>
          <t>Loyalty &amp; Martech</t>
        </is>
      </c>
      <c r="H144" s="360" t="inlineStr">
        <is>
          <t xml:space="preserve">Loyalty, Delivery </t>
        </is>
      </c>
      <c r="I144" s="360" t="inlineStr">
        <is>
          <t>Customer</t>
        </is>
      </c>
      <c r="J144" s="359" t="inlineStr">
        <is>
          <t>Group Customer</t>
        </is>
      </c>
      <c r="K144" s="359" t="inlineStr">
        <is>
          <t>AU CRM &amp; Martech</t>
        </is>
      </c>
      <c r="L144" s="359" t="n"/>
      <c r="M144" s="252" t="inlineStr">
        <is>
          <t>Australia</t>
        </is>
      </c>
      <c r="N144" s="308" t="inlineStr">
        <is>
          <t>CIA</t>
        </is>
      </c>
      <c r="O144" s="308" t="n">
        <v>1</v>
      </c>
      <c r="P144" s="308" t="n"/>
      <c r="Q144" s="308" t="inlineStr">
        <is>
          <t>v</t>
        </is>
      </c>
      <c r="R144" s="310" t="n"/>
      <c r="S144" s="310" t="n"/>
      <c r="T144" s="310" t="n">
        <v>129650</v>
      </c>
      <c r="U144" s="311" t="n">
        <v>129650</v>
      </c>
      <c r="V144" s="313" t="n">
        <v>0.1</v>
      </c>
      <c r="W144" s="953" t="n">
        <v>0.055</v>
      </c>
      <c r="X144" s="953" t="n">
        <v>0.12</v>
      </c>
      <c r="Y144" s="954" t="n"/>
      <c r="Z144" s="953" t="n">
        <v>0.04</v>
      </c>
      <c r="AA144" s="952">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849">
      <c r="A145" s="356" t="inlineStr">
        <is>
          <t>V</t>
        </is>
      </c>
      <c r="B145" s="357" t="inlineStr">
        <is>
          <t>Vacant</t>
        </is>
      </c>
      <c r="C145" s="358" t="inlineStr">
        <is>
          <t>System Specialist</t>
        </is>
      </c>
      <c r="D145" s="359" t="inlineStr">
        <is>
          <t>Vacant</t>
        </is>
      </c>
      <c r="E145" s="359" t="inlineStr">
        <is>
          <t>Delivery Manager, Loyalty</t>
        </is>
      </c>
      <c r="F145" s="360" t="inlineStr">
        <is>
          <t>Customer</t>
        </is>
      </c>
      <c r="G145" s="359" t="inlineStr">
        <is>
          <t>Loyalty &amp; Martech</t>
        </is>
      </c>
      <c r="H145" s="360" t="inlineStr">
        <is>
          <t xml:space="preserve">Loyalty, Delivery </t>
        </is>
      </c>
      <c r="I145" s="360" t="inlineStr">
        <is>
          <t>Customer</t>
        </is>
      </c>
      <c r="J145" s="359" t="inlineStr">
        <is>
          <t>Group Customer</t>
        </is>
      </c>
      <c r="K145" s="306" t="inlineStr">
        <is>
          <t>AU CRM &amp; Martech</t>
        </is>
      </c>
      <c r="L145" s="359" t="n"/>
      <c r="M145" s="252" t="inlineStr">
        <is>
          <t>Australia</t>
        </is>
      </c>
      <c r="N145" s="308" t="inlineStr">
        <is>
          <t>CIB</t>
        </is>
      </c>
      <c r="O145" s="308" t="n">
        <v>1</v>
      </c>
      <c r="P145" s="308" t="n"/>
      <c r="Q145" s="308" t="inlineStr">
        <is>
          <t>v</t>
        </is>
      </c>
      <c r="R145" s="310" t="n"/>
      <c r="S145" s="310" t="n"/>
      <c r="T145" s="310" t="n">
        <v>151950</v>
      </c>
      <c r="U145" s="311" t="n">
        <v>151950</v>
      </c>
      <c r="V145" s="313" t="n">
        <v>0.12</v>
      </c>
      <c r="W145" s="953" t="n">
        <v>0.055</v>
      </c>
      <c r="X145" s="953" t="n">
        <v>0.12</v>
      </c>
      <c r="Y145" s="954" t="n"/>
      <c r="Z145" s="953" t="n">
        <v>0.04</v>
      </c>
      <c r="AA145" s="952">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849">
      <c r="A146" s="250" t="inlineStr">
        <is>
          <t>V</t>
        </is>
      </c>
      <c r="B146" s="220" t="inlineStr">
        <is>
          <t>Vacant (B2B)</t>
        </is>
      </c>
      <c r="C146" s="305" t="inlineStr">
        <is>
          <t>Engineer - BE</t>
        </is>
      </c>
      <c r="D146" s="220" t="inlineStr">
        <is>
          <t>Vacant</t>
        </is>
      </c>
      <c r="E146" s="220" t="inlineStr">
        <is>
          <t>Technology Manager, Digital Engineering</t>
        </is>
      </c>
      <c r="F146" s="220" t="inlineStr">
        <is>
          <t>Customer</t>
        </is>
      </c>
      <c r="G146" s="306" t="inlineStr">
        <is>
          <t>Digital</t>
        </is>
      </c>
      <c r="H146" s="306" t="inlineStr">
        <is>
          <t>Tech, Digital Engineering</t>
        </is>
      </c>
      <c r="I146" s="306" t="inlineStr">
        <is>
          <t>Customer</t>
        </is>
      </c>
      <c r="J146" s="220" t="inlineStr">
        <is>
          <t>Ampol Digital</t>
        </is>
      </c>
      <c r="K146" s="220" t="inlineStr">
        <is>
          <t>B2B</t>
        </is>
      </c>
      <c r="L146" s="306" t="n"/>
      <c r="M146" s="252" t="inlineStr">
        <is>
          <t>Australia</t>
        </is>
      </c>
      <c r="N146" s="308" t="inlineStr">
        <is>
          <t>CIB</t>
        </is>
      </c>
      <c r="O146" s="308" t="n">
        <v>1</v>
      </c>
      <c r="P146" s="310" t="n"/>
      <c r="Q146" s="308" t="inlineStr">
        <is>
          <t>V</t>
        </is>
      </c>
      <c r="R146" s="310" t="n"/>
      <c r="S146" s="310" t="n"/>
      <c r="T146" s="310" t="n">
        <v>151950</v>
      </c>
      <c r="U146" s="311" t="n">
        <v>151950</v>
      </c>
      <c r="V146" s="313" t="n">
        <v>0.12</v>
      </c>
      <c r="W146" s="953" t="n">
        <v>0.055</v>
      </c>
      <c r="X146" s="953" t="n">
        <v>0.12</v>
      </c>
      <c r="Y146" s="954" t="n"/>
      <c r="Z146" s="953" t="n">
        <v>0.04</v>
      </c>
      <c r="AA146" s="952">
        <f>U146*(1+V146+W146+X146+Y146+Z146)</f>
        <v>202853.25</v>
      </c>
      <c r="AC146" t="inlineStr">
        <is>
          <t>Energy Solutions &amp; B2B</t>
        </is>
      </c>
      <c r="AD146" t="inlineStr">
        <is>
          <t>B2B</t>
        </is>
      </c>
      <c r="AE146" t="inlineStr">
        <is>
          <t>B2B</t>
        </is>
      </c>
      <c r="AF146" t="inlineStr">
        <is>
          <t>Squad</t>
        </is>
      </c>
      <c r="AG146" t="inlineStr">
        <is>
          <t>Filled</t>
        </is>
      </c>
    </row>
    <row r="147" hidden="1" ht="18" customHeight="1" s="849">
      <c r="A147" s="250" t="inlineStr">
        <is>
          <t>V</t>
        </is>
      </c>
      <c r="B147" s="355" t="inlineStr">
        <is>
          <t>Vacant (B2B)</t>
        </is>
      </c>
      <c r="C147" s="305" t="inlineStr">
        <is>
          <t>Engineer - BE</t>
        </is>
      </c>
      <c r="D147" s="220" t="inlineStr">
        <is>
          <t>Vacant</t>
        </is>
      </c>
      <c r="E147" s="220" t="inlineStr">
        <is>
          <t>Technology Manager, Digital Engineering</t>
        </is>
      </c>
      <c r="F147" s="220" t="inlineStr">
        <is>
          <t>Customer</t>
        </is>
      </c>
      <c r="G147" s="306" t="inlineStr">
        <is>
          <t>Digital</t>
        </is>
      </c>
      <c r="H147" s="306" t="inlineStr">
        <is>
          <t>Tech, Digital Engineering</t>
        </is>
      </c>
      <c r="I147" s="306" t="inlineStr">
        <is>
          <t>Customer</t>
        </is>
      </c>
      <c r="J147" s="220" t="inlineStr">
        <is>
          <t>Ampol Digital</t>
        </is>
      </c>
      <c r="K147" s="220" t="inlineStr">
        <is>
          <t>B2B</t>
        </is>
      </c>
      <c r="L147" s="306" t="n"/>
      <c r="M147" s="370" t="inlineStr">
        <is>
          <t>Australia</t>
        </is>
      </c>
      <c r="N147" s="340" t="inlineStr">
        <is>
          <t>CIB</t>
        </is>
      </c>
      <c r="O147" s="340" t="n">
        <v>1</v>
      </c>
      <c r="P147" s="341" t="n"/>
      <c r="Q147" s="331" t="inlineStr">
        <is>
          <t>V</t>
        </is>
      </c>
      <c r="R147" s="341" t="n"/>
      <c r="S147" s="341" t="n"/>
      <c r="T147" s="371" t="n">
        <v>151950</v>
      </c>
      <c r="U147" s="372" t="n">
        <v>151950</v>
      </c>
      <c r="V147" s="373" t="n">
        <v>0.12</v>
      </c>
      <c r="W147" s="962" t="n">
        <v>0.055</v>
      </c>
      <c r="X147" s="962" t="n">
        <v>0.12</v>
      </c>
      <c r="Y147" s="963" t="n"/>
      <c r="Z147" s="962" t="n">
        <v>0.04</v>
      </c>
      <c r="AA147" s="964">
        <f>U147*(1+V147+W147+X147+Y147+Z147)</f>
        <v>202853.25</v>
      </c>
      <c r="AC147" t="inlineStr">
        <is>
          <t>Energy Solutions &amp; B2B</t>
        </is>
      </c>
      <c r="AD147" t="inlineStr">
        <is>
          <t>B2B</t>
        </is>
      </c>
      <c r="AE147" t="inlineStr">
        <is>
          <t>B2B</t>
        </is>
      </c>
      <c r="AF147" t="inlineStr">
        <is>
          <t>Squad</t>
        </is>
      </c>
      <c r="AG147" t="inlineStr">
        <is>
          <t>Filled</t>
        </is>
      </c>
    </row>
    <row r="148" hidden="1" ht="18" customHeight="1" s="849">
      <c r="A148" s="250" t="inlineStr">
        <is>
          <t>V</t>
        </is>
      </c>
      <c r="B148" s="220" t="inlineStr">
        <is>
          <t>Vacant</t>
        </is>
      </c>
      <c r="C148" s="324" t="inlineStr">
        <is>
          <t>Engineer, (TBD)</t>
        </is>
      </c>
      <c r="D148" s="306" t="inlineStr">
        <is>
          <t>Vacant</t>
        </is>
      </c>
      <c r="E148" s="306" t="inlineStr">
        <is>
          <t>AI Enablement Lead</t>
        </is>
      </c>
      <c r="F148" s="220" t="inlineStr">
        <is>
          <t>Customer</t>
        </is>
      </c>
      <c r="G148" s="306" t="inlineStr">
        <is>
          <t>Customer, AI Enablement</t>
        </is>
      </c>
      <c r="H148" s="306" t="n"/>
      <c r="I148" s="306" t="inlineStr">
        <is>
          <t>Customer</t>
        </is>
      </c>
      <c r="J148" s="306" t="inlineStr">
        <is>
          <t>(All Customer)</t>
        </is>
      </c>
      <c r="K148" s="220" t="inlineStr">
        <is>
          <t>Customer, AI</t>
        </is>
      </c>
      <c r="L148" s="306" t="n"/>
      <c r="M148" s="307" t="inlineStr">
        <is>
          <t>Australia</t>
        </is>
      </c>
      <c r="N148" s="308" t="inlineStr">
        <is>
          <t>CIB</t>
        </is>
      </c>
      <c r="O148" s="308" t="n">
        <v>1</v>
      </c>
      <c r="P148" s="308" t="n"/>
      <c r="Q148" s="331" t="inlineStr">
        <is>
          <t>V</t>
        </is>
      </c>
      <c r="R148" s="310" t="n"/>
      <c r="S148" s="310" t="n"/>
      <c r="T148" s="322" t="n">
        <v>151950</v>
      </c>
      <c r="U148" s="321" t="n">
        <v>151950</v>
      </c>
      <c r="V148" s="313" t="n">
        <v>0.12</v>
      </c>
      <c r="W148" s="953" t="n">
        <v>0.055</v>
      </c>
      <c r="X148" s="953" t="n">
        <v>0.12</v>
      </c>
      <c r="Y148" s="954" t="n"/>
      <c r="Z148" s="953" t="n">
        <v>0.04</v>
      </c>
      <c r="AA148" s="952">
        <f>U148*(1+V148+W148+X148+Y148+Z148)</f>
        <v>202853.25</v>
      </c>
      <c r="AC148" t="inlineStr">
        <is>
          <t>Customer</t>
        </is>
      </c>
      <c r="AD148" t="inlineStr">
        <is>
          <t>-</t>
        </is>
      </c>
      <c r="AE148" t="inlineStr">
        <is>
          <t>Customer AI</t>
        </is>
      </c>
      <c r="AF148" t="inlineStr">
        <is>
          <t>Squad</t>
        </is>
      </c>
      <c r="AG148" t="inlineStr">
        <is>
          <t>Vacant</t>
        </is>
      </c>
    </row>
    <row r="149" hidden="1" ht="18" customHeight="1" s="849">
      <c r="A149" s="250" t="inlineStr">
        <is>
          <t>V</t>
        </is>
      </c>
      <c r="B149" s="220" t="inlineStr">
        <is>
          <t>Vacant</t>
        </is>
      </c>
      <c r="C149" s="324" t="inlineStr">
        <is>
          <t>Snr Engineer, (TBD</t>
        </is>
      </c>
      <c r="D149" s="306" t="inlineStr">
        <is>
          <t>Vacant</t>
        </is>
      </c>
      <c r="E149" s="306" t="inlineStr">
        <is>
          <t>AI Enablement Lead</t>
        </is>
      </c>
      <c r="F149" s="220" t="inlineStr">
        <is>
          <t>Customer</t>
        </is>
      </c>
      <c r="G149" s="306" t="inlineStr">
        <is>
          <t>Customer, AI Enablement</t>
        </is>
      </c>
      <c r="H149" s="306" t="n"/>
      <c r="I149" s="306" t="inlineStr">
        <is>
          <t>Customer</t>
        </is>
      </c>
      <c r="J149" s="306" t="inlineStr">
        <is>
          <t>(All Customer)</t>
        </is>
      </c>
      <c r="K149" s="220" t="inlineStr">
        <is>
          <t>Customer, AI</t>
        </is>
      </c>
      <c r="L149" s="306" t="n"/>
      <c r="M149" s="307" t="inlineStr">
        <is>
          <t>Australia</t>
        </is>
      </c>
      <c r="N149" s="308" t="inlineStr">
        <is>
          <t>CIB</t>
        </is>
      </c>
      <c r="O149" s="308" t="n">
        <v>1</v>
      </c>
      <c r="P149" s="308" t="n"/>
      <c r="Q149" s="331" t="inlineStr">
        <is>
          <t>v</t>
        </is>
      </c>
      <c r="R149" s="310" t="n"/>
      <c r="S149" s="310" t="n"/>
      <c r="T149" s="322" t="n">
        <v>151950</v>
      </c>
      <c r="U149" s="321" t="n">
        <v>151950</v>
      </c>
      <c r="V149" s="313" t="n">
        <v>0.12</v>
      </c>
      <c r="W149" s="953" t="n">
        <v>0.055</v>
      </c>
      <c r="X149" s="953" t="n">
        <v>0.12</v>
      </c>
      <c r="Y149" s="954" t="n"/>
      <c r="Z149" s="953" t="n">
        <v>0.04</v>
      </c>
      <c r="AA149" s="952">
        <f>U149*(1+V149+W149+X149+Y149+Z149)</f>
        <v>202853.25</v>
      </c>
      <c r="AC149" t="inlineStr">
        <is>
          <t>Customer</t>
        </is>
      </c>
      <c r="AD149" t="inlineStr">
        <is>
          <t>-</t>
        </is>
      </c>
      <c r="AE149" t="inlineStr">
        <is>
          <t>Customer AI</t>
        </is>
      </c>
      <c r="AF149" t="inlineStr">
        <is>
          <t>Squad</t>
        </is>
      </c>
      <c r="AG149" t="inlineStr">
        <is>
          <t>Vacant</t>
        </is>
      </c>
    </row>
    <row r="150" hidden="1" ht="18" customHeight="1" s="849">
      <c r="A150" s="250" t="n">
        <v>97357</v>
      </c>
      <c r="B150" s="220" t="inlineStr">
        <is>
          <t>Daniel Arban</t>
        </is>
      </c>
      <c r="C150" s="305" t="inlineStr">
        <is>
          <t>Service Delivery Lead</t>
        </is>
      </c>
      <c r="D150" s="220" t="inlineStr">
        <is>
          <t>Mark Wilson</t>
        </is>
      </c>
      <c r="E150" s="220" t="inlineStr">
        <is>
          <t>Digital Support Manager(AU)</t>
        </is>
      </c>
      <c r="F150" s="220" t="inlineStr">
        <is>
          <t>Customer</t>
        </is>
      </c>
      <c r="G150" s="306" t="inlineStr">
        <is>
          <t>Digital</t>
        </is>
      </c>
      <c r="H150" s="220" t="inlineStr">
        <is>
          <t>Digital Support (AU)</t>
        </is>
      </c>
      <c r="I150" s="306" t="inlineStr">
        <is>
          <t>Customer</t>
        </is>
      </c>
      <c r="J150" s="220" t="inlineStr">
        <is>
          <t>Ampol Digital</t>
        </is>
      </c>
      <c r="K150" s="220" t="inlineStr">
        <is>
          <t>Digital Ops Support</t>
        </is>
      </c>
      <c r="L150" s="306" t="n"/>
      <c r="M150" s="307" t="inlineStr">
        <is>
          <t>Australia</t>
        </is>
      </c>
      <c r="N150" s="308" t="inlineStr">
        <is>
          <t>CIA</t>
        </is>
      </c>
      <c r="O150" s="308" t="n">
        <v>1</v>
      </c>
      <c r="P150" s="308" t="n"/>
      <c r="Q150" s="331" t="inlineStr">
        <is>
          <t>Permanent - Full Time</t>
        </is>
      </c>
      <c r="R150" s="310" t="n"/>
      <c r="S150" s="310" t="n"/>
      <c r="T150" s="322" t="n">
        <v>126130</v>
      </c>
      <c r="U150" s="321" t="n">
        <v>126130</v>
      </c>
      <c r="V150" s="313" t="n">
        <v>0.1</v>
      </c>
      <c r="W150" s="953" t="n">
        <v>0.055</v>
      </c>
      <c r="X150" s="953" t="n">
        <v>0.12</v>
      </c>
      <c r="Y150" s="954" t="n"/>
      <c r="Z150" s="953" t="n">
        <v>0.04</v>
      </c>
      <c r="AA150" s="952">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849">
      <c r="A151" s="250" t="n">
        <v>106200</v>
      </c>
      <c r="B151" s="220" t="inlineStr">
        <is>
          <t>Emile Violi</t>
        </is>
      </c>
      <c r="C151" s="305" t="inlineStr">
        <is>
          <t>Engineer - BE</t>
        </is>
      </c>
      <c r="D151" s="220" t="inlineStr">
        <is>
          <t>Mark Wilson</t>
        </is>
      </c>
      <c r="E151" s="220" t="inlineStr">
        <is>
          <t>Digital Support Manager(AU)</t>
        </is>
      </c>
      <c r="F151" s="220" t="inlineStr">
        <is>
          <t>Customer</t>
        </is>
      </c>
      <c r="G151" s="306" t="inlineStr">
        <is>
          <t>Digital</t>
        </is>
      </c>
      <c r="H151" s="220" t="inlineStr">
        <is>
          <t>Digital Support (AU)</t>
        </is>
      </c>
      <c r="I151" s="306" t="inlineStr">
        <is>
          <t>Customer</t>
        </is>
      </c>
      <c r="J151" s="220" t="inlineStr">
        <is>
          <t>Ampol Digital</t>
        </is>
      </c>
      <c r="K151" s="220" t="inlineStr">
        <is>
          <t>Digital Ops Support</t>
        </is>
      </c>
      <c r="L151" s="306" t="n"/>
      <c r="M151" s="307" t="inlineStr">
        <is>
          <t>Australia</t>
        </is>
      </c>
      <c r="N151" s="308" t="inlineStr">
        <is>
          <t>CIB</t>
        </is>
      </c>
      <c r="O151" s="308" t="n">
        <v>1</v>
      </c>
      <c r="P151" s="308" t="n"/>
      <c r="Q151" s="331" t="inlineStr">
        <is>
          <t>Permanent - Full Time</t>
        </is>
      </c>
      <c r="R151" s="310" t="n"/>
      <c r="S151" s="310" t="n"/>
      <c r="T151" s="322" t="n">
        <v>160740</v>
      </c>
      <c r="U151" s="321" t="n">
        <v>160740</v>
      </c>
      <c r="V151" s="313" t="n">
        <v>0.12</v>
      </c>
      <c r="W151" s="953" t="n">
        <v>0.055</v>
      </c>
      <c r="X151" s="953" t="n">
        <v>0.12</v>
      </c>
      <c r="Y151" s="954" t="n"/>
      <c r="Z151" s="953" t="n">
        <v>0.04</v>
      </c>
      <c r="AA151" s="952">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849">
      <c r="A152" s="250" t="n">
        <v>4781</v>
      </c>
      <c r="B152" s="220" t="inlineStr">
        <is>
          <t>Mark Wilson</t>
        </is>
      </c>
      <c r="C152" s="305" t="inlineStr">
        <is>
          <t>Digital Support Manager (AU)</t>
        </is>
      </c>
      <c r="D152" s="220" t="inlineStr">
        <is>
          <t>Shona Paul</t>
        </is>
      </c>
      <c r="E152" s="220" t="inlineStr">
        <is>
          <t>Head of Technology, Digital</t>
        </is>
      </c>
      <c r="F152" s="220" t="inlineStr">
        <is>
          <t>Customer</t>
        </is>
      </c>
      <c r="G152" s="306" t="inlineStr">
        <is>
          <t>Digital</t>
        </is>
      </c>
      <c r="H152" s="306" t="inlineStr">
        <is>
          <t>Digital Support (AU)</t>
        </is>
      </c>
      <c r="I152" s="306" t="inlineStr">
        <is>
          <t>Customer</t>
        </is>
      </c>
      <c r="J152" s="220" t="inlineStr">
        <is>
          <t>Ampol Digital</t>
        </is>
      </c>
      <c r="K152" s="220" t="inlineStr">
        <is>
          <t>Digital Ops Support</t>
        </is>
      </c>
      <c r="L152" s="306" t="n"/>
      <c r="M152" s="307" t="inlineStr">
        <is>
          <t>Australia</t>
        </is>
      </c>
      <c r="N152" s="310" t="inlineStr">
        <is>
          <t>CIC</t>
        </is>
      </c>
      <c r="O152" s="310" t="n">
        <v>1</v>
      </c>
      <c r="P152" s="310" t="n"/>
      <c r="Q152" s="329" t="inlineStr">
        <is>
          <t>Permanent - Full Time</t>
        </is>
      </c>
      <c r="R152" s="310" t="n"/>
      <c r="S152" s="310" t="n"/>
      <c r="T152" s="322" t="n">
        <v>193100</v>
      </c>
      <c r="U152" s="321" t="n">
        <v>193100</v>
      </c>
      <c r="V152" s="313" t="n">
        <v>0.12</v>
      </c>
      <c r="W152" s="953" t="n">
        <v>0.055</v>
      </c>
      <c r="X152" s="953" t="n">
        <v>0.12</v>
      </c>
      <c r="Y152" s="954" t="n"/>
      <c r="Z152" s="953" t="n">
        <v>0.04</v>
      </c>
      <c r="AA152" s="952">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849">
      <c r="A153" s="250" t="inlineStr">
        <is>
          <t>c</t>
        </is>
      </c>
      <c r="B153" s="261" t="inlineStr">
        <is>
          <t>Shreema Das</t>
        </is>
      </c>
      <c r="C153" s="305" t="inlineStr">
        <is>
          <t>Solution Architect</t>
        </is>
      </c>
      <c r="D153" s="220" t="inlineStr">
        <is>
          <t>Mitesh Shah</t>
        </is>
      </c>
      <c r="E153" s="220" t="inlineStr">
        <is>
          <t>Technology Manager, Digitial</t>
        </is>
      </c>
      <c r="F153" s="220" t="inlineStr">
        <is>
          <t>Customer</t>
        </is>
      </c>
      <c r="G153" s="306" t="inlineStr">
        <is>
          <t>Digital</t>
        </is>
      </c>
      <c r="H153" s="220" t="inlineStr">
        <is>
          <t>Digital, Tech</t>
        </is>
      </c>
      <c r="I153" s="306" t="inlineStr">
        <is>
          <t>Customer</t>
        </is>
      </c>
      <c r="J153" s="220" t="inlineStr">
        <is>
          <t>Ampol Digital</t>
        </is>
      </c>
      <c r="K153" s="220" t="inlineStr">
        <is>
          <t>Digital Ops Support</t>
        </is>
      </c>
      <c r="L153" s="306" t="n"/>
      <c r="M153" s="307" t="inlineStr">
        <is>
          <t>Australia</t>
        </is>
      </c>
      <c r="N153" s="310" t="inlineStr">
        <is>
          <t>NA</t>
        </is>
      </c>
      <c r="O153" s="308" t="n">
        <v>1</v>
      </c>
      <c r="P153" s="308" t="n"/>
      <c r="Q153" s="331" t="inlineStr">
        <is>
          <t>?</t>
        </is>
      </c>
      <c r="R153" s="319" t="inlineStr">
        <is>
          <t>?</t>
        </is>
      </c>
      <c r="S153" s="337" t="n">
        <v>1200</v>
      </c>
      <c r="T153" s="322" t="n">
        <v>0</v>
      </c>
      <c r="U153" s="322" t="n"/>
      <c r="V153" s="306" t="n"/>
      <c r="W153" s="306" t="n"/>
      <c r="X153" s="306" t="n"/>
      <c r="Y153" s="306" t="n"/>
      <c r="Z153" s="306" t="n"/>
      <c r="AA153" s="320">
        <f>S153*222</f>
        <v>266400.0</v>
      </c>
      <c r="AC153" t="inlineStr">
        <is>
          <t>Customer</t>
        </is>
      </c>
      <c r="AD153" t="inlineStr">
        <is>
          <t>Ampol Digital</t>
        </is>
      </c>
      <c r="AE153" t="inlineStr">
        <is>
          <t>Digital Operations</t>
        </is>
      </c>
      <c r="AF153" t="inlineStr">
        <is>
          <t>Squad</t>
        </is>
      </c>
      <c r="AG153" t="inlineStr">
        <is>
          <t>Filled</t>
        </is>
      </c>
    </row>
    <row r="154" hidden="1" ht="18" customHeight="1" s="849">
      <c r="A154" s="250" t="inlineStr">
        <is>
          <t>V</t>
        </is>
      </c>
      <c r="B154" s="220" t="inlineStr">
        <is>
          <t>Vacant</t>
        </is>
      </c>
      <c r="C154" s="305" t="inlineStr">
        <is>
          <t>Engineer - BE</t>
        </is>
      </c>
      <c r="D154" s="220" t="inlineStr">
        <is>
          <t>Mark Wilson</t>
        </is>
      </c>
      <c r="E154" s="220" t="inlineStr">
        <is>
          <t>Digital Support Manager(AU)</t>
        </is>
      </c>
      <c r="F154" s="220" t="inlineStr">
        <is>
          <t>Customer</t>
        </is>
      </c>
      <c r="G154" s="306" t="inlineStr">
        <is>
          <t>Digital</t>
        </is>
      </c>
      <c r="H154" s="220" t="inlineStr">
        <is>
          <t>Digital Support (AU)</t>
        </is>
      </c>
      <c r="I154" s="306" t="inlineStr">
        <is>
          <t>Customer</t>
        </is>
      </c>
      <c r="J154" s="220" t="inlineStr">
        <is>
          <t>Ampol Digital</t>
        </is>
      </c>
      <c r="K154" s="220" t="inlineStr">
        <is>
          <t>Digital Ops Support</t>
        </is>
      </c>
      <c r="L154" s="306" t="n"/>
      <c r="M154" s="307" t="inlineStr">
        <is>
          <t>Australia</t>
        </is>
      </c>
      <c r="N154" s="308" t="inlineStr">
        <is>
          <t>CIB</t>
        </is>
      </c>
      <c r="O154" s="308" t="n">
        <v>1</v>
      </c>
      <c r="P154" s="308" t="n"/>
      <c r="Q154" s="331" t="inlineStr">
        <is>
          <t>V</t>
        </is>
      </c>
      <c r="R154" s="310" t="n"/>
      <c r="S154" s="310" t="n"/>
      <c r="T154" s="322" t="n">
        <v>151950</v>
      </c>
      <c r="U154" s="321" t="n">
        <v>151950</v>
      </c>
      <c r="V154" s="313" t="n">
        <v>0.12</v>
      </c>
      <c r="W154" s="953" t="n">
        <v>0.055</v>
      </c>
      <c r="X154" s="953" t="n">
        <v>0.12</v>
      </c>
      <c r="Y154" s="954" t="n"/>
      <c r="Z154" s="953" t="n">
        <v>0.04</v>
      </c>
      <c r="AA154" s="952">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849">
      <c r="A155" s="250" t="inlineStr">
        <is>
          <t>V</t>
        </is>
      </c>
      <c r="B155" s="220" t="inlineStr">
        <is>
          <t>Vacant</t>
        </is>
      </c>
      <c r="C155" s="305" t="inlineStr">
        <is>
          <t>Engineer - BE</t>
        </is>
      </c>
      <c r="D155" s="220" t="inlineStr">
        <is>
          <t>Mark Wilson</t>
        </is>
      </c>
      <c r="E155" s="220" t="inlineStr">
        <is>
          <t>Digital Support Manager(AU)</t>
        </is>
      </c>
      <c r="F155" s="220" t="inlineStr">
        <is>
          <t>Customer</t>
        </is>
      </c>
      <c r="G155" s="306" t="inlineStr">
        <is>
          <t>Digital</t>
        </is>
      </c>
      <c r="H155" s="220" t="inlineStr">
        <is>
          <t>Digital Support (AU)</t>
        </is>
      </c>
      <c r="I155" s="306" t="inlineStr">
        <is>
          <t>Customer</t>
        </is>
      </c>
      <c r="J155" s="220" t="inlineStr">
        <is>
          <t>Ampol Digital</t>
        </is>
      </c>
      <c r="K155" s="220" t="inlineStr">
        <is>
          <t>Digital Ops Support</t>
        </is>
      </c>
      <c r="L155" s="306" t="n"/>
      <c r="M155" s="307" t="inlineStr">
        <is>
          <t>Australia</t>
        </is>
      </c>
      <c r="N155" s="308" t="inlineStr">
        <is>
          <t>CIB</t>
        </is>
      </c>
      <c r="O155" s="308" t="n">
        <v>1</v>
      </c>
      <c r="P155" s="338" t="n"/>
      <c r="Q155" s="331" t="inlineStr">
        <is>
          <t>V</t>
        </is>
      </c>
      <c r="R155" s="339" t="n"/>
      <c r="S155" s="310" t="n"/>
      <c r="T155" s="322" t="n">
        <v>151950</v>
      </c>
      <c r="U155" s="321" t="n">
        <v>151950</v>
      </c>
      <c r="V155" s="313" t="n">
        <v>0.12</v>
      </c>
      <c r="W155" s="953" t="n">
        <v>0.055</v>
      </c>
      <c r="X155" s="953" t="n">
        <v>0.12</v>
      </c>
      <c r="Y155" s="954" t="n"/>
      <c r="Z155" s="953" t="n">
        <v>0.04</v>
      </c>
      <c r="AA155" s="952">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849">
      <c r="A156" s="250" t="inlineStr">
        <is>
          <t>V</t>
        </is>
      </c>
      <c r="B156" s="220" t="inlineStr">
        <is>
          <t>Vacant</t>
        </is>
      </c>
      <c r="C156" s="305" t="inlineStr">
        <is>
          <t>Quality Assurance</t>
        </is>
      </c>
      <c r="D156" s="220" t="inlineStr">
        <is>
          <t>Mark Wilson</t>
        </is>
      </c>
      <c r="E156" s="220" t="inlineStr">
        <is>
          <t>Digital Support Manager(AU)</t>
        </is>
      </c>
      <c r="F156" s="220" t="inlineStr">
        <is>
          <t>Customer</t>
        </is>
      </c>
      <c r="G156" s="306" t="inlineStr">
        <is>
          <t>Digital</t>
        </is>
      </c>
      <c r="H156" s="220" t="inlineStr">
        <is>
          <t>Digital Support (AU)</t>
        </is>
      </c>
      <c r="I156" s="306" t="inlineStr">
        <is>
          <t>Customer</t>
        </is>
      </c>
      <c r="J156" s="220" t="inlineStr">
        <is>
          <t>Ampol Digital</t>
        </is>
      </c>
      <c r="K156" s="220" t="inlineStr">
        <is>
          <t>Digital Ops Support</t>
        </is>
      </c>
      <c r="L156" s="306" t="n"/>
      <c r="M156" s="307" t="inlineStr">
        <is>
          <t>Australia</t>
        </is>
      </c>
      <c r="N156" s="308" t="inlineStr">
        <is>
          <t>CIA</t>
        </is>
      </c>
      <c r="O156" s="308" t="n">
        <v>1</v>
      </c>
      <c r="P156" s="308" t="n"/>
      <c r="Q156" s="308" t="inlineStr">
        <is>
          <t>v</t>
        </is>
      </c>
      <c r="R156" s="310" t="n"/>
      <c r="S156" s="310" t="n"/>
      <c r="T156" s="322" t="n">
        <v>129650</v>
      </c>
      <c r="U156" s="321" t="n">
        <v>129650</v>
      </c>
      <c r="V156" s="313" t="n">
        <v>0.1</v>
      </c>
      <c r="W156" s="953" t="n">
        <v>0.055</v>
      </c>
      <c r="X156" s="953" t="n">
        <v>0.12</v>
      </c>
      <c r="Y156" s="954" t="n"/>
      <c r="Z156" s="953" t="n">
        <v>0.04</v>
      </c>
      <c r="AA156" s="952">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849">
      <c r="A157" s="250" t="inlineStr">
        <is>
          <t>C</t>
        </is>
      </c>
      <c r="B157" s="220" t="inlineStr">
        <is>
          <t>Alan Peng</t>
        </is>
      </c>
      <c r="C157" s="305" t="inlineStr">
        <is>
          <t>Delivery Lead</t>
        </is>
      </c>
      <c r="D157" s="306" t="inlineStr">
        <is>
          <t>Vacant</t>
        </is>
      </c>
      <c r="E157" s="220" t="inlineStr">
        <is>
          <t>Delivery Manager, Digital</t>
        </is>
      </c>
      <c r="F157" s="220" t="inlineStr">
        <is>
          <t>Customer</t>
        </is>
      </c>
      <c r="G157" s="306" t="inlineStr">
        <is>
          <t>Digital</t>
        </is>
      </c>
      <c r="H157" s="306" t="inlineStr">
        <is>
          <t>Digital, Delivery</t>
        </is>
      </c>
      <c r="I157" s="306" t="inlineStr">
        <is>
          <t>EGI Integration</t>
        </is>
      </c>
      <c r="J157" s="220" t="inlineStr">
        <is>
          <t>EGI</t>
        </is>
      </c>
      <c r="K157" s="220" t="inlineStr">
        <is>
          <t>EGI Customer</t>
        </is>
      </c>
      <c r="L157" s="306" t="n"/>
      <c r="M157" s="307" t="inlineStr">
        <is>
          <t>Australia</t>
        </is>
      </c>
      <c r="N157" s="310" t="inlineStr">
        <is>
          <t>NA</t>
        </is>
      </c>
      <c r="O157" s="308" t="n">
        <v>1</v>
      </c>
      <c r="P157" s="310" t="n"/>
      <c r="Q157" s="310" t="inlineStr">
        <is>
          <t>cxc</t>
        </is>
      </c>
      <c r="R157" s="319" t="inlineStr">
        <is>
          <t>Daily</t>
        </is>
      </c>
      <c r="S157" s="310" t="n">
        <v>1084.84</v>
      </c>
      <c r="T157" s="322" t="n">
        <v>0</v>
      </c>
      <c r="U157" s="322" t="n"/>
      <c r="V157" s="306" t="n"/>
      <c r="W157" s="306" t="n"/>
      <c r="X157" s="306" t="n"/>
      <c r="Y157" s="306" t="n"/>
      <c r="Z157" s="306" t="n"/>
      <c r="AA157" s="320">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849">
      <c r="A158" s="250" t="n">
        <v>98144</v>
      </c>
      <c r="B158" s="220" t="inlineStr">
        <is>
          <t>Angie Ng</t>
        </is>
      </c>
      <c r="C158" s="305" t="inlineStr">
        <is>
          <t>Snr Engineer - BE</t>
        </is>
      </c>
      <c r="D158" s="220" t="inlineStr">
        <is>
          <t>Khalid Mahmud</t>
        </is>
      </c>
      <c r="E158" s="220" t="inlineStr">
        <is>
          <t>Lead Engineer - BE</t>
        </is>
      </c>
      <c r="F158" s="220" t="inlineStr">
        <is>
          <t>Customer</t>
        </is>
      </c>
      <c r="G158" s="306" t="inlineStr">
        <is>
          <t>Digital</t>
        </is>
      </c>
      <c r="H158" s="306" t="inlineStr">
        <is>
          <t>Tech, Digital Engineering</t>
        </is>
      </c>
      <c r="I158" s="306" t="inlineStr">
        <is>
          <t>EGI Integration</t>
        </is>
      </c>
      <c r="J158" s="220" t="inlineStr">
        <is>
          <t>EGI</t>
        </is>
      </c>
      <c r="K158" s="220" t="inlineStr">
        <is>
          <t>EGI Customer</t>
        </is>
      </c>
      <c r="L158" s="306" t="n"/>
      <c r="M158" s="307" t="inlineStr">
        <is>
          <t>Australia</t>
        </is>
      </c>
      <c r="N158" s="308" t="inlineStr">
        <is>
          <t>CIB</t>
        </is>
      </c>
      <c r="O158" s="308" t="n">
        <v>1</v>
      </c>
      <c r="P158" s="308" t="n"/>
      <c r="Q158" s="308" t="inlineStr">
        <is>
          <t>Permanent - Full Time</t>
        </is>
      </c>
      <c r="R158" s="310" t="n"/>
      <c r="S158" s="310" t="n"/>
      <c r="T158" s="322" t="n">
        <v>163990</v>
      </c>
      <c r="U158" s="321" t="n">
        <v>163990</v>
      </c>
      <c r="V158" s="313" t="n">
        <v>0.12</v>
      </c>
      <c r="W158" s="953" t="n">
        <v>0.055</v>
      </c>
      <c r="X158" s="953" t="n">
        <v>0.12</v>
      </c>
      <c r="Y158" s="954" t="n"/>
      <c r="Z158" s="953" t="n">
        <v>0.04</v>
      </c>
      <c r="AA158" s="952">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849">
      <c r="A159" s="250" t="n"/>
      <c r="B159" s="220" t="inlineStr">
        <is>
          <t>Dasha Fothergill</t>
        </is>
      </c>
      <c r="C159" s="305" t="inlineStr">
        <is>
          <t>Data Analyst</t>
        </is>
      </c>
      <c r="D159" s="220" t="inlineStr">
        <is>
          <t>Vacant</t>
        </is>
      </c>
      <c r="E159" s="220" t="inlineStr">
        <is>
          <t>Technology Manager, Data &amp; Engineering</t>
        </is>
      </c>
      <c r="F159" s="323" t="inlineStr">
        <is>
          <t>Customer</t>
        </is>
      </c>
      <c r="G159" s="306" t="inlineStr">
        <is>
          <t>Loyalty &amp; Martech</t>
        </is>
      </c>
      <c r="H159" s="323" t="inlineStr">
        <is>
          <t>Loyalty, Data &amp; Engineering</t>
        </is>
      </c>
      <c r="I159" s="306" t="inlineStr">
        <is>
          <t>EGI Integration</t>
        </is>
      </c>
      <c r="J159" s="306" t="inlineStr">
        <is>
          <t>EGI</t>
        </is>
      </c>
      <c r="K159" s="220" t="inlineStr">
        <is>
          <t>EGI Customer</t>
        </is>
      </c>
      <c r="L159" s="306" t="n"/>
      <c r="M159" s="307" t="inlineStr">
        <is>
          <t>NZ</t>
        </is>
      </c>
      <c r="N159" s="310" t="inlineStr">
        <is>
          <t>CIA</t>
        </is>
      </c>
      <c r="O159" s="309" t="n">
        <v>1</v>
      </c>
      <c r="P159" s="310" t="n"/>
      <c r="Q159" s="309" t="inlineStr">
        <is>
          <t>Permanent - Full Time</t>
        </is>
      </c>
      <c r="R159" s="319" t="n"/>
      <c r="S159" s="310" t="n"/>
      <c r="T159" s="377" t="n">
        <v>120000</v>
      </c>
      <c r="U159" s="321" t="n">
        <v>110400</v>
      </c>
      <c r="V159" s="312" t="n">
        <v>0.15</v>
      </c>
      <c r="W159" s="310" t="n"/>
      <c r="X159" s="313" t="n">
        <v>0.05</v>
      </c>
      <c r="Y159" s="951" t="n">
        <v>2910</v>
      </c>
      <c r="Z159" s="313" t="n">
        <v>0.03</v>
      </c>
      <c r="AA159" s="965">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849">
      <c r="A160" s="250" t="n">
        <v>107781</v>
      </c>
      <c r="B160" s="220" t="inlineStr">
        <is>
          <t>Ramez Haider</t>
        </is>
      </c>
      <c r="C160" s="305" t="inlineStr">
        <is>
          <t>Solution Architect</t>
        </is>
      </c>
      <c r="D160" s="220" t="inlineStr">
        <is>
          <t>Mitesh Shah</t>
        </is>
      </c>
      <c r="E160" s="220" t="inlineStr">
        <is>
          <t>Technology Manager, Digitial</t>
        </is>
      </c>
      <c r="F160" s="220" t="inlineStr">
        <is>
          <t>Customer</t>
        </is>
      </c>
      <c r="G160" s="306" t="inlineStr">
        <is>
          <t>Digital</t>
        </is>
      </c>
      <c r="H160" s="220" t="inlineStr">
        <is>
          <t>Digital, Tech</t>
        </is>
      </c>
      <c r="I160" s="306" t="inlineStr">
        <is>
          <t>EGI Integration</t>
        </is>
      </c>
      <c r="J160" s="220" t="inlineStr">
        <is>
          <t>EGI</t>
        </is>
      </c>
      <c r="K160" s="220" t="inlineStr">
        <is>
          <t>EGI Customer</t>
        </is>
      </c>
      <c r="L160" s="306" t="n"/>
      <c r="M160" s="307" t="inlineStr">
        <is>
          <t>Australia</t>
        </is>
      </c>
      <c r="N160" s="308" t="inlineStr">
        <is>
          <t>CIB</t>
        </is>
      </c>
      <c r="O160" s="308" t="n">
        <v>1</v>
      </c>
      <c r="P160" s="308" t="n"/>
      <c r="Q160" s="308" t="inlineStr">
        <is>
          <t>Permanent - Full Time</t>
        </is>
      </c>
      <c r="R160" s="310" t="n"/>
      <c r="S160" s="310" t="n"/>
      <c r="T160" s="322" t="n">
        <v>167750</v>
      </c>
      <c r="U160" s="321" t="n">
        <v>167750</v>
      </c>
      <c r="V160" s="313" t="n">
        <v>0.12</v>
      </c>
      <c r="W160" s="953" t="n">
        <v>0.055</v>
      </c>
      <c r="X160" s="953" t="n">
        <v>0.12</v>
      </c>
      <c r="Y160" s="954" t="n"/>
      <c r="Z160" s="953" t="n">
        <v>0.04</v>
      </c>
      <c r="AA160" s="952">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849">
      <c r="A161" s="250" t="n">
        <v>114395</v>
      </c>
      <c r="B161" s="220" t="inlineStr">
        <is>
          <t>Rishabh Bhatia</t>
        </is>
      </c>
      <c r="C161" s="305" t="inlineStr">
        <is>
          <t>Engineer - Mobile (Android)</t>
        </is>
      </c>
      <c r="D161" s="220" t="inlineStr">
        <is>
          <t>Mitesh Shah</t>
        </is>
      </c>
      <c r="E161" s="220" t="inlineStr">
        <is>
          <t>Technology Manager, Digitial</t>
        </is>
      </c>
      <c r="F161" s="220" t="inlineStr">
        <is>
          <t>Customer</t>
        </is>
      </c>
      <c r="G161" s="306" t="inlineStr">
        <is>
          <t>Digital</t>
        </is>
      </c>
      <c r="H161" s="220" t="inlineStr">
        <is>
          <t>Digital, Tech</t>
        </is>
      </c>
      <c r="I161" s="306" t="inlineStr">
        <is>
          <t>EGI Integration</t>
        </is>
      </c>
      <c r="J161" s="220" t="inlineStr">
        <is>
          <t>EGI</t>
        </is>
      </c>
      <c r="K161" s="220" t="inlineStr">
        <is>
          <t>EGI Customer</t>
        </is>
      </c>
      <c r="L161" s="306" t="n"/>
      <c r="M161" s="307" t="inlineStr">
        <is>
          <t>Australia</t>
        </is>
      </c>
      <c r="N161" s="308" t="inlineStr">
        <is>
          <t>CIB</t>
        </is>
      </c>
      <c r="O161" s="308" t="n">
        <v>1</v>
      </c>
      <c r="P161" s="308" t="n"/>
      <c r="Q161" s="308" t="inlineStr">
        <is>
          <t>Permanent - Full Time</t>
        </is>
      </c>
      <c r="R161" s="310" t="n"/>
      <c r="S161" s="310" t="n"/>
      <c r="T161" s="322" t="n">
        <v>148310</v>
      </c>
      <c r="U161" s="321" t="n">
        <v>148310</v>
      </c>
      <c r="V161" s="313" t="n">
        <v>0.12</v>
      </c>
      <c r="W161" s="953" t="n">
        <v>0.055</v>
      </c>
      <c r="X161" s="953" t="n">
        <v>0.12</v>
      </c>
      <c r="Y161" s="954" t="n"/>
      <c r="Z161" s="953" t="n">
        <v>0.04</v>
      </c>
      <c r="AA161" s="952">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849">
      <c r="A162" s="250" t="inlineStr">
        <is>
          <t>C</t>
        </is>
      </c>
      <c r="B162" s="220" t="inlineStr">
        <is>
          <t>Rob Jadrjevic</t>
        </is>
      </c>
      <c r="C162" s="305" t="inlineStr">
        <is>
          <t>Engineer - BE</t>
        </is>
      </c>
      <c r="D162" s="220" t="inlineStr">
        <is>
          <t>Vacant</t>
        </is>
      </c>
      <c r="E162" s="220" t="inlineStr">
        <is>
          <t>Technology Manager, Digital Engineering</t>
        </is>
      </c>
      <c r="F162" s="220" t="inlineStr">
        <is>
          <t>Customer</t>
        </is>
      </c>
      <c r="G162" s="306" t="inlineStr">
        <is>
          <t>Digital</t>
        </is>
      </c>
      <c r="H162" s="306" t="inlineStr">
        <is>
          <t>Tech, Digital Engineering</t>
        </is>
      </c>
      <c r="I162" s="306" t="inlineStr">
        <is>
          <t>EGI Integration</t>
        </is>
      </c>
      <c r="J162" s="220" t="inlineStr">
        <is>
          <t>EGI</t>
        </is>
      </c>
      <c r="K162" s="220" t="inlineStr">
        <is>
          <t>EGI Customer</t>
        </is>
      </c>
      <c r="L162" s="306" t="n"/>
      <c r="M162" s="307" t="inlineStr">
        <is>
          <t>Australia</t>
        </is>
      </c>
      <c r="N162" s="310" t="inlineStr">
        <is>
          <t>NA</t>
        </is>
      </c>
      <c r="O162" s="308" t="n">
        <v>1</v>
      </c>
      <c r="P162" s="310" t="n"/>
      <c r="Q162" s="310" t="inlineStr">
        <is>
          <t>cxc</t>
        </is>
      </c>
      <c r="R162" s="319" t="inlineStr">
        <is>
          <t>Daily</t>
        </is>
      </c>
      <c r="S162" s="310" t="n">
        <v>1350</v>
      </c>
      <c r="T162" s="322" t="n">
        <v>0</v>
      </c>
      <c r="U162" s="322" t="n"/>
      <c r="V162" s="306" t="n"/>
      <c r="W162" s="306" t="n"/>
      <c r="X162" s="306" t="n"/>
      <c r="Y162" s="306" t="n"/>
      <c r="Z162" s="306" t="n"/>
      <c r="AA162" s="320">
        <f>S162*222</f>
        <v>299700.0</v>
      </c>
      <c r="AC162" t="inlineStr">
        <is>
          <t>Customer</t>
        </is>
      </c>
      <c r="AD162" t="inlineStr">
        <is>
          <t>EGI Customer</t>
        </is>
      </c>
      <c r="AE162" t="inlineStr">
        <is>
          <t>EGI Customer</t>
        </is>
      </c>
      <c r="AF162" t="inlineStr">
        <is>
          <t>Strategic Program</t>
        </is>
      </c>
      <c r="AG162" t="inlineStr">
        <is>
          <t>Filled</t>
        </is>
      </c>
    </row>
    <row r="163" hidden="1" ht="18" customHeight="1" s="849">
      <c r="A163" s="379" t="n">
        <v>88332</v>
      </c>
      <c r="B163" s="220" t="inlineStr">
        <is>
          <t>Safiq Iqbal</t>
        </is>
      </c>
      <c r="C163" s="305" t="inlineStr">
        <is>
          <t>Principal Engineer</t>
        </is>
      </c>
      <c r="D163" s="220" t="inlineStr">
        <is>
          <t>Shona Paul</t>
        </is>
      </c>
      <c r="E163" s="220" t="inlineStr">
        <is>
          <t>Head of Technology, Digital</t>
        </is>
      </c>
      <c r="F163" s="220" t="inlineStr">
        <is>
          <t>Customer</t>
        </is>
      </c>
      <c r="G163" s="306" t="inlineStr">
        <is>
          <t>Digital</t>
        </is>
      </c>
      <c r="H163" s="306" t="inlineStr">
        <is>
          <t>EGI</t>
        </is>
      </c>
      <c r="I163" s="306" t="inlineStr">
        <is>
          <t>EGI Integration</t>
        </is>
      </c>
      <c r="J163" s="220" t="inlineStr">
        <is>
          <t>EGI</t>
        </is>
      </c>
      <c r="K163" s="220" t="inlineStr">
        <is>
          <t>EGI Customer</t>
        </is>
      </c>
      <c r="L163" s="306" t="n"/>
      <c r="M163" s="307" t="inlineStr">
        <is>
          <t>Australia</t>
        </is>
      </c>
      <c r="N163" s="380" t="inlineStr">
        <is>
          <t xml:space="preserve">CIC </t>
        </is>
      </c>
      <c r="O163" s="380" t="n">
        <v>1</v>
      </c>
      <c r="P163" s="380" t="n"/>
      <c r="Q163" s="380" t="inlineStr">
        <is>
          <t>Permanent - Full Time</t>
        </is>
      </c>
      <c r="R163" s="220" t="n"/>
      <c r="S163" s="220" t="n"/>
      <c r="T163" s="377" t="n">
        <v>182760</v>
      </c>
      <c r="U163" s="321" t="n">
        <v>182760</v>
      </c>
      <c r="V163" s="313" t="n">
        <v>0.12</v>
      </c>
      <c r="W163" s="953" t="n">
        <v>0.055</v>
      </c>
      <c r="X163" s="953" t="n">
        <v>0.12</v>
      </c>
      <c r="Y163" s="954" t="n"/>
      <c r="Z163" s="953" t="n">
        <v>0.04</v>
      </c>
      <c r="AA163" s="952">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849">
      <c r="A164" s="250" t="n">
        <v>117595</v>
      </c>
      <c r="B164" s="220" t="inlineStr">
        <is>
          <t>Sri Balan Raj</t>
        </is>
      </c>
      <c r="C164" s="305" t="inlineStr">
        <is>
          <t>Business Analyst</t>
        </is>
      </c>
      <c r="D164" s="306" t="inlineStr">
        <is>
          <t>Vacant</t>
        </is>
      </c>
      <c r="E164" s="220" t="inlineStr">
        <is>
          <t>Delivery Manager, Digital</t>
        </is>
      </c>
      <c r="F164" s="220" t="inlineStr">
        <is>
          <t>Customer</t>
        </is>
      </c>
      <c r="G164" s="306" t="inlineStr">
        <is>
          <t>Digital</t>
        </is>
      </c>
      <c r="H164" s="306" t="inlineStr">
        <is>
          <t>Digital, Delivery</t>
        </is>
      </c>
      <c r="I164" s="306" t="inlineStr">
        <is>
          <t>EGI Integration</t>
        </is>
      </c>
      <c r="J164" s="220" t="inlineStr">
        <is>
          <t>EGI</t>
        </is>
      </c>
      <c r="K164" s="220" t="inlineStr">
        <is>
          <t>EGI Customer</t>
        </is>
      </c>
      <c r="L164" s="306" t="n"/>
      <c r="M164" s="307" t="inlineStr">
        <is>
          <t>Australia</t>
        </is>
      </c>
      <c r="N164" s="308" t="inlineStr">
        <is>
          <t>CIB</t>
        </is>
      </c>
      <c r="O164" s="308" t="n">
        <v>1</v>
      </c>
      <c r="P164" s="308" t="n"/>
      <c r="Q164" s="308" t="inlineStr">
        <is>
          <t>Permanent - Full Time</t>
        </is>
      </c>
      <c r="R164" s="319" t="n"/>
      <c r="S164" s="310" t="n"/>
      <c r="T164" s="322" t="n">
        <v>160000</v>
      </c>
      <c r="U164" s="321" t="n">
        <v>160000</v>
      </c>
      <c r="V164" s="313" t="n">
        <v>0.12</v>
      </c>
      <c r="W164" s="953" t="n">
        <v>0.055</v>
      </c>
      <c r="X164" s="953" t="n">
        <v>0.12</v>
      </c>
      <c r="Y164" s="954" t="n"/>
      <c r="Z164" s="953" t="n">
        <v>0.04</v>
      </c>
      <c r="AA164" s="952">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849">
      <c r="A165" s="250" t="inlineStr">
        <is>
          <t>C</t>
        </is>
      </c>
      <c r="B165" s="220" t="inlineStr">
        <is>
          <t>Swapnil Pithwa</t>
        </is>
      </c>
      <c r="C165" s="305" t="inlineStr">
        <is>
          <t>Engineer - BE</t>
        </is>
      </c>
      <c r="D165" s="220" t="inlineStr">
        <is>
          <t>Vacant</t>
        </is>
      </c>
      <c r="E165" s="220" t="inlineStr">
        <is>
          <t>Technology Manager, Digital Engineering</t>
        </is>
      </c>
      <c r="F165" s="220" t="inlineStr">
        <is>
          <t>Customer</t>
        </is>
      </c>
      <c r="G165" s="306" t="inlineStr">
        <is>
          <t>Digital</t>
        </is>
      </c>
      <c r="H165" s="306" t="inlineStr">
        <is>
          <t>Tech, Digital Engineering</t>
        </is>
      </c>
      <c r="I165" s="306" t="inlineStr">
        <is>
          <t>EGI Integration</t>
        </is>
      </c>
      <c r="J165" s="220" t="inlineStr">
        <is>
          <t>EGI</t>
        </is>
      </c>
      <c r="K165" s="220" t="inlineStr">
        <is>
          <t>EGI Customer</t>
        </is>
      </c>
      <c r="L165" s="306" t="n"/>
      <c r="M165" s="307" t="inlineStr">
        <is>
          <t>Australia</t>
        </is>
      </c>
      <c r="N165" s="310" t="inlineStr">
        <is>
          <t>NA</t>
        </is>
      </c>
      <c r="O165" s="308" t="n">
        <v>1</v>
      </c>
      <c r="P165" s="310" t="n"/>
      <c r="Q165" s="319" t="inlineStr">
        <is>
          <t>Contractor</t>
        </is>
      </c>
      <c r="R165" s="319" t="inlineStr">
        <is>
          <t>Daily</t>
        </is>
      </c>
      <c r="S165" s="310" t="n">
        <v>1040</v>
      </c>
      <c r="T165" s="322" t="n">
        <v>0</v>
      </c>
      <c r="U165" s="322" t="n"/>
      <c r="V165" s="306" t="n"/>
      <c r="W165" s="306" t="n"/>
      <c r="X165" s="306" t="n"/>
      <c r="Y165" s="306" t="n"/>
      <c r="Z165" s="306" t="n"/>
      <c r="AA165" s="320">
        <f>S165*222</f>
        <v>230880.0</v>
      </c>
      <c r="AC165" t="inlineStr">
        <is>
          <t>Customer</t>
        </is>
      </c>
      <c r="AD165" t="inlineStr">
        <is>
          <t>EGI Customer</t>
        </is>
      </c>
      <c r="AE165" t="inlineStr">
        <is>
          <t>EGI Customer</t>
        </is>
      </c>
      <c r="AF165" t="inlineStr">
        <is>
          <t>Strategic Program</t>
        </is>
      </c>
      <c r="AG165" t="inlineStr">
        <is>
          <t>Filled</t>
        </is>
      </c>
    </row>
    <row r="166" hidden="1" ht="18" customHeight="1" s="849">
      <c r="A166" s="250" t="inlineStr">
        <is>
          <t>C</t>
        </is>
      </c>
      <c r="B166" s="220" t="inlineStr">
        <is>
          <t>Waheed Malek</t>
        </is>
      </c>
      <c r="C166" s="305" t="inlineStr">
        <is>
          <t>Quality Assurance</t>
        </is>
      </c>
      <c r="D166" s="220" t="inlineStr">
        <is>
          <t>Mitesh Shah</t>
        </is>
      </c>
      <c r="E166" s="220" t="inlineStr">
        <is>
          <t>Technology Manager, Digitial</t>
        </is>
      </c>
      <c r="F166" s="220" t="inlineStr">
        <is>
          <t>Customer</t>
        </is>
      </c>
      <c r="G166" s="306" t="inlineStr">
        <is>
          <t>Digital</t>
        </is>
      </c>
      <c r="H166" s="220" t="inlineStr">
        <is>
          <t>Digital, Tech</t>
        </is>
      </c>
      <c r="I166" s="306" t="inlineStr">
        <is>
          <t>EGI Integration</t>
        </is>
      </c>
      <c r="J166" s="220" t="inlineStr">
        <is>
          <t>EGI</t>
        </is>
      </c>
      <c r="K166" s="220" t="inlineStr">
        <is>
          <t>EGI Customer</t>
        </is>
      </c>
      <c r="L166" s="306" t="n"/>
      <c r="M166" s="307" t="inlineStr">
        <is>
          <t>Australia</t>
        </is>
      </c>
      <c r="N166" s="310" t="inlineStr">
        <is>
          <t>NA</t>
        </is>
      </c>
      <c r="O166" s="308" t="n">
        <v>1</v>
      </c>
      <c r="P166" s="310" t="n"/>
      <c r="Q166" s="310" t="inlineStr">
        <is>
          <t>cxc</t>
        </is>
      </c>
      <c r="R166" s="319" t="inlineStr">
        <is>
          <t>Daily</t>
        </is>
      </c>
      <c r="S166" s="310" t="n">
        <v>1115</v>
      </c>
      <c r="T166" s="322" t="n">
        <v>0</v>
      </c>
      <c r="U166" s="322" t="n"/>
      <c r="V166" s="306" t="n"/>
      <c r="W166" s="306" t="n"/>
      <c r="X166" s="306" t="n"/>
      <c r="Y166" s="306" t="n"/>
      <c r="Z166" s="306" t="n"/>
      <c r="AA166" s="320">
        <f>S166*222</f>
        <v>247530.0</v>
      </c>
      <c r="AC166" t="inlineStr">
        <is>
          <t>Customer</t>
        </is>
      </c>
      <c r="AD166" t="inlineStr">
        <is>
          <t>EGI Customer</t>
        </is>
      </c>
      <c r="AE166" t="inlineStr">
        <is>
          <t>EGI Customer</t>
        </is>
      </c>
      <c r="AF166" t="inlineStr">
        <is>
          <t>Strategic Program</t>
        </is>
      </c>
      <c r="AG166" t="inlineStr">
        <is>
          <t>Filled</t>
        </is>
      </c>
    </row>
    <row r="167" hidden="1" ht="18" customHeight="1" s="849">
      <c r="A167" s="250" t="n">
        <v>107144</v>
      </c>
      <c r="B167" s="220" t="inlineStr">
        <is>
          <t>Jasper Na</t>
        </is>
      </c>
      <c r="C167" s="305" t="inlineStr">
        <is>
          <t>Associate Engineer - BE</t>
        </is>
      </c>
      <c r="D167" s="220" t="inlineStr">
        <is>
          <t>Jin Zhong</t>
        </is>
      </c>
      <c r="E167" s="220" t="inlineStr">
        <is>
          <t>Lead Engineer - BE</t>
        </is>
      </c>
      <c r="F167" s="220" t="inlineStr">
        <is>
          <t>Customer</t>
        </is>
      </c>
      <c r="G167" s="306" t="inlineStr">
        <is>
          <t>Digital</t>
        </is>
      </c>
      <c r="H167" s="306" t="inlineStr">
        <is>
          <t>Tech, Digital Engineering</t>
        </is>
      </c>
      <c r="I167" s="306" t="inlineStr">
        <is>
          <t>Customer</t>
        </is>
      </c>
      <c r="J167" s="220" t="inlineStr">
        <is>
          <t>Ampol Digital</t>
        </is>
      </c>
      <c r="K167" s="220" t="inlineStr">
        <is>
          <t>Energy</t>
        </is>
      </c>
      <c r="L167" s="306" t="n"/>
      <c r="M167" s="307" t="inlineStr">
        <is>
          <t>Australia</t>
        </is>
      </c>
      <c r="N167" s="308" t="inlineStr">
        <is>
          <t>CIA</t>
        </is>
      </c>
      <c r="O167" s="308" t="n">
        <v>1</v>
      </c>
      <c r="P167" s="308" t="n"/>
      <c r="Q167" s="308" t="inlineStr">
        <is>
          <t>Permanent - Full Time</t>
        </is>
      </c>
      <c r="R167" s="310" t="n"/>
      <c r="S167" s="310" t="n"/>
      <c r="T167" s="322" t="n">
        <v>104000</v>
      </c>
      <c r="U167" s="321" t="n">
        <v>104000</v>
      </c>
      <c r="V167" s="313" t="n">
        <v>0.1</v>
      </c>
      <c r="W167" s="953" t="n">
        <v>0.055</v>
      </c>
      <c r="X167" s="953" t="n">
        <v>0.12</v>
      </c>
      <c r="Y167" s="954" t="n"/>
      <c r="Z167" s="953" t="n">
        <v>0.04</v>
      </c>
      <c r="AA167" s="952">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849">
      <c r="A168" s="250" t="inlineStr">
        <is>
          <t>V</t>
        </is>
      </c>
      <c r="B168" s="220" t="inlineStr">
        <is>
          <t>vacant</t>
        </is>
      </c>
      <c r="C168" s="305" t="inlineStr">
        <is>
          <t>engineer - BE</t>
        </is>
      </c>
      <c r="D168" s="220" t="inlineStr">
        <is>
          <t>Khalid Mahmud</t>
        </is>
      </c>
      <c r="E168" s="220" t="inlineStr">
        <is>
          <t>Lead Engineer - BE</t>
        </is>
      </c>
      <c r="F168" s="220" t="inlineStr">
        <is>
          <t>Customer</t>
        </is>
      </c>
      <c r="G168" s="306" t="inlineStr">
        <is>
          <t>Digital</t>
        </is>
      </c>
      <c r="H168" s="306" t="inlineStr">
        <is>
          <t>Tech, Digital Engineering</t>
        </is>
      </c>
      <c r="I168" s="306" t="inlineStr">
        <is>
          <t>Customer</t>
        </is>
      </c>
      <c r="J168" s="220" t="inlineStr">
        <is>
          <t>Ampol Digital</t>
        </is>
      </c>
      <c r="K168" s="220" t="inlineStr">
        <is>
          <t>Energy</t>
        </is>
      </c>
      <c r="L168" s="306" t="n"/>
      <c r="M168" s="307" t="inlineStr">
        <is>
          <t>Australia</t>
        </is>
      </c>
      <c r="N168" s="308" t="inlineStr">
        <is>
          <t>CIB</t>
        </is>
      </c>
      <c r="O168" s="308" t="n">
        <v>1</v>
      </c>
      <c r="P168" s="308" t="n"/>
      <c r="Q168" s="308" t="inlineStr">
        <is>
          <t>V</t>
        </is>
      </c>
      <c r="R168" s="310" t="n"/>
      <c r="S168" s="310" t="n"/>
      <c r="T168" s="322" t="n">
        <v>151950</v>
      </c>
      <c r="U168" s="321" t="n">
        <v>151950</v>
      </c>
      <c r="V168" s="313" t="n">
        <v>0.12</v>
      </c>
      <c r="W168" s="953" t="n">
        <v>0.055</v>
      </c>
      <c r="X168" s="953" t="n">
        <v>0.12</v>
      </c>
      <c r="Y168" s="954" t="n"/>
      <c r="Z168" s="953" t="n">
        <v>0.04</v>
      </c>
      <c r="AA168" s="952">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849">
      <c r="A169" s="250" t="n">
        <v>116408</v>
      </c>
      <c r="B169" s="220" t="inlineStr">
        <is>
          <t>Abhilash Reddy</t>
        </is>
      </c>
      <c r="C169" s="305" t="inlineStr">
        <is>
          <t>Project Manager</t>
        </is>
      </c>
      <c r="D169" s="220" t="inlineStr">
        <is>
          <t>Vacant</t>
        </is>
      </c>
      <c r="E169" s="220" t="inlineStr">
        <is>
          <t>Program Manager</t>
        </is>
      </c>
      <c r="F169" s="220" t="inlineStr">
        <is>
          <t>Customer</t>
        </is>
      </c>
      <c r="G169" s="306" t="inlineStr">
        <is>
          <t>Customer, PMO</t>
        </is>
      </c>
      <c r="H169" s="220" t="n"/>
      <c r="I169" s="220" t="inlineStr">
        <is>
          <t>Customer</t>
        </is>
      </c>
      <c r="J169" s="220" t="inlineStr">
        <is>
          <t>Ampol Digital</t>
        </is>
      </c>
      <c r="K169" s="220" t="inlineStr">
        <is>
          <t>Leadership</t>
        </is>
      </c>
      <c r="L169" s="306" t="n"/>
      <c r="M169" s="307" t="inlineStr">
        <is>
          <t>Australia</t>
        </is>
      </c>
      <c r="N169" s="308" t="inlineStr">
        <is>
          <t>CIC</t>
        </is>
      </c>
      <c r="O169" s="308" t="n">
        <v>1</v>
      </c>
      <c r="P169" s="308" t="n"/>
      <c r="Q169" s="308" t="inlineStr">
        <is>
          <t>Temporary - Full Time</t>
        </is>
      </c>
      <c r="R169" s="310" t="n"/>
      <c r="S169" s="310" t="n"/>
      <c r="T169" s="322" t="n">
        <v>160000</v>
      </c>
      <c r="U169" s="321" t="n">
        <v>160000</v>
      </c>
      <c r="V169" s="313" t="n">
        <v>0.12</v>
      </c>
      <c r="W169" s="953" t="n">
        <v>0.055</v>
      </c>
      <c r="X169" s="953" t="n">
        <v>0.12</v>
      </c>
      <c r="Y169" s="954" t="n"/>
      <c r="Z169" s="953" t="n">
        <v>0.04</v>
      </c>
      <c r="AA169" s="952">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849">
      <c r="A170" s="379" t="n">
        <v>99999113507</v>
      </c>
      <c r="B170" s="220" t="inlineStr">
        <is>
          <t>Andy Stewart</t>
        </is>
      </c>
      <c r="C170" s="305" t="inlineStr">
        <is>
          <t>Head of Technology, Loyalty &amp; Martech</t>
        </is>
      </c>
      <c r="D170" s="220" t="inlineStr">
        <is>
          <t>Harley Giles</t>
        </is>
      </c>
      <c r="E170" s="220" t="inlineStr">
        <is>
          <t>GM TDD, Customer</t>
        </is>
      </c>
      <c r="F170" s="220" t="inlineStr">
        <is>
          <t>Customer</t>
        </is>
      </c>
      <c r="G170" s="306" t="inlineStr">
        <is>
          <t>Loyalty &amp; Martech</t>
        </is>
      </c>
      <c r="H170" s="220" t="n"/>
      <c r="I170" s="220" t="inlineStr">
        <is>
          <t>Customer</t>
        </is>
      </c>
      <c r="J170" s="220" t="inlineStr">
        <is>
          <t>Customer Z, Group Customer Platforms</t>
        </is>
      </c>
      <c r="K170" s="220" t="inlineStr">
        <is>
          <t>Leadership</t>
        </is>
      </c>
      <c r="L170" s="306" t="n"/>
      <c r="M170" s="307" t="inlineStr">
        <is>
          <t>NZ</t>
        </is>
      </c>
      <c r="N170" s="380" t="inlineStr">
        <is>
          <t xml:space="preserve">CSC </t>
        </is>
      </c>
      <c r="O170" s="309" t="n">
        <v>1</v>
      </c>
      <c r="P170" s="380" t="n"/>
      <c r="Q170" s="309" t="inlineStr">
        <is>
          <t>Permanent - Full Time</t>
        </is>
      </c>
      <c r="R170" s="220" t="n"/>
      <c r="S170" s="220" t="n"/>
      <c r="T170" s="377" t="n">
        <v>253260</v>
      </c>
      <c r="U170" s="321" t="n">
        <v>232999.2</v>
      </c>
      <c r="V170" s="312" t="n">
        <v>0.2</v>
      </c>
      <c r="W170" s="309" t="n"/>
      <c r="X170" s="313" t="n">
        <v>0.05</v>
      </c>
      <c r="Y170" s="951" t="n">
        <v>2910</v>
      </c>
      <c r="Z170" s="313" t="n">
        <v>0.03</v>
      </c>
      <c r="AA170" s="952">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849">
      <c r="A171" s="250" t="n">
        <v>99999101220</v>
      </c>
      <c r="B171" s="220" t="inlineStr">
        <is>
          <t>Byron Thornhill</t>
        </is>
      </c>
      <c r="C171" s="305" t="inlineStr">
        <is>
          <t>Design Manager</t>
        </is>
      </c>
      <c r="D171" s="220" t="inlineStr">
        <is>
          <t>Shona Paul</t>
        </is>
      </c>
      <c r="E171" s="220" t="inlineStr">
        <is>
          <t>Head of Technology, Digital</t>
        </is>
      </c>
      <c r="F171" s="220" t="inlineStr">
        <is>
          <t>Customer</t>
        </is>
      </c>
      <c r="G171" s="306" t="inlineStr">
        <is>
          <t>Digital</t>
        </is>
      </c>
      <c r="H171" s="306" t="inlineStr">
        <is>
          <t>Digital, Design</t>
        </is>
      </c>
      <c r="I171" s="220" t="inlineStr">
        <is>
          <t>Customer</t>
        </is>
      </c>
      <c r="J171" s="220" t="inlineStr">
        <is>
          <t>Customer Z, Ampol Digital</t>
        </is>
      </c>
      <c r="K171" s="220" t="inlineStr">
        <is>
          <t>Leadership</t>
        </is>
      </c>
      <c r="L171" s="306" t="n"/>
      <c r="M171" s="307" t="inlineStr">
        <is>
          <t>NZ</t>
        </is>
      </c>
      <c r="N171" s="308" t="inlineStr">
        <is>
          <t>CSB</t>
        </is>
      </c>
      <c r="O171" s="309" t="n">
        <v>1</v>
      </c>
      <c r="P171" s="308" t="n"/>
      <c r="Q171" s="309" t="inlineStr">
        <is>
          <t>Permanent - Full Time</t>
        </is>
      </c>
      <c r="R171" s="310" t="n"/>
      <c r="S171" s="310" t="n"/>
      <c r="T171" s="310" t="n">
        <v>190000</v>
      </c>
      <c r="U171" s="311" t="n">
        <v>174800</v>
      </c>
      <c r="V171" s="312" t="n">
        <v>0.15</v>
      </c>
      <c r="W171" s="309" t="n"/>
      <c r="X171" s="313" t="n">
        <v>0.05</v>
      </c>
      <c r="Y171" s="951" t="n">
        <v>2910</v>
      </c>
      <c r="Z171" s="313" t="n">
        <v>0.03</v>
      </c>
      <c r="AA171" s="952">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849">
      <c r="A172" s="250" t="n">
        <v>116387</v>
      </c>
      <c r="B172" s="220" t="inlineStr">
        <is>
          <t>Christian Lazano</t>
        </is>
      </c>
      <c r="C172" s="305" t="inlineStr">
        <is>
          <t>Business Analyst</t>
        </is>
      </c>
      <c r="D172" s="220" t="inlineStr">
        <is>
          <t>Vacant</t>
        </is>
      </c>
      <c r="E172" s="220" t="inlineStr">
        <is>
          <t>customer, program manager</t>
        </is>
      </c>
      <c r="F172" s="220" t="inlineStr">
        <is>
          <t>Customer</t>
        </is>
      </c>
      <c r="G172" s="306" t="inlineStr">
        <is>
          <t>Customer, PMO</t>
        </is>
      </c>
      <c r="H172" s="220" t="n"/>
      <c r="I172" s="220" t="inlineStr">
        <is>
          <t>Customer</t>
        </is>
      </c>
      <c r="J172" s="306" t="inlineStr">
        <is>
          <t>(All Customer)</t>
        </is>
      </c>
      <c r="K172" s="220" t="inlineStr">
        <is>
          <t>Leadership</t>
        </is>
      </c>
      <c r="L172" s="306" t="n"/>
      <c r="M172" s="307" t="inlineStr">
        <is>
          <t>Australia</t>
        </is>
      </c>
      <c r="N172" s="308" t="inlineStr">
        <is>
          <t>CIB</t>
        </is>
      </c>
      <c r="O172" s="308" t="n">
        <v>1</v>
      </c>
      <c r="P172" s="308" t="n"/>
      <c r="Q172" s="308" t="inlineStr">
        <is>
          <t>Temporary - Full Time</t>
        </is>
      </c>
      <c r="R172" s="310" t="n"/>
      <c r="S172" s="310" t="n"/>
      <c r="T172" s="310" t="n">
        <v>165000</v>
      </c>
      <c r="U172" s="311" t="n">
        <v>165000</v>
      </c>
      <c r="V172" s="313" t="n">
        <v>0.12</v>
      </c>
      <c r="W172" s="953" t="n">
        <v>0.055</v>
      </c>
      <c r="X172" s="953" t="n">
        <v>0.12</v>
      </c>
      <c r="Y172" s="954" t="n"/>
      <c r="Z172" s="953" t="n">
        <v>0.04</v>
      </c>
      <c r="AA172" s="952">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849">
      <c r="A173" s="250" t="n">
        <v>99999100279</v>
      </c>
      <c r="B173" s="220" t="inlineStr">
        <is>
          <t>Kris Hamilton</t>
        </is>
      </c>
      <c r="C173" s="305" t="inlineStr">
        <is>
          <t>Technology Manager - Loyalty &amp; Martech</t>
        </is>
      </c>
      <c r="D173" s="220" t="inlineStr">
        <is>
          <t>Andy Stewart</t>
        </is>
      </c>
      <c r="E173" s="220" t="inlineStr">
        <is>
          <t>Head of Technology, Loyalty &amp; Martech</t>
        </is>
      </c>
      <c r="F173" s="220" t="inlineStr">
        <is>
          <t>Customer</t>
        </is>
      </c>
      <c r="G173" s="306" t="inlineStr">
        <is>
          <t>Loyalty &amp; Martech</t>
        </is>
      </c>
      <c r="H173" s="220" t="inlineStr">
        <is>
          <t>Loyalty, Tech</t>
        </is>
      </c>
      <c r="I173" s="220" t="inlineStr">
        <is>
          <t>Customer</t>
        </is>
      </c>
      <c r="J173" s="220" t="inlineStr">
        <is>
          <t>Customer Z, Group Customer Platforms</t>
        </is>
      </c>
      <c r="K173" s="220" t="inlineStr">
        <is>
          <t>Leadership</t>
        </is>
      </c>
      <c r="L173" s="306" t="n"/>
      <c r="M173" s="307" t="inlineStr">
        <is>
          <t>NZ</t>
        </is>
      </c>
      <c r="N173" s="308" t="inlineStr">
        <is>
          <t>CSB</t>
        </is>
      </c>
      <c r="O173" s="309" t="n">
        <v>1</v>
      </c>
      <c r="P173" s="308" t="n"/>
      <c r="Q173" s="309" t="inlineStr">
        <is>
          <t>Permanent - Full Time</t>
        </is>
      </c>
      <c r="R173" s="310" t="n"/>
      <c r="S173" s="310" t="n"/>
      <c r="T173" s="310" t="n">
        <v>194670</v>
      </c>
      <c r="U173" s="311" t="n">
        <v>179096.4</v>
      </c>
      <c r="V173" s="312" t="n">
        <v>0.15</v>
      </c>
      <c r="W173" s="309" t="n"/>
      <c r="X173" s="313" t="n">
        <v>0.05</v>
      </c>
      <c r="Y173" s="951" t="n">
        <v>2910</v>
      </c>
      <c r="Z173" s="313" t="n">
        <v>0.03</v>
      </c>
      <c r="AA173" s="952">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849">
      <c r="A174" s="250" t="n">
        <v>97200</v>
      </c>
      <c r="B174" s="220" t="inlineStr">
        <is>
          <t>Mitesh Shah</t>
        </is>
      </c>
      <c r="C174" s="305" t="inlineStr">
        <is>
          <t>Technology Manager - Digital</t>
        </is>
      </c>
      <c r="D174" s="220" t="inlineStr">
        <is>
          <t>Shona Paul</t>
        </is>
      </c>
      <c r="E174" s="220" t="inlineStr">
        <is>
          <t>Head of Technology, Digital</t>
        </is>
      </c>
      <c r="F174" s="220" t="inlineStr">
        <is>
          <t>Customer</t>
        </is>
      </c>
      <c r="G174" s="306" t="inlineStr">
        <is>
          <t>Digital</t>
        </is>
      </c>
      <c r="H174" s="306" t="inlineStr">
        <is>
          <t>Tech, Digital</t>
        </is>
      </c>
      <c r="I174" s="220" t="inlineStr">
        <is>
          <t>Customer</t>
        </is>
      </c>
      <c r="J174" s="220" t="inlineStr">
        <is>
          <t>Ampol Digital</t>
        </is>
      </c>
      <c r="K174" s="220" t="inlineStr">
        <is>
          <t>Leadership</t>
        </is>
      </c>
      <c r="L174" s="306" t="n"/>
      <c r="M174" s="307" t="inlineStr">
        <is>
          <t>Australia</t>
        </is>
      </c>
      <c r="N174" s="308" t="inlineStr">
        <is>
          <t>CSB</t>
        </is>
      </c>
      <c r="O174" s="308" t="n">
        <v>1</v>
      </c>
      <c r="P174" s="308" t="n"/>
      <c r="Q174" s="308" t="inlineStr">
        <is>
          <t>Permanent - Full Time</t>
        </is>
      </c>
      <c r="R174" s="310" t="n"/>
      <c r="S174" s="310" t="n"/>
      <c r="T174" s="322" t="n">
        <v>222190</v>
      </c>
      <c r="U174" s="321" t="n">
        <v>222190</v>
      </c>
      <c r="V174" s="313" t="n">
        <v>0.14</v>
      </c>
      <c r="W174" s="953" t="n">
        <v>0.055</v>
      </c>
      <c r="X174" s="953" t="n">
        <v>0.12</v>
      </c>
      <c r="Y174" s="954" t="n"/>
      <c r="Z174" s="953" t="n">
        <v>0.04</v>
      </c>
      <c r="AA174" s="952">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849">
      <c r="A175" s="250" t="n">
        <v>99999101543</v>
      </c>
      <c r="B175" s="220" t="inlineStr">
        <is>
          <t>Shona Paul</t>
        </is>
      </c>
      <c r="C175" s="305" t="inlineStr">
        <is>
          <t>Head of Technology - Digital</t>
        </is>
      </c>
      <c r="D175" s="220" t="inlineStr">
        <is>
          <t>Harley Giles</t>
        </is>
      </c>
      <c r="E175" s="220" t="inlineStr">
        <is>
          <t>GM TDD, Customer</t>
        </is>
      </c>
      <c r="F175" s="220" t="inlineStr">
        <is>
          <t>Customer</t>
        </is>
      </c>
      <c r="G175" s="306" t="inlineStr">
        <is>
          <t>Digital</t>
        </is>
      </c>
      <c r="H175" s="220" t="n"/>
      <c r="I175" s="220" t="inlineStr">
        <is>
          <t>Customer</t>
        </is>
      </c>
      <c r="J175" s="220" t="inlineStr">
        <is>
          <t>(All Customer)</t>
        </is>
      </c>
      <c r="K175" s="220" t="inlineStr">
        <is>
          <t>Leadership</t>
        </is>
      </c>
      <c r="L175" s="306" t="n"/>
      <c r="M175" s="307" t="inlineStr">
        <is>
          <t>NZ</t>
        </is>
      </c>
      <c r="N175" s="308" t="inlineStr">
        <is>
          <t>CSC</t>
        </is>
      </c>
      <c r="O175" s="309" t="n">
        <v>1</v>
      </c>
      <c r="P175" s="308" t="n"/>
      <c r="Q175" s="309" t="inlineStr">
        <is>
          <t>Permanent - Full Time</t>
        </is>
      </c>
      <c r="R175" s="310" t="n"/>
      <c r="S175" s="310" t="n"/>
      <c r="T175" s="322" t="n">
        <v>230470</v>
      </c>
      <c r="U175" s="321" t="n">
        <v>212032.4</v>
      </c>
      <c r="V175" s="312" t="n">
        <v>0.2</v>
      </c>
      <c r="W175" s="310" t="n"/>
      <c r="X175" s="313" t="n">
        <v>0.05</v>
      </c>
      <c r="Y175" s="951" t="n">
        <v>2910</v>
      </c>
      <c r="Z175" s="313" t="n">
        <v>0.03</v>
      </c>
      <c r="AA175" s="952">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849">
      <c r="A176" s="250" t="inlineStr">
        <is>
          <t>V</t>
        </is>
      </c>
      <c r="B176" s="220" t="inlineStr">
        <is>
          <t>Vacant</t>
        </is>
      </c>
      <c r="C176" s="305" t="inlineStr">
        <is>
          <t>AI Enablement Lead</t>
        </is>
      </c>
      <c r="D176" s="220" t="inlineStr">
        <is>
          <t>Harley Giles</t>
        </is>
      </c>
      <c r="E176" s="220" t="inlineStr">
        <is>
          <t>GM TDD, Customer</t>
        </is>
      </c>
      <c r="F176" s="220" t="inlineStr">
        <is>
          <t>Customer</t>
        </is>
      </c>
      <c r="G176" s="306" t="inlineStr">
        <is>
          <t>Customer, AI Enablement</t>
        </is>
      </c>
      <c r="H176" s="220" t="n"/>
      <c r="I176" s="220" t="inlineStr">
        <is>
          <t>Customer</t>
        </is>
      </c>
      <c r="J176" s="220" t="inlineStr">
        <is>
          <t>(All Customer)</t>
        </is>
      </c>
      <c r="K176" s="220" t="inlineStr">
        <is>
          <t>Leadership</t>
        </is>
      </c>
      <c r="L176" s="306" t="n"/>
      <c r="M176" s="307" t="inlineStr">
        <is>
          <t>Australia</t>
        </is>
      </c>
      <c r="N176" s="308" t="inlineStr">
        <is>
          <t>CSB</t>
        </is>
      </c>
      <c r="O176" s="308" t="n">
        <v>1</v>
      </c>
      <c r="P176" s="308" t="n"/>
      <c r="Q176" s="308" t="inlineStr">
        <is>
          <t>V</t>
        </is>
      </c>
      <c r="R176" s="310" t="n"/>
      <c r="S176" s="310" t="n"/>
      <c r="T176" s="322" t="n">
        <v>203550</v>
      </c>
      <c r="U176" s="321" t="n">
        <v>203550</v>
      </c>
      <c r="V176" s="313" t="n">
        <v>0.14</v>
      </c>
      <c r="W176" s="953" t="n">
        <v>0.055</v>
      </c>
      <c r="X176" s="953" t="n">
        <v>0.12</v>
      </c>
      <c r="Y176" s="954" t="n"/>
      <c r="Z176" s="953" t="n">
        <v>0.04</v>
      </c>
      <c r="AA176" s="952">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849">
      <c r="A177" s="250" t="inlineStr">
        <is>
          <t>V</t>
        </is>
      </c>
      <c r="B177" s="220" t="inlineStr">
        <is>
          <t>Vacant</t>
        </is>
      </c>
      <c r="C177" s="305" t="inlineStr">
        <is>
          <t>Delivery Manager</t>
        </is>
      </c>
      <c r="D177" s="220" t="inlineStr">
        <is>
          <t>Shona Paul</t>
        </is>
      </c>
      <c r="E177" s="220" t="inlineStr">
        <is>
          <t>Head of Technology, Digital</t>
        </is>
      </c>
      <c r="F177" s="220" t="inlineStr">
        <is>
          <t>Customer</t>
        </is>
      </c>
      <c r="G177" s="306" t="inlineStr">
        <is>
          <t>Digital</t>
        </is>
      </c>
      <c r="H177" s="220" t="inlineStr">
        <is>
          <t>Digital, Delivery</t>
        </is>
      </c>
      <c r="I177" s="220" t="inlineStr">
        <is>
          <t>Customer</t>
        </is>
      </c>
      <c r="J177" s="220" t="inlineStr">
        <is>
          <t>Ampol Digital</t>
        </is>
      </c>
      <c r="K177" s="220" t="inlineStr">
        <is>
          <t>Leadership</t>
        </is>
      </c>
      <c r="L177" s="306" t="n"/>
      <c r="M177" s="307" t="inlineStr">
        <is>
          <t>Australia</t>
        </is>
      </c>
      <c r="N177" s="308" t="inlineStr">
        <is>
          <t>CSB</t>
        </is>
      </c>
      <c r="O177" s="308" t="n">
        <v>1</v>
      </c>
      <c r="P177" s="308" t="n"/>
      <c r="Q177" s="308" t="inlineStr">
        <is>
          <t>V</t>
        </is>
      </c>
      <c r="R177" s="310" t="n"/>
      <c r="S177" s="310" t="n"/>
      <c r="T177" s="322" t="n">
        <v>203550</v>
      </c>
      <c r="U177" s="321" t="n">
        <v>203550</v>
      </c>
      <c r="V177" s="313" t="n">
        <v>0.14</v>
      </c>
      <c r="W177" s="953" t="n">
        <v>0.055</v>
      </c>
      <c r="X177" s="953" t="n">
        <v>0.12</v>
      </c>
      <c r="Y177" s="954" t="n"/>
      <c r="Z177" s="953" t="n">
        <v>0.04</v>
      </c>
      <c r="AA177" s="952">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849">
      <c r="A178" s="250" t="inlineStr">
        <is>
          <t>V</t>
        </is>
      </c>
      <c r="B178" s="220" t="inlineStr">
        <is>
          <t>Vacant</t>
        </is>
      </c>
      <c r="C178" s="305" t="inlineStr">
        <is>
          <t>Technology Manager, Engineering</t>
        </is>
      </c>
      <c r="D178" s="220" t="inlineStr">
        <is>
          <t>Shona Paul</t>
        </is>
      </c>
      <c r="E178" s="220" t="inlineStr">
        <is>
          <t>Head of Technology, Digital</t>
        </is>
      </c>
      <c r="F178" s="220" t="inlineStr">
        <is>
          <t>Customer</t>
        </is>
      </c>
      <c r="G178" s="306" t="inlineStr">
        <is>
          <t>Digital</t>
        </is>
      </c>
      <c r="H178" s="306" t="inlineStr">
        <is>
          <t>Tech, Digital Engineering</t>
        </is>
      </c>
      <c r="I178" s="306" t="inlineStr">
        <is>
          <t>Customer</t>
        </is>
      </c>
      <c r="J178" s="220" t="inlineStr">
        <is>
          <t>Ampol Digital</t>
        </is>
      </c>
      <c r="K178" s="220" t="inlineStr">
        <is>
          <t>Leadership</t>
        </is>
      </c>
      <c r="L178" s="306" t="n"/>
      <c r="M178" s="307" t="inlineStr">
        <is>
          <t>Australia</t>
        </is>
      </c>
      <c r="N178" s="308" t="inlineStr">
        <is>
          <t>CSB</t>
        </is>
      </c>
      <c r="O178" s="308" t="n">
        <v>1</v>
      </c>
      <c r="P178" s="308" t="n"/>
      <c r="Q178" s="308" t="inlineStr">
        <is>
          <t>v</t>
        </is>
      </c>
      <c r="R178" s="310" t="n"/>
      <c r="S178" s="310" t="n"/>
      <c r="T178" s="322" t="n">
        <v>203550</v>
      </c>
      <c r="U178" s="311" t="n">
        <v>203550</v>
      </c>
      <c r="V178" s="313" t="n">
        <v>0.14</v>
      </c>
      <c r="W178" s="953" t="n">
        <v>0.055</v>
      </c>
      <c r="X178" s="953" t="n">
        <v>0.12</v>
      </c>
      <c r="Y178" s="954" t="n"/>
      <c r="Z178" s="953" t="n">
        <v>0.04</v>
      </c>
      <c r="AA178" s="952">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849">
      <c r="A179" s="250" t="inlineStr">
        <is>
          <t>V</t>
        </is>
      </c>
      <c r="B179" s="220" t="inlineStr">
        <is>
          <t>Vacant</t>
        </is>
      </c>
      <c r="C179" s="305" t="inlineStr">
        <is>
          <t>Program Manager</t>
        </is>
      </c>
      <c r="D179" s="220" t="inlineStr">
        <is>
          <t>Harley Giles</t>
        </is>
      </c>
      <c r="E179" s="220" t="inlineStr">
        <is>
          <t>GM TDD, Customer</t>
        </is>
      </c>
      <c r="F179" s="220" t="inlineStr">
        <is>
          <t>Customer</t>
        </is>
      </c>
      <c r="G179" s="306" t="inlineStr">
        <is>
          <t>Customer, PMO</t>
        </is>
      </c>
      <c r="H179" s="220" t="n"/>
      <c r="I179" s="220" t="inlineStr">
        <is>
          <t>Customer</t>
        </is>
      </c>
      <c r="J179" s="220" t="inlineStr">
        <is>
          <t>Ampol Digital, Group Customer Platforms</t>
        </is>
      </c>
      <c r="K179" s="220" t="inlineStr">
        <is>
          <t>Leadership</t>
        </is>
      </c>
      <c r="L179" s="306" t="n"/>
      <c r="M179" s="307" t="inlineStr">
        <is>
          <t>Australia</t>
        </is>
      </c>
      <c r="N179" s="308" t="inlineStr">
        <is>
          <t>CSB</t>
        </is>
      </c>
      <c r="O179" s="308" t="n">
        <v>1</v>
      </c>
      <c r="P179" s="308" t="n"/>
      <c r="Q179" s="308" t="inlineStr">
        <is>
          <t>v</t>
        </is>
      </c>
      <c r="R179" s="310" t="n"/>
      <c r="S179" s="310" t="n"/>
      <c r="T179" s="322" t="n">
        <v>203550</v>
      </c>
      <c r="U179" s="311" t="n">
        <v>203550</v>
      </c>
      <c r="V179" s="313" t="n">
        <v>0.14</v>
      </c>
      <c r="W179" s="953" t="n">
        <v>0.055</v>
      </c>
      <c r="X179" s="953" t="n">
        <v>0.12</v>
      </c>
      <c r="Y179" s="954" t="n"/>
      <c r="Z179" s="953" t="n">
        <v>0.04</v>
      </c>
      <c r="AA179" s="952">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849">
      <c r="A180" s="250" t="inlineStr">
        <is>
          <t>V</t>
        </is>
      </c>
      <c r="B180" s="220" t="inlineStr">
        <is>
          <t>Vacant</t>
        </is>
      </c>
      <c r="C180" s="305" t="inlineStr">
        <is>
          <t>Delivery Manager</t>
        </is>
      </c>
      <c r="D180" s="220" t="inlineStr">
        <is>
          <t>Andy Stewart</t>
        </is>
      </c>
      <c r="E180" s="220" t="inlineStr">
        <is>
          <t>Head of Technology, Loyalty &amp; Martech</t>
        </is>
      </c>
      <c r="F180" s="220" t="inlineStr">
        <is>
          <t>Customer</t>
        </is>
      </c>
      <c r="G180" s="306" t="inlineStr">
        <is>
          <t>Loyalty &amp; Martech</t>
        </is>
      </c>
      <c r="H180" s="220" t="inlineStr">
        <is>
          <t xml:space="preserve">Loyalty, Delivery </t>
        </is>
      </c>
      <c r="I180" s="220" t="inlineStr">
        <is>
          <t>Customer</t>
        </is>
      </c>
      <c r="J180" s="220" t="inlineStr">
        <is>
          <t>Customer Z, Group Customer Platforms</t>
        </is>
      </c>
      <c r="K180" s="220" t="inlineStr">
        <is>
          <t>Leadership</t>
        </is>
      </c>
      <c r="L180" s="306" t="n"/>
      <c r="M180" s="307" t="inlineStr">
        <is>
          <t>Australia</t>
        </is>
      </c>
      <c r="N180" s="308" t="inlineStr">
        <is>
          <t>CSB</t>
        </is>
      </c>
      <c r="O180" s="308" t="n">
        <v>1</v>
      </c>
      <c r="P180" s="308" t="n"/>
      <c r="Q180" s="308" t="inlineStr">
        <is>
          <t>V</t>
        </is>
      </c>
      <c r="R180" s="310" t="n"/>
      <c r="S180" s="310" t="n"/>
      <c r="T180" s="322" t="n">
        <v>203550</v>
      </c>
      <c r="U180" s="311" t="n">
        <v>203550</v>
      </c>
      <c r="V180" s="313" t="n">
        <v>0.14</v>
      </c>
      <c r="W180" s="953" t="n">
        <v>0.055</v>
      </c>
      <c r="X180" s="953" t="n">
        <v>0.12</v>
      </c>
      <c r="Y180" s="954" t="n"/>
      <c r="Z180" s="953" t="n">
        <v>0.04</v>
      </c>
      <c r="AA180" s="952">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849">
      <c r="A181" s="250" t="inlineStr">
        <is>
          <t>V</t>
        </is>
      </c>
      <c r="B181" s="220" t="inlineStr">
        <is>
          <t>Vacant</t>
        </is>
      </c>
      <c r="C181" s="305" t="inlineStr">
        <is>
          <t>Technology Manager – Data &amp; Engineering</t>
        </is>
      </c>
      <c r="D181" s="220" t="inlineStr">
        <is>
          <t>Andy Stewart</t>
        </is>
      </c>
      <c r="E181" s="220" t="inlineStr">
        <is>
          <t>Head of Technology, Loyalty &amp; Martech</t>
        </is>
      </c>
      <c r="F181" s="220" t="inlineStr">
        <is>
          <t>Customer</t>
        </is>
      </c>
      <c r="G181" s="306" t="inlineStr">
        <is>
          <t>Loyalty &amp; Martech</t>
        </is>
      </c>
      <c r="H181" s="220" t="inlineStr">
        <is>
          <t>Loyalty, Data &amp; Engineering</t>
        </is>
      </c>
      <c r="I181" s="220" t="inlineStr">
        <is>
          <t>Customer</t>
        </is>
      </c>
      <c r="J181" s="220" t="inlineStr">
        <is>
          <t>Customer Z, Group Customer Platforms</t>
        </is>
      </c>
      <c r="K181" s="220" t="inlineStr">
        <is>
          <t>Leadership</t>
        </is>
      </c>
      <c r="L181" s="306" t="n"/>
      <c r="M181" s="307" t="inlineStr">
        <is>
          <t>Australia</t>
        </is>
      </c>
      <c r="N181" s="308" t="inlineStr">
        <is>
          <t>CSB</t>
        </is>
      </c>
      <c r="O181" s="308" t="n">
        <v>1</v>
      </c>
      <c r="P181" s="308" t="n"/>
      <c r="Q181" s="308" t="inlineStr">
        <is>
          <t>v</t>
        </is>
      </c>
      <c r="R181" s="310" t="n"/>
      <c r="S181" s="310" t="n"/>
      <c r="T181" s="322" t="n">
        <v>203550</v>
      </c>
      <c r="U181" s="311" t="n">
        <v>203550</v>
      </c>
      <c r="V181" s="313" t="n">
        <v>0.14</v>
      </c>
      <c r="W181" s="953" t="n">
        <v>0.055</v>
      </c>
      <c r="X181" s="953" t="n">
        <v>0.12</v>
      </c>
      <c r="Y181" s="954" t="n"/>
      <c r="Z181" s="953" t="n">
        <v>0.04</v>
      </c>
      <c r="AA181" s="952">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849">
      <c r="A182" s="250" t="n">
        <v>99999101676</v>
      </c>
      <c r="B182" s="220" t="inlineStr">
        <is>
          <t>Ants Jackson</t>
        </is>
      </c>
      <c r="C182" s="305" t="inlineStr">
        <is>
          <t>Experience Designer</t>
        </is>
      </c>
      <c r="D182" s="220" t="inlineStr">
        <is>
          <t>Byron Thornhill</t>
        </is>
      </c>
      <c r="E182" s="220" t="inlineStr">
        <is>
          <t>Design Manager</t>
        </is>
      </c>
      <c r="F182" s="220" t="inlineStr">
        <is>
          <t>Customer</t>
        </is>
      </c>
      <c r="G182" s="306" t="inlineStr">
        <is>
          <t>Digital</t>
        </is>
      </c>
      <c r="H182" s="306" t="inlineStr">
        <is>
          <t>Digital, Design</t>
        </is>
      </c>
      <c r="I182" s="220" t="inlineStr">
        <is>
          <t>Customer</t>
        </is>
      </c>
      <c r="J182" s="220" t="inlineStr">
        <is>
          <t>Customer Z</t>
        </is>
      </c>
      <c r="K182" s="220" t="inlineStr">
        <is>
          <t>Z Energy Apps</t>
        </is>
      </c>
      <c r="L182" s="306" t="n"/>
      <c r="M182" s="307" t="inlineStr">
        <is>
          <t>NZ</t>
        </is>
      </c>
      <c r="N182" s="308" t="inlineStr">
        <is>
          <t>CIC</t>
        </is>
      </c>
      <c r="O182" s="309" t="n">
        <v>1</v>
      </c>
      <c r="P182" s="308" t="n"/>
      <c r="Q182" s="309" t="inlineStr">
        <is>
          <t>Permanent - Full Time</t>
        </is>
      </c>
      <c r="R182" s="310" t="n"/>
      <c r="S182" s="310" t="n"/>
      <c r="T182" s="322" t="n">
        <v>157460</v>
      </c>
      <c r="U182" s="311" t="n">
        <v>144863.2</v>
      </c>
      <c r="V182" s="312" t="n">
        <v>0.15</v>
      </c>
      <c r="W182" s="309" t="n"/>
      <c r="X182" s="313" t="n">
        <v>0.05</v>
      </c>
      <c r="Y182" s="951" t="n">
        <v>2910</v>
      </c>
      <c r="Z182" s="313" t="n">
        <v>0.03</v>
      </c>
      <c r="AA182" s="952">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849">
      <c r="A183" s="250" t="n">
        <v>99999101540</v>
      </c>
      <c r="B183" s="220" t="inlineStr">
        <is>
          <t>James Nicolle</t>
        </is>
      </c>
      <c r="C183" s="305" t="inlineStr">
        <is>
          <t>Delivery Lead</t>
        </is>
      </c>
      <c r="D183" s="306" t="inlineStr">
        <is>
          <t>Vacant</t>
        </is>
      </c>
      <c r="E183" s="220" t="inlineStr">
        <is>
          <t>Delivery Manager, Digital</t>
        </is>
      </c>
      <c r="F183" s="220" t="inlineStr">
        <is>
          <t>Customer</t>
        </is>
      </c>
      <c r="G183" s="306" t="inlineStr">
        <is>
          <t>Digital</t>
        </is>
      </c>
      <c r="H183" s="306" t="inlineStr">
        <is>
          <t>Digital, Delivery</t>
        </is>
      </c>
      <c r="I183" s="220" t="inlineStr">
        <is>
          <t>Customer</t>
        </is>
      </c>
      <c r="J183" s="220" t="inlineStr">
        <is>
          <t>Customer Z</t>
        </is>
      </c>
      <c r="K183" s="220" t="inlineStr">
        <is>
          <t>Z Energy Apps</t>
        </is>
      </c>
      <c r="L183" s="306" t="n"/>
      <c r="M183" s="307" t="inlineStr">
        <is>
          <t>NZ</t>
        </is>
      </c>
      <c r="N183" s="308" t="inlineStr">
        <is>
          <t>CIC</t>
        </is>
      </c>
      <c r="O183" s="309" t="n">
        <v>1</v>
      </c>
      <c r="P183" s="308" t="n"/>
      <c r="Q183" s="309" t="inlineStr">
        <is>
          <t>Permanent - Full Time</t>
        </is>
      </c>
      <c r="R183" s="310" t="n"/>
      <c r="S183" s="310" t="n"/>
      <c r="T183" s="322" t="n">
        <v>154980</v>
      </c>
      <c r="U183" s="311" t="n">
        <v>142581.6</v>
      </c>
      <c r="V183" s="312" t="n">
        <v>0.15</v>
      </c>
      <c r="W183" s="309" t="n"/>
      <c r="X183" s="313" t="n">
        <v>0.05</v>
      </c>
      <c r="Y183" s="951" t="n">
        <v>2910</v>
      </c>
      <c r="Z183" s="313" t="n">
        <v>0.03</v>
      </c>
      <c r="AA183" s="952">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849">
      <c r="A184" s="250" t="n">
        <v>99999102079</v>
      </c>
      <c r="B184" s="220" t="inlineStr">
        <is>
          <t>Sam Turnball</t>
        </is>
      </c>
      <c r="C184" s="305" t="inlineStr">
        <is>
          <t>Associate Experience Designer</t>
        </is>
      </c>
      <c r="D184" s="220" t="inlineStr">
        <is>
          <t>Byron Thornhill</t>
        </is>
      </c>
      <c r="E184" s="220" t="inlineStr">
        <is>
          <t>Design Manager</t>
        </is>
      </c>
      <c r="F184" s="220" t="inlineStr">
        <is>
          <t>Customer</t>
        </is>
      </c>
      <c r="G184" s="306" t="inlineStr">
        <is>
          <t>Digital</t>
        </is>
      </c>
      <c r="H184" s="306" t="inlineStr">
        <is>
          <t>Digital, Design</t>
        </is>
      </c>
      <c r="I184" s="220" t="inlineStr">
        <is>
          <t>Customer</t>
        </is>
      </c>
      <c r="J184" s="220" t="inlineStr">
        <is>
          <t>Customer Z</t>
        </is>
      </c>
      <c r="K184" s="220" t="inlineStr">
        <is>
          <t>Z Energy Apps</t>
        </is>
      </c>
      <c r="L184" s="306" t="n"/>
      <c r="M184" s="307" t="inlineStr">
        <is>
          <t>NZ</t>
        </is>
      </c>
      <c r="N184" s="308" t="inlineStr">
        <is>
          <t>CIA</t>
        </is>
      </c>
      <c r="O184" s="309" t="n">
        <v>1</v>
      </c>
      <c r="P184" s="308" t="n"/>
      <c r="Q184" s="309" t="inlineStr">
        <is>
          <t>Permanent - Full Time</t>
        </is>
      </c>
      <c r="R184" s="310" t="n"/>
      <c r="S184" s="310" t="n"/>
      <c r="T184" s="322" t="n">
        <v>98480</v>
      </c>
      <c r="U184" s="311" t="n">
        <v>90601.60000000001</v>
      </c>
      <c r="V184" s="312" t="n">
        <v>0.15</v>
      </c>
      <c r="W184" s="310" t="n"/>
      <c r="X184" s="313" t="n">
        <v>0.05</v>
      </c>
      <c r="Y184" s="951" t="n">
        <v>2910</v>
      </c>
      <c r="Z184" s="313" t="n">
        <v>0.03</v>
      </c>
      <c r="AA184" s="952">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34">
      <c r="A185" s="250" t="n">
        <v>99999101612</v>
      </c>
      <c r="B185" s="220" t="inlineStr">
        <is>
          <t>Shane Abrahams</t>
        </is>
      </c>
      <c r="C185" s="305" t="inlineStr">
        <is>
          <t>Digital Support Manager - NZ</t>
        </is>
      </c>
      <c r="D185" s="220" t="inlineStr">
        <is>
          <t>Shona Paul</t>
        </is>
      </c>
      <c r="E185" s="220" t="inlineStr">
        <is>
          <t>Head of Technology, Digital</t>
        </is>
      </c>
      <c r="F185" s="220" t="inlineStr">
        <is>
          <t>Customer</t>
        </is>
      </c>
      <c r="G185" s="306" t="inlineStr">
        <is>
          <t>Digital</t>
        </is>
      </c>
      <c r="H185" s="306" t="inlineStr">
        <is>
          <t>Digital Support (NZ)</t>
        </is>
      </c>
      <c r="I185" s="220" t="inlineStr">
        <is>
          <t>Customer</t>
        </is>
      </c>
      <c r="J185" s="220" t="inlineStr">
        <is>
          <t>Customer Z</t>
        </is>
      </c>
      <c r="K185" s="220" t="inlineStr">
        <is>
          <t>Z Energy Apps</t>
        </is>
      </c>
      <c r="L185" s="306" t="n"/>
      <c r="M185" s="307" t="inlineStr">
        <is>
          <t>NZ</t>
        </is>
      </c>
      <c r="N185" s="308" t="inlineStr">
        <is>
          <t>CIC</t>
        </is>
      </c>
      <c r="O185" s="309" t="n">
        <v>1</v>
      </c>
      <c r="P185" s="308" t="n"/>
      <c r="Q185" s="309" t="inlineStr">
        <is>
          <t>Permanent - Full Time</t>
        </is>
      </c>
      <c r="R185" s="310" t="n"/>
      <c r="S185" s="310" t="n"/>
      <c r="T185" s="322" t="n">
        <v>162180</v>
      </c>
      <c r="U185" s="311" t="n">
        <v>149205.6</v>
      </c>
      <c r="V185" s="312" t="n">
        <v>0.15</v>
      </c>
      <c r="W185" s="310" t="n"/>
      <c r="X185" s="313" t="n">
        <v>0.05</v>
      </c>
      <c r="Y185" s="951" t="n">
        <v>2910</v>
      </c>
      <c r="Z185" s="313" t="n">
        <v>0.03</v>
      </c>
      <c r="AA185" s="952">
        <f>U185*(1+V185+X185+Z185)+Y185</f>
        <v>186432.888</v>
      </c>
      <c r="AB185" t="n">
        <v>113612</v>
      </c>
      <c r="AC185" s="316" t="inlineStr">
        <is>
          <t>Customer</t>
        </is>
      </c>
      <c r="AD185" t="inlineStr">
        <is>
          <t>Customer Z</t>
        </is>
      </c>
      <c r="AE185" t="inlineStr">
        <is>
          <t>Z Energy Apps</t>
        </is>
      </c>
      <c r="AF185" t="inlineStr">
        <is>
          <t>Squad</t>
        </is>
      </c>
      <c r="AG185" t="inlineStr">
        <is>
          <t>Filled</t>
        </is>
      </c>
    </row>
    <row r="186" hidden="1" ht="18" customHeight="1" s="849">
      <c r="A186" s="250" t="n">
        <v>99999101757</v>
      </c>
      <c r="B186" s="220" t="inlineStr">
        <is>
          <t>Tim Corin</t>
        </is>
      </c>
      <c r="C186" s="305" t="inlineStr">
        <is>
          <t>Experience Designer</t>
        </is>
      </c>
      <c r="D186" s="220" t="inlineStr">
        <is>
          <t>Byron Thornhill</t>
        </is>
      </c>
      <c r="E186" s="220" t="inlineStr">
        <is>
          <t>Design Manager</t>
        </is>
      </c>
      <c r="F186" s="220" t="inlineStr">
        <is>
          <t>Customer</t>
        </is>
      </c>
      <c r="G186" s="306" t="inlineStr">
        <is>
          <t>Digital</t>
        </is>
      </c>
      <c r="H186" s="306" t="inlineStr">
        <is>
          <t>Digital, Design</t>
        </is>
      </c>
      <c r="I186" s="220" t="inlineStr">
        <is>
          <t>Customer</t>
        </is>
      </c>
      <c r="J186" s="220" t="inlineStr">
        <is>
          <t>Customer Z</t>
        </is>
      </c>
      <c r="K186" s="220" t="inlineStr">
        <is>
          <t>Z Energy Apps</t>
        </is>
      </c>
      <c r="L186" s="306" t="n"/>
      <c r="M186" s="307" t="inlineStr">
        <is>
          <t>NZ</t>
        </is>
      </c>
      <c r="N186" s="308" t="inlineStr">
        <is>
          <t>CIC</t>
        </is>
      </c>
      <c r="O186" s="309" t="n">
        <v>1</v>
      </c>
      <c r="P186" s="308" t="n"/>
      <c r="Q186" s="309" t="inlineStr">
        <is>
          <t>Permanent - Full Time</t>
        </is>
      </c>
      <c r="R186" s="310" t="n"/>
      <c r="S186" s="310" t="n"/>
      <c r="T186" s="322" t="n">
        <v>142000</v>
      </c>
      <c r="U186" s="311" t="n">
        <v>130640</v>
      </c>
      <c r="V186" s="312" t="n">
        <v>0.15</v>
      </c>
      <c r="W186" s="310" t="n"/>
      <c r="X186" s="313" t="n">
        <v>0.05</v>
      </c>
      <c r="Y186" s="951" t="n">
        <v>2910</v>
      </c>
      <c r="Z186" s="313" t="n">
        <v>0.03</v>
      </c>
      <c r="AA186" s="952">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849">
      <c r="A187" s="250" t="n">
        <v>99999102164</v>
      </c>
      <c r="B187" s="355" t="inlineStr">
        <is>
          <t>anthonty gen</t>
        </is>
      </c>
      <c r="C187" s="324" t="inlineStr">
        <is>
          <t>Data Analyst</t>
        </is>
      </c>
      <c r="D187" s="306" t="inlineStr">
        <is>
          <t>Vacant</t>
        </is>
      </c>
      <c r="E187" s="306" t="inlineStr">
        <is>
          <t>Technology Manager, Data &amp; Engineering</t>
        </is>
      </c>
      <c r="F187" s="220" t="inlineStr">
        <is>
          <t>Customer</t>
        </is>
      </c>
      <c r="G187" s="306" t="inlineStr">
        <is>
          <t>Loyalty &amp; Martech</t>
        </is>
      </c>
      <c r="H187" s="220" t="inlineStr">
        <is>
          <t>Loyalty, Data &amp; Engineering</t>
        </is>
      </c>
      <c r="I187" s="220" t="inlineStr">
        <is>
          <t>Customer</t>
        </is>
      </c>
      <c r="J187" s="306" t="inlineStr">
        <is>
          <t>Group Customer</t>
        </is>
      </c>
      <c r="K187" s="220" t="inlineStr">
        <is>
          <t>Z Energy Martech</t>
        </is>
      </c>
      <c r="L187" s="306" t="n"/>
      <c r="M187" s="307" t="inlineStr">
        <is>
          <t>NZ</t>
        </is>
      </c>
      <c r="N187" s="308" t="inlineStr">
        <is>
          <t>CIA</t>
        </is>
      </c>
      <c r="O187" s="309" t="n">
        <v>1</v>
      </c>
      <c r="P187" s="308" t="n"/>
      <c r="Q187" s="309" t="inlineStr">
        <is>
          <t>Temporary - Full Time</t>
        </is>
      </c>
      <c r="R187" s="310" t="n"/>
      <c r="S187" s="310" t="n"/>
      <c r="T187" s="322" t="n">
        <v>135000</v>
      </c>
      <c r="U187" s="311" t="n">
        <v>124200</v>
      </c>
      <c r="V187" s="312" t="n">
        <v>0.15</v>
      </c>
      <c r="W187" s="309" t="n"/>
      <c r="X187" s="313" t="n">
        <v>0.05</v>
      </c>
      <c r="Y187" s="951" t="n">
        <v>2910</v>
      </c>
      <c r="Z187" s="313" t="n">
        <v>0.03</v>
      </c>
      <c r="AA187" s="952">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849">
      <c r="A188" s="250" t="n">
        <v>99999101500</v>
      </c>
      <c r="B188" s="323" t="inlineStr">
        <is>
          <t>Bharat Talreja</t>
        </is>
      </c>
      <c r="C188" s="324" t="inlineStr">
        <is>
          <t>Marketing Technology Lead</t>
        </is>
      </c>
      <c r="D188" s="306" t="inlineStr">
        <is>
          <t>Kris Hamilton</t>
        </is>
      </c>
      <c r="E188" s="306" t="inlineStr">
        <is>
          <t>Technology Manager, Loyalty &amp; Martech</t>
        </is>
      </c>
      <c r="F188" s="220" t="inlineStr">
        <is>
          <t>Customer</t>
        </is>
      </c>
      <c r="G188" s="306" t="inlineStr">
        <is>
          <t>Loyalty &amp; Martech</t>
        </is>
      </c>
      <c r="H188" s="306" t="inlineStr">
        <is>
          <t>Loyalty, Tech</t>
        </is>
      </c>
      <c r="I188" s="220" t="inlineStr">
        <is>
          <t>Customer</t>
        </is>
      </c>
      <c r="J188" s="306" t="inlineStr">
        <is>
          <t>Customer Z</t>
        </is>
      </c>
      <c r="K188" s="306" t="inlineStr">
        <is>
          <t>Z Energy Martech</t>
        </is>
      </c>
      <c r="L188" s="306" t="n"/>
      <c r="M188" s="307" t="inlineStr">
        <is>
          <t>NZ</t>
        </is>
      </c>
      <c r="N188" s="308" t="inlineStr">
        <is>
          <t>CIC</t>
        </is>
      </c>
      <c r="O188" s="309" t="n">
        <v>1</v>
      </c>
      <c r="P188" s="308" t="n"/>
      <c r="Q188" s="309" t="inlineStr">
        <is>
          <t>Permanent - Full Time</t>
        </is>
      </c>
      <c r="R188" s="310" t="n"/>
      <c r="S188" s="310" t="n"/>
      <c r="T188" s="322" t="n">
        <v>151850</v>
      </c>
      <c r="U188" s="311" t="n">
        <v>139702</v>
      </c>
      <c r="V188" s="312" t="n">
        <v>0.15</v>
      </c>
      <c r="W188" s="309" t="n"/>
      <c r="X188" s="313" t="n">
        <v>0.05</v>
      </c>
      <c r="Y188" s="951" t="n">
        <v>2910</v>
      </c>
      <c r="Z188" s="313" t="n">
        <v>0.03</v>
      </c>
      <c r="AA188" s="952">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849">
      <c r="A189" s="250" t="n">
        <v>99999101656</v>
      </c>
      <c r="B189" s="323" t="inlineStr">
        <is>
          <t>Carianne Monast</t>
        </is>
      </c>
      <c r="C189" s="324" t="inlineStr">
        <is>
          <t>Martech Specialist</t>
        </is>
      </c>
      <c r="D189" s="306" t="inlineStr">
        <is>
          <t>Kris Hamilton</t>
        </is>
      </c>
      <c r="E189" s="306" t="inlineStr">
        <is>
          <t>Technology Manager, Loyalty &amp; Martech</t>
        </is>
      </c>
      <c r="F189" s="220" t="inlineStr">
        <is>
          <t>Customer</t>
        </is>
      </c>
      <c r="G189" s="306" t="inlineStr">
        <is>
          <t>Loyalty &amp; Martech</t>
        </is>
      </c>
      <c r="H189" s="306" t="inlineStr">
        <is>
          <t>Loyalty, Tech</t>
        </is>
      </c>
      <c r="I189" s="220" t="inlineStr">
        <is>
          <t>Customer</t>
        </is>
      </c>
      <c r="J189" s="306" t="inlineStr">
        <is>
          <t>Customer Z</t>
        </is>
      </c>
      <c r="K189" s="306" t="inlineStr">
        <is>
          <t>Z Energy Martech</t>
        </is>
      </c>
      <c r="L189" s="306" t="n"/>
      <c r="M189" s="307" t="inlineStr">
        <is>
          <t>NZ</t>
        </is>
      </c>
      <c r="N189" s="308" t="inlineStr">
        <is>
          <t>CIA</t>
        </is>
      </c>
      <c r="O189" s="309" t="n">
        <v>1</v>
      </c>
      <c r="P189" s="308" t="n"/>
      <c r="Q189" s="309" t="inlineStr">
        <is>
          <t>Permanent - Full Time</t>
        </is>
      </c>
      <c r="R189" s="310" t="n"/>
      <c r="S189" s="310" t="n"/>
      <c r="T189" s="322" t="n">
        <v>137040</v>
      </c>
      <c r="U189" s="311" t="n">
        <v>126076.8</v>
      </c>
      <c r="V189" s="312" t="n">
        <v>0.15</v>
      </c>
      <c r="W189" s="309" t="n"/>
      <c r="X189" s="313" t="n">
        <v>0.05</v>
      </c>
      <c r="Y189" s="951" t="n">
        <v>2910</v>
      </c>
      <c r="Z189" s="313" t="n">
        <v>0.03</v>
      </c>
      <c r="AA189" s="952">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849">
      <c r="A190" s="250" t="n">
        <v>99999101454</v>
      </c>
      <c r="B190" s="323" t="inlineStr">
        <is>
          <t>Celia Voysey</t>
        </is>
      </c>
      <c r="C190" s="324" t="inlineStr">
        <is>
          <t>Delivery Lead</t>
        </is>
      </c>
      <c r="D190" s="306" t="inlineStr">
        <is>
          <t>Vacant</t>
        </is>
      </c>
      <c r="E190" s="306" t="inlineStr">
        <is>
          <t>Delivery Manager, Loyalty</t>
        </is>
      </c>
      <c r="F190" s="220" t="inlineStr">
        <is>
          <t>Customer</t>
        </is>
      </c>
      <c r="G190" s="306" t="inlineStr">
        <is>
          <t>Loyalty &amp; Martech</t>
        </is>
      </c>
      <c r="H190" s="220" t="inlineStr">
        <is>
          <t xml:space="preserve">Loyalty, Delivery </t>
        </is>
      </c>
      <c r="I190" s="220" t="inlineStr">
        <is>
          <t>Customer</t>
        </is>
      </c>
      <c r="J190" s="306" t="inlineStr">
        <is>
          <t>Customer Z</t>
        </is>
      </c>
      <c r="K190" s="306" t="inlineStr">
        <is>
          <t>Z Energy Martech</t>
        </is>
      </c>
      <c r="L190" s="306" t="n"/>
      <c r="M190" s="307" t="inlineStr">
        <is>
          <t>NZ</t>
        </is>
      </c>
      <c r="N190" s="308" t="inlineStr">
        <is>
          <t>CIC</t>
        </is>
      </c>
      <c r="O190" s="309" t="n">
        <v>1</v>
      </c>
      <c r="P190" s="308" t="n"/>
      <c r="Q190" s="309" t="inlineStr">
        <is>
          <t>Permanent - Full Time</t>
        </is>
      </c>
      <c r="R190" s="310" t="n"/>
      <c r="S190" s="310" t="n"/>
      <c r="T190" s="322" t="n">
        <v>171670</v>
      </c>
      <c r="U190" s="311" t="n">
        <v>157936.4</v>
      </c>
      <c r="V190" s="312" t="n">
        <v>0.15</v>
      </c>
      <c r="W190" s="309" t="n"/>
      <c r="X190" s="313" t="n">
        <v>0.05</v>
      </c>
      <c r="Y190" s="951" t="n">
        <v>2910</v>
      </c>
      <c r="Z190" s="313" t="n">
        <v>0.03</v>
      </c>
      <c r="AA190" s="952">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849">
      <c r="A191" s="250" t="n">
        <v>99999101370</v>
      </c>
      <c r="B191" s="323" t="inlineStr">
        <is>
          <t>Denise Esguerra</t>
        </is>
      </c>
      <c r="C191" s="324" t="inlineStr">
        <is>
          <t>Martech Specialist</t>
        </is>
      </c>
      <c r="D191" s="306" t="inlineStr">
        <is>
          <t>Kris Hamilton</t>
        </is>
      </c>
      <c r="E191" s="316" t="inlineStr">
        <is>
          <t>Technology Manager, Loyalty &amp; Martech</t>
        </is>
      </c>
      <c r="F191" s="220" t="inlineStr">
        <is>
          <t>Customer</t>
        </is>
      </c>
      <c r="G191" s="306" t="inlineStr">
        <is>
          <t>Loyalty &amp; Martech</t>
        </is>
      </c>
      <c r="H191" s="306" t="inlineStr">
        <is>
          <t>Loyalty, Tech</t>
        </is>
      </c>
      <c r="I191" s="220" t="inlineStr">
        <is>
          <t>Customer</t>
        </is>
      </c>
      <c r="J191" s="306" t="inlineStr">
        <is>
          <t>(All Customer)</t>
        </is>
      </c>
      <c r="K191" s="306" t="inlineStr">
        <is>
          <t>Z Energy Martech</t>
        </is>
      </c>
      <c r="L191" s="306" t="n"/>
      <c r="M191" s="307" t="inlineStr">
        <is>
          <t>NZ</t>
        </is>
      </c>
      <c r="N191" s="308" t="inlineStr">
        <is>
          <t>CIA</t>
        </is>
      </c>
      <c r="O191" s="309" t="n">
        <v>1</v>
      </c>
      <c r="P191" s="308" t="n"/>
      <c r="Q191" s="309" t="inlineStr">
        <is>
          <t>Permanent - Full Time</t>
        </is>
      </c>
      <c r="R191" s="310" t="n"/>
      <c r="S191" s="310" t="n"/>
      <c r="T191" s="322" t="n">
        <v>119630</v>
      </c>
      <c r="U191" s="311" t="n">
        <v>110059.6</v>
      </c>
      <c r="V191" s="312" t="n">
        <v>0.15</v>
      </c>
      <c r="W191" s="309" t="n"/>
      <c r="X191" s="313" t="n">
        <v>0.05</v>
      </c>
      <c r="Y191" s="951" t="n">
        <v>2910</v>
      </c>
      <c r="Z191" s="313" t="n">
        <v>0.03</v>
      </c>
      <c r="AA191" s="952">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849">
      <c r="A192" s="250" t="n">
        <v>99999101601</v>
      </c>
      <c r="B192" s="323" t="inlineStr">
        <is>
          <t>Jordan Kettles</t>
        </is>
      </c>
      <c r="C192" s="324" t="inlineStr">
        <is>
          <t>Engineer, Sotware</t>
        </is>
      </c>
      <c r="D192" s="306" t="inlineStr">
        <is>
          <t>Vacant</t>
        </is>
      </c>
      <c r="E192" s="306" t="inlineStr">
        <is>
          <t>Technology Manager, Data &amp; Engineering</t>
        </is>
      </c>
      <c r="F192" s="220" t="inlineStr">
        <is>
          <t>Customer</t>
        </is>
      </c>
      <c r="G192" s="306" t="inlineStr">
        <is>
          <t>Loyalty &amp; Martech</t>
        </is>
      </c>
      <c r="H192" s="220" t="inlineStr">
        <is>
          <t>Loyalty, Data &amp; Engineering</t>
        </is>
      </c>
      <c r="I192" s="220" t="inlineStr">
        <is>
          <t>Customer</t>
        </is>
      </c>
      <c r="J192" s="306" t="inlineStr">
        <is>
          <t>Customer Z</t>
        </is>
      </c>
      <c r="K192" s="306" t="inlineStr">
        <is>
          <t>Z Energy Martech</t>
        </is>
      </c>
      <c r="L192" s="306" t="n"/>
      <c r="M192" s="307" t="inlineStr">
        <is>
          <t>NZ</t>
        </is>
      </c>
      <c r="N192" s="308" t="inlineStr">
        <is>
          <t>CDB</t>
        </is>
      </c>
      <c r="O192" s="309" t="n">
        <v>1</v>
      </c>
      <c r="P192" s="308" t="n"/>
      <c r="Q192" s="309" t="inlineStr">
        <is>
          <t>Permanent - Full Time</t>
        </is>
      </c>
      <c r="R192" s="310" t="n"/>
      <c r="S192" s="310" t="n"/>
      <c r="T192" s="322" t="n">
        <v>95440</v>
      </c>
      <c r="U192" s="311" t="n">
        <v>87804.8</v>
      </c>
      <c r="V192" s="312" t="n">
        <v>0.1</v>
      </c>
      <c r="W192" s="309" t="n"/>
      <c r="X192" s="313" t="n">
        <v>0.05</v>
      </c>
      <c r="Y192" s="951" t="n">
        <v>2910</v>
      </c>
      <c r="Z192" s="313" t="n">
        <v>0.03</v>
      </c>
      <c r="AA192" s="952">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849">
      <c r="A193" s="250" t="n">
        <v>99999101672</v>
      </c>
      <c r="B193" s="323" t="inlineStr">
        <is>
          <t>Kaye Javier</t>
        </is>
      </c>
      <c r="C193" s="324" t="inlineStr">
        <is>
          <t>QA Analyst</t>
        </is>
      </c>
      <c r="D193" s="306" t="inlineStr">
        <is>
          <t>Kris Hamilton</t>
        </is>
      </c>
      <c r="E193" s="306" t="inlineStr">
        <is>
          <t>Technology Manager, Loyalty &amp; Martech</t>
        </is>
      </c>
      <c r="F193" s="220" t="inlineStr">
        <is>
          <t>Customer</t>
        </is>
      </c>
      <c r="G193" s="306" t="inlineStr">
        <is>
          <t>Loyalty &amp; Martech</t>
        </is>
      </c>
      <c r="H193" s="306" t="inlineStr">
        <is>
          <t>Loyalty, Tech</t>
        </is>
      </c>
      <c r="I193" s="220" t="inlineStr">
        <is>
          <t>Customer</t>
        </is>
      </c>
      <c r="J193" s="306" t="inlineStr">
        <is>
          <t>Customer Z</t>
        </is>
      </c>
      <c r="K193" s="306" t="inlineStr">
        <is>
          <t>Z Energy Martech</t>
        </is>
      </c>
      <c r="L193" s="306" t="n"/>
      <c r="M193" s="307" t="inlineStr">
        <is>
          <t>NZ</t>
        </is>
      </c>
      <c r="N193" s="308" t="inlineStr">
        <is>
          <t>CDB</t>
        </is>
      </c>
      <c r="O193" s="309" t="n">
        <v>1</v>
      </c>
      <c r="P193" s="308" t="n"/>
      <c r="Q193" s="309" t="inlineStr">
        <is>
          <t>Permanent - Full Time</t>
        </is>
      </c>
      <c r="R193" s="310" t="n"/>
      <c r="S193" s="310" t="n"/>
      <c r="T193" s="322" t="n">
        <v>94080</v>
      </c>
      <c r="U193" s="311" t="n">
        <v>86553.60000000001</v>
      </c>
      <c r="V193" s="312" t="n">
        <v>0.1</v>
      </c>
      <c r="W193" s="309" t="n"/>
      <c r="X193" s="313" t="n">
        <v>0.05</v>
      </c>
      <c r="Y193" s="951" t="n">
        <v>2910</v>
      </c>
      <c r="Z193" s="313" t="n">
        <v>0.03</v>
      </c>
      <c r="AA193" s="952">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849">
      <c r="A194" s="250" t="n">
        <v>99999100621</v>
      </c>
      <c r="B194" s="323" t="inlineStr">
        <is>
          <t>Kellie Gathergood</t>
        </is>
      </c>
      <c r="C194" s="324" t="inlineStr">
        <is>
          <t>Lead Quality Assurance</t>
        </is>
      </c>
      <c r="D194" s="306" t="inlineStr">
        <is>
          <t>Kris Hamilton</t>
        </is>
      </c>
      <c r="E194" s="316" t="inlineStr">
        <is>
          <t>Technology Manager, Loyalty &amp; Martech</t>
        </is>
      </c>
      <c r="F194" s="220" t="inlineStr">
        <is>
          <t>Customer</t>
        </is>
      </c>
      <c r="G194" s="306" t="inlineStr">
        <is>
          <t>Loyalty &amp; Martech</t>
        </is>
      </c>
      <c r="H194" s="306" t="inlineStr">
        <is>
          <t>Loyalty, Tech</t>
        </is>
      </c>
      <c r="I194" s="220" t="inlineStr">
        <is>
          <t>Customer</t>
        </is>
      </c>
      <c r="J194" s="306" t="inlineStr">
        <is>
          <t>Customer Z</t>
        </is>
      </c>
      <c r="K194" s="306" t="inlineStr">
        <is>
          <t>Z Energy Martech</t>
        </is>
      </c>
      <c r="L194" s="306" t="n"/>
      <c r="M194" s="307" t="inlineStr">
        <is>
          <t>NZ</t>
        </is>
      </c>
      <c r="N194" s="308" t="inlineStr">
        <is>
          <t>CIC</t>
        </is>
      </c>
      <c r="O194" s="309" t="n">
        <v>0.8</v>
      </c>
      <c r="P194" s="308" t="n"/>
      <c r="Q194" s="309" t="inlineStr">
        <is>
          <t>Permanent - Part Time</t>
        </is>
      </c>
      <c r="R194" s="310" t="n"/>
      <c r="S194" s="310" t="n"/>
      <c r="T194" s="322" t="n">
        <v>169080</v>
      </c>
      <c r="U194" s="311" t="n">
        <v>155553.6</v>
      </c>
      <c r="V194" s="312" t="n">
        <v>0.15</v>
      </c>
      <c r="W194" s="309" t="n"/>
      <c r="X194" s="313" t="n">
        <v>0.05</v>
      </c>
      <c r="Y194" s="951" t="n">
        <v>2910</v>
      </c>
      <c r="Z194" s="313" t="n">
        <v>0.03</v>
      </c>
      <c r="AA194" s="952">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849">
      <c r="A195" s="250" t="n">
        <v>99999101633</v>
      </c>
      <c r="B195" s="323" t="inlineStr">
        <is>
          <t>Kishore Ganesan</t>
        </is>
      </c>
      <c r="C195" s="324" t="inlineStr">
        <is>
          <t>Intermediate Quality Assurance</t>
        </is>
      </c>
      <c r="D195" s="306" t="inlineStr">
        <is>
          <t>Kris Hamilton</t>
        </is>
      </c>
      <c r="E195" s="306" t="inlineStr">
        <is>
          <t>Technology Manager, Loyalty &amp; Martech</t>
        </is>
      </c>
      <c r="F195" s="220" t="inlineStr">
        <is>
          <t>Customer</t>
        </is>
      </c>
      <c r="G195" s="306" t="inlineStr">
        <is>
          <t>Loyalty &amp; Martech</t>
        </is>
      </c>
      <c r="H195" s="306" t="inlineStr">
        <is>
          <t>Loyalty, Tech</t>
        </is>
      </c>
      <c r="I195" s="220" t="inlineStr">
        <is>
          <t>Customer</t>
        </is>
      </c>
      <c r="J195" s="306" t="inlineStr">
        <is>
          <t>Customer Z</t>
        </is>
      </c>
      <c r="K195" s="306" t="inlineStr">
        <is>
          <t>Z Energy Martech</t>
        </is>
      </c>
      <c r="L195" s="306" t="n"/>
      <c r="M195" s="307" t="inlineStr">
        <is>
          <t>NZ</t>
        </is>
      </c>
      <c r="N195" s="308" t="inlineStr">
        <is>
          <t>CDC</t>
        </is>
      </c>
      <c r="O195" s="309" t="n">
        <v>1</v>
      </c>
      <c r="P195" s="308" t="n"/>
      <c r="Q195" s="309" t="inlineStr">
        <is>
          <t>Permanent - Full Time</t>
        </is>
      </c>
      <c r="R195" s="310" t="n"/>
      <c r="S195" s="310" t="n"/>
      <c r="T195" s="322" t="n">
        <v>96140</v>
      </c>
      <c r="U195" s="311" t="n">
        <v>88448.8</v>
      </c>
      <c r="V195" s="312" t="n">
        <v>0.1</v>
      </c>
      <c r="W195" s="309" t="n"/>
      <c r="X195" s="313" t="n">
        <v>0.05</v>
      </c>
      <c r="Y195" s="951" t="n">
        <v>2910</v>
      </c>
      <c r="Z195" s="313" t="n">
        <v>0.03</v>
      </c>
      <c r="AA195" s="952">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849">
      <c r="A196" s="250" t="n">
        <v>99999101312</v>
      </c>
      <c r="B196" s="323" t="inlineStr">
        <is>
          <t>Megan Rodgers</t>
        </is>
      </c>
      <c r="C196" s="324" t="inlineStr">
        <is>
          <t>Business Analyst</t>
        </is>
      </c>
      <c r="D196" s="306" t="inlineStr">
        <is>
          <t>Vacant</t>
        </is>
      </c>
      <c r="E196" s="306" t="inlineStr">
        <is>
          <t>Delivery Manager, Loyalty</t>
        </is>
      </c>
      <c r="F196" s="220" t="inlineStr">
        <is>
          <t>Customer</t>
        </is>
      </c>
      <c r="G196" s="306" t="inlineStr">
        <is>
          <t>Loyalty &amp; Martech</t>
        </is>
      </c>
      <c r="H196" s="220" t="inlineStr">
        <is>
          <t xml:space="preserve">Loyalty, Delivery </t>
        </is>
      </c>
      <c r="I196" s="220" t="inlineStr">
        <is>
          <t>Customer</t>
        </is>
      </c>
      <c r="J196" s="306" t="inlineStr">
        <is>
          <t>Customer Z</t>
        </is>
      </c>
      <c r="K196" s="306" t="inlineStr">
        <is>
          <t>Z Energy Martech</t>
        </is>
      </c>
      <c r="L196" s="306" t="n"/>
      <c r="M196" s="307" t="inlineStr">
        <is>
          <t>NZ</t>
        </is>
      </c>
      <c r="N196" s="308" t="inlineStr">
        <is>
          <t>CIA</t>
        </is>
      </c>
      <c r="O196" s="309" t="n">
        <v>0.8</v>
      </c>
      <c r="P196" s="308" t="n"/>
      <c r="Q196" s="309" t="inlineStr">
        <is>
          <t>Permanent - Part Time</t>
        </is>
      </c>
      <c r="R196" s="310" t="n"/>
      <c r="S196" s="310" t="n"/>
      <c r="T196" s="322" t="n">
        <v>128530</v>
      </c>
      <c r="U196" s="311" t="n">
        <v>118247.6</v>
      </c>
      <c r="V196" s="312" t="n">
        <v>0.15</v>
      </c>
      <c r="W196" s="310" t="n"/>
      <c r="X196" s="313" t="n">
        <v>0.05</v>
      </c>
      <c r="Y196" s="951" t="n">
        <v>2910</v>
      </c>
      <c r="Z196" s="313" t="n">
        <v>0.03</v>
      </c>
      <c r="AA196" s="952">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849">
      <c r="A197" s="250" t="n">
        <v>99999100847</v>
      </c>
      <c r="B197" s="323" t="inlineStr">
        <is>
          <t>Nimi Rose</t>
        </is>
      </c>
      <c r="C197" s="324" t="inlineStr">
        <is>
          <t>Marketing Technology Lead</t>
        </is>
      </c>
      <c r="D197" s="306" t="inlineStr">
        <is>
          <t>Kris Hamilton</t>
        </is>
      </c>
      <c r="E197" s="306" t="inlineStr">
        <is>
          <t>Technology Manager, Loyalty &amp; Martech</t>
        </is>
      </c>
      <c r="F197" s="220" t="inlineStr">
        <is>
          <t>Customer</t>
        </is>
      </c>
      <c r="G197" s="306" t="inlineStr">
        <is>
          <t>Loyalty &amp; Martech</t>
        </is>
      </c>
      <c r="H197" s="306" t="inlineStr">
        <is>
          <t>Loyalty, Tech</t>
        </is>
      </c>
      <c r="I197" s="220" t="inlineStr">
        <is>
          <t>Customer</t>
        </is>
      </c>
      <c r="J197" s="306" t="inlineStr">
        <is>
          <t>Customer Z</t>
        </is>
      </c>
      <c r="K197" s="306" t="inlineStr">
        <is>
          <t>Z Energy Martech</t>
        </is>
      </c>
      <c r="L197" s="306" t="n"/>
      <c r="M197" s="307" t="inlineStr">
        <is>
          <t>NZ</t>
        </is>
      </c>
      <c r="N197" s="308" t="inlineStr">
        <is>
          <t>CIC</t>
        </is>
      </c>
      <c r="O197" s="309" t="n">
        <v>1</v>
      </c>
      <c r="P197" s="308" t="n"/>
      <c r="Q197" s="309" t="inlineStr">
        <is>
          <t>Permanent - Full Time</t>
        </is>
      </c>
      <c r="R197" s="310" t="n"/>
      <c r="S197" s="310" t="n"/>
      <c r="T197" s="322" t="n">
        <v>170880</v>
      </c>
      <c r="U197" s="311" t="n">
        <v>157209.6</v>
      </c>
      <c r="V197" s="312" t="n">
        <v>0.15</v>
      </c>
      <c r="W197" s="310" t="n"/>
      <c r="X197" s="313" t="n">
        <v>0.05</v>
      </c>
      <c r="Y197" s="951" t="n">
        <v>2910</v>
      </c>
      <c r="Z197" s="313" t="n">
        <v>0.03</v>
      </c>
      <c r="AA197" s="952">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849">
      <c r="A198" s="250" t="n">
        <v>99999101730</v>
      </c>
      <c r="B198" s="323" t="inlineStr">
        <is>
          <t>Scott Cullen</t>
        </is>
      </c>
      <c r="C198" s="324" t="inlineStr">
        <is>
          <t>Engineer, Dev Ops</t>
        </is>
      </c>
      <c r="D198" s="306" t="inlineStr">
        <is>
          <t>Vacant</t>
        </is>
      </c>
      <c r="E198" s="306" t="inlineStr">
        <is>
          <t>Technology Manager, Data &amp; Engineering</t>
        </is>
      </c>
      <c r="F198" s="220" t="inlineStr">
        <is>
          <t>Customer</t>
        </is>
      </c>
      <c r="G198" s="306" t="inlineStr">
        <is>
          <t>Loyalty &amp; Martech</t>
        </is>
      </c>
      <c r="H198" s="220" t="inlineStr">
        <is>
          <t>Loyalty, Data &amp; Engineering</t>
        </is>
      </c>
      <c r="I198" s="220" t="inlineStr">
        <is>
          <t>Customer</t>
        </is>
      </c>
      <c r="J198" s="306" t="inlineStr">
        <is>
          <t>Customer Z</t>
        </is>
      </c>
      <c r="K198" s="306" t="inlineStr">
        <is>
          <t>Z Energy Martech</t>
        </is>
      </c>
      <c r="L198" s="306" t="n"/>
      <c r="M198" s="307" t="inlineStr">
        <is>
          <t>NZ</t>
        </is>
      </c>
      <c r="N198" s="308" t="inlineStr">
        <is>
          <t>CDB</t>
        </is>
      </c>
      <c r="O198" s="309" t="n">
        <v>1</v>
      </c>
      <c r="P198" s="308" t="n"/>
      <c r="Q198" s="309" t="inlineStr">
        <is>
          <t>Permanent - Full Time</t>
        </is>
      </c>
      <c r="R198" s="310" t="n"/>
      <c r="S198" s="310" t="n"/>
      <c r="T198" s="322" t="n">
        <v>93900</v>
      </c>
      <c r="U198" s="311" t="n">
        <v>86388</v>
      </c>
      <c r="V198" s="312" t="n">
        <v>0.1</v>
      </c>
      <c r="W198" s="310" t="n"/>
      <c r="X198" s="313" t="n">
        <v>0.05</v>
      </c>
      <c r="Y198" s="951" t="n">
        <v>2910</v>
      </c>
      <c r="Z198" s="313" t="n">
        <v>0.03</v>
      </c>
      <c r="AA198" s="952">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849">
      <c r="A199" s="250" t="inlineStr">
        <is>
          <t>V</t>
        </is>
      </c>
      <c r="B199" s="355" t="inlineStr">
        <is>
          <t>Vacant</t>
        </is>
      </c>
      <c r="C199" s="324" t="inlineStr">
        <is>
          <t>Solution Architect</t>
        </is>
      </c>
      <c r="D199" s="306" t="inlineStr">
        <is>
          <t>Kris Hamilton</t>
        </is>
      </c>
      <c r="E199" s="306" t="inlineStr">
        <is>
          <t>Technology Manager, Loyalty &amp; Martech</t>
        </is>
      </c>
      <c r="F199" s="220" t="inlineStr">
        <is>
          <t>Customer</t>
        </is>
      </c>
      <c r="G199" s="306" t="inlineStr">
        <is>
          <t>Loyalty &amp; Martech</t>
        </is>
      </c>
      <c r="H199" s="306" t="inlineStr">
        <is>
          <t>Loyalty, Tech</t>
        </is>
      </c>
      <c r="I199" s="220" t="inlineStr">
        <is>
          <t>Customer</t>
        </is>
      </c>
      <c r="J199" s="306" t="inlineStr">
        <is>
          <t>Customer Z</t>
        </is>
      </c>
      <c r="K199" s="306" t="inlineStr">
        <is>
          <t>Z Energy Martech</t>
        </is>
      </c>
      <c r="L199" s="306" t="n"/>
      <c r="M199" s="307" t="inlineStr">
        <is>
          <t>australia</t>
        </is>
      </c>
      <c r="N199" s="308" t="inlineStr">
        <is>
          <t>CIC</t>
        </is>
      </c>
      <c r="O199" s="308" t="n">
        <v>1</v>
      </c>
      <c r="P199" s="308" t="n"/>
      <c r="Q199" s="308" t="inlineStr">
        <is>
          <t>v</t>
        </is>
      </c>
      <c r="R199" s="310" t="n"/>
      <c r="S199" s="310" t="n"/>
      <c r="T199" s="322" t="n">
        <v>173550</v>
      </c>
      <c r="U199" s="311" t="n">
        <v>173550</v>
      </c>
      <c r="V199" s="313" t="n">
        <v>0.12</v>
      </c>
      <c r="W199" s="953" t="n">
        <v>0.055</v>
      </c>
      <c r="X199" s="953" t="n">
        <v>0.12</v>
      </c>
      <c r="Y199" s="954" t="n"/>
      <c r="Z199" s="953" t="n">
        <v>0.04</v>
      </c>
      <c r="AA199" s="952">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849">
      <c r="A200" s="250" t="inlineStr">
        <is>
          <t>V</t>
        </is>
      </c>
      <c r="B200" s="355" t="inlineStr">
        <is>
          <t>Vacant</t>
        </is>
      </c>
      <c r="C200" s="324" t="inlineStr">
        <is>
          <t>Engineer, Software</t>
        </is>
      </c>
      <c r="D200" s="306" t="inlineStr">
        <is>
          <t>Vacant</t>
        </is>
      </c>
      <c r="E200" s="306" t="inlineStr">
        <is>
          <t>Technology Manager, Data &amp; Engineering</t>
        </is>
      </c>
      <c r="F200" s="220" t="inlineStr">
        <is>
          <t>Customer</t>
        </is>
      </c>
      <c r="G200" s="306" t="inlineStr">
        <is>
          <t>Loyalty &amp; Martech</t>
        </is>
      </c>
      <c r="H200" s="220" t="inlineStr">
        <is>
          <t>Loyalty, Data &amp; Engineering</t>
        </is>
      </c>
      <c r="I200" s="220" t="inlineStr">
        <is>
          <t>Customer</t>
        </is>
      </c>
      <c r="J200" s="306" t="inlineStr">
        <is>
          <t>Customer Z</t>
        </is>
      </c>
      <c r="K200" s="306" t="inlineStr">
        <is>
          <t>Z Energy Martech</t>
        </is>
      </c>
      <c r="L200" s="306" t="n"/>
      <c r="M200" s="307" t="inlineStr">
        <is>
          <t>Australia</t>
        </is>
      </c>
      <c r="N200" s="308" t="inlineStr">
        <is>
          <t>CIB</t>
        </is>
      </c>
      <c r="O200" s="308" t="n">
        <v>1</v>
      </c>
      <c r="P200" s="308" t="n"/>
      <c r="Q200" s="308" t="inlineStr">
        <is>
          <t>V</t>
        </is>
      </c>
      <c r="R200" s="310" t="n"/>
      <c r="S200" s="310" t="n"/>
      <c r="T200" s="322" t="n">
        <v>151950</v>
      </c>
      <c r="U200" s="311" t="n">
        <v>151950</v>
      </c>
      <c r="V200" s="313" t="n">
        <v>0.12</v>
      </c>
      <c r="W200" s="953" t="n">
        <v>0.055</v>
      </c>
      <c r="X200" s="953" t="n">
        <v>0.12</v>
      </c>
      <c r="Y200" s="954" t="n"/>
      <c r="Z200" s="953" t="n">
        <v>0.04</v>
      </c>
      <c r="AA200" s="952">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849">
      <c r="A201" s="250" t="inlineStr">
        <is>
          <t>V</t>
        </is>
      </c>
      <c r="B201" s="355" t="inlineStr">
        <is>
          <t>Vacant</t>
        </is>
      </c>
      <c r="C201" s="324" t="inlineStr">
        <is>
          <t>Snr Engineer, Data</t>
        </is>
      </c>
      <c r="D201" s="306" t="inlineStr">
        <is>
          <t>Vacant</t>
        </is>
      </c>
      <c r="E201" s="306" t="inlineStr">
        <is>
          <t>Technology Manager, Data &amp; Engineering</t>
        </is>
      </c>
      <c r="F201" s="220" t="inlineStr">
        <is>
          <t>Customer</t>
        </is>
      </c>
      <c r="G201" s="306" t="inlineStr">
        <is>
          <t>Loyalty &amp; Martech</t>
        </is>
      </c>
      <c r="H201" s="220" t="inlineStr">
        <is>
          <t>Loyalty, Data &amp; Engineering</t>
        </is>
      </c>
      <c r="I201" s="220" t="inlineStr">
        <is>
          <t>Customer</t>
        </is>
      </c>
      <c r="J201" s="306" t="inlineStr">
        <is>
          <t>Customer Z</t>
        </is>
      </c>
      <c r="K201" s="306" t="inlineStr">
        <is>
          <t>Z Energy Martech</t>
        </is>
      </c>
      <c r="L201" s="306" t="n"/>
      <c r="M201" s="307" t="inlineStr">
        <is>
          <t>Australia</t>
        </is>
      </c>
      <c r="N201" s="308" t="inlineStr">
        <is>
          <t>CIB</t>
        </is>
      </c>
      <c r="O201" s="308" t="n">
        <v>1</v>
      </c>
      <c r="P201" s="308" t="n"/>
      <c r="Q201" s="308" t="inlineStr">
        <is>
          <t>v</t>
        </is>
      </c>
      <c r="R201" s="310" t="n"/>
      <c r="S201" s="310" t="n"/>
      <c r="T201" s="322" t="n">
        <v>151950</v>
      </c>
      <c r="U201" s="311" t="n">
        <v>151950</v>
      </c>
      <c r="V201" s="313" t="n">
        <v>0.12</v>
      </c>
      <c r="W201" s="953" t="n">
        <v>0.055</v>
      </c>
      <c r="X201" s="953" t="n">
        <v>0.12</v>
      </c>
      <c r="Y201" s="954" t="n"/>
      <c r="Z201" s="953" t="n">
        <v>0.04</v>
      </c>
      <c r="AA201" s="952">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849">
      <c r="A202" s="250" t="n">
        <v>99999102155</v>
      </c>
      <c r="B202" s="323" t="inlineStr">
        <is>
          <t>Yash Thakkar</t>
        </is>
      </c>
      <c r="C202" s="324" t="inlineStr">
        <is>
          <t>Martech Specialist</t>
        </is>
      </c>
      <c r="D202" s="306" t="inlineStr">
        <is>
          <t>Kris Hamilton</t>
        </is>
      </c>
      <c r="E202" s="306" t="inlineStr">
        <is>
          <t>Technology Manager, Loyalty &amp; Martech</t>
        </is>
      </c>
      <c r="F202" s="220" t="inlineStr">
        <is>
          <t>Customer</t>
        </is>
      </c>
      <c r="G202" s="306" t="inlineStr">
        <is>
          <t>Loyalty &amp; Martech</t>
        </is>
      </c>
      <c r="H202" s="306" t="inlineStr">
        <is>
          <t>Loyalty, Tech</t>
        </is>
      </c>
      <c r="I202" s="220" t="inlineStr">
        <is>
          <t>Customer</t>
        </is>
      </c>
      <c r="J202" s="306" t="inlineStr">
        <is>
          <t>(All Customer)</t>
        </is>
      </c>
      <c r="K202" s="306" t="inlineStr">
        <is>
          <t>Z Energy Martech</t>
        </is>
      </c>
      <c r="L202" s="306" t="n"/>
      <c r="M202" s="307" t="inlineStr">
        <is>
          <t>NZ</t>
        </is>
      </c>
      <c r="N202" s="308" t="inlineStr">
        <is>
          <t>CIA</t>
        </is>
      </c>
      <c r="O202" s="309" t="n">
        <v>1</v>
      </c>
      <c r="P202" s="308" t="n"/>
      <c r="Q202" s="309" t="inlineStr">
        <is>
          <t>Permanent - Full Time</t>
        </is>
      </c>
      <c r="R202" s="310" t="n"/>
      <c r="S202" s="310" t="n"/>
      <c r="T202" s="322" t="n">
        <v>130000</v>
      </c>
      <c r="U202" s="321" t="n">
        <v>119600</v>
      </c>
      <c r="V202" s="312" t="n">
        <v>0.15</v>
      </c>
      <c r="W202" s="310" t="n"/>
      <c r="X202" s="313" t="n">
        <v>0.05</v>
      </c>
      <c r="Y202" s="951" t="n">
        <v>2910</v>
      </c>
      <c r="Z202" s="313" t="n">
        <v>0.03</v>
      </c>
      <c r="AA202" s="952">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849">
      <c r="A203" s="250" t="n">
        <v>99999101684</v>
      </c>
      <c r="B203" s="220" t="inlineStr">
        <is>
          <t>Ashley Mueller</t>
        </is>
      </c>
      <c r="C203" s="305" t="inlineStr">
        <is>
          <t>Lead – Service Assurance</t>
        </is>
      </c>
      <c r="D203" s="220" t="inlineStr">
        <is>
          <t>Mick Collins</t>
        </is>
      </c>
      <c r="E203" s="220" t="inlineStr">
        <is>
          <t>Cyber Architecture Lead</t>
        </is>
      </c>
      <c r="F203" s="220" t="inlineStr">
        <is>
          <t>Cyber, Risk &amp; Operations</t>
        </is>
      </c>
      <c r="G203" s="306" t="inlineStr">
        <is>
          <t>Service Op &amp; Assurance</t>
        </is>
      </c>
      <c r="H203" s="220" t="inlineStr">
        <is>
          <t xml:space="preserve">Service Performance &amp; Assurance </t>
        </is>
      </c>
      <c r="I203" s="220" t="inlineStr">
        <is>
          <t>NA</t>
        </is>
      </c>
      <c r="J203" s="220" t="inlineStr">
        <is>
          <t>NA</t>
        </is>
      </c>
      <c r="K203" s="220" t="inlineStr">
        <is>
          <t>NA</t>
        </is>
      </c>
      <c r="L203" s="220" t="n"/>
      <c r="M203" s="307" t="inlineStr">
        <is>
          <t>NZ</t>
        </is>
      </c>
      <c r="N203" s="308" t="inlineStr">
        <is>
          <t>CIC</t>
        </is>
      </c>
      <c r="O203" s="309" t="n">
        <v>1</v>
      </c>
      <c r="P203" s="308" t="n"/>
      <c r="Q203" s="309" t="inlineStr">
        <is>
          <t>Permanent - Full Time</t>
        </is>
      </c>
      <c r="R203" s="310" t="n"/>
      <c r="S203" s="310" t="n"/>
      <c r="T203" s="322" t="n">
        <v>165310</v>
      </c>
      <c r="U203" s="321" t="n">
        <v>152085.2</v>
      </c>
      <c r="V203" s="312" t="n">
        <v>0.15</v>
      </c>
      <c r="W203" s="309" t="n"/>
      <c r="X203" s="313" t="n">
        <v>0.05</v>
      </c>
      <c r="Y203" s="951" t="n">
        <v>2910</v>
      </c>
      <c r="Z203" s="313" t="n">
        <v>0.03</v>
      </c>
      <c r="AA203" s="952">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849">
      <c r="A204" s="250" t="n">
        <v>108013</v>
      </c>
      <c r="B204" s="220" t="inlineStr">
        <is>
          <t>Belinda Hoskens</t>
        </is>
      </c>
      <c r="C204" s="305" t="inlineStr">
        <is>
          <t>Technology Support Engineer</t>
        </is>
      </c>
      <c r="D204" s="220" t="inlineStr">
        <is>
          <t>Mark Pearson</t>
        </is>
      </c>
      <c r="E204" s="220" t="inlineStr">
        <is>
          <t xml:space="preserve">Lead Technology Support </t>
        </is>
      </c>
      <c r="F204" s="220" t="inlineStr">
        <is>
          <t>Cyber, Risk &amp; Operations</t>
        </is>
      </c>
      <c r="G204" s="306" t="inlineStr">
        <is>
          <t>Service Op &amp; Assurance</t>
        </is>
      </c>
      <c r="H204" s="220" t="inlineStr">
        <is>
          <t xml:space="preserve">Technology Support </t>
        </is>
      </c>
      <c r="I204" s="220" t="inlineStr">
        <is>
          <t>NA</t>
        </is>
      </c>
      <c r="J204" s="220" t="inlineStr">
        <is>
          <t>NA</t>
        </is>
      </c>
      <c r="K204" s="220" t="inlineStr">
        <is>
          <t>NA</t>
        </is>
      </c>
      <c r="L204" s="220" t="n"/>
      <c r="M204" s="307" t="inlineStr">
        <is>
          <t>Australia</t>
        </is>
      </c>
      <c r="N204" s="308" t="inlineStr">
        <is>
          <t>CIA</t>
        </is>
      </c>
      <c r="O204" s="308" t="n">
        <v>1</v>
      </c>
      <c r="P204" s="308" t="n"/>
      <c r="Q204" s="308" t="inlineStr">
        <is>
          <t>Permanent - Full Time</t>
        </is>
      </c>
      <c r="R204" s="310" t="n"/>
      <c r="S204" s="310" t="n"/>
      <c r="T204" s="322" t="n">
        <v>123300</v>
      </c>
      <c r="U204" s="321" t="n">
        <v>123300</v>
      </c>
      <c r="V204" s="313" t="n">
        <v>0.1</v>
      </c>
      <c r="W204" s="953" t="n">
        <v>0.055</v>
      </c>
      <c r="X204" s="953" t="n">
        <v>0.12</v>
      </c>
      <c r="Y204" s="954" t="n"/>
      <c r="Z204" s="953" t="n">
        <v>0.04</v>
      </c>
      <c r="AA204" s="952">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849">
      <c r="A205" s="250" t="n">
        <v>98823</v>
      </c>
      <c r="B205" s="220" t="inlineStr">
        <is>
          <t>Brian Gates</t>
        </is>
      </c>
      <c r="C205" s="305" t="inlineStr">
        <is>
          <t>Manager Risk &amp; Resilience</t>
        </is>
      </c>
      <c r="D205" s="220" t="inlineStr">
        <is>
          <t>Frances Bouzo</t>
        </is>
      </c>
      <c r="E205" s="220" t="inlineStr">
        <is>
          <t xml:space="preserve">CISO </t>
        </is>
      </c>
      <c r="F205" s="220" t="inlineStr">
        <is>
          <t>Cyber, Risk &amp; Operations</t>
        </is>
      </c>
      <c r="G205" s="306" t="inlineStr">
        <is>
          <t>Cyber Risk</t>
        </is>
      </c>
      <c r="H205" s="220" t="inlineStr">
        <is>
          <t xml:space="preserve">Risk &amp; Resilience </t>
        </is>
      </c>
      <c r="I205" s="220" t="inlineStr">
        <is>
          <t>NA</t>
        </is>
      </c>
      <c r="J205" s="220" t="inlineStr">
        <is>
          <t>NA</t>
        </is>
      </c>
      <c r="K205" s="220" t="inlineStr">
        <is>
          <t>NA</t>
        </is>
      </c>
      <c r="L205" s="220" t="n"/>
      <c r="M205" s="307" t="inlineStr">
        <is>
          <t>Australia</t>
        </is>
      </c>
      <c r="N205" s="308" t="inlineStr">
        <is>
          <t>CSB</t>
        </is>
      </c>
      <c r="O205" s="308" t="n">
        <v>1</v>
      </c>
      <c r="P205" s="308" t="n"/>
      <c r="Q205" s="308" t="inlineStr">
        <is>
          <t>Permanent - Full Time</t>
        </is>
      </c>
      <c r="R205" s="310" t="n"/>
      <c r="S205" s="310" t="n"/>
      <c r="T205" s="322" t="n">
        <v>211840</v>
      </c>
      <c r="U205" s="321" t="n">
        <v>211840</v>
      </c>
      <c r="V205" s="313" t="n">
        <v>0.14</v>
      </c>
      <c r="W205" s="953" t="n">
        <v>0.055</v>
      </c>
      <c r="X205" s="953" t="n">
        <v>0.12</v>
      </c>
      <c r="Y205" s="954" t="n"/>
      <c r="Z205" s="953" t="n">
        <v>0.04</v>
      </c>
      <c r="AA205" s="952">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849">
      <c r="A206" s="250" t="n">
        <v>86962</v>
      </c>
      <c r="B206" s="220" t="inlineStr">
        <is>
          <t>Cameron Watman</t>
        </is>
      </c>
      <c r="C206" s="305" t="inlineStr">
        <is>
          <t>Engineer - IDAM</t>
        </is>
      </c>
      <c r="D206" s="220" t="inlineStr">
        <is>
          <t>Joe Nahma</t>
        </is>
      </c>
      <c r="E206" s="220" t="inlineStr">
        <is>
          <t xml:space="preserve">Head of Cyber Strategy &amp; Technology </t>
        </is>
      </c>
      <c r="F206" s="220" t="inlineStr">
        <is>
          <t>Cyber, Risk &amp; Operations</t>
        </is>
      </c>
      <c r="G206" s="306" t="inlineStr">
        <is>
          <t>Cyber Strat &amp; Tech</t>
        </is>
      </c>
      <c r="H206" s="306" t="inlineStr">
        <is>
          <t xml:space="preserve">Identity &amp; Access Management </t>
        </is>
      </c>
      <c r="I206" s="220" t="inlineStr">
        <is>
          <t>NA</t>
        </is>
      </c>
      <c r="J206" s="220" t="inlineStr">
        <is>
          <t>NA</t>
        </is>
      </c>
      <c r="K206" s="220" t="inlineStr">
        <is>
          <t>NA</t>
        </is>
      </c>
      <c r="L206" s="220" t="n"/>
      <c r="M206" s="307" t="inlineStr">
        <is>
          <t>Australia</t>
        </is>
      </c>
      <c r="N206" s="310" t="inlineStr">
        <is>
          <t>CIA</t>
        </is>
      </c>
      <c r="O206" s="310" t="n">
        <v>1</v>
      </c>
      <c r="P206" s="310" t="n"/>
      <c r="Q206" s="310" t="inlineStr">
        <is>
          <t>Permanent - Full Time</t>
        </is>
      </c>
      <c r="R206" s="310" t="n"/>
      <c r="S206" s="310" t="n"/>
      <c r="T206" s="322" t="n">
        <v>131660</v>
      </c>
      <c r="U206" s="321" t="n">
        <v>131660</v>
      </c>
      <c r="V206" s="313" t="n">
        <v>0.1</v>
      </c>
      <c r="W206" s="953" t="n">
        <v>0.055</v>
      </c>
      <c r="X206" s="953" t="n">
        <v>0.12</v>
      </c>
      <c r="Y206" s="954" t="n"/>
      <c r="Z206" s="953" t="n">
        <v>0.04</v>
      </c>
      <c r="AA206" s="952">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849">
      <c r="A207" s="250" t="n">
        <v>106511</v>
      </c>
      <c r="B207" s="220" t="inlineStr">
        <is>
          <t>Catherine Gire</t>
        </is>
      </c>
      <c r="C207" s="305" t="inlineStr">
        <is>
          <t>Cyber Technical Business Analyst</t>
        </is>
      </c>
      <c r="D207" s="220" t="inlineStr">
        <is>
          <t>Vivienne Vasak</t>
        </is>
      </c>
      <c r="E207" s="220" t="inlineStr">
        <is>
          <t xml:space="preserve">Portfolio Manger Cyber Security </t>
        </is>
      </c>
      <c r="F207" s="220" t="inlineStr">
        <is>
          <t>Cyber, Risk &amp; Operations</t>
        </is>
      </c>
      <c r="G207" s="306" t="inlineStr">
        <is>
          <t>Cyber Strat &amp; Tech</t>
        </is>
      </c>
      <c r="H207" s="220" t="inlineStr">
        <is>
          <t>Cyber Security Uplift Program</t>
        </is>
      </c>
      <c r="I207" s="220" t="inlineStr">
        <is>
          <t>NA</t>
        </is>
      </c>
      <c r="J207" s="220" t="inlineStr">
        <is>
          <t>NA</t>
        </is>
      </c>
      <c r="K207" s="220" t="inlineStr">
        <is>
          <t>NA</t>
        </is>
      </c>
      <c r="L207" s="220" t="n"/>
      <c r="M207" s="307" t="inlineStr">
        <is>
          <t>Australia</t>
        </is>
      </c>
      <c r="N207" s="308" t="inlineStr">
        <is>
          <t>CIB</t>
        </is>
      </c>
      <c r="O207" s="308" t="n">
        <v>1</v>
      </c>
      <c r="P207" s="308" t="n"/>
      <c r="Q207" s="308" t="inlineStr">
        <is>
          <t>Permanent - Full Time</t>
        </is>
      </c>
      <c r="R207" s="310" t="n"/>
      <c r="S207" s="310" t="n"/>
      <c r="T207" s="322" t="n">
        <v>170160</v>
      </c>
      <c r="U207" s="321" t="n">
        <v>170160</v>
      </c>
      <c r="V207" s="313" t="n">
        <v>0.12</v>
      </c>
      <c r="W207" s="953" t="n">
        <v>0.055</v>
      </c>
      <c r="X207" s="953" t="n">
        <v>0.12</v>
      </c>
      <c r="Y207" s="954" t="n"/>
      <c r="Z207" s="953" t="n">
        <v>0.04</v>
      </c>
      <c r="AA207" s="952">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849">
      <c r="A208" s="250" t="n">
        <v>102385</v>
      </c>
      <c r="B208" s="220" t="inlineStr">
        <is>
          <t>Chris Lyons</t>
        </is>
      </c>
      <c r="C208" s="305" t="inlineStr">
        <is>
          <t>Cyber Security Architect</t>
        </is>
      </c>
      <c r="D208" s="220" t="inlineStr">
        <is>
          <t>Kevin Sheerin</t>
        </is>
      </c>
      <c r="E208" s="220" t="inlineStr">
        <is>
          <t xml:space="preserve">Head of Cyber Strategy &amp; Technology </t>
        </is>
      </c>
      <c r="F208" s="220" t="inlineStr">
        <is>
          <t>Cyber, Risk &amp; Operations</t>
        </is>
      </c>
      <c r="G208" s="306" t="inlineStr">
        <is>
          <t>Cyber Strat &amp; Tech</t>
        </is>
      </c>
      <c r="H208" s="220" t="inlineStr">
        <is>
          <t>NA</t>
        </is>
      </c>
      <c r="I208" s="220" t="inlineStr">
        <is>
          <t>NA</t>
        </is>
      </c>
      <c r="J208" s="220" t="inlineStr">
        <is>
          <t>NA</t>
        </is>
      </c>
      <c r="K208" s="220" t="inlineStr">
        <is>
          <t>NA</t>
        </is>
      </c>
      <c r="L208" s="220" t="n"/>
      <c r="M208" s="307" t="inlineStr">
        <is>
          <t>Australia</t>
        </is>
      </c>
      <c r="N208" s="308" t="inlineStr">
        <is>
          <t>CIC</t>
        </is>
      </c>
      <c r="O208" s="308" t="n">
        <v>1</v>
      </c>
      <c r="P208" s="308" t="n"/>
      <c r="Q208" s="308" t="inlineStr">
        <is>
          <t>Permanent - Full Time</t>
        </is>
      </c>
      <c r="R208" s="310" t="n"/>
      <c r="S208" s="310" t="n"/>
      <c r="T208" s="322" t="n">
        <v>212250</v>
      </c>
      <c r="U208" s="321" t="n">
        <v>212250</v>
      </c>
      <c r="V208" s="313" t="n">
        <v>0.12</v>
      </c>
      <c r="W208" s="953" t="n">
        <v>0.055</v>
      </c>
      <c r="X208" s="953" t="n">
        <v>0.12</v>
      </c>
      <c r="Y208" s="954" t="n"/>
      <c r="Z208" s="953" t="n">
        <v>0.04</v>
      </c>
      <c r="AA208" s="952">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849">
      <c r="A209" s="250" t="n">
        <v>84274</v>
      </c>
      <c r="B209" s="220" t="inlineStr">
        <is>
          <t>Chris Rojas</t>
        </is>
      </c>
      <c r="C209" s="305" t="inlineStr">
        <is>
          <t>Manager, Customer Support Operations</t>
        </is>
      </c>
      <c r="D209" s="220" t="inlineStr">
        <is>
          <t>Rajini Onteddu Reddy</t>
        </is>
      </c>
      <c r="E209" s="220" t="inlineStr">
        <is>
          <t xml:space="preserve">Manager Cyber Security Operations </t>
        </is>
      </c>
      <c r="F209" s="220" t="inlineStr">
        <is>
          <t>Cyber, Risk &amp; Operations</t>
        </is>
      </c>
      <c r="G209" s="306" t="inlineStr">
        <is>
          <t>Service Op &amp; Assurance</t>
        </is>
      </c>
      <c r="H209" s="220" t="inlineStr">
        <is>
          <t>NA</t>
        </is>
      </c>
      <c r="I209" s="220" t="inlineStr">
        <is>
          <t>NA</t>
        </is>
      </c>
      <c r="J209" s="220" t="inlineStr">
        <is>
          <t>NA</t>
        </is>
      </c>
      <c r="K209" s="220" t="inlineStr">
        <is>
          <t>NA</t>
        </is>
      </c>
      <c r="L209" s="220" t="n"/>
      <c r="M209" s="307" t="inlineStr">
        <is>
          <t>Australia</t>
        </is>
      </c>
      <c r="N209" s="310" t="inlineStr">
        <is>
          <t>CIC</t>
        </is>
      </c>
      <c r="O209" s="310" t="n">
        <v>1</v>
      </c>
      <c r="P209" s="310" t="n"/>
      <c r="Q209" s="310" t="inlineStr">
        <is>
          <t>Permanent - Full Time</t>
        </is>
      </c>
      <c r="R209" s="310" t="n"/>
      <c r="S209" s="310" t="n"/>
      <c r="T209" s="322" t="n">
        <v>182250</v>
      </c>
      <c r="U209" s="321" t="n">
        <v>182250</v>
      </c>
      <c r="V209" s="313" t="n">
        <v>0.12</v>
      </c>
      <c r="W209" s="953" t="n">
        <v>0.055</v>
      </c>
      <c r="X209" s="953" t="n">
        <v>0.12</v>
      </c>
      <c r="Y209" s="954" t="n"/>
      <c r="Z209" s="953" t="n">
        <v>0.04</v>
      </c>
      <c r="AA209" s="952">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849">
      <c r="A210" s="250" t="n">
        <v>98924</v>
      </c>
      <c r="B210" s="220" t="inlineStr">
        <is>
          <t>Dan Balsamo</t>
        </is>
      </c>
      <c r="C210" s="305" t="inlineStr">
        <is>
          <t>Senior Cyber Project Manager</t>
        </is>
      </c>
      <c r="D210" s="220" t="inlineStr">
        <is>
          <t>Vivienne Vasak</t>
        </is>
      </c>
      <c r="E210" s="220" t="inlineStr">
        <is>
          <t xml:space="preserve">Head of Cyber Strategy &amp; Technology </t>
        </is>
      </c>
      <c r="F210" s="220" t="inlineStr">
        <is>
          <t>Cyber, Risk &amp; Operations</t>
        </is>
      </c>
      <c r="G210" s="306" t="inlineStr">
        <is>
          <t>Cyber Strat &amp; Tech</t>
        </is>
      </c>
      <c r="H210" t="inlineStr">
        <is>
          <t>NA</t>
        </is>
      </c>
      <c r="I210" s="220" t="inlineStr">
        <is>
          <t>NA</t>
        </is>
      </c>
      <c r="J210" s="220" t="inlineStr">
        <is>
          <t>NA</t>
        </is>
      </c>
      <c r="K210" s="220" t="inlineStr">
        <is>
          <t>NA</t>
        </is>
      </c>
      <c r="L210" s="220" t="n"/>
      <c r="M210" s="307" t="inlineStr">
        <is>
          <t>Australia</t>
        </is>
      </c>
      <c r="N210" s="308" t="inlineStr">
        <is>
          <t>CIC</t>
        </is>
      </c>
      <c r="O210" s="308" t="n">
        <v>1</v>
      </c>
      <c r="P210" s="308" t="n"/>
      <c r="Q210" s="308" t="inlineStr">
        <is>
          <t>Permanent - Full Time</t>
        </is>
      </c>
      <c r="R210" s="310" t="n"/>
      <c r="S210" s="310" t="n"/>
      <c r="T210" s="322" t="n">
        <v>193690</v>
      </c>
      <c r="U210" s="321" t="n">
        <v>193690</v>
      </c>
      <c r="V210" s="313" t="n">
        <v>0.12</v>
      </c>
      <c r="W210" s="953" t="n">
        <v>0.055</v>
      </c>
      <c r="X210" s="953" t="n">
        <v>0.12</v>
      </c>
      <c r="Y210" s="954" t="n"/>
      <c r="Z210" s="953" t="n">
        <v>0.04</v>
      </c>
      <c r="AA210" s="952">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849">
      <c r="A211" s="250" t="n">
        <v>110204</v>
      </c>
      <c r="B211" s="220" t="inlineStr">
        <is>
          <t>Daniel Jolley</t>
        </is>
      </c>
      <c r="C211" s="305" t="inlineStr">
        <is>
          <t>Tech Support Technician</t>
        </is>
      </c>
      <c r="D211" s="220" t="inlineStr">
        <is>
          <t>Mark Pearson</t>
        </is>
      </c>
      <c r="E211" s="220" t="inlineStr">
        <is>
          <t xml:space="preserve">Lead Technology Support </t>
        </is>
      </c>
      <c r="F211" s="220" t="inlineStr">
        <is>
          <t>Cyber, Risk &amp; Operations</t>
        </is>
      </c>
      <c r="G211" s="306" t="inlineStr">
        <is>
          <t>Service Op &amp; Assurance</t>
        </is>
      </c>
      <c r="H211" t="inlineStr">
        <is>
          <t>NA</t>
        </is>
      </c>
      <c r="I211" s="220" t="inlineStr">
        <is>
          <t>NA</t>
        </is>
      </c>
      <c r="J211" s="220" t="inlineStr">
        <is>
          <t>NA</t>
        </is>
      </c>
      <c r="K211" s="220" t="inlineStr">
        <is>
          <t>NA</t>
        </is>
      </c>
      <c r="L211" s="220" t="n"/>
      <c r="M211" s="307" t="inlineStr">
        <is>
          <t>Australia</t>
        </is>
      </c>
      <c r="N211" s="308" t="inlineStr">
        <is>
          <t>CDC</t>
        </is>
      </c>
      <c r="O211" s="308" t="n">
        <v>1</v>
      </c>
      <c r="P211" s="308" t="n"/>
      <c r="Q211" s="308" t="inlineStr">
        <is>
          <t>Permanent - Full Time</t>
        </is>
      </c>
      <c r="R211" s="310" t="n"/>
      <c r="S211" s="310" t="n"/>
      <c r="T211" s="322" t="n">
        <v>88100</v>
      </c>
      <c r="U211" s="321" t="n">
        <v>88100</v>
      </c>
      <c r="V211" s="313" t="n">
        <v>0.1</v>
      </c>
      <c r="W211" s="953" t="n">
        <v>0.055</v>
      </c>
      <c r="X211" s="953" t="n">
        <v>0.12</v>
      </c>
      <c r="Y211" s="954" t="n"/>
      <c r="Z211" s="953" t="n">
        <v>0.04</v>
      </c>
      <c r="AA211" s="952">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849">
      <c r="A212" s="250" t="n">
        <v>6307</v>
      </c>
      <c r="B212" s="220" t="inlineStr">
        <is>
          <t>Darren Koller</t>
        </is>
      </c>
      <c r="C212" s="305" t="inlineStr">
        <is>
          <t>Manager, Service Management &amp; Major Incident Mgmt Lead</t>
        </is>
      </c>
      <c r="D212" s="220" t="inlineStr">
        <is>
          <t>Rajini Onteddu Reddy</t>
        </is>
      </c>
      <c r="E212" s="220" t="inlineStr">
        <is>
          <t>Head of Service Operatoins &amp; Assurance</t>
        </is>
      </c>
      <c r="F212" s="220" t="inlineStr">
        <is>
          <t>Cyber, Risk &amp; Operations</t>
        </is>
      </c>
      <c r="G212" s="306" t="inlineStr">
        <is>
          <t>Service Op &amp; Assurance</t>
        </is>
      </c>
      <c r="H212" s="220" t="inlineStr">
        <is>
          <t>NA</t>
        </is>
      </c>
      <c r="I212" s="220" t="inlineStr">
        <is>
          <t>NA</t>
        </is>
      </c>
      <c r="J212" s="220" t="inlineStr">
        <is>
          <t>NA</t>
        </is>
      </c>
      <c r="K212" s="220" t="inlineStr">
        <is>
          <t>NA</t>
        </is>
      </c>
      <c r="L212" s="220" t="n"/>
      <c r="M212" s="307" t="inlineStr">
        <is>
          <t>Australia</t>
        </is>
      </c>
      <c r="N212" s="310" t="inlineStr">
        <is>
          <t>CIC</t>
        </is>
      </c>
      <c r="O212" s="310" t="n">
        <v>1</v>
      </c>
      <c r="P212" s="310" t="n"/>
      <c r="Q212" s="310" t="inlineStr">
        <is>
          <t>Permanent - Full Time</t>
        </is>
      </c>
      <c r="R212" s="310" t="n"/>
      <c r="S212" s="310" t="n"/>
      <c r="T212" s="322" t="n">
        <v>205950</v>
      </c>
      <c r="U212" s="321" t="n">
        <v>205950</v>
      </c>
      <c r="V212" s="313" t="n">
        <v>0.12</v>
      </c>
      <c r="W212" s="953" t="n">
        <v>0.055</v>
      </c>
      <c r="X212" s="953" t="n">
        <v>0.12</v>
      </c>
      <c r="Y212" s="954" t="n"/>
      <c r="Z212" s="953" t="n">
        <v>0.04</v>
      </c>
      <c r="AA212" s="952">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849">
      <c r="A213" s="250" t="n">
        <v>99707</v>
      </c>
      <c r="B213" s="220" t="inlineStr">
        <is>
          <t>Darshan Suvama</t>
        </is>
      </c>
      <c r="C213" s="305" t="inlineStr">
        <is>
          <t>Cyber Offensive Security Lead</t>
        </is>
      </c>
      <c r="D213" s="220" t="inlineStr">
        <is>
          <t>Kevin Sheerin</t>
        </is>
      </c>
      <c r="E213" s="220" t="inlineStr">
        <is>
          <t>Cyber Architecture Lead</t>
        </is>
      </c>
      <c r="F213" s="220" t="inlineStr">
        <is>
          <t>Cyber, Risk &amp; Operations</t>
        </is>
      </c>
      <c r="G213" s="306" t="inlineStr">
        <is>
          <t>Cyber Strat &amp; Tech</t>
        </is>
      </c>
      <c r="H213" s="220" t="inlineStr">
        <is>
          <t>NA</t>
        </is>
      </c>
      <c r="I213" s="220" t="inlineStr">
        <is>
          <t>NA</t>
        </is>
      </c>
      <c r="J213" s="220" t="inlineStr">
        <is>
          <t>NA</t>
        </is>
      </c>
      <c r="K213" s="220" t="inlineStr">
        <is>
          <t>NA</t>
        </is>
      </c>
      <c r="L213" s="220" t="n"/>
      <c r="M213" s="307" t="inlineStr">
        <is>
          <t>Australia</t>
        </is>
      </c>
      <c r="N213" s="308" t="inlineStr">
        <is>
          <t>CIC</t>
        </is>
      </c>
      <c r="O213" s="308" t="n">
        <v>1</v>
      </c>
      <c r="P213" s="308" t="n"/>
      <c r="Q213" s="308" t="inlineStr">
        <is>
          <t>Permanent - Full Time</t>
        </is>
      </c>
      <c r="R213" s="310" t="n"/>
      <c r="S213" s="310" t="n"/>
      <c r="T213" s="322" t="n">
        <v>213740</v>
      </c>
      <c r="U213" s="321" t="n">
        <v>213740</v>
      </c>
      <c r="V213" s="313" t="n">
        <v>0.12</v>
      </c>
      <c r="W213" s="953" t="n">
        <v>0.055</v>
      </c>
      <c r="X213" s="953" t="n">
        <v>0.12</v>
      </c>
      <c r="Y213" s="954" t="n"/>
      <c r="Z213" s="953" t="n">
        <v>0.04</v>
      </c>
      <c r="AA213" s="952">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849">
      <c r="A214" s="250" t="n">
        <v>101700</v>
      </c>
      <c r="B214" s="220" t="inlineStr">
        <is>
          <t>Diya Thomas</t>
        </is>
      </c>
      <c r="C214" s="305" t="inlineStr">
        <is>
          <t>Manager Cyber Security GRC</t>
        </is>
      </c>
      <c r="D214" s="220" t="inlineStr">
        <is>
          <t>Frances Bouzo</t>
        </is>
      </c>
      <c r="E214" s="220" t="inlineStr">
        <is>
          <t xml:space="preserve">Manager Cyber Security Operations </t>
        </is>
      </c>
      <c r="F214" s="220" t="inlineStr">
        <is>
          <t>Cyber, Risk &amp; Operations</t>
        </is>
      </c>
      <c r="G214" s="306" t="inlineStr">
        <is>
          <t>Cyber GRC</t>
        </is>
      </c>
      <c r="H214" s="220" t="inlineStr">
        <is>
          <t>NA</t>
        </is>
      </c>
      <c r="I214" s="220" t="inlineStr">
        <is>
          <t>NA</t>
        </is>
      </c>
      <c r="J214" s="220" t="inlineStr">
        <is>
          <t>NA</t>
        </is>
      </c>
      <c r="K214" s="220" t="inlineStr">
        <is>
          <t>NA</t>
        </is>
      </c>
      <c r="L214" s="220" t="n"/>
      <c r="M214" s="307" t="inlineStr">
        <is>
          <t>Australia</t>
        </is>
      </c>
      <c r="N214" s="308" t="inlineStr">
        <is>
          <t>CSB</t>
        </is>
      </c>
      <c r="O214" s="308" t="n">
        <v>1</v>
      </c>
      <c r="P214" s="308" t="n"/>
      <c r="Q214" s="308" t="inlineStr">
        <is>
          <t>Permanent - Full Time</t>
        </is>
      </c>
      <c r="R214" s="310" t="n"/>
      <c r="S214" s="310" t="n"/>
      <c r="T214" s="322" t="n">
        <v>211840</v>
      </c>
      <c r="U214" s="311" t="n">
        <v>211840</v>
      </c>
      <c r="V214" s="349" t="n">
        <v>0.14</v>
      </c>
      <c r="W214" s="955" t="n">
        <v>0.055</v>
      </c>
      <c r="X214" s="955" t="n">
        <v>0.12</v>
      </c>
      <c r="Y214" s="956" t="n"/>
      <c r="Z214" s="955" t="n">
        <v>0.04</v>
      </c>
      <c r="AA214" s="957">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849">
      <c r="A215" s="250" t="n">
        <v>99999102157</v>
      </c>
      <c r="B215" s="220" t="inlineStr">
        <is>
          <t>Ethan Lamhert (FT)</t>
        </is>
      </c>
      <c r="C215" s="305" t="inlineStr">
        <is>
          <t>Tech Support Technician</t>
        </is>
      </c>
      <c r="D215" s="220" t="inlineStr">
        <is>
          <t>Mark Pearson</t>
        </is>
      </c>
      <c r="E215" s="220" t="inlineStr">
        <is>
          <t xml:space="preserve">Lead Technology Support </t>
        </is>
      </c>
      <c r="F215" s="220" t="inlineStr">
        <is>
          <t>Cyber, Risk &amp; Operations</t>
        </is>
      </c>
      <c r="G215" s="306" t="inlineStr">
        <is>
          <t>Service Op &amp; Assurance</t>
        </is>
      </c>
      <c r="H215" s="220" t="inlineStr">
        <is>
          <t>NA</t>
        </is>
      </c>
      <c r="I215" s="220" t="inlineStr">
        <is>
          <t>NA</t>
        </is>
      </c>
      <c r="J215" s="220" t="inlineStr">
        <is>
          <t>NA</t>
        </is>
      </c>
      <c r="K215" s="220" t="inlineStr">
        <is>
          <t>NA</t>
        </is>
      </c>
      <c r="L215" s="220" t="n"/>
      <c r="M215" s="307" t="inlineStr">
        <is>
          <t>NZ</t>
        </is>
      </c>
      <c r="N215" s="308" t="inlineStr">
        <is>
          <t>CDB</t>
        </is>
      </c>
      <c r="O215" s="309" t="n">
        <v>1</v>
      </c>
      <c r="P215" s="308" t="n"/>
      <c r="Q215" s="309" t="inlineStr">
        <is>
          <t>Temporary - Full Time</t>
        </is>
      </c>
      <c r="R215" s="310" t="n"/>
      <c r="S215" s="310" t="n"/>
      <c r="T215" s="322" t="n">
        <v>80000</v>
      </c>
      <c r="U215" s="311" t="n">
        <v>73600</v>
      </c>
      <c r="V215" s="353" t="n">
        <v>0.1</v>
      </c>
      <c r="W215" s="333" t="n"/>
      <c r="X215" s="349" t="n">
        <v>0.05</v>
      </c>
      <c r="Y215" s="958" t="n">
        <v>2910</v>
      </c>
      <c r="Z215" s="349" t="n">
        <v>0.03</v>
      </c>
      <c r="AA215" s="957">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849">
      <c r="A216" s="250" t="n">
        <v>87951</v>
      </c>
      <c r="B216" s="220" t="inlineStr">
        <is>
          <t>Iwan Wibisono</t>
        </is>
      </c>
      <c r="C216" s="305" t="inlineStr">
        <is>
          <t>Engineer - IDAM</t>
        </is>
      </c>
      <c r="D216" s="220" t="inlineStr">
        <is>
          <t>Joe Nahma</t>
        </is>
      </c>
      <c r="E216" s="220" t="inlineStr">
        <is>
          <t xml:space="preserve">Lead Service Desk </t>
        </is>
      </c>
      <c r="F216" s="220" t="inlineStr">
        <is>
          <t>Cyber, Risk &amp; Operations</t>
        </is>
      </c>
      <c r="G216" s="306" t="inlineStr">
        <is>
          <t>Cyber Strat &amp; Tech</t>
        </is>
      </c>
      <c r="H216" s="220" t="inlineStr">
        <is>
          <t>NA</t>
        </is>
      </c>
      <c r="I216" s="220" t="inlineStr">
        <is>
          <t>NA</t>
        </is>
      </c>
      <c r="J216" s="220" t="inlineStr">
        <is>
          <t>NA</t>
        </is>
      </c>
      <c r="K216" s="220" t="inlineStr">
        <is>
          <t>NA</t>
        </is>
      </c>
      <c r="L216" s="220" t="n"/>
      <c r="M216" s="307" t="inlineStr">
        <is>
          <t>Australia</t>
        </is>
      </c>
      <c r="N216" s="310" t="inlineStr">
        <is>
          <t>CIB</t>
        </is>
      </c>
      <c r="O216" s="310" t="n">
        <v>1</v>
      </c>
      <c r="P216" s="310" t="n"/>
      <c r="Q216" s="310" t="inlineStr">
        <is>
          <t>Permanent - Full Time</t>
        </is>
      </c>
      <c r="R216" s="310" t="n"/>
      <c r="S216" s="310" t="n"/>
      <c r="T216" s="322" t="n">
        <v>161560</v>
      </c>
      <c r="U216" s="311" t="n">
        <v>161560</v>
      </c>
      <c r="V216" s="349" t="n">
        <v>0.12</v>
      </c>
      <c r="W216" s="955" t="n">
        <v>0.055</v>
      </c>
      <c r="X216" s="955" t="n">
        <v>0.12</v>
      </c>
      <c r="Y216" s="956" t="n"/>
      <c r="Z216" s="955" t="n">
        <v>0.04</v>
      </c>
      <c r="AA216" s="957">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849">
      <c r="A217" s="250" t="n">
        <v>113382</v>
      </c>
      <c r="B217" s="220" t="inlineStr">
        <is>
          <t>Jack Jenkins</t>
        </is>
      </c>
      <c r="C217" s="305" t="inlineStr">
        <is>
          <t>Asset Analyst</t>
        </is>
      </c>
      <c r="D217" s="220" t="inlineStr">
        <is>
          <t>Vacant</t>
        </is>
      </c>
      <c r="E217" s="220" t="inlineStr">
        <is>
          <t>Lead – Asset &amp; Configuration (Vacant)</t>
        </is>
      </c>
      <c r="F217" s="220" t="inlineStr">
        <is>
          <t>Cyber, Risk &amp; Operations</t>
        </is>
      </c>
      <c r="G217" s="306" t="inlineStr">
        <is>
          <t>Service Op &amp; Assurance</t>
        </is>
      </c>
      <c r="H217" s="220" t="inlineStr">
        <is>
          <t>NA</t>
        </is>
      </c>
      <c r="I217" s="220" t="inlineStr">
        <is>
          <t>NA</t>
        </is>
      </c>
      <c r="J217" s="220" t="inlineStr">
        <is>
          <t>NA</t>
        </is>
      </c>
      <c r="K217" s="220" t="inlineStr">
        <is>
          <t>NA</t>
        </is>
      </c>
      <c r="L217" s="220" t="n"/>
      <c r="M217" s="307" t="inlineStr">
        <is>
          <t>Australia</t>
        </is>
      </c>
      <c r="N217" s="308" t="inlineStr">
        <is>
          <t>CIA</t>
        </is>
      </c>
      <c r="O217" s="308" t="n">
        <v>1</v>
      </c>
      <c r="P217" s="308" t="n"/>
      <c r="Q217" s="308" t="inlineStr">
        <is>
          <t>Permanent - Full Time</t>
        </is>
      </c>
      <c r="R217" s="310" t="n"/>
      <c r="S217" s="310" t="n"/>
      <c r="T217" s="322" t="n">
        <v>105710</v>
      </c>
      <c r="U217" s="321" t="n">
        <v>105710</v>
      </c>
      <c r="V217" s="313" t="n">
        <v>0.1</v>
      </c>
      <c r="W217" s="953" t="n">
        <v>0.055</v>
      </c>
      <c r="X217" s="953" t="n">
        <v>0.12</v>
      </c>
      <c r="Y217" s="954" t="n"/>
      <c r="Z217" s="953" t="n">
        <v>0.04</v>
      </c>
      <c r="AA217" s="952">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849">
      <c r="A218" s="250" t="n">
        <v>100825</v>
      </c>
      <c r="B218" s="220" t="inlineStr">
        <is>
          <t>James Byrne</t>
        </is>
      </c>
      <c r="C218" s="305" t="inlineStr">
        <is>
          <t>Head of Cyber Strategy &amp; Technology</t>
        </is>
      </c>
      <c r="D218" s="220" t="inlineStr">
        <is>
          <t>Frances Bouzo</t>
        </is>
      </c>
      <c r="E218" s="220" t="inlineStr">
        <is>
          <t xml:space="preserve">Manager Customer Support Operations </t>
        </is>
      </c>
      <c r="F218" s="220" t="inlineStr">
        <is>
          <t>Cyber, Risk &amp; Operations</t>
        </is>
      </c>
      <c r="G218" s="306" t="inlineStr">
        <is>
          <t>Cyber Strat &amp; Tech</t>
        </is>
      </c>
      <c r="H218" s="220" t="inlineStr">
        <is>
          <t>NA</t>
        </is>
      </c>
      <c r="I218" s="220" t="inlineStr">
        <is>
          <t>NA</t>
        </is>
      </c>
      <c r="J218" s="220" t="inlineStr">
        <is>
          <t>NA</t>
        </is>
      </c>
      <c r="K218" s="220" t="inlineStr">
        <is>
          <t>NA</t>
        </is>
      </c>
      <c r="L218" s="220" t="n"/>
      <c r="M218" s="307" t="inlineStr">
        <is>
          <t>Australia</t>
        </is>
      </c>
      <c r="N218" s="308" t="inlineStr">
        <is>
          <t>CSC</t>
        </is>
      </c>
      <c r="O218" s="308" t="n">
        <v>1</v>
      </c>
      <c r="P218" s="308" t="n"/>
      <c r="Q218" s="308" t="inlineStr">
        <is>
          <t>Permanent - Full Time</t>
        </is>
      </c>
      <c r="R218" s="310" t="n"/>
      <c r="S218" s="310" t="n"/>
      <c r="T218" s="322" t="n">
        <v>270380</v>
      </c>
      <c r="U218" s="321" t="n">
        <v>270380</v>
      </c>
      <c r="V218" s="313" t="n">
        <v>0.2</v>
      </c>
      <c r="W218" s="966" t="n">
        <v>0.055</v>
      </c>
      <c r="X218" s="966" t="n">
        <v>0.12</v>
      </c>
      <c r="Y218" s="967" t="n"/>
      <c r="Z218" s="966" t="n">
        <v>0.04</v>
      </c>
      <c r="AA218" s="952">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849">
      <c r="A219" s="250" t="n">
        <v>108727</v>
      </c>
      <c r="B219" s="220" t="inlineStr">
        <is>
          <t>Jas Mann</t>
        </is>
      </c>
      <c r="C219" s="305" t="inlineStr">
        <is>
          <t>Technology Support Engineer</t>
        </is>
      </c>
      <c r="D219" s="220" t="inlineStr">
        <is>
          <t>Mark Pearson</t>
        </is>
      </c>
      <c r="E219" s="220" t="inlineStr">
        <is>
          <t xml:space="preserve">Lead Technology Support </t>
        </is>
      </c>
      <c r="F219" s="220" t="inlineStr">
        <is>
          <t>Cyber, Risk &amp; Operations</t>
        </is>
      </c>
      <c r="G219" s="306" t="inlineStr">
        <is>
          <t>Service Op &amp; Assurance</t>
        </is>
      </c>
      <c r="H219" s="220" t="inlineStr">
        <is>
          <t>NA</t>
        </is>
      </c>
      <c r="I219" s="220" t="inlineStr">
        <is>
          <t>NA</t>
        </is>
      </c>
      <c r="J219" s="220" t="inlineStr">
        <is>
          <t>NA</t>
        </is>
      </c>
      <c r="K219" s="220" t="inlineStr">
        <is>
          <t>NA</t>
        </is>
      </c>
      <c r="L219" s="220" t="n"/>
      <c r="M219" s="307" t="inlineStr">
        <is>
          <t>Australia</t>
        </is>
      </c>
      <c r="N219" s="308" t="inlineStr">
        <is>
          <t>CIA</t>
        </is>
      </c>
      <c r="O219" s="308" t="n">
        <v>1</v>
      </c>
      <c r="P219" s="308" t="n"/>
      <c r="Q219" s="308" t="inlineStr">
        <is>
          <t>Permanent - Full Time</t>
        </is>
      </c>
      <c r="R219" s="310" t="n"/>
      <c r="S219" s="310" t="n"/>
      <c r="T219" s="322" t="n">
        <v>111700</v>
      </c>
      <c r="U219" s="321" t="n">
        <v>111700</v>
      </c>
      <c r="V219" s="313" t="n">
        <v>0.1</v>
      </c>
      <c r="W219" s="953" t="n">
        <v>0.055</v>
      </c>
      <c r="X219" s="953" t="n">
        <v>0.12</v>
      </c>
      <c r="Y219" s="954" t="n"/>
      <c r="Z219" s="953" t="n">
        <v>0.04</v>
      </c>
      <c r="AA219" s="952">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849">
      <c r="A220" s="250" t="n">
        <v>108809</v>
      </c>
      <c r="B220" s="220" t="inlineStr">
        <is>
          <t>Joe Nahma</t>
        </is>
      </c>
      <c r="C220" s="305" t="inlineStr">
        <is>
          <t>Manager Identity &amp; Access Management</t>
        </is>
      </c>
      <c r="D220" s="220" t="inlineStr">
        <is>
          <t>James Byrne</t>
        </is>
      </c>
      <c r="E220" s="220" t="inlineStr">
        <is>
          <t>Manager Cyber Security GRC</t>
        </is>
      </c>
      <c r="F220" s="220" t="inlineStr">
        <is>
          <t>Cyber, Risk &amp; Operations</t>
        </is>
      </c>
      <c r="G220" s="306" t="inlineStr">
        <is>
          <t>Cyber Strat &amp; Tech</t>
        </is>
      </c>
      <c r="H220" s="220" t="inlineStr">
        <is>
          <t>NA</t>
        </is>
      </c>
      <c r="I220" s="220" t="inlineStr">
        <is>
          <t>NA</t>
        </is>
      </c>
      <c r="J220" s="220" t="inlineStr">
        <is>
          <t>NA</t>
        </is>
      </c>
      <c r="K220" s="220" t="inlineStr">
        <is>
          <t>NA</t>
        </is>
      </c>
      <c r="L220" s="220" t="n"/>
      <c r="M220" s="307" t="inlineStr">
        <is>
          <t>Australia</t>
        </is>
      </c>
      <c r="N220" s="308" t="inlineStr">
        <is>
          <t>CIC</t>
        </is>
      </c>
      <c r="O220" s="308" t="n">
        <v>1</v>
      </c>
      <c r="P220" s="308" t="n"/>
      <c r="Q220" s="308" t="inlineStr">
        <is>
          <t>Permanent - Full Time</t>
        </is>
      </c>
      <c r="R220" s="310" t="n"/>
      <c r="S220" s="310" t="n"/>
      <c r="T220" s="322" t="n">
        <v>193790</v>
      </c>
      <c r="U220" s="321" t="n">
        <v>193790</v>
      </c>
      <c r="V220" s="313" t="n">
        <v>0.12</v>
      </c>
      <c r="W220" s="953" t="n">
        <v>0.055</v>
      </c>
      <c r="X220" s="953" t="n">
        <v>0.12</v>
      </c>
      <c r="Y220" s="954" t="n"/>
      <c r="Z220" s="953" t="n">
        <v>0.04</v>
      </c>
      <c r="AA220" s="952">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849">
      <c r="A221" s="250" t="n">
        <v>114354</v>
      </c>
      <c r="B221" s="220" t="inlineStr">
        <is>
          <t>Kaaviya Salai Manimudian</t>
        </is>
      </c>
      <c r="C221" s="305" t="inlineStr">
        <is>
          <t>Graduate</t>
        </is>
      </c>
      <c r="D221" s="220" t="inlineStr">
        <is>
          <t>Lynda Niewidok</t>
        </is>
      </c>
      <c r="E221" s="220" t="inlineStr">
        <is>
          <t xml:space="preserve">Manager Customer Support Operations </t>
        </is>
      </c>
      <c r="F221" s="220" t="inlineStr">
        <is>
          <t>Cyber, Risk &amp; Operations</t>
        </is>
      </c>
      <c r="G221" s="306" t="inlineStr">
        <is>
          <t>Service Op &amp; Assurance</t>
        </is>
      </c>
      <c r="H221" s="220" t="inlineStr">
        <is>
          <t>NA</t>
        </is>
      </c>
      <c r="I221" s="220" t="inlineStr">
        <is>
          <t>NA</t>
        </is>
      </c>
      <c r="J221" s="220" t="inlineStr">
        <is>
          <t>NA</t>
        </is>
      </c>
      <c r="K221" s="220" t="inlineStr">
        <is>
          <t>NA</t>
        </is>
      </c>
      <c r="L221" s="220" t="n"/>
      <c r="M221" s="307" t="inlineStr">
        <is>
          <t>Australia</t>
        </is>
      </c>
      <c r="N221" s="308" t="inlineStr">
        <is>
          <t>CDB</t>
        </is>
      </c>
      <c r="O221" s="308" t="n">
        <v>1</v>
      </c>
      <c r="P221" s="308" t="n"/>
      <c r="Q221" s="308" t="inlineStr">
        <is>
          <t>Permanent - Full Time</t>
        </is>
      </c>
      <c r="R221" s="310" t="n"/>
      <c r="S221" s="310" t="n"/>
      <c r="T221" s="322" t="n">
        <v>85000</v>
      </c>
      <c r="U221" s="321" t="n">
        <v>85000</v>
      </c>
      <c r="V221" s="313" t="n">
        <v>0.08</v>
      </c>
      <c r="W221" s="953" t="n">
        <v>0.055</v>
      </c>
      <c r="X221" s="953" t="n">
        <v>0.12</v>
      </c>
      <c r="Y221" s="954" t="n"/>
      <c r="Z221" s="953" t="n">
        <v>0.04</v>
      </c>
      <c r="AA221" s="952">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849">
      <c r="A222" s="250" t="n">
        <v>97592</v>
      </c>
      <c r="B222" s="220" t="inlineStr">
        <is>
          <t>Kevin Sheerin</t>
        </is>
      </c>
      <c r="C222" s="305" t="inlineStr">
        <is>
          <t>Cyber Architecture Lead</t>
        </is>
      </c>
      <c r="D222" s="220" t="inlineStr">
        <is>
          <t>James Byrne</t>
        </is>
      </c>
      <c r="E222" s="220" t="n"/>
      <c r="F222" s="220" t="inlineStr">
        <is>
          <t>Cyber, Risk &amp; Operations</t>
        </is>
      </c>
      <c r="G222" s="306" t="inlineStr">
        <is>
          <t>Cyber Strat &amp; Tech</t>
        </is>
      </c>
      <c r="H222" s="220" t="inlineStr">
        <is>
          <t>NA</t>
        </is>
      </c>
      <c r="I222" s="220" t="inlineStr">
        <is>
          <t>NA</t>
        </is>
      </c>
      <c r="J222" s="220" t="inlineStr">
        <is>
          <t>NA</t>
        </is>
      </c>
      <c r="K222" s="220" t="inlineStr">
        <is>
          <t>NA</t>
        </is>
      </c>
      <c r="L222" s="220" t="n"/>
      <c r="M222" s="307" t="inlineStr">
        <is>
          <t>Australia</t>
        </is>
      </c>
      <c r="N222" s="308" t="inlineStr">
        <is>
          <t>CIC</t>
        </is>
      </c>
      <c r="O222" s="308" t="n">
        <v>1</v>
      </c>
      <c r="P222" s="308" t="n"/>
      <c r="Q222" s="308" t="inlineStr">
        <is>
          <t>Permanent - Full Time</t>
        </is>
      </c>
      <c r="R222" s="310" t="n"/>
      <c r="S222" s="310" t="n"/>
      <c r="T222" s="322" t="n">
        <v>213470</v>
      </c>
      <c r="U222" s="321" t="n">
        <v>213470</v>
      </c>
      <c r="V222" s="313" t="n">
        <v>0.12</v>
      </c>
      <c r="W222" s="953" t="n">
        <v>0.055</v>
      </c>
      <c r="X222" s="953" t="n">
        <v>0.12</v>
      </c>
      <c r="Y222" s="954" t="n"/>
      <c r="Z222" s="953" t="n">
        <v>0.04</v>
      </c>
      <c r="AA222" s="952">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849">
      <c r="A223" s="250" t="n">
        <v>99999101673</v>
      </c>
      <c r="B223" s="220" t="inlineStr">
        <is>
          <t>Lisa Ng</t>
        </is>
      </c>
      <c r="C223" s="305" t="inlineStr">
        <is>
          <t>Cyber Security Analyst</t>
        </is>
      </c>
      <c r="D223" s="220" t="inlineStr">
        <is>
          <t>Steven Atcheson</t>
        </is>
      </c>
      <c r="E223" s="220" t="n"/>
      <c r="F223" s="220" t="inlineStr">
        <is>
          <t>Cyber, Risk &amp; Operations</t>
        </is>
      </c>
      <c r="G223" s="306" t="inlineStr">
        <is>
          <t>Cyber Sec Ops</t>
        </is>
      </c>
      <c r="H223" s="220" t="inlineStr">
        <is>
          <t>NA</t>
        </is>
      </c>
      <c r="I223" s="220" t="inlineStr">
        <is>
          <t>NA</t>
        </is>
      </c>
      <c r="J223" s="220" t="inlineStr">
        <is>
          <t>NA</t>
        </is>
      </c>
      <c r="K223" s="220" t="inlineStr">
        <is>
          <t>NA</t>
        </is>
      </c>
      <c r="L223" s="220" t="n"/>
      <c r="M223" s="307" t="inlineStr">
        <is>
          <t>NZ</t>
        </is>
      </c>
      <c r="N223" s="308" t="inlineStr">
        <is>
          <t>CIA</t>
        </is>
      </c>
      <c r="O223" s="309" t="n">
        <v>0.8</v>
      </c>
      <c r="P223" s="308" t="n"/>
      <c r="Q223" s="309" t="inlineStr">
        <is>
          <t>Permanent - Part Time</t>
        </is>
      </c>
      <c r="R223" s="310" t="n"/>
      <c r="S223" s="310" t="n"/>
      <c r="T223" s="322" t="n">
        <v>128040</v>
      </c>
      <c r="U223" s="321" t="n">
        <v>117796.8</v>
      </c>
      <c r="V223" s="312" t="n">
        <v>0.15</v>
      </c>
      <c r="W223" s="310" t="n"/>
      <c r="X223" s="313" t="n">
        <v>0.05</v>
      </c>
      <c r="Y223" s="951" t="n">
        <v>2910</v>
      </c>
      <c r="Z223" s="313" t="n">
        <v>0.03</v>
      </c>
      <c r="AA223" s="952">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849">
      <c r="A224" s="250" t="n">
        <v>96830</v>
      </c>
      <c r="B224" s="220" t="inlineStr">
        <is>
          <t>Lynda Niewidok</t>
        </is>
      </c>
      <c r="C224" s="305" t="inlineStr">
        <is>
          <t>Lead – Service Desk</t>
        </is>
      </c>
      <c r="D224" s="220" t="inlineStr">
        <is>
          <t>Chris Rojas</t>
        </is>
      </c>
      <c r="E224" s="220" t="inlineStr">
        <is>
          <t xml:space="preserve">CISO </t>
        </is>
      </c>
      <c r="F224" s="220" t="inlineStr">
        <is>
          <t>Cyber, Risk &amp; Operations</t>
        </is>
      </c>
      <c r="G224" s="306" t="inlineStr">
        <is>
          <t>Service Op &amp; Assurance</t>
        </is>
      </c>
      <c r="H224" s="220" t="inlineStr">
        <is>
          <t>NA</t>
        </is>
      </c>
      <c r="I224" s="220" t="inlineStr">
        <is>
          <t>NA</t>
        </is>
      </c>
      <c r="J224" s="220" t="inlineStr">
        <is>
          <t>NA</t>
        </is>
      </c>
      <c r="K224" s="220" t="inlineStr">
        <is>
          <t>NA</t>
        </is>
      </c>
      <c r="L224" s="220" t="n"/>
      <c r="M224" s="307" t="inlineStr">
        <is>
          <t>Australia</t>
        </is>
      </c>
      <c r="N224" s="308" t="inlineStr">
        <is>
          <t>CIB</t>
        </is>
      </c>
      <c r="O224" s="308" t="n">
        <v>1</v>
      </c>
      <c r="P224" s="308" t="n"/>
      <c r="Q224" s="308" t="inlineStr">
        <is>
          <t>Permanent - Full Time</t>
        </is>
      </c>
      <c r="R224" s="310" t="n"/>
      <c r="S224" s="310" t="n"/>
      <c r="T224" s="322" t="n">
        <v>152800</v>
      </c>
      <c r="U224" s="321" t="n">
        <v>152800</v>
      </c>
      <c r="V224" s="313" t="n">
        <v>0.12</v>
      </c>
      <c r="W224" s="953" t="n">
        <v>0.055</v>
      </c>
      <c r="X224" s="953" t="n">
        <v>0.12</v>
      </c>
      <c r="Y224" s="954" t="n"/>
      <c r="Z224" s="953" t="n">
        <v>0.04</v>
      </c>
      <c r="AA224" s="952">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849">
      <c r="A225" s="250" t="n">
        <v>92681</v>
      </c>
      <c r="B225" s="220" t="inlineStr">
        <is>
          <t>Mark Pearson</t>
        </is>
      </c>
      <c r="C225" s="305" t="inlineStr">
        <is>
          <t>Lead – Technology Support</t>
        </is>
      </c>
      <c r="D225" s="220" t="inlineStr">
        <is>
          <t>Chris Rojas</t>
        </is>
      </c>
      <c r="E225" s="220" t="inlineStr">
        <is>
          <t xml:space="preserve">Manager Service Management &amp; Major Incident Management Lead </t>
        </is>
      </c>
      <c r="F225" s="220" t="inlineStr">
        <is>
          <t>Cyber, Risk &amp; Operations</t>
        </is>
      </c>
      <c r="G225" s="306" t="inlineStr">
        <is>
          <t>Service Op &amp; Assurance</t>
        </is>
      </c>
      <c r="H225" s="220" t="inlineStr">
        <is>
          <t>NA</t>
        </is>
      </c>
      <c r="I225" s="220" t="inlineStr">
        <is>
          <t>NA</t>
        </is>
      </c>
      <c r="J225" s="220" t="inlineStr">
        <is>
          <t>NA</t>
        </is>
      </c>
      <c r="K225" s="220" t="inlineStr">
        <is>
          <t>NA</t>
        </is>
      </c>
      <c r="L225" s="220" t="n"/>
      <c r="M225" s="307" t="inlineStr">
        <is>
          <t>Australia</t>
        </is>
      </c>
      <c r="N225" s="308" t="inlineStr">
        <is>
          <t>CIB</t>
        </is>
      </c>
      <c r="O225" s="308" t="n">
        <v>1</v>
      </c>
      <c r="P225" s="308" t="n"/>
      <c r="Q225" s="308" t="inlineStr">
        <is>
          <t>Permanent - Full Time</t>
        </is>
      </c>
      <c r="R225" s="310" t="n"/>
      <c r="S225" s="310" t="n"/>
      <c r="T225" s="322" t="n">
        <v>152690</v>
      </c>
      <c r="U225" s="321" t="n">
        <v>152690</v>
      </c>
      <c r="V225" s="313" t="n">
        <v>0.12</v>
      </c>
      <c r="W225" s="953" t="n">
        <v>0.055</v>
      </c>
      <c r="X225" s="953" t="n">
        <v>0.12</v>
      </c>
      <c r="Y225" s="954" t="n"/>
      <c r="Z225" s="953" t="n">
        <v>0.04</v>
      </c>
      <c r="AA225" s="952">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849">
      <c r="A226" s="250" t="n">
        <v>90096</v>
      </c>
      <c r="B226" s="220" t="inlineStr">
        <is>
          <t>Mary-Grace Rivera</t>
        </is>
      </c>
      <c r="C226" s="305" t="inlineStr">
        <is>
          <t>Lead, Service Management</t>
        </is>
      </c>
      <c r="D226" s="383" t="inlineStr">
        <is>
          <t>Vacant</t>
        </is>
      </c>
      <c r="E226" s="220" t="inlineStr">
        <is>
          <t>Darren Koller</t>
        </is>
      </c>
      <c r="F226" s="220" t="inlineStr">
        <is>
          <t>Cyber, Risk &amp; Operations</t>
        </is>
      </c>
      <c r="G226" s="306" t="inlineStr">
        <is>
          <t>Service Op &amp; Assurance</t>
        </is>
      </c>
      <c r="H226" s="220" t="inlineStr">
        <is>
          <t>NA</t>
        </is>
      </c>
      <c r="I226" s="220" t="inlineStr">
        <is>
          <t>NA</t>
        </is>
      </c>
      <c r="J226" s="220" t="inlineStr">
        <is>
          <t>NA</t>
        </is>
      </c>
      <c r="K226" s="220" t="inlineStr">
        <is>
          <t>NA</t>
        </is>
      </c>
      <c r="L226" s="220" t="n"/>
      <c r="M226" s="307" t="inlineStr">
        <is>
          <t>Australia</t>
        </is>
      </c>
      <c r="N226" s="308" t="inlineStr">
        <is>
          <t>CIA</t>
        </is>
      </c>
      <c r="O226" s="308" t="n">
        <v>1</v>
      </c>
      <c r="P226" s="308" t="n"/>
      <c r="Q226" s="308" t="inlineStr">
        <is>
          <t>Permanent - Full Time</t>
        </is>
      </c>
      <c r="R226" s="310" t="n"/>
      <c r="S226" s="310" t="n"/>
      <c r="T226" s="322" t="n">
        <v>137620</v>
      </c>
      <c r="U226" s="321" t="n">
        <v>137620</v>
      </c>
      <c r="V226" s="313" t="n">
        <v>0.1</v>
      </c>
      <c r="W226" s="953" t="n">
        <v>0.055</v>
      </c>
      <c r="X226" s="953" t="n">
        <v>0.12</v>
      </c>
      <c r="Y226" s="954" t="n"/>
      <c r="Z226" s="953" t="n">
        <v>0.04</v>
      </c>
      <c r="AA226" s="952">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849">
      <c r="A227" s="250" t="n">
        <v>113900</v>
      </c>
      <c r="B227" s="220" t="inlineStr">
        <is>
          <t>Mick Collins</t>
        </is>
      </c>
      <c r="C227" s="305" t="inlineStr">
        <is>
          <t>Manager, Service Performance &amp; Assurance</t>
        </is>
      </c>
      <c r="D227" s="220" t="inlineStr">
        <is>
          <t>Rajini Onteddu Reddy</t>
        </is>
      </c>
      <c r="E227" s="220" t="n"/>
      <c r="F227" s="220" t="inlineStr">
        <is>
          <t>Cyber, Risk &amp; Operations</t>
        </is>
      </c>
      <c r="G227" s="306" t="inlineStr">
        <is>
          <t>Service Op &amp; Assurance</t>
        </is>
      </c>
      <c r="H227" s="220" t="inlineStr">
        <is>
          <t>NA</t>
        </is>
      </c>
      <c r="I227" s="220" t="inlineStr">
        <is>
          <t>NA</t>
        </is>
      </c>
      <c r="J227" s="220" t="inlineStr">
        <is>
          <t>NA</t>
        </is>
      </c>
      <c r="K227" s="220" t="inlineStr">
        <is>
          <t>NA</t>
        </is>
      </c>
      <c r="L227" s="220" t="n"/>
      <c r="M227" s="307" t="inlineStr">
        <is>
          <t>Australia</t>
        </is>
      </c>
      <c r="N227" s="308" t="inlineStr">
        <is>
          <t>CSB</t>
        </is>
      </c>
      <c r="O227" s="308" t="n">
        <v>1</v>
      </c>
      <c r="P227" s="308" t="n"/>
      <c r="Q227" s="308" t="inlineStr">
        <is>
          <t>Permanent - Full Time</t>
        </is>
      </c>
      <c r="R227" s="310" t="n"/>
      <c r="S227" s="310" t="n"/>
      <c r="T227" s="322" t="n">
        <v>200790</v>
      </c>
      <c r="U227" s="321" t="n">
        <v>200790</v>
      </c>
      <c r="V227" s="313" t="n">
        <v>0.14</v>
      </c>
      <c r="W227" s="953" t="n">
        <v>0.055</v>
      </c>
      <c r="X227" s="953" t="n">
        <v>0.12</v>
      </c>
      <c r="Y227" s="954" t="n"/>
      <c r="Z227" s="953" t="n">
        <v>0.04</v>
      </c>
      <c r="AA227" s="952">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849">
      <c r="A228" s="250" t="n">
        <v>97425</v>
      </c>
      <c r="B228" s="220" t="inlineStr">
        <is>
          <t>Nischal Bhusal</t>
        </is>
      </c>
      <c r="C228" s="305" t="inlineStr">
        <is>
          <t>Cyber Security Analyst</t>
        </is>
      </c>
      <c r="D228" s="220" t="inlineStr">
        <is>
          <t>Steven Atcheson</t>
        </is>
      </c>
      <c r="E228" s="220" t="n"/>
      <c r="F228" s="220" t="inlineStr">
        <is>
          <t>Cyber, Risk &amp; Operations</t>
        </is>
      </c>
      <c r="G228" s="306" t="inlineStr">
        <is>
          <t>Cyber Sec Ops</t>
        </is>
      </c>
      <c r="H228" s="220" t="inlineStr">
        <is>
          <t>NA</t>
        </is>
      </c>
      <c r="I228" s="220" t="inlineStr">
        <is>
          <t>NA</t>
        </is>
      </c>
      <c r="J228" s="220" t="inlineStr">
        <is>
          <t>NA</t>
        </is>
      </c>
      <c r="K228" s="220" t="inlineStr">
        <is>
          <t>NA</t>
        </is>
      </c>
      <c r="L228" s="220" t="n"/>
      <c r="M228" s="307" t="inlineStr">
        <is>
          <t>Australia</t>
        </is>
      </c>
      <c r="N228" s="308" t="inlineStr">
        <is>
          <t>CIB</t>
        </is>
      </c>
      <c r="O228" s="308" t="n">
        <v>1</v>
      </c>
      <c r="P228" s="308" t="n"/>
      <c r="Q228" s="308" t="inlineStr">
        <is>
          <t>Permanent - Full Time</t>
        </is>
      </c>
      <c r="R228" s="310" t="n"/>
      <c r="S228" s="310" t="n"/>
      <c r="T228" s="322" t="n">
        <v>161520</v>
      </c>
      <c r="U228" s="321" t="n">
        <v>161520</v>
      </c>
      <c r="V228" s="313" t="n">
        <v>0.12</v>
      </c>
      <c r="W228" s="953" t="n">
        <v>0.055</v>
      </c>
      <c r="X228" s="953" t="n">
        <v>0.12</v>
      </c>
      <c r="Y228" s="954" t="n"/>
      <c r="Z228" s="953" t="n">
        <v>0.04</v>
      </c>
      <c r="AA228" s="952">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849">
      <c r="A229" s="250" t="n">
        <v>109491</v>
      </c>
      <c r="B229" s="220" t="inlineStr">
        <is>
          <t>Pooja Kuperkar</t>
        </is>
      </c>
      <c r="C229" s="305" t="inlineStr">
        <is>
          <t>Cyber GRC Analyst</t>
        </is>
      </c>
      <c r="D229" s="220" t="inlineStr">
        <is>
          <t>Diya Thomas</t>
        </is>
      </c>
      <c r="E229" s="220" t="n"/>
      <c r="F229" s="220" t="inlineStr">
        <is>
          <t>Cyber, Risk &amp; Operations</t>
        </is>
      </c>
      <c r="G229" s="306" t="inlineStr">
        <is>
          <t>Cyber GRC</t>
        </is>
      </c>
      <c r="H229" s="220" t="inlineStr">
        <is>
          <t>NA</t>
        </is>
      </c>
      <c r="I229" s="220" t="inlineStr">
        <is>
          <t>NA</t>
        </is>
      </c>
      <c r="J229" s="220" t="inlineStr">
        <is>
          <t>NA</t>
        </is>
      </c>
      <c r="K229" s="220" t="inlineStr">
        <is>
          <t>NA</t>
        </is>
      </c>
      <c r="L229" s="220" t="n"/>
      <c r="M229" s="307" t="inlineStr">
        <is>
          <t>Australia</t>
        </is>
      </c>
      <c r="N229" s="308" t="inlineStr">
        <is>
          <t>CIB</t>
        </is>
      </c>
      <c r="O229" s="308" t="n">
        <v>1</v>
      </c>
      <c r="P229" s="308" t="n"/>
      <c r="Q229" s="308" t="inlineStr">
        <is>
          <t>Permanent - Full Time</t>
        </is>
      </c>
      <c r="R229" s="310" t="n"/>
      <c r="S229" s="310" t="n"/>
      <c r="T229" s="322" t="n">
        <v>152390</v>
      </c>
      <c r="U229" s="321" t="n">
        <v>152390</v>
      </c>
      <c r="V229" s="313" t="n">
        <v>0.12</v>
      </c>
      <c r="W229" s="953" t="n">
        <v>0.055</v>
      </c>
      <c r="X229" s="953" t="n">
        <v>0.12</v>
      </c>
      <c r="Y229" s="954" t="n"/>
      <c r="Z229" s="953" t="n">
        <v>0.04</v>
      </c>
      <c r="AA229" s="952">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849">
      <c r="A230" s="250" t="n">
        <v>114683</v>
      </c>
      <c r="B230" s="220" t="inlineStr">
        <is>
          <t>Prashanth Chandran</t>
        </is>
      </c>
      <c r="C230" s="305" t="inlineStr">
        <is>
          <t>Senior Cyber GRC Specialist</t>
        </is>
      </c>
      <c r="D230" s="220" t="inlineStr">
        <is>
          <t>Diya Thomas</t>
        </is>
      </c>
      <c r="E230" s="220" t="inlineStr">
        <is>
          <t>Manager Cyber Security GRC</t>
        </is>
      </c>
      <c r="F230" s="220" t="inlineStr">
        <is>
          <t>Cyber, Risk &amp; Operations</t>
        </is>
      </c>
      <c r="G230" s="306" t="inlineStr">
        <is>
          <t>Cyber GRC</t>
        </is>
      </c>
      <c r="H230" s="220" t="inlineStr">
        <is>
          <t>NA</t>
        </is>
      </c>
      <c r="I230" s="220" t="inlineStr">
        <is>
          <t>NA</t>
        </is>
      </c>
      <c r="J230" s="220" t="inlineStr">
        <is>
          <t>NA</t>
        </is>
      </c>
      <c r="K230" s="220" t="inlineStr">
        <is>
          <t>NA</t>
        </is>
      </c>
      <c r="L230" s="220" t="n"/>
      <c r="M230" s="307" t="inlineStr">
        <is>
          <t>Australia</t>
        </is>
      </c>
      <c r="N230" s="308" t="inlineStr">
        <is>
          <t>CIC</t>
        </is>
      </c>
      <c r="O230" s="308" t="n">
        <v>1</v>
      </c>
      <c r="P230" s="308" t="n"/>
      <c r="Q230" s="308" t="inlineStr">
        <is>
          <t>Permanent - Full Time</t>
        </is>
      </c>
      <c r="R230" s="310" t="n"/>
      <c r="S230" s="310" t="n"/>
      <c r="T230" s="322" t="n">
        <v>165000</v>
      </c>
      <c r="U230" s="321" t="n">
        <v>165000</v>
      </c>
      <c r="V230" s="313" t="n">
        <v>0.12</v>
      </c>
      <c r="W230" s="953" t="n">
        <v>0.055</v>
      </c>
      <c r="X230" s="953" t="n">
        <v>0.12</v>
      </c>
      <c r="Y230" s="954" t="n"/>
      <c r="Z230" s="953" t="n">
        <v>0.04</v>
      </c>
      <c r="AA230" s="952">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849">
      <c r="A231" s="250" t="n">
        <v>104966</v>
      </c>
      <c r="B231" s="220" t="inlineStr">
        <is>
          <t>Rahul Sahni</t>
        </is>
      </c>
      <c r="C231" s="305" t="inlineStr">
        <is>
          <t>Cyber Security Architect</t>
        </is>
      </c>
      <c r="D231" s="220" t="inlineStr">
        <is>
          <t>Kevin Sheerin</t>
        </is>
      </c>
      <c r="E231" s="220" t="n"/>
      <c r="F231" s="220" t="inlineStr">
        <is>
          <t>Cyber, Risk &amp; Operations</t>
        </is>
      </c>
      <c r="G231" s="306" t="inlineStr">
        <is>
          <t>Cyber Strat &amp; Tech</t>
        </is>
      </c>
      <c r="H231" s="220" t="inlineStr">
        <is>
          <t>NA</t>
        </is>
      </c>
      <c r="I231" s="220" t="inlineStr">
        <is>
          <t>NA</t>
        </is>
      </c>
      <c r="J231" s="220" t="inlineStr">
        <is>
          <t>NA</t>
        </is>
      </c>
      <c r="K231" s="220" t="inlineStr">
        <is>
          <t>NA</t>
        </is>
      </c>
      <c r="L231" s="220" t="n"/>
      <c r="M231" s="307" t="inlineStr">
        <is>
          <t>Australia</t>
        </is>
      </c>
      <c r="N231" s="308" t="inlineStr">
        <is>
          <t>CIC</t>
        </is>
      </c>
      <c r="O231" s="308" t="n">
        <v>1</v>
      </c>
      <c r="P231" s="308" t="n"/>
      <c r="Q231" s="308" t="inlineStr">
        <is>
          <t>Permanent - Full Time</t>
        </is>
      </c>
      <c r="R231" s="310" t="n"/>
      <c r="S231" s="310" t="n"/>
      <c r="T231" s="322" t="n">
        <v>169500</v>
      </c>
      <c r="U231" s="321" t="n">
        <v>169500</v>
      </c>
      <c r="V231" s="313" t="n">
        <v>0.12</v>
      </c>
      <c r="W231" s="953" t="n">
        <v>0.055</v>
      </c>
      <c r="X231" s="953" t="n">
        <v>0.12</v>
      </c>
      <c r="Y231" s="954" t="n"/>
      <c r="Z231" s="953" t="n">
        <v>0.04</v>
      </c>
      <c r="AA231" s="952">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849">
      <c r="A232" s="250" t="n">
        <v>105647</v>
      </c>
      <c r="B232" s="220" t="inlineStr">
        <is>
          <t>Rajini Onteddu Reddy</t>
        </is>
      </c>
      <c r="C232" s="305" t="inlineStr">
        <is>
          <t>Head of Service Operations &amp; Assurance</t>
        </is>
      </c>
      <c r="D232" s="220" t="inlineStr">
        <is>
          <t>Frances Bouzo</t>
        </is>
      </c>
      <c r="E232" s="220" t="inlineStr">
        <is>
          <t xml:space="preserve">Manager Service Management &amp; Major Incident Management Lead </t>
        </is>
      </c>
      <c r="F232" s="220" t="inlineStr">
        <is>
          <t>Cyber, Risk &amp; Operations</t>
        </is>
      </c>
      <c r="G232" s="306" t="inlineStr">
        <is>
          <t>Service Op &amp; Assurance</t>
        </is>
      </c>
      <c r="H232" s="220" t="inlineStr">
        <is>
          <t>NA</t>
        </is>
      </c>
      <c r="I232" s="220" t="inlineStr">
        <is>
          <t>NA</t>
        </is>
      </c>
      <c r="J232" s="220" t="inlineStr">
        <is>
          <t>NA</t>
        </is>
      </c>
      <c r="K232" s="220" t="inlineStr">
        <is>
          <t>NA</t>
        </is>
      </c>
      <c r="L232" s="220" t="n"/>
      <c r="M232" s="307" t="inlineStr">
        <is>
          <t>Australia</t>
        </is>
      </c>
      <c r="N232" s="308" t="inlineStr">
        <is>
          <t>CSC</t>
        </is>
      </c>
      <c r="O232" s="308" t="n">
        <v>1</v>
      </c>
      <c r="P232" s="308" t="n"/>
      <c r="Q232" s="308" t="inlineStr">
        <is>
          <t>Permanent - Full Time</t>
        </is>
      </c>
      <c r="R232" s="310" t="n"/>
      <c r="S232" s="310" t="n"/>
      <c r="T232" s="322" t="n">
        <v>283160</v>
      </c>
      <c r="U232" s="321" t="n">
        <v>283160</v>
      </c>
      <c r="V232" s="313" t="n">
        <v>0.2</v>
      </c>
      <c r="W232" s="953" t="n">
        <v>0.055</v>
      </c>
      <c r="X232" s="953" t="n">
        <v>0.12</v>
      </c>
      <c r="Y232" s="954" t="n"/>
      <c r="Z232" s="953" t="n">
        <v>0.04</v>
      </c>
      <c r="AA232" s="952">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849">
      <c r="A233" s="250" t="n">
        <v>116241</v>
      </c>
      <c r="B233" s="220" t="inlineStr">
        <is>
          <t>Raymond Cheung</t>
        </is>
      </c>
      <c r="C233" s="305" t="inlineStr">
        <is>
          <t>Engineer - IDAM</t>
        </is>
      </c>
      <c r="D233" s="220" t="inlineStr">
        <is>
          <t>Joe Nahma</t>
        </is>
      </c>
      <c r="E233" s="220" t="inlineStr">
        <is>
          <t xml:space="preserve">Head Cyber Strategy &amp; Technology </t>
        </is>
      </c>
      <c r="F233" s="220" t="inlineStr">
        <is>
          <t>Cyber, Risk &amp; Operations</t>
        </is>
      </c>
      <c r="G233" s="306" t="inlineStr">
        <is>
          <t>Cyber Strat &amp; Tech</t>
        </is>
      </c>
      <c r="H233" s="220" t="inlineStr">
        <is>
          <t>NA</t>
        </is>
      </c>
      <c r="I233" s="220" t="inlineStr">
        <is>
          <t>NA</t>
        </is>
      </c>
      <c r="J233" s="220" t="inlineStr">
        <is>
          <t>NA</t>
        </is>
      </c>
      <c r="K233" s="220" t="inlineStr">
        <is>
          <t>NA</t>
        </is>
      </c>
      <c r="L233" s="220" t="n"/>
      <c r="M233" s="307" t="inlineStr">
        <is>
          <t>Australia</t>
        </is>
      </c>
      <c r="N233" s="308" t="inlineStr">
        <is>
          <t>CIA</t>
        </is>
      </c>
      <c r="O233" s="308" t="n">
        <v>1</v>
      </c>
      <c r="P233" s="308" t="n"/>
      <c r="Q233" s="308" t="inlineStr">
        <is>
          <t>Permanent - Full Time</t>
        </is>
      </c>
      <c r="R233" s="310" t="n"/>
      <c r="S233" s="310" t="n"/>
      <c r="T233" s="322" t="n">
        <v>145000</v>
      </c>
      <c r="U233" s="321" t="n">
        <v>145000</v>
      </c>
      <c r="V233" s="313" t="n">
        <v>0.1</v>
      </c>
      <c r="W233" s="953" t="n">
        <v>0.055</v>
      </c>
      <c r="X233" s="953" t="n">
        <v>0.12</v>
      </c>
      <c r="Y233" s="954" t="n"/>
      <c r="Z233" s="953" t="n">
        <v>0.04</v>
      </c>
      <c r="AA233" s="952">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849">
      <c r="A234" s="250" t="n">
        <v>108728</v>
      </c>
      <c r="B234" s="220" t="inlineStr">
        <is>
          <t>Remya Pookat</t>
        </is>
      </c>
      <c r="C234" s="305" t="inlineStr">
        <is>
          <t>Lead – Change &amp; Release Management</t>
        </is>
      </c>
      <c r="D234" s="220" t="inlineStr">
        <is>
          <t>Darren Koller</t>
        </is>
      </c>
      <c r="E234" s="220" t="inlineStr">
        <is>
          <t>Manager Cyber Security GRC</t>
        </is>
      </c>
      <c r="F234" s="220" t="inlineStr">
        <is>
          <t>Cyber, Risk &amp; Operations</t>
        </is>
      </c>
      <c r="G234" s="306" t="inlineStr">
        <is>
          <t>Service Op &amp; Assurance</t>
        </is>
      </c>
      <c r="H234" s="220" t="inlineStr">
        <is>
          <t>NA</t>
        </is>
      </c>
      <c r="I234" s="220" t="inlineStr">
        <is>
          <t>NA</t>
        </is>
      </c>
      <c r="J234" s="220" t="inlineStr">
        <is>
          <t>NA</t>
        </is>
      </c>
      <c r="K234" s="220" t="inlineStr">
        <is>
          <t>NA</t>
        </is>
      </c>
      <c r="L234" s="220" t="n"/>
      <c r="M234" s="307" t="inlineStr">
        <is>
          <t>Australia</t>
        </is>
      </c>
      <c r="N234" s="308" t="inlineStr">
        <is>
          <t>CIB</t>
        </is>
      </c>
      <c r="O234" s="308" t="n">
        <v>1</v>
      </c>
      <c r="P234" s="308" t="n"/>
      <c r="Q234" s="308" t="inlineStr">
        <is>
          <t>Permanent - Full Time</t>
        </is>
      </c>
      <c r="R234" s="310" t="n"/>
      <c r="S234" s="310" t="n"/>
      <c r="T234" s="322" t="n">
        <v>165450</v>
      </c>
      <c r="U234" s="321" t="n">
        <v>165450</v>
      </c>
      <c r="V234" s="313" t="n">
        <v>0.12</v>
      </c>
      <c r="W234" s="953" t="n">
        <v>0.055</v>
      </c>
      <c r="X234" s="953" t="n">
        <v>0.12</v>
      </c>
      <c r="Y234" s="954" t="n"/>
      <c r="Z234" s="953" t="n">
        <v>0.04</v>
      </c>
      <c r="AA234" s="952">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849">
      <c r="A235" s="250" t="n">
        <v>104555</v>
      </c>
      <c r="B235" s="220" t="inlineStr">
        <is>
          <t>Ritika Salaria</t>
        </is>
      </c>
      <c r="C235" s="305" t="inlineStr">
        <is>
          <t>Configuration Analyst</t>
        </is>
      </c>
      <c r="D235" s="220" t="inlineStr">
        <is>
          <t>Lead – Asset &amp; Configuration (Vacant)</t>
        </is>
      </c>
      <c r="E235" s="220" t="n"/>
      <c r="F235" s="220" t="inlineStr">
        <is>
          <t>Cyber, Risk &amp; Operations</t>
        </is>
      </c>
      <c r="G235" s="306" t="inlineStr">
        <is>
          <t>Service Op &amp; Assurance</t>
        </is>
      </c>
      <c r="H235" t="inlineStr">
        <is>
          <t>NA</t>
        </is>
      </c>
      <c r="I235" s="220" t="inlineStr">
        <is>
          <t>NA</t>
        </is>
      </c>
      <c r="J235" s="220" t="inlineStr">
        <is>
          <t>NA</t>
        </is>
      </c>
      <c r="K235" s="220" t="inlineStr">
        <is>
          <t>NA</t>
        </is>
      </c>
      <c r="L235" s="220" t="n"/>
      <c r="M235" s="307" t="inlineStr">
        <is>
          <t>Australia</t>
        </is>
      </c>
      <c r="N235" s="308" t="inlineStr">
        <is>
          <t>CIA</t>
        </is>
      </c>
      <c r="O235" s="308" t="n">
        <v>1</v>
      </c>
      <c r="P235" s="308" t="n"/>
      <c r="Q235" s="308" t="inlineStr">
        <is>
          <t>Permanent - Full Time</t>
        </is>
      </c>
      <c r="R235" s="310" t="n"/>
      <c r="S235" s="310" t="n"/>
      <c r="T235" s="322" t="n">
        <v>131640</v>
      </c>
      <c r="U235" s="321" t="n">
        <v>131640</v>
      </c>
      <c r="V235" s="313" t="n">
        <v>0.1</v>
      </c>
      <c r="W235" s="953" t="n">
        <v>0.055</v>
      </c>
      <c r="X235" s="953" t="n">
        <v>0.12</v>
      </c>
      <c r="Y235" s="954" t="n"/>
      <c r="Z235" s="953" t="n">
        <v>0.04</v>
      </c>
      <c r="AA235" s="952">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849">
      <c r="A236" s="250" t="n">
        <v>99999101321</v>
      </c>
      <c r="B236" s="220" t="inlineStr">
        <is>
          <t>Sameer Pattanaik</t>
        </is>
      </c>
      <c r="C236" s="305" t="inlineStr">
        <is>
          <t>Cyber Security Operations Lead</t>
        </is>
      </c>
      <c r="D236" s="220" t="inlineStr">
        <is>
          <t>Steven Atcheson</t>
        </is>
      </c>
      <c r="E236" s="220" t="n"/>
      <c r="F236" s="220" t="inlineStr">
        <is>
          <t>Cyber, Risk &amp; Operations</t>
        </is>
      </c>
      <c r="G236" s="306" t="inlineStr">
        <is>
          <t>Cyber Sec Ops</t>
        </is>
      </c>
      <c r="H236" s="220" t="inlineStr">
        <is>
          <t>NA</t>
        </is>
      </c>
      <c r="I236" s="220" t="inlineStr">
        <is>
          <t>NA</t>
        </is>
      </c>
      <c r="J236" s="220" t="inlineStr">
        <is>
          <t>NA</t>
        </is>
      </c>
      <c r="K236" s="220" t="inlineStr">
        <is>
          <t>NA</t>
        </is>
      </c>
      <c r="L236" s="220" t="n"/>
      <c r="M236" s="307" t="inlineStr">
        <is>
          <t>NZ</t>
        </is>
      </c>
      <c r="N236" s="308" t="inlineStr">
        <is>
          <t>CIC</t>
        </is>
      </c>
      <c r="O236" s="309" t="n">
        <v>1</v>
      </c>
      <c r="P236" s="308" t="n"/>
      <c r="Q236" s="309" t="inlineStr">
        <is>
          <t>Permanent - Full Time</t>
        </is>
      </c>
      <c r="R236" s="310" t="n"/>
      <c r="S236" s="310" t="n"/>
      <c r="T236" s="322" t="n">
        <v>185550</v>
      </c>
      <c r="U236" s="321" t="n">
        <v>170706</v>
      </c>
      <c r="V236" s="312" t="n">
        <v>0.15</v>
      </c>
      <c r="W236" s="310" t="n"/>
      <c r="X236" s="313" t="n">
        <v>0.05</v>
      </c>
      <c r="Y236" s="951" t="n">
        <v>2910</v>
      </c>
      <c r="Z236" s="313" t="n">
        <v>0.03</v>
      </c>
      <c r="AA236" s="952">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849">
      <c r="A237" s="250" t="n">
        <v>99999101346</v>
      </c>
      <c r="B237" s="220" t="inlineStr">
        <is>
          <t>Shomiya Shayal</t>
        </is>
      </c>
      <c r="C237" s="305" t="inlineStr">
        <is>
          <t>Risk &amp; Resilience Lead</t>
        </is>
      </c>
      <c r="D237" s="220" t="inlineStr">
        <is>
          <t>Brian Gates</t>
        </is>
      </c>
      <c r="E237" s="220" t="inlineStr">
        <is>
          <t xml:space="preserve">Manager Risk &amp; Resilience </t>
        </is>
      </c>
      <c r="F237" s="220" t="inlineStr">
        <is>
          <t>Cyber, Risk &amp; Operations</t>
        </is>
      </c>
      <c r="G237" s="306" t="inlineStr">
        <is>
          <t>Cyber Risk</t>
        </is>
      </c>
      <c r="H237" s="220" t="inlineStr">
        <is>
          <t>NA</t>
        </is>
      </c>
      <c r="I237" s="220" t="inlineStr">
        <is>
          <t>NA</t>
        </is>
      </c>
      <c r="J237" s="220" t="inlineStr">
        <is>
          <t>NA</t>
        </is>
      </c>
      <c r="K237" s="220" t="inlineStr">
        <is>
          <t>NA</t>
        </is>
      </c>
      <c r="L237" s="220" t="n"/>
      <c r="M237" s="307" t="inlineStr">
        <is>
          <t>NZ</t>
        </is>
      </c>
      <c r="N237" s="308" t="inlineStr">
        <is>
          <t>CIC</t>
        </is>
      </c>
      <c r="O237" s="309" t="n">
        <v>1</v>
      </c>
      <c r="P237" s="308" t="n"/>
      <c r="Q237" s="309" t="inlineStr">
        <is>
          <t>Permanent - Full Time</t>
        </is>
      </c>
      <c r="R237" s="310" t="n"/>
      <c r="S237" s="310" t="n"/>
      <c r="T237" s="322" t="n">
        <v>164020</v>
      </c>
      <c r="U237" s="321" t="n">
        <v>150898.4</v>
      </c>
      <c r="V237" s="312" t="n">
        <v>0.15</v>
      </c>
      <c r="W237" s="310" t="n"/>
      <c r="X237" s="313" t="n">
        <v>0.05</v>
      </c>
      <c r="Y237" s="951" t="n">
        <v>2910</v>
      </c>
      <c r="Z237" s="313" t="n">
        <v>0.03</v>
      </c>
      <c r="AA237" s="952">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849">
      <c r="A238" s="250" t="n">
        <v>104805</v>
      </c>
      <c r="B238" s="220" t="inlineStr">
        <is>
          <t>Shruti Manchanda</t>
        </is>
      </c>
      <c r="C238" s="305" t="inlineStr">
        <is>
          <t>Cyber GRC Analyst</t>
        </is>
      </c>
      <c r="D238" s="220" t="inlineStr">
        <is>
          <t>Diya Thomas</t>
        </is>
      </c>
      <c r="E238" s="220" t="n"/>
      <c r="F238" s="220" t="inlineStr">
        <is>
          <t>Cyber, Risk &amp; Operations</t>
        </is>
      </c>
      <c r="G238" s="306" t="inlineStr">
        <is>
          <t>Cyber GRC</t>
        </is>
      </c>
      <c r="H238" s="220" t="inlineStr">
        <is>
          <t>NA</t>
        </is>
      </c>
      <c r="I238" s="220" t="inlineStr">
        <is>
          <t>NA</t>
        </is>
      </c>
      <c r="J238" s="220" t="inlineStr">
        <is>
          <t>NA</t>
        </is>
      </c>
      <c r="K238" s="220" t="inlineStr">
        <is>
          <t>NA</t>
        </is>
      </c>
      <c r="L238" s="220" t="n"/>
      <c r="M238" s="307" t="inlineStr">
        <is>
          <t>Australia</t>
        </is>
      </c>
      <c r="N238" s="308" t="inlineStr">
        <is>
          <t>CIB</t>
        </is>
      </c>
      <c r="O238" s="308" t="n">
        <v>1</v>
      </c>
      <c r="P238" s="308" t="n"/>
      <c r="Q238" s="308" t="inlineStr">
        <is>
          <t>Permanent - Full Time</t>
        </is>
      </c>
      <c r="R238" s="310" t="n"/>
      <c r="S238" s="310" t="n"/>
      <c r="T238" s="322" t="n">
        <v>171450</v>
      </c>
      <c r="U238" s="321" t="n">
        <v>171450</v>
      </c>
      <c r="V238" s="313" t="n">
        <v>0.12</v>
      </c>
      <c r="W238" s="953" t="n">
        <v>0.055</v>
      </c>
      <c r="X238" s="953" t="n">
        <v>0.12</v>
      </c>
      <c r="Y238" s="954" t="n"/>
      <c r="Z238" s="953" t="n">
        <v>0.04</v>
      </c>
      <c r="AA238" s="952">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849">
      <c r="A239" s="250" t="n">
        <v>99999100770</v>
      </c>
      <c r="B239" s="220" t="inlineStr">
        <is>
          <t>Spoilagi Bhutwala</t>
        </is>
      </c>
      <c r="C239" s="305" t="inlineStr">
        <is>
          <t>Tech Support Technician</t>
        </is>
      </c>
      <c r="D239" s="220" t="inlineStr">
        <is>
          <t>Mark Pearson</t>
        </is>
      </c>
      <c r="E239" s="220" t="inlineStr">
        <is>
          <t xml:space="preserve">Lead Technology Support </t>
        </is>
      </c>
      <c r="F239" s="220" t="inlineStr">
        <is>
          <t>Cyber, Risk &amp; Operations</t>
        </is>
      </c>
      <c r="G239" s="306" t="inlineStr">
        <is>
          <t>Service Op &amp; Assurance</t>
        </is>
      </c>
      <c r="H239" s="220" t="inlineStr">
        <is>
          <t>NA</t>
        </is>
      </c>
      <c r="I239" s="220" t="inlineStr">
        <is>
          <t>NA</t>
        </is>
      </c>
      <c r="J239" s="220" t="inlineStr">
        <is>
          <t>NA</t>
        </is>
      </c>
      <c r="K239" s="220" t="inlineStr">
        <is>
          <t>NA</t>
        </is>
      </c>
      <c r="L239" s="220" t="n"/>
      <c r="M239" s="307" t="inlineStr">
        <is>
          <t>NZ</t>
        </is>
      </c>
      <c r="N239" s="308" t="inlineStr">
        <is>
          <t>CDB</t>
        </is>
      </c>
      <c r="O239" s="309" t="n">
        <v>1</v>
      </c>
      <c r="P239" s="308" t="n"/>
      <c r="Q239" s="309" t="inlineStr">
        <is>
          <t>Permanent - Full Time</t>
        </is>
      </c>
      <c r="R239" s="310" t="n"/>
      <c r="S239" s="310" t="n"/>
      <c r="T239" s="322" t="n">
        <v>86890</v>
      </c>
      <c r="U239" s="321" t="n">
        <v>79938.8</v>
      </c>
      <c r="V239" s="312" t="n">
        <v>0.1</v>
      </c>
      <c r="W239" s="310" t="n"/>
      <c r="X239" s="313" t="n">
        <v>0.05</v>
      </c>
      <c r="Y239" s="951" t="n">
        <v>2910</v>
      </c>
      <c r="Z239" s="313" t="n">
        <v>0.03</v>
      </c>
      <c r="AA239" s="952">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849">
      <c r="A240" s="250" t="n">
        <v>98371</v>
      </c>
      <c r="B240" s="220" t="inlineStr">
        <is>
          <t>Stafford Dowling</t>
        </is>
      </c>
      <c r="C240" s="305" t="inlineStr">
        <is>
          <t>Cyber Security Analyst</t>
        </is>
      </c>
      <c r="D240" s="220" t="inlineStr">
        <is>
          <t>Steven Atcheson</t>
        </is>
      </c>
      <c r="E240" s="220" t="n"/>
      <c r="F240" s="220" t="inlineStr">
        <is>
          <t>Cyber, Risk &amp; Operations</t>
        </is>
      </c>
      <c r="G240" s="306" t="inlineStr">
        <is>
          <t>Cyber Sec Ops</t>
        </is>
      </c>
      <c r="H240" s="220" t="inlineStr">
        <is>
          <t>NA</t>
        </is>
      </c>
      <c r="I240" s="220" t="inlineStr">
        <is>
          <t>NA</t>
        </is>
      </c>
      <c r="J240" s="220" t="inlineStr">
        <is>
          <t>NA</t>
        </is>
      </c>
      <c r="K240" s="220" t="inlineStr">
        <is>
          <t>NA</t>
        </is>
      </c>
      <c r="L240" s="220" t="n"/>
      <c r="M240" s="307" t="inlineStr">
        <is>
          <t>Australia</t>
        </is>
      </c>
      <c r="N240" s="308" t="inlineStr">
        <is>
          <t>CIB</t>
        </is>
      </c>
      <c r="O240" s="308" t="n">
        <v>1</v>
      </c>
      <c r="P240" s="308" t="n"/>
      <c r="Q240" s="308" t="inlineStr">
        <is>
          <t>Permanent - Full Time</t>
        </is>
      </c>
      <c r="R240" s="310" t="n"/>
      <c r="S240" s="310" t="n"/>
      <c r="T240" s="322" t="n">
        <v>163830</v>
      </c>
      <c r="U240" s="321" t="n">
        <v>163830</v>
      </c>
      <c r="V240" s="313" t="n">
        <v>0.12</v>
      </c>
      <c r="W240" s="953" t="n">
        <v>0.055</v>
      </c>
      <c r="X240" s="953" t="n">
        <v>0.12</v>
      </c>
      <c r="Y240" s="954" t="n"/>
      <c r="Z240" s="953" t="n">
        <v>0.04</v>
      </c>
      <c r="AA240" s="952">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849">
      <c r="A241" s="250" t="n">
        <v>101504</v>
      </c>
      <c r="B241" s="220" t="inlineStr">
        <is>
          <t>Steven Atcheson</t>
        </is>
      </c>
      <c r="C241" s="305" t="inlineStr">
        <is>
          <t>Manager Cyber Security Operations</t>
        </is>
      </c>
      <c r="D241" s="220" t="inlineStr">
        <is>
          <t>Frances Bouzo</t>
        </is>
      </c>
      <c r="E241" s="220" t="inlineStr">
        <is>
          <t xml:space="preserve">Manager, Risk &amp; Resilience </t>
        </is>
      </c>
      <c r="F241" s="220" t="inlineStr">
        <is>
          <t>Cyber, Risk &amp; Operations</t>
        </is>
      </c>
      <c r="G241" s="306" t="inlineStr">
        <is>
          <t>Cyber Sec Ops</t>
        </is>
      </c>
      <c r="H241" s="220" t="inlineStr">
        <is>
          <t>NA</t>
        </is>
      </c>
      <c r="I241" s="220" t="inlineStr">
        <is>
          <t>NA</t>
        </is>
      </c>
      <c r="J241" s="220" t="inlineStr">
        <is>
          <t>NA</t>
        </is>
      </c>
      <c r="K241" s="220" t="inlineStr">
        <is>
          <t>NA</t>
        </is>
      </c>
      <c r="L241" s="220" t="n"/>
      <c r="M241" s="307" t="inlineStr">
        <is>
          <t>Australia</t>
        </is>
      </c>
      <c r="N241" s="308" t="inlineStr">
        <is>
          <t>CSB</t>
        </is>
      </c>
      <c r="O241" s="308" t="n">
        <v>1</v>
      </c>
      <c r="P241" s="308" t="n"/>
      <c r="Q241" s="308" t="inlineStr">
        <is>
          <t>Permanent - Full Time</t>
        </is>
      </c>
      <c r="R241" s="310" t="n"/>
      <c r="S241" s="310" t="n"/>
      <c r="T241" s="322" t="n">
        <v>233630</v>
      </c>
      <c r="U241" s="321" t="n">
        <v>233630</v>
      </c>
      <c r="V241" s="313" t="n">
        <v>0.14</v>
      </c>
      <c r="W241" s="953" t="n">
        <v>0.055</v>
      </c>
      <c r="X241" s="953" t="n">
        <v>0.12</v>
      </c>
      <c r="Y241" s="954" t="n"/>
      <c r="Z241" s="953" t="n">
        <v>0.04</v>
      </c>
      <c r="AA241" s="952">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849">
      <c r="A242" s="250" t="n">
        <v>114383</v>
      </c>
      <c r="B242" s="220" t="inlineStr">
        <is>
          <t>Tony Keeler</t>
        </is>
      </c>
      <c r="C242" s="305" t="inlineStr">
        <is>
          <t>Cyber Business Analyst</t>
        </is>
      </c>
      <c r="D242" s="220" t="inlineStr">
        <is>
          <t>Vivienne Vasak</t>
        </is>
      </c>
      <c r="E242" s="220" t="inlineStr">
        <is>
          <t xml:space="preserve">Portfolio Manger Cyber Security </t>
        </is>
      </c>
      <c r="F242" s="220" t="inlineStr">
        <is>
          <t>Cyber, Risk &amp; Operations</t>
        </is>
      </c>
      <c r="G242" s="306" t="inlineStr">
        <is>
          <t>Cyber Strat &amp; Tech</t>
        </is>
      </c>
      <c r="H242" s="220" t="inlineStr">
        <is>
          <t>NA</t>
        </is>
      </c>
      <c r="I242" s="220" t="inlineStr">
        <is>
          <t>NA</t>
        </is>
      </c>
      <c r="J242" s="220" t="inlineStr">
        <is>
          <t>NA</t>
        </is>
      </c>
      <c r="K242" s="220" t="inlineStr">
        <is>
          <t>NA</t>
        </is>
      </c>
      <c r="L242" s="220" t="n"/>
      <c r="M242" s="307" t="inlineStr">
        <is>
          <t>Australia</t>
        </is>
      </c>
      <c r="N242" s="308" t="inlineStr">
        <is>
          <t>CIB</t>
        </is>
      </c>
      <c r="O242" s="308" t="n">
        <v>1</v>
      </c>
      <c r="P242" s="308" t="n"/>
      <c r="Q242" s="308" t="inlineStr">
        <is>
          <t>Permanent - Full Time</t>
        </is>
      </c>
      <c r="R242" s="310" t="n"/>
      <c r="S242" s="310" t="n"/>
      <c r="T242" s="322" t="n">
        <v>160000</v>
      </c>
      <c r="U242" s="321" t="n">
        <v>160000</v>
      </c>
      <c r="V242" s="313" t="n">
        <v>0.12</v>
      </c>
      <c r="W242" s="953" t="n">
        <v>0.055</v>
      </c>
      <c r="X242" s="953" t="n">
        <v>0.12</v>
      </c>
      <c r="Y242" s="954" t="n"/>
      <c r="Z242" s="953" t="n">
        <v>0.04</v>
      </c>
      <c r="AA242" s="952">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849">
      <c r="A243" s="250" t="inlineStr">
        <is>
          <t>V</t>
        </is>
      </c>
      <c r="B243" s="220" t="inlineStr">
        <is>
          <t>Vacant</t>
        </is>
      </c>
      <c r="C243" s="305" t="inlineStr">
        <is>
          <t>Lead – Problem Management</t>
        </is>
      </c>
      <c r="D243" s="220" t="inlineStr">
        <is>
          <t>Darren Koller</t>
        </is>
      </c>
      <c r="E243" s="220" t="inlineStr">
        <is>
          <t>Manager Cyber Security GRC</t>
        </is>
      </c>
      <c r="F243" s="220" t="inlineStr">
        <is>
          <t>Cyber, Risk &amp; Operations</t>
        </is>
      </c>
      <c r="G243" s="306" t="inlineStr">
        <is>
          <t>Service Op &amp; Assurance</t>
        </is>
      </c>
      <c r="H243" s="220" t="inlineStr">
        <is>
          <t>NA</t>
        </is>
      </c>
      <c r="I243" s="220" t="inlineStr">
        <is>
          <t>NA</t>
        </is>
      </c>
      <c r="J243" s="220" t="inlineStr">
        <is>
          <t>NA</t>
        </is>
      </c>
      <c r="K243" s="220" t="inlineStr">
        <is>
          <t>NA</t>
        </is>
      </c>
      <c r="L243" s="220" t="n"/>
      <c r="M243" s="307" t="inlineStr">
        <is>
          <t>Australia</t>
        </is>
      </c>
      <c r="N243" s="308" t="inlineStr">
        <is>
          <t>CIA</t>
        </is>
      </c>
      <c r="O243" s="308" t="n">
        <v>1</v>
      </c>
      <c r="P243" s="308" t="n"/>
      <c r="Q243" s="308" t="inlineStr">
        <is>
          <t>v</t>
        </is>
      </c>
      <c r="R243" s="310" t="n"/>
      <c r="S243" s="310" t="n"/>
      <c r="T243" s="322" t="n">
        <v>129650</v>
      </c>
      <c r="U243" s="321" t="n">
        <v>129650</v>
      </c>
      <c r="V243" s="313" t="n">
        <v>0.1</v>
      </c>
      <c r="W243" s="953" t="n">
        <v>0.055</v>
      </c>
      <c r="X243" s="953" t="n">
        <v>0.12</v>
      </c>
      <c r="Y243" s="954" t="n"/>
      <c r="Z243" s="953" t="n">
        <v>0.04</v>
      </c>
      <c r="AA243" s="952">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849">
      <c r="A244" s="250" t="inlineStr">
        <is>
          <t>V</t>
        </is>
      </c>
      <c r="B244" s="220" t="inlineStr">
        <is>
          <t>Vacant</t>
        </is>
      </c>
      <c r="C244" s="305" t="inlineStr">
        <is>
          <t>Cyber Architect (backfill for EGI Secondment)</t>
        </is>
      </c>
      <c r="D244" s="220" t="inlineStr">
        <is>
          <t>Kevin Sheerin</t>
        </is>
      </c>
      <c r="E244" s="220" t="n"/>
      <c r="F244" s="220" t="inlineStr">
        <is>
          <t>Cyber, Risk &amp; Operations</t>
        </is>
      </c>
      <c r="G244" s="306" t="inlineStr">
        <is>
          <t>Cyber Strat &amp; Tech</t>
        </is>
      </c>
      <c r="H244" s="220" t="inlineStr">
        <is>
          <t>NA</t>
        </is>
      </c>
      <c r="I244" s="220" t="inlineStr">
        <is>
          <t>NA</t>
        </is>
      </c>
      <c r="J244" s="220" t="inlineStr">
        <is>
          <t>NA</t>
        </is>
      </c>
      <c r="K244" s="220" t="inlineStr">
        <is>
          <t>NA</t>
        </is>
      </c>
      <c r="L244" s="220" t="n"/>
      <c r="M244" s="307" t="inlineStr">
        <is>
          <t>Australia</t>
        </is>
      </c>
      <c r="N244" s="308" t="inlineStr">
        <is>
          <t>CIB</t>
        </is>
      </c>
      <c r="O244" s="308" t="n">
        <v>1</v>
      </c>
      <c r="P244" s="308" t="n"/>
      <c r="Q244" s="308" t="inlineStr">
        <is>
          <t>V</t>
        </is>
      </c>
      <c r="R244" s="310" t="n"/>
      <c r="S244" s="310" t="n"/>
      <c r="T244" s="322" t="n">
        <v>160000</v>
      </c>
      <c r="U244" s="321" t="n">
        <v>160000</v>
      </c>
      <c r="V244" s="313" t="n">
        <v>0.12</v>
      </c>
      <c r="W244" s="953" t="n">
        <v>0.055</v>
      </c>
      <c r="X244" s="953" t="n">
        <v>0.12</v>
      </c>
      <c r="Y244" s="954" t="n"/>
      <c r="Z244" s="953" t="n">
        <v>0.04</v>
      </c>
      <c r="AA244" s="952">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849">
      <c r="A245" s="250" t="inlineStr">
        <is>
          <t>V</t>
        </is>
      </c>
      <c r="B245" s="220" t="inlineStr">
        <is>
          <t>Vacant</t>
        </is>
      </c>
      <c r="C245" s="305" t="inlineStr">
        <is>
          <t>Lead – Asset &amp; Configuration</t>
        </is>
      </c>
      <c r="D245" s="220" t="inlineStr">
        <is>
          <t>Mick Collins</t>
        </is>
      </c>
      <c r="E245" s="220" t="inlineStr">
        <is>
          <t xml:space="preserve">Manager Cyber Security Operations </t>
        </is>
      </c>
      <c r="F245" s="220" t="inlineStr">
        <is>
          <t>Cyber, Risk &amp; Operations</t>
        </is>
      </c>
      <c r="G245" s="306" t="inlineStr">
        <is>
          <t>Service Op &amp; Assurance</t>
        </is>
      </c>
      <c r="H245" s="220" t="inlineStr">
        <is>
          <t>NA</t>
        </is>
      </c>
      <c r="I245" t="inlineStr">
        <is>
          <t>NA</t>
        </is>
      </c>
      <c r="J245" s="220" t="inlineStr">
        <is>
          <t>NA</t>
        </is>
      </c>
      <c r="K245" s="220" t="inlineStr">
        <is>
          <t>NA</t>
        </is>
      </c>
      <c r="L245" s="220" t="n"/>
      <c r="M245" s="307" t="inlineStr">
        <is>
          <t>Australia</t>
        </is>
      </c>
      <c r="N245" s="308" t="inlineStr">
        <is>
          <t>CIB</t>
        </is>
      </c>
      <c r="O245" s="308" t="n">
        <v>1</v>
      </c>
      <c r="P245" s="308" t="n"/>
      <c r="Q245" s="308" t="inlineStr">
        <is>
          <t>v</t>
        </is>
      </c>
      <c r="R245" s="310" t="n"/>
      <c r="S245" s="310" t="n"/>
      <c r="T245" s="322" t="n">
        <v>151950</v>
      </c>
      <c r="U245" s="321" t="n">
        <v>151950</v>
      </c>
      <c r="V245" s="313" t="n">
        <v>0.12</v>
      </c>
      <c r="W245" s="953" t="n">
        <v>0.055</v>
      </c>
      <c r="X245" s="953" t="n">
        <v>0.12</v>
      </c>
      <c r="Y245" s="954" t="n"/>
      <c r="Z245" s="953" t="n">
        <v>0.04</v>
      </c>
      <c r="AA245" s="952">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849">
      <c r="A246" s="250" t="inlineStr">
        <is>
          <t>V</t>
        </is>
      </c>
      <c r="B246" s="220" t="inlineStr">
        <is>
          <t>Vacant</t>
        </is>
      </c>
      <c r="C246" s="305" t="inlineStr">
        <is>
          <t>Lead – Service Performance &amp; Insights</t>
        </is>
      </c>
      <c r="D246" s="220" t="inlineStr">
        <is>
          <t>Mick Collins</t>
        </is>
      </c>
      <c r="E246" s="220" t="inlineStr">
        <is>
          <t xml:space="preserve">Manager Identity &amp; Access Management </t>
        </is>
      </c>
      <c r="F246" s="220" t="inlineStr">
        <is>
          <t>Cyber, Risk &amp; Operations</t>
        </is>
      </c>
      <c r="G246" s="306" t="inlineStr">
        <is>
          <t>Service Op &amp; Assurance</t>
        </is>
      </c>
      <c r="H246" s="220" t="inlineStr">
        <is>
          <t>NA</t>
        </is>
      </c>
      <c r="I246" s="220" t="inlineStr">
        <is>
          <t>NA</t>
        </is>
      </c>
      <c r="J246" s="220" t="inlineStr">
        <is>
          <t>NA</t>
        </is>
      </c>
      <c r="K246" s="220" t="inlineStr">
        <is>
          <t>NA</t>
        </is>
      </c>
      <c r="L246" s="220" t="n"/>
      <c r="M246" s="307" t="inlineStr">
        <is>
          <t>Australia</t>
        </is>
      </c>
      <c r="N246" s="308" t="inlineStr">
        <is>
          <t>CIB</t>
        </is>
      </c>
      <c r="O246" s="308" t="n">
        <v>1</v>
      </c>
      <c r="P246" s="308" t="n"/>
      <c r="Q246" s="308" t="inlineStr">
        <is>
          <t>v</t>
        </is>
      </c>
      <c r="R246" s="310" t="n"/>
      <c r="S246" s="310" t="n"/>
      <c r="T246" s="322" t="n">
        <v>151950</v>
      </c>
      <c r="U246" s="321" t="n">
        <v>151950</v>
      </c>
      <c r="V246" s="313" t="n">
        <v>0.12</v>
      </c>
      <c r="W246" s="953" t="n">
        <v>0.055</v>
      </c>
      <c r="X246" s="953" t="n">
        <v>0.12</v>
      </c>
      <c r="Y246" s="954" t="n"/>
      <c r="Z246" s="953" t="n">
        <v>0.04</v>
      </c>
      <c r="AA246" s="952">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849">
      <c r="A247" s="250" t="inlineStr">
        <is>
          <t>V</t>
        </is>
      </c>
      <c r="B247" s="220" t="inlineStr">
        <is>
          <t>Vacant</t>
        </is>
      </c>
      <c r="C247" s="305" t="inlineStr">
        <is>
          <t>Operations Analyst</t>
        </is>
      </c>
      <c r="D247" s="220" t="inlineStr">
        <is>
          <t>Mick Collins</t>
        </is>
      </c>
      <c r="E247" s="220" t="inlineStr">
        <is>
          <t>Cyber Architecture Lead</t>
        </is>
      </c>
      <c r="F247" s="220" t="inlineStr">
        <is>
          <t>Cyber, Risk &amp; Operations</t>
        </is>
      </c>
      <c r="G247" s="306" t="inlineStr">
        <is>
          <t>Service Op &amp; Assurance</t>
        </is>
      </c>
      <c r="H247" s="220" t="inlineStr">
        <is>
          <t>NA</t>
        </is>
      </c>
      <c r="I247" s="220" t="inlineStr">
        <is>
          <t>NA</t>
        </is>
      </c>
      <c r="J247" s="220" t="inlineStr">
        <is>
          <t>NA</t>
        </is>
      </c>
      <c r="K247" s="220" t="inlineStr">
        <is>
          <t>NA</t>
        </is>
      </c>
      <c r="L247" s="220" t="n"/>
      <c r="M247" s="307" t="inlineStr">
        <is>
          <t>Australia</t>
        </is>
      </c>
      <c r="N247" s="308" t="inlineStr">
        <is>
          <t>cia</t>
        </is>
      </c>
      <c r="O247" s="308" t="n">
        <v>1</v>
      </c>
      <c r="P247" s="308" t="n"/>
      <c r="Q247" s="308" t="inlineStr">
        <is>
          <t>v</t>
        </is>
      </c>
      <c r="R247" s="310" t="n"/>
      <c r="S247" s="310" t="n"/>
      <c r="T247" s="322" t="n">
        <v>129650</v>
      </c>
      <c r="U247" s="321" t="n">
        <v>129650</v>
      </c>
      <c r="V247" s="313" t="n">
        <v>0.1</v>
      </c>
      <c r="W247" s="953" t="n">
        <v>0.055</v>
      </c>
      <c r="X247" s="953" t="n">
        <v>0.12</v>
      </c>
      <c r="Y247" s="954" t="n"/>
      <c r="Z247" s="953" t="n">
        <v>0.04</v>
      </c>
      <c r="AA247" s="952">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849">
      <c r="A248" s="250" t="inlineStr">
        <is>
          <t>V</t>
        </is>
      </c>
      <c r="B248" s="220" t="inlineStr">
        <is>
          <t>Vacant</t>
        </is>
      </c>
      <c r="C248" s="305" t="inlineStr">
        <is>
          <t>Operations Analyst</t>
        </is>
      </c>
      <c r="D248" s="220" t="inlineStr">
        <is>
          <t>Mick Collins</t>
        </is>
      </c>
      <c r="E248" s="220" t="inlineStr">
        <is>
          <t xml:space="preserve">Manager Service Management &amp; Major Incident Management Lead </t>
        </is>
      </c>
      <c r="F248" s="220" t="inlineStr">
        <is>
          <t>Cyber, Risk &amp; Operations</t>
        </is>
      </c>
      <c r="G248" s="306" t="inlineStr">
        <is>
          <t>Service Op &amp; Assurance</t>
        </is>
      </c>
      <c r="H248" s="220" t="inlineStr">
        <is>
          <t>NA</t>
        </is>
      </c>
      <c r="I248" s="220" t="inlineStr">
        <is>
          <t>NA</t>
        </is>
      </c>
      <c r="J248" s="220" t="inlineStr">
        <is>
          <t>NA</t>
        </is>
      </c>
      <c r="K248" s="220" t="inlineStr">
        <is>
          <t>NA</t>
        </is>
      </c>
      <c r="L248" s="220" t="n"/>
      <c r="M248" s="307" t="inlineStr">
        <is>
          <t>Australia</t>
        </is>
      </c>
      <c r="N248" s="308" t="inlineStr">
        <is>
          <t>cia</t>
        </is>
      </c>
      <c r="O248" s="308" t="n">
        <v>1</v>
      </c>
      <c r="P248" s="308" t="n"/>
      <c r="Q248" s="308" t="inlineStr">
        <is>
          <t>v</t>
        </is>
      </c>
      <c r="R248" s="310" t="n"/>
      <c r="S248" s="310" t="n"/>
      <c r="T248" s="322" t="n">
        <v>129650</v>
      </c>
      <c r="U248" s="321" t="n">
        <v>129650</v>
      </c>
      <c r="V248" s="313" t="n">
        <v>0.1</v>
      </c>
      <c r="W248" s="953" t="n">
        <v>0.055</v>
      </c>
      <c r="X248" s="953" t="n">
        <v>0.12</v>
      </c>
      <c r="Y248" s="954" t="n"/>
      <c r="Z248" s="953" t="n">
        <v>0.04</v>
      </c>
      <c r="AA248" s="952">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849">
      <c r="A249" s="250" t="inlineStr">
        <is>
          <t>V</t>
        </is>
      </c>
      <c r="B249" s="220" t="inlineStr">
        <is>
          <t xml:space="preserve">Vacant </t>
        </is>
      </c>
      <c r="C249" s="305" t="inlineStr">
        <is>
          <t>Data Risk Analyst</t>
        </is>
      </c>
      <c r="D249" s="220" t="inlineStr">
        <is>
          <t>Brian Gates</t>
        </is>
      </c>
      <c r="E249" s="220" t="n"/>
      <c r="F249" s="220" t="inlineStr">
        <is>
          <t>Cyber, Risk &amp; Operations</t>
        </is>
      </c>
      <c r="G249" s="306" t="inlineStr">
        <is>
          <t>Cyber Risk</t>
        </is>
      </c>
      <c r="H249" s="220" t="inlineStr">
        <is>
          <t>NA</t>
        </is>
      </c>
      <c r="I249" s="220" t="inlineStr">
        <is>
          <t>NA</t>
        </is>
      </c>
      <c r="J249" s="220" t="inlineStr">
        <is>
          <t>NA</t>
        </is>
      </c>
      <c r="K249" s="220" t="inlineStr">
        <is>
          <t>NA</t>
        </is>
      </c>
      <c r="L249" s="220" t="n"/>
      <c r="M249" s="307" t="inlineStr">
        <is>
          <t>Australia</t>
        </is>
      </c>
      <c r="N249" s="308" t="inlineStr">
        <is>
          <t>CIA</t>
        </is>
      </c>
      <c r="O249" s="308" t="n">
        <v>1</v>
      </c>
      <c r="P249" s="308" t="n"/>
      <c r="Q249" s="308" t="inlineStr">
        <is>
          <t>V</t>
        </is>
      </c>
      <c r="R249" s="310" t="n"/>
      <c r="S249" s="310" t="n"/>
      <c r="T249" s="322" t="n">
        <v>129650</v>
      </c>
      <c r="U249" s="321" t="n">
        <v>129650</v>
      </c>
      <c r="V249" s="313" t="n">
        <v>0.1</v>
      </c>
      <c r="W249" s="953" t="n">
        <v>0.055</v>
      </c>
      <c r="X249" s="953" t="n">
        <v>0.12</v>
      </c>
      <c r="Y249" s="954" t="n"/>
      <c r="Z249" s="953" t="n">
        <v>0.04</v>
      </c>
      <c r="AA249" s="952">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849">
      <c r="A250" s="250" t="inlineStr">
        <is>
          <t>V</t>
        </is>
      </c>
      <c r="B250" s="220" t="inlineStr">
        <is>
          <t xml:space="preserve">Vacant </t>
        </is>
      </c>
      <c r="C250" s="305" t="inlineStr">
        <is>
          <t>Data Risk Analyst</t>
        </is>
      </c>
      <c r="D250" s="220" t="inlineStr">
        <is>
          <t>Brian Gates</t>
        </is>
      </c>
      <c r="E250" s="220" t="n"/>
      <c r="F250" s="220" t="inlineStr">
        <is>
          <t>Cyber, Risk &amp; Operations</t>
        </is>
      </c>
      <c r="G250" s="306" t="inlineStr">
        <is>
          <t>Cyber Risk</t>
        </is>
      </c>
      <c r="H250" s="220" t="inlineStr">
        <is>
          <t>NA</t>
        </is>
      </c>
      <c r="I250" s="220" t="inlineStr">
        <is>
          <t>NA</t>
        </is>
      </c>
      <c r="J250" s="220" t="inlineStr">
        <is>
          <t>NA</t>
        </is>
      </c>
      <c r="K250" s="220" t="inlineStr">
        <is>
          <t>NA</t>
        </is>
      </c>
      <c r="L250" s="220" t="n"/>
      <c r="M250" s="307" t="inlineStr">
        <is>
          <t>Australia</t>
        </is>
      </c>
      <c r="N250" s="308" t="inlineStr">
        <is>
          <t>CIA</t>
        </is>
      </c>
      <c r="O250" s="308" t="n">
        <v>1</v>
      </c>
      <c r="P250" s="308" t="n"/>
      <c r="Q250" s="308" t="inlineStr">
        <is>
          <t>V</t>
        </is>
      </c>
      <c r="R250" s="310" t="n"/>
      <c r="S250" s="310" t="n"/>
      <c r="T250" s="322" t="n">
        <v>129650</v>
      </c>
      <c r="U250" s="321" t="n">
        <v>129650</v>
      </c>
      <c r="V250" s="313" t="n">
        <v>0.1</v>
      </c>
      <c r="W250" s="953" t="n">
        <v>0.055</v>
      </c>
      <c r="X250" s="953" t="n">
        <v>0.12</v>
      </c>
      <c r="Y250" s="954" t="n"/>
      <c r="Z250" s="953" t="n">
        <v>0.04</v>
      </c>
      <c r="AA250" s="952">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849">
      <c r="A251" s="250" t="inlineStr">
        <is>
          <t>V</t>
        </is>
      </c>
      <c r="B251" s="220" t="inlineStr">
        <is>
          <t>Vacant  (AKL )</t>
        </is>
      </c>
      <c r="C251" s="305" t="inlineStr">
        <is>
          <t>Tech Support Technician</t>
        </is>
      </c>
      <c r="D251" s="220" t="inlineStr">
        <is>
          <t>Mark Pearson</t>
        </is>
      </c>
      <c r="E251" s="220" t="n"/>
      <c r="F251" s="220" t="inlineStr">
        <is>
          <t>Cyber, Risk &amp; Operations</t>
        </is>
      </c>
      <c r="G251" s="306" t="inlineStr">
        <is>
          <t>Service Op &amp; Assurance</t>
        </is>
      </c>
      <c r="H251" s="220" t="inlineStr">
        <is>
          <t>NA</t>
        </is>
      </c>
      <c r="I251" s="220" t="inlineStr">
        <is>
          <t>NA</t>
        </is>
      </c>
      <c r="J251" s="220" t="inlineStr">
        <is>
          <t>NA</t>
        </is>
      </c>
      <c r="K251" s="220" t="inlineStr">
        <is>
          <t>NA</t>
        </is>
      </c>
      <c r="L251" s="220" t="n"/>
      <c r="M251" s="307" t="inlineStr">
        <is>
          <t>Australia</t>
        </is>
      </c>
      <c r="N251" s="308" t="inlineStr">
        <is>
          <t>CDB</t>
        </is>
      </c>
      <c r="O251" s="308" t="n">
        <v>1</v>
      </c>
      <c r="P251" s="308" t="n"/>
      <c r="Q251" s="308" t="inlineStr">
        <is>
          <t>v</t>
        </is>
      </c>
      <c r="R251" s="310" t="n"/>
      <c r="S251" s="310" t="n"/>
      <c r="T251" s="322" t="n">
        <v>94650</v>
      </c>
      <c r="U251" s="321" t="n">
        <v>94650</v>
      </c>
      <c r="V251" s="313" t="n">
        <v>0.08</v>
      </c>
      <c r="W251" s="953" t="n">
        <v>0.055</v>
      </c>
      <c r="X251" s="953" t="n">
        <v>0.12</v>
      </c>
      <c r="Y251" s="954" t="n"/>
      <c r="Z251" s="953" t="n">
        <v>0.04</v>
      </c>
      <c r="AA251" s="952">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849">
      <c r="A252" s="250" t="inlineStr">
        <is>
          <t>V</t>
        </is>
      </c>
      <c r="B252" s="220" t="inlineStr">
        <is>
          <t>Vacant (SYD)</t>
        </is>
      </c>
      <c r="C252" s="305" t="inlineStr">
        <is>
          <t>Tech Support Technician</t>
        </is>
      </c>
      <c r="D252" s="220" t="inlineStr">
        <is>
          <t>Mark Pearson</t>
        </is>
      </c>
      <c r="E252" s="220" t="n"/>
      <c r="F252" s="220" t="inlineStr">
        <is>
          <t>Cyber, Risk &amp; Operations</t>
        </is>
      </c>
      <c r="G252" s="306" t="inlineStr">
        <is>
          <t>Service Op &amp; Assurance</t>
        </is>
      </c>
      <c r="H252" s="220" t="inlineStr">
        <is>
          <t>NA</t>
        </is>
      </c>
      <c r="I252" s="220" t="inlineStr">
        <is>
          <t>NA</t>
        </is>
      </c>
      <c r="J252" s="220" t="inlineStr">
        <is>
          <t>NA</t>
        </is>
      </c>
      <c r="K252" s="220" t="inlineStr">
        <is>
          <t>NA</t>
        </is>
      </c>
      <c r="L252" s="220" t="n"/>
      <c r="M252" s="307" t="inlineStr">
        <is>
          <t>Australia</t>
        </is>
      </c>
      <c r="N252" s="308" t="inlineStr">
        <is>
          <t>CDB</t>
        </is>
      </c>
      <c r="O252" s="308" t="n">
        <v>1</v>
      </c>
      <c r="P252" s="308" t="n"/>
      <c r="Q252" s="308" t="inlineStr">
        <is>
          <t>v</t>
        </is>
      </c>
      <c r="R252" s="310" t="n"/>
      <c r="S252" s="310" t="n"/>
      <c r="T252" s="322" t="n">
        <v>94650</v>
      </c>
      <c r="U252" s="321" t="n">
        <v>94650</v>
      </c>
      <c r="V252" s="313" t="n">
        <v>0.08</v>
      </c>
      <c r="W252" s="953" t="n">
        <v>0.055</v>
      </c>
      <c r="X252" s="953" t="n">
        <v>0.12</v>
      </c>
      <c r="Y252" s="954" t="n"/>
      <c r="Z252" s="953" t="n">
        <v>0.04</v>
      </c>
      <c r="AA252" s="952">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849">
      <c r="A253" s="250" t="n">
        <v>99999101697</v>
      </c>
      <c r="B253" s="220" t="inlineStr">
        <is>
          <t>Vanessa Castro</t>
        </is>
      </c>
      <c r="C253" s="305" t="inlineStr">
        <is>
          <t>Cyber GRC Analyst</t>
        </is>
      </c>
      <c r="D253" s="220" t="inlineStr">
        <is>
          <t>Diya Thomas</t>
        </is>
      </c>
      <c r="E253" s="220" t="n"/>
      <c r="F253" s="220" t="inlineStr">
        <is>
          <t>Cyber, Risk &amp; Operations</t>
        </is>
      </c>
      <c r="G253" s="306" t="inlineStr">
        <is>
          <t>Cyber GRC</t>
        </is>
      </c>
      <c r="H253" s="220" t="inlineStr">
        <is>
          <t>NA</t>
        </is>
      </c>
      <c r="I253" s="220" t="inlineStr">
        <is>
          <t>NA</t>
        </is>
      </c>
      <c r="J253" s="220" t="inlineStr">
        <is>
          <t>NA</t>
        </is>
      </c>
      <c r="K253" s="220" t="inlineStr">
        <is>
          <t>NA</t>
        </is>
      </c>
      <c r="L253" s="220" t="n"/>
      <c r="M253" s="307" t="inlineStr">
        <is>
          <t>NZ</t>
        </is>
      </c>
      <c r="N253" s="308" t="inlineStr">
        <is>
          <t>CIA</t>
        </is>
      </c>
      <c r="O253" s="309" t="n">
        <v>1</v>
      </c>
      <c r="P253" s="308" t="n"/>
      <c r="Q253" s="309" t="inlineStr">
        <is>
          <t>Permanent - Full Time</t>
        </is>
      </c>
      <c r="R253" s="310" t="n"/>
      <c r="S253" s="310" t="n"/>
      <c r="T253" s="322" t="n">
        <v>113930</v>
      </c>
      <c r="U253" s="321" t="n">
        <v>104815.6</v>
      </c>
      <c r="V253" s="312" t="n">
        <v>0.15</v>
      </c>
      <c r="W253" s="310" t="n"/>
      <c r="X253" s="313" t="n">
        <v>0.05</v>
      </c>
      <c r="Y253" s="951" t="n">
        <v>2910</v>
      </c>
      <c r="Z253" s="313" t="n">
        <v>0.03</v>
      </c>
      <c r="AA253" s="952">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849">
      <c r="A254" s="250" t="n">
        <v>101830</v>
      </c>
      <c r="B254" s="220" t="inlineStr">
        <is>
          <t>Vivienne Vasak</t>
        </is>
      </c>
      <c r="C254" s="305" t="inlineStr">
        <is>
          <t>Portfolio Manager Cyber Security</t>
        </is>
      </c>
      <c r="D254" s="220" t="inlineStr">
        <is>
          <t>James Byrne</t>
        </is>
      </c>
      <c r="E254" s="220" t="inlineStr">
        <is>
          <t xml:space="preserve">Manager Service Perforance &amp; Assurance </t>
        </is>
      </c>
      <c r="F254" s="220" t="inlineStr">
        <is>
          <t>Cyber, Risk &amp; Operations</t>
        </is>
      </c>
      <c r="G254" s="306" t="inlineStr">
        <is>
          <t>Cyber Strat &amp; Tech</t>
        </is>
      </c>
      <c r="H254" s="220" t="inlineStr">
        <is>
          <t>NA</t>
        </is>
      </c>
      <c r="I254" s="220" t="inlineStr">
        <is>
          <t>NA</t>
        </is>
      </c>
      <c r="J254" s="220" t="inlineStr">
        <is>
          <t>NA</t>
        </is>
      </c>
      <c r="K254" s="220" t="inlineStr">
        <is>
          <t>NA</t>
        </is>
      </c>
      <c r="L254" s="220" t="n"/>
      <c r="M254" s="307" t="inlineStr">
        <is>
          <t>Australia</t>
        </is>
      </c>
      <c r="N254" s="308" t="inlineStr">
        <is>
          <t>CSB</t>
        </is>
      </c>
      <c r="O254" s="308" t="n">
        <v>1</v>
      </c>
      <c r="P254" s="308" t="n"/>
      <c r="Q254" s="308" t="inlineStr">
        <is>
          <t>Permanent - Full Time</t>
        </is>
      </c>
      <c r="R254" s="310" t="n"/>
      <c r="S254" s="310" t="n"/>
      <c r="T254" s="322" t="n">
        <v>232970</v>
      </c>
      <c r="U254" s="321" t="n">
        <v>232970</v>
      </c>
      <c r="V254" s="313" t="n">
        <v>0.14</v>
      </c>
      <c r="W254" s="953" t="n">
        <v>0.055</v>
      </c>
      <c r="X254" s="953" t="n">
        <v>0.12</v>
      </c>
      <c r="Y254" s="954" t="n"/>
      <c r="Z254" s="953" t="n">
        <v>0.04</v>
      </c>
      <c r="AA254" s="952">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849">
      <c r="A255" s="250" t="inlineStr">
        <is>
          <t>C</t>
        </is>
      </c>
      <c r="B255" s="220" t="inlineStr">
        <is>
          <t>Ahmed Yehya</t>
        </is>
      </c>
      <c r="C255" s="305" t="inlineStr">
        <is>
          <t>TDD Strategic Delivery</t>
        </is>
      </c>
      <c r="D255" s="220" t="inlineStr">
        <is>
          <t>Greg Cassis</t>
        </is>
      </c>
      <c r="E255" s="306" t="inlineStr">
        <is>
          <t>GM TDD, EGI</t>
        </is>
      </c>
      <c r="F255" s="220" t="inlineStr">
        <is>
          <t>EGI</t>
        </is>
      </c>
      <c r="G255" s="306" t="inlineStr">
        <is>
          <t>EGI</t>
        </is>
      </c>
      <c r="H255" s="306" t="inlineStr">
        <is>
          <t>EGI</t>
        </is>
      </c>
      <c r="I255" s="306" t="inlineStr">
        <is>
          <t>EGI</t>
        </is>
      </c>
      <c r="J255" s="306" t="inlineStr">
        <is>
          <t>EGI</t>
        </is>
      </c>
      <c r="K255" s="306" t="inlineStr">
        <is>
          <t>EGI</t>
        </is>
      </c>
      <c r="L255" s="306" t="n"/>
      <c r="M255" s="307" t="inlineStr">
        <is>
          <t>Australia</t>
        </is>
      </c>
      <c r="N255" s="308" t="inlineStr">
        <is>
          <t>na</t>
        </is>
      </c>
      <c r="O255" s="308" t="n">
        <v>1</v>
      </c>
      <c r="P255" s="308" t="n"/>
      <c r="Q255" s="310" t="inlineStr">
        <is>
          <t>cxc</t>
        </is>
      </c>
      <c r="R255" s="310" t="inlineStr">
        <is>
          <t>Daily</t>
        </is>
      </c>
      <c r="S255" s="310" t="n">
        <v>1250</v>
      </c>
      <c r="T255" s="322" t="n">
        <v>0</v>
      </c>
      <c r="U255" s="321" t="n"/>
      <c r="V255" s="313" t="n"/>
      <c r="W255" s="953" t="n"/>
      <c r="X255" s="953" t="n"/>
      <c r="Y255" s="954" t="n"/>
      <c r="Z255" s="953" t="n"/>
      <c r="AA255" s="320">
        <f>S255*222</f>
        <v>277500.0</v>
      </c>
      <c r="AC255" t="inlineStr">
        <is>
          <t>EGI</t>
        </is>
      </c>
      <c r="AD255" t="inlineStr">
        <is>
          <t>EGI</t>
        </is>
      </c>
      <c r="AE255" t="inlineStr">
        <is>
          <t>EGI (unassigned)</t>
        </is>
      </c>
      <c r="AF255" t="inlineStr">
        <is>
          <t>Unmapped</t>
        </is>
      </c>
      <c r="AG255" t="inlineStr">
        <is>
          <t>Filled</t>
        </is>
      </c>
    </row>
    <row r="256" hidden="1" ht="18" customHeight="1" s="849">
      <c r="A256" s="250" t="inlineStr">
        <is>
          <t>C</t>
        </is>
      </c>
      <c r="B256" s="220" t="inlineStr">
        <is>
          <t>Anthony Huynh</t>
        </is>
      </c>
      <c r="C256" s="305" t="inlineStr">
        <is>
          <t>Strategic Delivery Consultant</t>
        </is>
      </c>
      <c r="D256" s="220" t="inlineStr">
        <is>
          <t>Greg Cassis</t>
        </is>
      </c>
      <c r="E256" s="306" t="inlineStr">
        <is>
          <t>GM TDD, EGI</t>
        </is>
      </c>
      <c r="F256" s="220" t="inlineStr">
        <is>
          <t>EGI</t>
        </is>
      </c>
      <c r="G256" s="306" t="inlineStr">
        <is>
          <t>EGI</t>
        </is>
      </c>
      <c r="H256" s="306" t="inlineStr">
        <is>
          <t>EGI</t>
        </is>
      </c>
      <c r="I256" s="306" t="inlineStr">
        <is>
          <t>EGI</t>
        </is>
      </c>
      <c r="J256" s="220" t="inlineStr">
        <is>
          <t>EGI</t>
        </is>
      </c>
      <c r="K256" s="220" t="inlineStr">
        <is>
          <t>EGI</t>
        </is>
      </c>
      <c r="L256" s="306" t="n"/>
      <c r="M256" s="307" t="inlineStr">
        <is>
          <t>australia</t>
        </is>
      </c>
      <c r="N256" s="308" t="inlineStr">
        <is>
          <t>NA</t>
        </is>
      </c>
      <c r="O256" s="308" t="n">
        <v>1</v>
      </c>
      <c r="P256" s="308" t="n"/>
      <c r="Q256" s="310" t="inlineStr">
        <is>
          <t>cxc</t>
        </is>
      </c>
      <c r="R256" s="310" t="inlineStr">
        <is>
          <t>daily</t>
        </is>
      </c>
      <c r="S256" s="310" t="n">
        <v>1357</v>
      </c>
      <c r="T256" s="322" t="n">
        <v>0</v>
      </c>
      <c r="U256" s="321" t="n"/>
      <c r="V256" s="313" t="n"/>
      <c r="W256" s="953" t="n"/>
      <c r="X256" s="953" t="n"/>
      <c r="Y256" s="954" t="n"/>
      <c r="Z256" s="953" t="n"/>
      <c r="AA256" s="320">
        <f>S256*222</f>
        <v>301254.0</v>
      </c>
      <c r="AC256" t="inlineStr">
        <is>
          <t>EGI</t>
        </is>
      </c>
      <c r="AD256" t="inlineStr">
        <is>
          <t>EGI</t>
        </is>
      </c>
      <c r="AE256" t="inlineStr">
        <is>
          <t>EGI (unassigned)</t>
        </is>
      </c>
      <c r="AF256" t="inlineStr">
        <is>
          <t>Unmapped</t>
        </is>
      </c>
      <c r="AG256" t="inlineStr">
        <is>
          <t>Filled</t>
        </is>
      </c>
    </row>
    <row r="257" hidden="1" ht="18" customHeight="1" s="849">
      <c r="A257" s="250" t="inlineStr">
        <is>
          <t>C</t>
        </is>
      </c>
      <c r="B257" s="220" t="inlineStr">
        <is>
          <t>Areum Kim Lee</t>
        </is>
      </c>
      <c r="C257" s="305" t="inlineStr">
        <is>
          <t>Program Manager (PEP13-EGI-UKG)</t>
        </is>
      </c>
      <c r="D257" s="220" t="inlineStr">
        <is>
          <t>Greg Cassis</t>
        </is>
      </c>
      <c r="E257" s="306" t="inlineStr">
        <is>
          <t>GM TDD, EGI</t>
        </is>
      </c>
      <c r="F257" s="220" t="inlineStr">
        <is>
          <t>EGI</t>
        </is>
      </c>
      <c r="G257" s="306" t="inlineStr">
        <is>
          <t>EGI</t>
        </is>
      </c>
      <c r="H257" s="306" t="inlineStr">
        <is>
          <t>EGI</t>
        </is>
      </c>
      <c r="I257" s="306" t="inlineStr">
        <is>
          <t>EGI</t>
        </is>
      </c>
      <c r="J257" s="306" t="inlineStr">
        <is>
          <t>EGI</t>
        </is>
      </c>
      <c r="K257" s="220" t="inlineStr">
        <is>
          <t>EGI</t>
        </is>
      </c>
      <c r="L257" s="306" t="n"/>
      <c r="M257" s="307" t="inlineStr">
        <is>
          <t>Australia</t>
        </is>
      </c>
      <c r="N257" s="310" t="inlineStr">
        <is>
          <t>NA</t>
        </is>
      </c>
      <c r="O257" s="308" t="n">
        <v>1</v>
      </c>
      <c r="P257" s="310" t="n"/>
      <c r="Q257" s="310" t="inlineStr">
        <is>
          <t>cxc</t>
        </is>
      </c>
      <c r="R257" s="319" t="inlineStr">
        <is>
          <t>Daily</t>
        </is>
      </c>
      <c r="S257" s="310" t="n">
        <v>1545.76</v>
      </c>
      <c r="T257" s="322" t="n">
        <v>0</v>
      </c>
      <c r="U257" s="322" t="n"/>
      <c r="V257" s="306" t="n"/>
      <c r="W257" s="306" t="n"/>
      <c r="X257" s="306" t="n"/>
      <c r="Y257" s="306" t="n"/>
      <c r="Z257" s="306" t="n"/>
      <c r="AA257" s="320">
        <f>S257*222</f>
        <v>343158.72</v>
      </c>
      <c r="AC257" t="inlineStr">
        <is>
          <t>EGI</t>
        </is>
      </c>
      <c r="AD257" t="inlineStr">
        <is>
          <t>EGI</t>
        </is>
      </c>
      <c r="AE257" t="inlineStr">
        <is>
          <t>EGI (unassigned)</t>
        </is>
      </c>
      <c r="AF257" t="inlineStr">
        <is>
          <t>Unmapped</t>
        </is>
      </c>
      <c r="AG257" t="inlineStr">
        <is>
          <t>Filled</t>
        </is>
      </c>
    </row>
    <row r="258" hidden="1" ht="18" customHeight="1" s="849">
      <c r="A258" s="250" t="inlineStr">
        <is>
          <t>C</t>
        </is>
      </c>
      <c r="B258" s="220" t="inlineStr">
        <is>
          <t>Ernesto Pereira</t>
        </is>
      </c>
      <c r="C258" s="305" t="inlineStr">
        <is>
          <t>Project Manger</t>
        </is>
      </c>
      <c r="D258" s="220" t="inlineStr">
        <is>
          <t>Trena Foote</t>
        </is>
      </c>
      <c r="E258" s="220" t="inlineStr">
        <is>
          <t>Project Manger</t>
        </is>
      </c>
      <c r="F258" s="220" t="inlineStr">
        <is>
          <t>EGI</t>
        </is>
      </c>
      <c r="G258" s="306" t="inlineStr">
        <is>
          <t>EGI</t>
        </is>
      </c>
      <c r="H258" s="306" t="inlineStr">
        <is>
          <t>EGI</t>
        </is>
      </c>
      <c r="I258" s="306" t="inlineStr">
        <is>
          <t>EGI</t>
        </is>
      </c>
      <c r="J258" s="306" t="inlineStr">
        <is>
          <t>EGI</t>
        </is>
      </c>
      <c r="K258" s="306" t="inlineStr">
        <is>
          <t>EGI</t>
        </is>
      </c>
      <c r="L258" s="306" t="n"/>
      <c r="M258" s="307" t="inlineStr">
        <is>
          <t>Australia</t>
        </is>
      </c>
      <c r="N258" s="310" t="inlineStr">
        <is>
          <t>na</t>
        </is>
      </c>
      <c r="O258" s="310" t="n">
        <v>1</v>
      </c>
      <c r="P258" s="310" t="n"/>
      <c r="Q258" s="310" t="inlineStr">
        <is>
          <t>cxc</t>
        </is>
      </c>
      <c r="R258" s="310" t="inlineStr">
        <is>
          <t>daily</t>
        </is>
      </c>
      <c r="S258" s="310" t="n">
        <v>1000</v>
      </c>
      <c r="T258" s="322" t="n">
        <v>0</v>
      </c>
      <c r="U258" s="321" t="n"/>
      <c r="V258" s="313" t="n"/>
      <c r="W258" s="953" t="n"/>
      <c r="X258" s="953" t="n"/>
      <c r="Y258" s="954" t="n"/>
      <c r="Z258" s="953" t="n"/>
      <c r="AA258" s="320">
        <f>S258*222</f>
        <v>222000.0</v>
      </c>
      <c r="AC258" t="inlineStr">
        <is>
          <t>EGI</t>
        </is>
      </c>
      <c r="AD258" t="inlineStr">
        <is>
          <t>EGI</t>
        </is>
      </c>
      <c r="AE258" t="inlineStr">
        <is>
          <t>EGI (unassigned)</t>
        </is>
      </c>
      <c r="AF258" t="inlineStr">
        <is>
          <t>Unmapped</t>
        </is>
      </c>
      <c r="AG258" t="inlineStr">
        <is>
          <t>Filled</t>
        </is>
      </c>
    </row>
    <row r="259" hidden="1" ht="18" customHeight="1" s="849">
      <c r="A259" s="250" t="inlineStr">
        <is>
          <t>C</t>
        </is>
      </c>
      <c r="B259" s="220" t="inlineStr">
        <is>
          <t>Harish Dasari</t>
        </is>
      </c>
      <c r="C259" s="305" t="inlineStr">
        <is>
          <t>Business Analyst (SAP Payroll)</t>
        </is>
      </c>
      <c r="D259" s="220" t="inlineStr">
        <is>
          <t>Areum Kim-Lee</t>
        </is>
      </c>
      <c r="E259" s="306" t="inlineStr">
        <is>
          <t>GM TDD, EGI</t>
        </is>
      </c>
      <c r="F259" s="220" t="inlineStr">
        <is>
          <t>EGI</t>
        </is>
      </c>
      <c r="G259" s="306" t="inlineStr">
        <is>
          <t>EGI</t>
        </is>
      </c>
      <c r="H259" s="306" t="inlineStr">
        <is>
          <t>EGI</t>
        </is>
      </c>
      <c r="I259" s="306" t="inlineStr">
        <is>
          <t>EGI</t>
        </is>
      </c>
      <c r="J259" s="306" t="inlineStr">
        <is>
          <t>EGI</t>
        </is>
      </c>
      <c r="K259" s="306" t="inlineStr">
        <is>
          <t>EGI</t>
        </is>
      </c>
      <c r="L259" s="306" t="n"/>
      <c r="M259" s="307" t="inlineStr">
        <is>
          <t>Australia</t>
        </is>
      </c>
      <c r="N259" s="308" t="inlineStr">
        <is>
          <t>na</t>
        </is>
      </c>
      <c r="O259" s="308" t="n">
        <v>1</v>
      </c>
      <c r="P259" s="308" t="n"/>
      <c r="Q259" s="310" t="inlineStr">
        <is>
          <t>cxc</t>
        </is>
      </c>
      <c r="R259" s="310" t="inlineStr">
        <is>
          <t>daily</t>
        </is>
      </c>
      <c r="S259" s="310" t="n">
        <v>1100</v>
      </c>
      <c r="T259" s="322" t="n">
        <v>0</v>
      </c>
      <c r="U259" s="321" t="n"/>
      <c r="V259" s="313" t="n"/>
      <c r="W259" s="310" t="n"/>
      <c r="X259" s="313" t="n"/>
      <c r="Y259" s="951" t="n"/>
      <c r="Z259" s="335" t="n"/>
      <c r="AA259" s="320">
        <f>S259*222</f>
        <v>244200.0</v>
      </c>
      <c r="AC259" t="inlineStr">
        <is>
          <t>EGI</t>
        </is>
      </c>
      <c r="AD259" t="inlineStr">
        <is>
          <t>EGI</t>
        </is>
      </c>
      <c r="AE259" t="inlineStr">
        <is>
          <t>EGI (unassigned)</t>
        </is>
      </c>
      <c r="AF259" t="inlineStr">
        <is>
          <t>Unmapped</t>
        </is>
      </c>
      <c r="AG259" t="inlineStr">
        <is>
          <t>Filled</t>
        </is>
      </c>
    </row>
    <row r="260" hidden="1" ht="18" customHeight="1" s="849">
      <c r="A260" s="250" t="inlineStr">
        <is>
          <t>C</t>
        </is>
      </c>
      <c r="B260" s="220" t="inlineStr">
        <is>
          <t>James Munt</t>
        </is>
      </c>
      <c r="C260" s="305" t="inlineStr">
        <is>
          <t>Program Manager Tech &amp; P&amp;C</t>
        </is>
      </c>
      <c r="D260" s="306" t="inlineStr">
        <is>
          <t>Greg Cassis</t>
        </is>
      </c>
      <c r="E260" s="306" t="inlineStr">
        <is>
          <t>GM TDD, EGI</t>
        </is>
      </c>
      <c r="F260" s="220" t="inlineStr">
        <is>
          <t>EGI</t>
        </is>
      </c>
      <c r="G260" s="306" t="inlineStr">
        <is>
          <t>EGI</t>
        </is>
      </c>
      <c r="H260" s="306" t="inlineStr">
        <is>
          <t>EGI</t>
        </is>
      </c>
      <c r="I260" s="306" t="inlineStr">
        <is>
          <t>EGI</t>
        </is>
      </c>
      <c r="J260" s="306" t="inlineStr">
        <is>
          <t>EGI</t>
        </is>
      </c>
      <c r="K260" s="306" t="inlineStr">
        <is>
          <t>EGI</t>
        </is>
      </c>
      <c r="L260" s="306" t="n"/>
      <c r="M260" s="307" t="inlineStr">
        <is>
          <t>Australia</t>
        </is>
      </c>
      <c r="N260" s="308" t="inlineStr">
        <is>
          <t>na</t>
        </is>
      </c>
      <c r="O260" s="308" t="n">
        <v>1</v>
      </c>
      <c r="P260" s="308" t="n"/>
      <c r="Q260" s="310" t="inlineStr">
        <is>
          <t>cxc</t>
        </is>
      </c>
      <c r="R260" s="310" t="inlineStr">
        <is>
          <t>daily</t>
        </is>
      </c>
      <c r="S260" s="310" t="n">
        <v>1200</v>
      </c>
      <c r="T260" s="322" t="n">
        <v>0</v>
      </c>
      <c r="U260" s="321" t="n"/>
      <c r="V260" s="313" t="n"/>
      <c r="W260" s="953" t="n"/>
      <c r="X260" s="953" t="n"/>
      <c r="Y260" s="954" t="n"/>
      <c r="Z260" s="953" t="n"/>
      <c r="AA260" s="320">
        <f>S260*222</f>
        <v>266400.0</v>
      </c>
      <c r="AC260" t="inlineStr">
        <is>
          <t>EGI</t>
        </is>
      </c>
      <c r="AD260" t="inlineStr">
        <is>
          <t>EGI</t>
        </is>
      </c>
      <c r="AE260" t="inlineStr">
        <is>
          <t>EGI (unassigned)</t>
        </is>
      </c>
      <c r="AF260" t="inlineStr">
        <is>
          <t>Unmapped</t>
        </is>
      </c>
      <c r="AG260" t="inlineStr">
        <is>
          <t>Filled</t>
        </is>
      </c>
    </row>
    <row r="261" hidden="1" ht="18" customHeight="1" s="849">
      <c r="A261" s="250" t="inlineStr">
        <is>
          <t>c</t>
        </is>
      </c>
      <c r="B261" s="220" t="inlineStr">
        <is>
          <t>Jason McNamara</t>
        </is>
      </c>
      <c r="C261" s="305" t="inlineStr">
        <is>
          <t>Project Manager Retail</t>
        </is>
      </c>
      <c r="D261" s="220" t="inlineStr">
        <is>
          <t>Greg Cassis</t>
        </is>
      </c>
      <c r="E261" s="306" t="inlineStr">
        <is>
          <t>GM TDD, EGI</t>
        </is>
      </c>
      <c r="F261" s="220" t="inlineStr">
        <is>
          <t>EGI</t>
        </is>
      </c>
      <c r="G261" s="306" t="inlineStr">
        <is>
          <t>EGI</t>
        </is>
      </c>
      <c r="H261" s="306" t="inlineStr">
        <is>
          <t>EGI</t>
        </is>
      </c>
      <c r="I261" s="306" t="inlineStr">
        <is>
          <t>EGI</t>
        </is>
      </c>
      <c r="J261" s="306" t="inlineStr">
        <is>
          <t>EGI</t>
        </is>
      </c>
      <c r="K261" s="306" t="inlineStr">
        <is>
          <t>EGI</t>
        </is>
      </c>
      <c r="L261" s="306" t="n"/>
      <c r="M261" s="307" t="inlineStr">
        <is>
          <t>Australia</t>
        </is>
      </c>
      <c r="N261" s="308" t="inlineStr">
        <is>
          <t>na</t>
        </is>
      </c>
      <c r="O261" s="309" t="n">
        <v>1</v>
      </c>
      <c r="P261" s="308" t="n"/>
      <c r="Q261" s="310" t="inlineStr">
        <is>
          <t>cxc</t>
        </is>
      </c>
      <c r="R261" s="310" t="inlineStr">
        <is>
          <t>daily</t>
        </is>
      </c>
      <c r="S261" s="310" t="n">
        <v>2200</v>
      </c>
      <c r="T261" s="322" t="n">
        <v>0</v>
      </c>
      <c r="U261" s="321" t="n"/>
      <c r="V261" s="312" t="n"/>
      <c r="W261" s="309" t="n"/>
      <c r="X261" s="313" t="n"/>
      <c r="Y261" s="951" t="n"/>
      <c r="Z261" s="313" t="n"/>
      <c r="AA261" s="320">
        <f>S261*222</f>
        <v>488400.0</v>
      </c>
      <c r="AC261" t="inlineStr">
        <is>
          <t>EGI</t>
        </is>
      </c>
      <c r="AD261" t="inlineStr">
        <is>
          <t>EGI</t>
        </is>
      </c>
      <c r="AE261" t="inlineStr">
        <is>
          <t>EGI (unassigned)</t>
        </is>
      </c>
      <c r="AF261" t="inlineStr">
        <is>
          <t>Unmapped</t>
        </is>
      </c>
      <c r="AG261" t="inlineStr">
        <is>
          <t>Filled</t>
        </is>
      </c>
    </row>
    <row r="262" hidden="1" ht="18" customHeight="1" s="849">
      <c r="A262" s="250" t="inlineStr">
        <is>
          <t>c</t>
        </is>
      </c>
      <c r="B262" s="220" t="inlineStr">
        <is>
          <t>Jason Sipkovic</t>
        </is>
      </c>
      <c r="C262" s="305" t="inlineStr">
        <is>
          <t>strategic program architect</t>
        </is>
      </c>
      <c r="D262" s="220" t="inlineStr">
        <is>
          <t>Trena Foote</t>
        </is>
      </c>
      <c r="E262" s="220" t="inlineStr">
        <is>
          <t>Project Manger</t>
        </is>
      </c>
      <c r="F262" s="220" t="inlineStr">
        <is>
          <t>EGI</t>
        </is>
      </c>
      <c r="G262" s="306" t="inlineStr">
        <is>
          <t>EGI</t>
        </is>
      </c>
      <c r="H262" s="306" t="inlineStr">
        <is>
          <t>EGI</t>
        </is>
      </c>
      <c r="I262" s="306" t="inlineStr">
        <is>
          <t>EGI</t>
        </is>
      </c>
      <c r="J262" s="306" t="inlineStr">
        <is>
          <t>EGI</t>
        </is>
      </c>
      <c r="K262" s="306" t="inlineStr">
        <is>
          <t>EGI</t>
        </is>
      </c>
      <c r="L262" s="306" t="n"/>
      <c r="M262" s="307" t="inlineStr">
        <is>
          <t>Australia</t>
        </is>
      </c>
      <c r="N262" s="308" t="inlineStr">
        <is>
          <t>na</t>
        </is>
      </c>
      <c r="O262" s="309" t="n">
        <v>1</v>
      </c>
      <c r="P262" s="308" t="n"/>
      <c r="Q262" s="310" t="inlineStr">
        <is>
          <t>cxc</t>
        </is>
      </c>
      <c r="R262" s="310" t="inlineStr">
        <is>
          <t>daily</t>
        </is>
      </c>
      <c r="S262" s="310" t="n">
        <v>1500</v>
      </c>
      <c r="T262" s="322" t="n">
        <v>0</v>
      </c>
      <c r="U262" s="321" t="n"/>
      <c r="V262" s="312" t="n"/>
      <c r="W262" s="309" t="n"/>
      <c r="X262" s="313" t="n"/>
      <c r="Y262" s="951" t="n"/>
      <c r="Z262" s="313" t="n"/>
      <c r="AA262" s="320">
        <f>S262*222</f>
        <v>333000.0</v>
      </c>
      <c r="AC262" t="inlineStr">
        <is>
          <t>EGI</t>
        </is>
      </c>
      <c r="AD262" t="inlineStr">
        <is>
          <t>EGI</t>
        </is>
      </c>
      <c r="AE262" t="inlineStr">
        <is>
          <t>EGI (unassigned)</t>
        </is>
      </c>
      <c r="AF262" t="inlineStr">
        <is>
          <t>Unmapped</t>
        </is>
      </c>
      <c r="AG262" t="inlineStr">
        <is>
          <t>Filled</t>
        </is>
      </c>
    </row>
    <row r="263" hidden="1" ht="18" customHeight="1" s="849">
      <c r="A263" s="250" t="inlineStr">
        <is>
          <t>c</t>
        </is>
      </c>
      <c r="B263" s="220" t="inlineStr">
        <is>
          <t>Kanika Narula</t>
        </is>
      </c>
      <c r="C263" s="305" t="inlineStr">
        <is>
          <t>Business Analyst Digital</t>
        </is>
      </c>
      <c r="D263" s="220" t="inlineStr">
        <is>
          <t>Mitesh Shah</t>
        </is>
      </c>
      <c r="E263" s="220" t="inlineStr">
        <is>
          <t>Technology Manager, Digitial</t>
        </is>
      </c>
      <c r="F263" s="220" t="inlineStr">
        <is>
          <t>EGI</t>
        </is>
      </c>
      <c r="G263" s="306" t="inlineStr">
        <is>
          <t>EGI</t>
        </is>
      </c>
      <c r="H263" s="306" t="inlineStr">
        <is>
          <t>EGI</t>
        </is>
      </c>
      <c r="I263" s="306" t="inlineStr">
        <is>
          <t>EGI</t>
        </is>
      </c>
      <c r="J263" s="306" t="inlineStr">
        <is>
          <t>EGI</t>
        </is>
      </c>
      <c r="K263" s="306" t="inlineStr">
        <is>
          <t>EGI</t>
        </is>
      </c>
      <c r="L263" s="220" t="n"/>
      <c r="M263" s="307" t="inlineStr">
        <is>
          <t>Australia</t>
        </is>
      </c>
      <c r="N263" s="308" t="inlineStr">
        <is>
          <t>na</t>
        </is>
      </c>
      <c r="O263" s="308" t="n">
        <v>1</v>
      </c>
      <c r="P263" s="308" t="n"/>
      <c r="Q263" s="310" t="inlineStr">
        <is>
          <t>cxc</t>
        </is>
      </c>
      <c r="R263" s="310" t="inlineStr">
        <is>
          <t>daily</t>
        </is>
      </c>
      <c r="S263" s="310" t="n">
        <v>1078.84</v>
      </c>
      <c r="T263" s="322" t="n">
        <v>0</v>
      </c>
      <c r="U263" s="321" t="n"/>
      <c r="V263" s="313" t="n"/>
      <c r="W263" s="953" t="n"/>
      <c r="X263" s="953" t="n"/>
      <c r="Y263" s="954" t="n"/>
      <c r="Z263" s="953" t="n"/>
      <c r="AA263" s="320">
        <f>S263*222</f>
        <v>239502.47999999998</v>
      </c>
      <c r="AC263" t="inlineStr">
        <is>
          <t>EGI</t>
        </is>
      </c>
      <c r="AD263" t="inlineStr">
        <is>
          <t>EGI</t>
        </is>
      </c>
      <c r="AE263" t="inlineStr">
        <is>
          <t>EGI (unassigned)</t>
        </is>
      </c>
      <c r="AF263" t="inlineStr">
        <is>
          <t>Unmapped</t>
        </is>
      </c>
      <c r="AG263" t="inlineStr">
        <is>
          <t>Filled</t>
        </is>
      </c>
    </row>
    <row r="264" hidden="1" ht="18" customHeight="1" s="849">
      <c r="A264" s="250" t="inlineStr">
        <is>
          <t>c</t>
        </is>
      </c>
      <c r="B264" s="220" t="inlineStr">
        <is>
          <t>Karl Reyneke</t>
        </is>
      </c>
      <c r="C264" s="305" t="inlineStr">
        <is>
          <t>Strategic Delivery Consultant</t>
        </is>
      </c>
      <c r="D264" s="220" t="inlineStr">
        <is>
          <t>Greg Cassis</t>
        </is>
      </c>
      <c r="E264" s="306" t="inlineStr">
        <is>
          <t>GM TDD, EGI</t>
        </is>
      </c>
      <c r="F264" s="220" t="inlineStr">
        <is>
          <t>EGI</t>
        </is>
      </c>
      <c r="G264" s="306" t="inlineStr">
        <is>
          <t>EGI</t>
        </is>
      </c>
      <c r="H264" s="306" t="inlineStr">
        <is>
          <t>EGI</t>
        </is>
      </c>
      <c r="I264" s="306" t="inlineStr">
        <is>
          <t>EGI</t>
        </is>
      </c>
      <c r="J264" s="306" t="inlineStr">
        <is>
          <t>EGI</t>
        </is>
      </c>
      <c r="K264" s="306" t="inlineStr">
        <is>
          <t>EGI</t>
        </is>
      </c>
      <c r="L264" s="306" t="n"/>
      <c r="M264" s="307" t="inlineStr">
        <is>
          <t>australia</t>
        </is>
      </c>
      <c r="N264" s="310" t="inlineStr">
        <is>
          <t>na</t>
        </is>
      </c>
      <c r="O264" s="308" t="n">
        <v>1</v>
      </c>
      <c r="P264" s="310" t="n"/>
      <c r="Q264" s="310" t="inlineStr">
        <is>
          <t>cxc</t>
        </is>
      </c>
      <c r="R264" s="319" t="inlineStr">
        <is>
          <t>daily</t>
        </is>
      </c>
      <c r="S264" s="310" t="n">
        <v>1350</v>
      </c>
      <c r="T264" s="322" t="n">
        <v>0</v>
      </c>
      <c r="U264" s="322" t="n"/>
      <c r="V264" s="306" t="n"/>
      <c r="W264" s="306" t="n"/>
      <c r="X264" s="306" t="n"/>
      <c r="Y264" s="306" t="n"/>
      <c r="Z264" s="306" t="n"/>
      <c r="AA264" s="320">
        <f>S264*222</f>
        <v>299700.0</v>
      </c>
      <c r="AC264" t="inlineStr">
        <is>
          <t>EGI</t>
        </is>
      </c>
      <c r="AD264" t="inlineStr">
        <is>
          <t>EGI</t>
        </is>
      </c>
      <c r="AE264" t="inlineStr">
        <is>
          <t>EGI (unassigned)</t>
        </is>
      </c>
      <c r="AF264" t="inlineStr">
        <is>
          <t>Unmapped</t>
        </is>
      </c>
      <c r="AG264" t="inlineStr">
        <is>
          <t>Filled</t>
        </is>
      </c>
    </row>
    <row r="265" hidden="1" ht="18" customHeight="1" s="849">
      <c r="A265" s="250" t="inlineStr">
        <is>
          <t>c</t>
        </is>
      </c>
      <c r="B265" s="220" t="inlineStr">
        <is>
          <t>michelle Siegman</t>
        </is>
      </c>
      <c r="C265" s="305" t="inlineStr">
        <is>
          <t>Strategic Delivery Consultant</t>
        </is>
      </c>
      <c r="D265" s="220" t="inlineStr">
        <is>
          <t>Greg Cassis</t>
        </is>
      </c>
      <c r="E265" s="306" t="inlineStr">
        <is>
          <t>GM TDD, EGI</t>
        </is>
      </c>
      <c r="F265" s="220" t="inlineStr">
        <is>
          <t>EGI</t>
        </is>
      </c>
      <c r="G265" s="306" t="inlineStr">
        <is>
          <t>EGI</t>
        </is>
      </c>
      <c r="H265" s="306" t="inlineStr">
        <is>
          <t>EGI</t>
        </is>
      </c>
      <c r="I265" s="306" t="inlineStr">
        <is>
          <t>EGI</t>
        </is>
      </c>
      <c r="J265" s="306" t="inlineStr">
        <is>
          <t>EGI</t>
        </is>
      </c>
      <c r="K265" s="306" t="inlineStr">
        <is>
          <t>EGI</t>
        </is>
      </c>
      <c r="L265" s="306" t="n"/>
      <c r="M265" s="307" t="inlineStr">
        <is>
          <t>Australia</t>
        </is>
      </c>
      <c r="N265" s="308" t="inlineStr">
        <is>
          <t>na</t>
        </is>
      </c>
      <c r="O265" s="309" t="n">
        <v>1</v>
      </c>
      <c r="P265" s="308" t="n"/>
      <c r="Q265" s="310" t="inlineStr">
        <is>
          <t>cxc</t>
        </is>
      </c>
      <c r="R265" s="310" t="inlineStr">
        <is>
          <t>Daily</t>
        </is>
      </c>
      <c r="S265" s="310" t="n">
        <v>1038</v>
      </c>
      <c r="T265" s="322" t="n">
        <v>0</v>
      </c>
      <c r="U265" s="321" t="n"/>
      <c r="V265" s="312" t="n"/>
      <c r="W265" s="310" t="n"/>
      <c r="X265" s="313" t="n"/>
      <c r="Y265" s="951" t="n"/>
      <c r="Z265" s="313" t="n"/>
      <c r="AA265" s="320">
        <f>S265*222</f>
        <v>230436.0</v>
      </c>
      <c r="AC265" t="inlineStr">
        <is>
          <t>EGI</t>
        </is>
      </c>
      <c r="AD265" t="inlineStr">
        <is>
          <t>EGI</t>
        </is>
      </c>
      <c r="AE265" t="inlineStr">
        <is>
          <t>EGI (unassigned)</t>
        </is>
      </c>
      <c r="AF265" t="inlineStr">
        <is>
          <t>Unmapped</t>
        </is>
      </c>
      <c r="AG265" t="inlineStr">
        <is>
          <t>Filled</t>
        </is>
      </c>
    </row>
    <row r="266" hidden="1" ht="18" customHeight="1" s="849">
      <c r="A266" s="292" t="n">
        <v>106830</v>
      </c>
      <c r="B266" s="220" t="inlineStr">
        <is>
          <t>Moitri Pal</t>
        </is>
      </c>
      <c r="C266" s="305" t="inlineStr">
        <is>
          <t>Portfolio Mnager</t>
        </is>
      </c>
      <c r="D266" s="220" t="inlineStr">
        <is>
          <t>Greg Cassis</t>
        </is>
      </c>
      <c r="E266" s="220" t="inlineStr">
        <is>
          <t>GM TDD, EGI</t>
        </is>
      </c>
      <c r="F266" s="220" t="inlineStr">
        <is>
          <t>EGI</t>
        </is>
      </c>
      <c r="G266" s="306" t="inlineStr">
        <is>
          <t>EGI</t>
        </is>
      </c>
      <c r="H266" s="306" t="inlineStr">
        <is>
          <t>EGI</t>
        </is>
      </c>
      <c r="I266" s="306" t="inlineStr">
        <is>
          <t>EGI</t>
        </is>
      </c>
      <c r="J266" s="306" t="inlineStr">
        <is>
          <t>EGI</t>
        </is>
      </c>
      <c r="K266" s="306" t="inlineStr">
        <is>
          <t>EGI</t>
        </is>
      </c>
      <c r="L266" s="306" t="n"/>
      <c r="M266" s="307" t="inlineStr">
        <is>
          <t>Australia</t>
        </is>
      </c>
      <c r="N266" s="308" t="inlineStr">
        <is>
          <t>CSC</t>
        </is>
      </c>
      <c r="O266" s="308" t="n">
        <v>1</v>
      </c>
      <c r="P266" s="308" t="n"/>
      <c r="Q266" s="308" t="inlineStr">
        <is>
          <t>Permanent - Full Time</t>
        </is>
      </c>
      <c r="R266" s="310" t="n"/>
      <c r="S266" s="310" t="n"/>
      <c r="T266" s="322" t="n">
        <v>230010</v>
      </c>
      <c r="U266" s="321">
        <f>T266</f>
        <v>230010.0</v>
      </c>
      <c r="V266" s="313" t="n">
        <v>0.2</v>
      </c>
      <c r="W266" s="953" t="n">
        <v>0.055</v>
      </c>
      <c r="X266" s="953" t="n">
        <v>0.12</v>
      </c>
      <c r="Y266" s="954" t="n"/>
      <c r="Z266" s="953" t="n">
        <v>0.04</v>
      </c>
      <c r="AA266" s="952">
        <f>U266*(1+V266+W266+X266+Y266+Z266)</f>
        <v>325464.15</v>
      </c>
      <c r="AC266" t="inlineStr">
        <is>
          <t>EGI</t>
        </is>
      </c>
      <c r="AD266" t="inlineStr">
        <is>
          <t>EGI</t>
        </is>
      </c>
      <c r="AE266" t="inlineStr">
        <is>
          <t>EGI (unassigned)</t>
        </is>
      </c>
      <c r="AF266" t="inlineStr">
        <is>
          <t>Unmapped</t>
        </is>
      </c>
      <c r="AG266" t="inlineStr">
        <is>
          <t>Filled</t>
        </is>
      </c>
    </row>
    <row r="267" hidden="1" ht="18" customHeight="1" s="849">
      <c r="A267" s="250" t="inlineStr">
        <is>
          <t>C</t>
        </is>
      </c>
      <c r="B267" s="220" t="inlineStr">
        <is>
          <t>Niall Greene</t>
        </is>
      </c>
      <c r="C267" s="305" t="inlineStr">
        <is>
          <t>Project Manager (PEP13-EGI-UKG)</t>
        </is>
      </c>
      <c r="D267" s="220" t="inlineStr">
        <is>
          <t>Areum Kim-Lee</t>
        </is>
      </c>
      <c r="E267" s="306" t="inlineStr">
        <is>
          <t>GM TDD, EGI</t>
        </is>
      </c>
      <c r="F267" s="220" t="inlineStr">
        <is>
          <t>EGI</t>
        </is>
      </c>
      <c r="G267" s="306" t="inlineStr">
        <is>
          <t>EGI</t>
        </is>
      </c>
      <c r="H267" s="306" t="inlineStr">
        <is>
          <t>EGI</t>
        </is>
      </c>
      <c r="I267" s="306" t="inlineStr">
        <is>
          <t>EGI</t>
        </is>
      </c>
      <c r="J267" s="306" t="inlineStr">
        <is>
          <t>EGI</t>
        </is>
      </c>
      <c r="K267" s="220" t="inlineStr">
        <is>
          <t>EGI</t>
        </is>
      </c>
      <c r="L267" s="306" t="n"/>
      <c r="M267" s="307" t="inlineStr">
        <is>
          <t>Australia</t>
        </is>
      </c>
      <c r="N267" s="310" t="inlineStr">
        <is>
          <t>NA</t>
        </is>
      </c>
      <c r="O267" s="308" t="n">
        <v>1</v>
      </c>
      <c r="P267" s="310" t="n"/>
      <c r="Q267" s="310" t="inlineStr">
        <is>
          <t>cxc</t>
        </is>
      </c>
      <c r="R267" s="319" t="inlineStr">
        <is>
          <t>Daily</t>
        </is>
      </c>
      <c r="S267" s="310" t="n">
        <v>1100</v>
      </c>
      <c r="T267" s="322" t="n">
        <v>0</v>
      </c>
      <c r="U267" s="322" t="n"/>
      <c r="V267" s="306" t="n"/>
      <c r="W267" s="306" t="n"/>
      <c r="X267" s="306" t="n"/>
      <c r="Y267" s="306" t="n"/>
      <c r="Z267" s="306" t="n"/>
      <c r="AA267" s="320">
        <f>S267*222</f>
        <v>244200.0</v>
      </c>
      <c r="AC267" t="inlineStr">
        <is>
          <t>EGI</t>
        </is>
      </c>
      <c r="AD267" t="inlineStr">
        <is>
          <t>EGI</t>
        </is>
      </c>
      <c r="AE267" t="inlineStr">
        <is>
          <t>EGI (unassigned)</t>
        </is>
      </c>
      <c r="AF267" t="inlineStr">
        <is>
          <t>Unmapped</t>
        </is>
      </c>
      <c r="AG267" t="inlineStr">
        <is>
          <t>Filled</t>
        </is>
      </c>
    </row>
    <row r="268" hidden="1" ht="18" customHeight="1" s="849">
      <c r="A268" s="250" t="inlineStr">
        <is>
          <t>c</t>
        </is>
      </c>
      <c r="B268" s="220" t="inlineStr">
        <is>
          <t>Paul Hassey</t>
        </is>
      </c>
      <c r="C268" s="305" t="inlineStr">
        <is>
          <t>Program Architect</t>
        </is>
      </c>
      <c r="D268" s="306" t="inlineStr">
        <is>
          <t>Ed Tacey</t>
        </is>
      </c>
      <c r="E268" s="220" t="n"/>
      <c r="F268" s="220" t="inlineStr">
        <is>
          <t>EGI</t>
        </is>
      </c>
      <c r="G268" s="306" t="inlineStr">
        <is>
          <t>EGI</t>
        </is>
      </c>
      <c r="H268" s="306" t="inlineStr">
        <is>
          <t>EGI</t>
        </is>
      </c>
      <c r="I268" s="306" t="inlineStr">
        <is>
          <t>EGI</t>
        </is>
      </c>
      <c r="J268" s="306" t="inlineStr">
        <is>
          <t>EGI</t>
        </is>
      </c>
      <c r="K268" s="306" t="inlineStr">
        <is>
          <t>EGI</t>
        </is>
      </c>
      <c r="L268" s="220" t="n"/>
      <c r="M268" s="307" t="inlineStr">
        <is>
          <t>Australia</t>
        </is>
      </c>
      <c r="N268" s="308" t="inlineStr">
        <is>
          <t>na</t>
        </is>
      </c>
      <c r="O268" s="308" t="n">
        <v>1</v>
      </c>
      <c r="P268" s="308" t="n"/>
      <c r="Q268" s="310" t="inlineStr">
        <is>
          <t>cxc</t>
        </is>
      </c>
      <c r="R268" s="310" t="inlineStr">
        <is>
          <t>Daily</t>
        </is>
      </c>
      <c r="S268" s="310" t="n">
        <v>1400</v>
      </c>
      <c r="T268" s="322" t="n">
        <v>0</v>
      </c>
      <c r="U268" s="321" t="n"/>
      <c r="V268" s="313" t="n"/>
      <c r="W268" s="953" t="n"/>
      <c r="X268" s="953" t="n"/>
      <c r="Y268" s="954" t="n"/>
      <c r="Z268" s="953" t="n"/>
      <c r="AA268" s="320">
        <f>S268*222</f>
        <v>310800.0</v>
      </c>
      <c r="AC268" t="inlineStr">
        <is>
          <t>EGI</t>
        </is>
      </c>
      <c r="AD268" t="inlineStr">
        <is>
          <t>EGI</t>
        </is>
      </c>
      <c r="AE268" t="inlineStr">
        <is>
          <t>EGI (unassigned)</t>
        </is>
      </c>
      <c r="AF268" t="inlineStr">
        <is>
          <t>Unmapped</t>
        </is>
      </c>
      <c r="AG268" t="inlineStr">
        <is>
          <t>Filled</t>
        </is>
      </c>
    </row>
    <row r="269" hidden="1" ht="18" customHeight="1" s="849">
      <c r="A269" s="250" t="inlineStr">
        <is>
          <t>c</t>
        </is>
      </c>
      <c r="B269" s="220" t="inlineStr">
        <is>
          <t>vijay Solanki</t>
        </is>
      </c>
      <c r="C269" s="305" t="inlineStr">
        <is>
          <t>Project Manager Deployment</t>
        </is>
      </c>
      <c r="D269" s="220" t="inlineStr">
        <is>
          <t>greg Cassis</t>
        </is>
      </c>
      <c r="E269" s="220" t="n"/>
      <c r="F269" s="220" t="inlineStr">
        <is>
          <t>EGI</t>
        </is>
      </c>
      <c r="G269" s="306" t="n"/>
      <c r="H269" s="220" t="n"/>
      <c r="I269" s="220" t="n"/>
      <c r="J269" s="327" t="inlineStr">
        <is>
          <t>EGI</t>
        </is>
      </c>
      <c r="K269" s="220" t="inlineStr">
        <is>
          <t>EGI</t>
        </is>
      </c>
      <c r="L269" s="306" t="n"/>
      <c r="M269" s="307" t="inlineStr">
        <is>
          <t>Australia</t>
        </is>
      </c>
      <c r="N269" s="308" t="inlineStr">
        <is>
          <t>na</t>
        </is>
      </c>
      <c r="O269" s="308" t="n">
        <v>1</v>
      </c>
      <c r="P269" s="308" t="n"/>
      <c r="Q269" s="310" t="inlineStr">
        <is>
          <t>cxc</t>
        </is>
      </c>
      <c r="R269" s="310" t="inlineStr">
        <is>
          <t>Daily</t>
        </is>
      </c>
      <c r="S269" s="310" t="n">
        <v>1200</v>
      </c>
      <c r="T269" s="322" t="n">
        <v>0</v>
      </c>
      <c r="U269" s="321" t="n"/>
      <c r="V269" s="313" t="n"/>
      <c r="W269" s="953" t="n"/>
      <c r="X269" s="953" t="n"/>
      <c r="Y269" s="954" t="n"/>
      <c r="Z269" s="953" t="n"/>
      <c r="AA269" s="320">
        <f>S269*222</f>
        <v>266400.0</v>
      </c>
      <c r="AC269" t="inlineStr">
        <is>
          <t>EGI</t>
        </is>
      </c>
      <c r="AD269" t="inlineStr">
        <is>
          <t>EGI</t>
        </is>
      </c>
      <c r="AE269" t="inlineStr">
        <is>
          <t>EGI (unassigned)</t>
        </is>
      </c>
      <c r="AF269" t="inlineStr">
        <is>
          <t>Unmapped</t>
        </is>
      </c>
      <c r="AG269" t="inlineStr">
        <is>
          <t>Filled</t>
        </is>
      </c>
    </row>
    <row r="270" hidden="1" ht="18" customHeight="1" s="849">
      <c r="A270" s="250" t="inlineStr">
        <is>
          <t>C</t>
        </is>
      </c>
      <c r="B270" s="220" t="inlineStr">
        <is>
          <t>Winnie Fernandes</t>
        </is>
      </c>
      <c r="C270" s="305" t="inlineStr">
        <is>
          <t>Delivery Lead - Integration</t>
        </is>
      </c>
      <c r="D270" s="220" t="inlineStr">
        <is>
          <t>Moitri Pal</t>
        </is>
      </c>
      <c r="E270" s="220" t="inlineStr">
        <is>
          <t>Program Manager - EGI</t>
        </is>
      </c>
      <c r="F270" s="220" t="inlineStr">
        <is>
          <t>EGI</t>
        </is>
      </c>
      <c r="G270" s="306" t="inlineStr">
        <is>
          <t>EGI</t>
        </is>
      </c>
      <c r="H270" s="306" t="inlineStr">
        <is>
          <t>EGI</t>
        </is>
      </c>
      <c r="I270" s="306" t="inlineStr">
        <is>
          <t>EGI</t>
        </is>
      </c>
      <c r="J270" s="306" t="inlineStr">
        <is>
          <t>EGI</t>
        </is>
      </c>
      <c r="K270" s="220" t="inlineStr">
        <is>
          <t>EGI</t>
        </is>
      </c>
      <c r="L270" s="306" t="n"/>
      <c r="M270" s="307" t="inlineStr">
        <is>
          <t>Australia</t>
        </is>
      </c>
      <c r="N270" s="310" t="inlineStr">
        <is>
          <t>NA</t>
        </is>
      </c>
      <c r="O270" s="308" t="n">
        <v>1</v>
      </c>
      <c r="P270" s="310" t="n"/>
      <c r="Q270" s="310" t="inlineStr">
        <is>
          <t>cxc</t>
        </is>
      </c>
      <c r="R270" s="319" t="inlineStr">
        <is>
          <t>Daily</t>
        </is>
      </c>
      <c r="S270" s="310" t="n">
        <v>1232</v>
      </c>
      <c r="T270" s="322" t="n">
        <v>0</v>
      </c>
      <c r="U270" s="322" t="n"/>
      <c r="V270" s="306" t="n"/>
      <c r="W270" s="306" t="n"/>
      <c r="X270" s="306" t="n"/>
      <c r="Y270" s="306" t="n"/>
      <c r="Z270" s="306" t="n"/>
      <c r="AA270" s="320">
        <f>S270*222</f>
        <v>273504.0</v>
      </c>
      <c r="AC270" t="inlineStr">
        <is>
          <t>EGI</t>
        </is>
      </c>
      <c r="AD270" t="inlineStr">
        <is>
          <t>EGI</t>
        </is>
      </c>
      <c r="AE270" t="inlineStr">
        <is>
          <t>EGI (unassigned)</t>
        </is>
      </c>
      <c r="AF270" t="inlineStr">
        <is>
          <t>Unmapped</t>
        </is>
      </c>
      <c r="AG270" t="inlineStr">
        <is>
          <t>Filled</t>
        </is>
      </c>
    </row>
    <row r="271" hidden="1" ht="18" customHeight="1" s="849">
      <c r="A271" s="250" t="inlineStr">
        <is>
          <t>C</t>
        </is>
      </c>
      <c r="B271" s="220" t="inlineStr">
        <is>
          <t>Ashish Gupte</t>
        </is>
      </c>
      <c r="C271" s="305" t="inlineStr">
        <is>
          <t>DeveloperSAP ECC</t>
        </is>
      </c>
      <c r="D271" s="306" t="inlineStr">
        <is>
          <t>Vasso Vucovic</t>
        </is>
      </c>
      <c r="E271" s="220" t="inlineStr">
        <is>
          <t>Head of Technology Finance, P&amp;C Legal</t>
        </is>
      </c>
      <c r="F271" s="220" t="inlineStr">
        <is>
          <t>Group Functions</t>
        </is>
      </c>
      <c r="G271" s="306" t="inlineStr">
        <is>
          <t>EGI</t>
        </is>
      </c>
      <c r="H271" s="306" t="inlineStr">
        <is>
          <t>EGI</t>
        </is>
      </c>
      <c r="I271" s="306" t="inlineStr">
        <is>
          <t>EGI</t>
        </is>
      </c>
      <c r="J271" s="306" t="inlineStr">
        <is>
          <t>EGI</t>
        </is>
      </c>
      <c r="K271" s="306" t="inlineStr">
        <is>
          <t>EGI</t>
        </is>
      </c>
      <c r="L271" s="306" t="n"/>
      <c r="M271" s="307" t="inlineStr">
        <is>
          <t>australia</t>
        </is>
      </c>
      <c r="N271" s="308" t="inlineStr">
        <is>
          <t>na</t>
        </is>
      </c>
      <c r="O271" s="309" t="n">
        <v>1</v>
      </c>
      <c r="P271" s="308" t="n"/>
      <c r="Q271" s="310" t="inlineStr">
        <is>
          <t>cxc</t>
        </is>
      </c>
      <c r="R271" s="310" t="inlineStr">
        <is>
          <t>Daily</t>
        </is>
      </c>
      <c r="S271" s="310" t="n">
        <v>1250</v>
      </c>
      <c r="T271" s="322" t="n">
        <v>0</v>
      </c>
      <c r="U271" s="321" t="n"/>
      <c r="V271" s="312" t="n"/>
      <c r="W271" s="309" t="n"/>
      <c r="X271" s="313" t="n"/>
      <c r="Y271" s="951" t="n"/>
      <c r="Z271" s="313" t="n"/>
      <c r="AA271" s="320">
        <f>S271*222</f>
        <v>277500.0</v>
      </c>
      <c r="AC271" t="inlineStr">
        <is>
          <t>EGI</t>
        </is>
      </c>
      <c r="AD271" t="inlineStr">
        <is>
          <t>EGI</t>
        </is>
      </c>
      <c r="AE271" t="inlineStr">
        <is>
          <t>EGI (unassigned)</t>
        </is>
      </c>
      <c r="AF271" t="inlineStr">
        <is>
          <t>Unmapped</t>
        </is>
      </c>
      <c r="AG271" t="inlineStr">
        <is>
          <t>Filled</t>
        </is>
      </c>
    </row>
    <row r="272" ht="18" customHeight="1" s="849">
      <c r="A272" s="250" t="n">
        <v>95835</v>
      </c>
      <c r="B272" s="220" t="inlineStr">
        <is>
          <t>Briony Scott</t>
        </is>
      </c>
      <c r="C272" s="305" t="inlineStr">
        <is>
          <t>Service &amp; Contract Specialist AU</t>
        </is>
      </c>
      <c r="D272" s="306" t="inlineStr">
        <is>
          <t>Vacant</t>
        </is>
      </c>
      <c r="E272" s="220" t="inlineStr">
        <is>
          <t>Commercial Director</t>
        </is>
      </c>
      <c r="F272" s="220" t="inlineStr">
        <is>
          <t>Partnering &amp; Transformation</t>
        </is>
      </c>
      <c r="G272" s="220" t="inlineStr">
        <is>
          <t>Commercial</t>
        </is>
      </c>
      <c r="H272" s="220" t="inlineStr">
        <is>
          <t>NA</t>
        </is>
      </c>
      <c r="I272" s="220" t="inlineStr">
        <is>
          <t>NA</t>
        </is>
      </c>
      <c r="J272" s="220" t="inlineStr">
        <is>
          <t>NA</t>
        </is>
      </c>
      <c r="K272" s="220" t="inlineStr">
        <is>
          <t>NA</t>
        </is>
      </c>
      <c r="L272" s="306" t="n"/>
      <c r="M272" s="307" t="inlineStr">
        <is>
          <t>Australia</t>
        </is>
      </c>
      <c r="N272" s="308" t="inlineStr">
        <is>
          <t>CIB</t>
        </is>
      </c>
      <c r="O272" s="308" t="n">
        <v>1</v>
      </c>
      <c r="P272" s="308" t="n"/>
      <c r="Q272" s="308" t="inlineStr">
        <is>
          <t>Permanent - Full Time</t>
        </is>
      </c>
      <c r="R272" s="310" t="n"/>
      <c r="S272" s="310" t="n"/>
      <c r="T272" s="322" t="n">
        <v>153600</v>
      </c>
      <c r="U272" s="321" t="n">
        <v>153600</v>
      </c>
      <c r="V272" s="313" t="n">
        <v>0.12</v>
      </c>
      <c r="W272" s="953" t="n">
        <v>0.055</v>
      </c>
      <c r="X272" s="953" t="n">
        <v>0.12</v>
      </c>
      <c r="Y272" s="954" t="n"/>
      <c r="Z272" s="953" t="n">
        <v>0.04</v>
      </c>
      <c r="AA272" s="952">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849">
      <c r="A273" s="250" t="n">
        <v>102411</v>
      </c>
      <c r="B273" s="220" t="inlineStr">
        <is>
          <t>Conli Mills</t>
        </is>
      </c>
      <c r="C273" s="305" t="inlineStr">
        <is>
          <t>TDD BP - Infrastructure</t>
        </is>
      </c>
      <c r="D273" t="inlineStr">
        <is>
          <t>Michael Schofield</t>
        </is>
      </c>
      <c r="E273" s="220" t="inlineStr">
        <is>
          <t>GM TDD, Partnering &amp; Transformation</t>
        </is>
      </c>
      <c r="F273" s="220" t="inlineStr">
        <is>
          <t>Partnering &amp; Transformation</t>
        </is>
      </c>
      <c r="G273" s="220" t="inlineStr">
        <is>
          <t>TDD Business Partner</t>
        </is>
      </c>
      <c r="H273" s="220" t="inlineStr">
        <is>
          <t>NA</t>
        </is>
      </c>
      <c r="I273" s="220" t="inlineStr">
        <is>
          <t>NA</t>
        </is>
      </c>
      <c r="J273" s="220" t="inlineStr">
        <is>
          <t>NA</t>
        </is>
      </c>
      <c r="K273" s="220" t="inlineStr">
        <is>
          <t>NA</t>
        </is>
      </c>
      <c r="L273" s="306" t="n"/>
      <c r="M273" s="307" t="inlineStr">
        <is>
          <t>Australia</t>
        </is>
      </c>
      <c r="N273" s="308" t="inlineStr">
        <is>
          <t>CSC</t>
        </is>
      </c>
      <c r="O273" s="308" t="n">
        <v>1</v>
      </c>
      <c r="P273" s="308" t="n"/>
      <c r="Q273" s="308" t="inlineStr">
        <is>
          <t>Permanent - Full Time</t>
        </is>
      </c>
      <c r="R273" s="310" t="n"/>
      <c r="S273" s="310" t="n"/>
      <c r="T273" s="322" t="n">
        <v>210000</v>
      </c>
      <c r="U273" s="321" t="n">
        <v>210000</v>
      </c>
      <c r="V273" s="313" t="n">
        <v>0.2</v>
      </c>
      <c r="W273" s="953" t="n">
        <v>0.055</v>
      </c>
      <c r="X273" s="953" t="n">
        <v>0.12</v>
      </c>
      <c r="Y273" s="954" t="n"/>
      <c r="Z273" s="953" t="n">
        <v>0.04</v>
      </c>
      <c r="AA273" s="952">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849">
      <c r="A274" s="250" t="n">
        <v>99999170371</v>
      </c>
      <c r="B274" s="220" t="inlineStr">
        <is>
          <t>Helen Ngu</t>
        </is>
      </c>
      <c r="C274" s="305" t="inlineStr">
        <is>
          <t>Service &amp; Contract Specialist NZ</t>
        </is>
      </c>
      <c r="D274" s="306" t="inlineStr">
        <is>
          <t>Vacant</t>
        </is>
      </c>
      <c r="E274" s="220" t="inlineStr">
        <is>
          <t>Commercial Director</t>
        </is>
      </c>
      <c r="F274" s="220" t="inlineStr">
        <is>
          <t>Partnering &amp; Transformation</t>
        </is>
      </c>
      <c r="G274" s="220" t="inlineStr">
        <is>
          <t>Commercial</t>
        </is>
      </c>
      <c r="H274" s="220" t="inlineStr">
        <is>
          <t>NA</t>
        </is>
      </c>
      <c r="I274" s="220" t="inlineStr">
        <is>
          <t>NA</t>
        </is>
      </c>
      <c r="J274" s="220" t="inlineStr">
        <is>
          <t>NA</t>
        </is>
      </c>
      <c r="K274" s="220" t="inlineStr">
        <is>
          <t>NA</t>
        </is>
      </c>
      <c r="L274" s="306" t="n"/>
      <c r="M274" s="307" t="inlineStr">
        <is>
          <t>NZ</t>
        </is>
      </c>
      <c r="N274" s="308" t="inlineStr">
        <is>
          <t>CIA</t>
        </is>
      </c>
      <c r="O274" s="309" t="n">
        <v>1</v>
      </c>
      <c r="P274" s="308" t="n"/>
      <c r="Q274" s="309" t="inlineStr">
        <is>
          <t>Permanent - Full Time</t>
        </is>
      </c>
      <c r="R274" s="310" t="n"/>
      <c r="S274" s="310" t="n"/>
      <c r="T274" s="322" t="n">
        <v>130870</v>
      </c>
      <c r="U274" s="321" t="n">
        <v>120400.4</v>
      </c>
      <c r="V274" s="312" t="n">
        <v>0.15</v>
      </c>
      <c r="W274" s="309" t="n"/>
      <c r="X274" s="313" t="n">
        <v>0.05</v>
      </c>
      <c r="Y274" s="951" t="n">
        <v>2910</v>
      </c>
      <c r="Z274" s="313" t="n">
        <v>0.03</v>
      </c>
      <c r="AA274" s="952">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849">
      <c r="A275" s="250" t="n">
        <v>113362</v>
      </c>
      <c r="B275" s="220" t="inlineStr">
        <is>
          <t>Jane Esclandra</t>
        </is>
      </c>
      <c r="C275" s="305" t="inlineStr">
        <is>
          <t>Software Asset Specialist</t>
        </is>
      </c>
      <c r="D275" s="306" t="inlineStr">
        <is>
          <t>Vacant</t>
        </is>
      </c>
      <c r="E275" s="220" t="inlineStr">
        <is>
          <t>Commercial Director</t>
        </is>
      </c>
      <c r="F275" s="220" t="inlineStr">
        <is>
          <t>Partnering &amp; Transformation</t>
        </is>
      </c>
      <c r="G275" s="220" t="inlineStr">
        <is>
          <t>Commercial</t>
        </is>
      </c>
      <c r="H275" s="220" t="inlineStr">
        <is>
          <t>NA</t>
        </is>
      </c>
      <c r="I275" s="220" t="inlineStr">
        <is>
          <t>NA</t>
        </is>
      </c>
      <c r="J275" s="220" t="inlineStr">
        <is>
          <t>NA</t>
        </is>
      </c>
      <c r="K275" s="220" t="inlineStr">
        <is>
          <t>NA</t>
        </is>
      </c>
      <c r="L275" s="306" t="n"/>
      <c r="M275" s="307" t="inlineStr">
        <is>
          <t>Australia</t>
        </is>
      </c>
      <c r="N275" s="308" t="inlineStr">
        <is>
          <t>CIB</t>
        </is>
      </c>
      <c r="O275" s="308" t="n">
        <v>1</v>
      </c>
      <c r="P275" s="308" t="n"/>
      <c r="Q275" s="308" t="inlineStr">
        <is>
          <t>Permanent - Full Time</t>
        </is>
      </c>
      <c r="R275" s="310" t="n"/>
      <c r="S275" s="310" t="n"/>
      <c r="T275" s="322" t="n">
        <v>137420</v>
      </c>
      <c r="U275" s="321" t="n">
        <v>137420</v>
      </c>
      <c r="V275" s="313" t="n">
        <v>0.12</v>
      </c>
      <c r="W275" s="953" t="n">
        <v>0.055</v>
      </c>
      <c r="X275" s="953" t="n">
        <v>0.12</v>
      </c>
      <c r="Y275" s="954" t="n"/>
      <c r="Z275" s="953" t="n">
        <v>0.04</v>
      </c>
      <c r="AA275" s="952">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849">
      <c r="A276" s="250" t="n">
        <v>12992</v>
      </c>
      <c r="B276" s="220" t="inlineStr">
        <is>
          <t>Jeannie Chu</t>
        </is>
      </c>
      <c r="C276" s="305" t="inlineStr">
        <is>
          <t>Snr Finance Support Administrator</t>
        </is>
      </c>
      <c r="D276" t="inlineStr">
        <is>
          <t>Sam Chan</t>
        </is>
      </c>
      <c r="E276" s="220" t="inlineStr">
        <is>
          <t>Fin Ops Manager</t>
        </is>
      </c>
      <c r="F276" s="220" t="inlineStr">
        <is>
          <t>Partnering &amp; Transformation</t>
        </is>
      </c>
      <c r="G276" s="220" t="inlineStr">
        <is>
          <t>Transformation</t>
        </is>
      </c>
      <c r="H276" s="220" t="inlineStr">
        <is>
          <t>NA</t>
        </is>
      </c>
      <c r="I276" s="220" t="inlineStr">
        <is>
          <t>NA</t>
        </is>
      </c>
      <c r="J276" s="220" t="inlineStr">
        <is>
          <t>NA</t>
        </is>
      </c>
      <c r="K276" s="220" t="inlineStr">
        <is>
          <t>NA</t>
        </is>
      </c>
      <c r="L276" s="306" t="n"/>
      <c r="M276" s="307" t="inlineStr">
        <is>
          <t>Australia</t>
        </is>
      </c>
      <c r="N276" s="310" t="inlineStr">
        <is>
          <t>CDC</t>
        </is>
      </c>
      <c r="O276" s="310" t="n">
        <v>1</v>
      </c>
      <c r="P276" s="310" t="n"/>
      <c r="Q276" s="310" t="inlineStr">
        <is>
          <t>Permanent - Full Time</t>
        </is>
      </c>
      <c r="R276" s="310" t="n"/>
      <c r="S276" s="310" t="n"/>
      <c r="T276" s="322" t="n">
        <v>112310</v>
      </c>
      <c r="U276" s="321" t="n">
        <v>112310</v>
      </c>
      <c r="V276" s="313" t="n">
        <v>0.1</v>
      </c>
      <c r="W276" s="953" t="n">
        <v>0.055</v>
      </c>
      <c r="X276" s="953" t="n">
        <v>0.12</v>
      </c>
      <c r="Y276" s="954" t="n"/>
      <c r="Z276" s="953" t="n">
        <v>0.04</v>
      </c>
      <c r="AA276" s="952">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849">
      <c r="A277" s="250" t="n">
        <v>82561</v>
      </c>
      <c r="B277" s="220" t="inlineStr">
        <is>
          <t>Jenny Chan</t>
        </is>
      </c>
      <c r="C277" s="305" t="inlineStr">
        <is>
          <t>Project Finance Lead</t>
        </is>
      </c>
      <c r="D277" s="220" t="inlineStr">
        <is>
          <t>Sam Chan</t>
        </is>
      </c>
      <c r="E277" s="220" t="inlineStr">
        <is>
          <t xml:space="preserve">Manager Risk &amp; Resilience </t>
        </is>
      </c>
      <c r="F277" s="220" t="inlineStr">
        <is>
          <t>Partnering &amp; Transformation</t>
        </is>
      </c>
      <c r="G277" s="220" t="inlineStr">
        <is>
          <t>Transformation</t>
        </is>
      </c>
      <c r="H277" s="220" t="inlineStr">
        <is>
          <t>NA</t>
        </is>
      </c>
      <c r="I277" s="220" t="inlineStr">
        <is>
          <t>NA</t>
        </is>
      </c>
      <c r="J277" s="220" t="inlineStr">
        <is>
          <t>NA</t>
        </is>
      </c>
      <c r="K277" s="220" t="inlineStr">
        <is>
          <t>NA</t>
        </is>
      </c>
      <c r="L277" s="306" t="n"/>
      <c r="M277" s="307" t="inlineStr">
        <is>
          <t>Australia</t>
        </is>
      </c>
      <c r="N277" s="310" t="inlineStr">
        <is>
          <t>CIB</t>
        </is>
      </c>
      <c r="O277" s="310" t="n">
        <v>1</v>
      </c>
      <c r="P277" s="310" t="n"/>
      <c r="Q277" s="310" t="inlineStr">
        <is>
          <t>Permanent - Full Time</t>
        </is>
      </c>
      <c r="R277" s="310" t="n"/>
      <c r="S277" s="310" t="n"/>
      <c r="T277" s="322" t="n">
        <v>154400</v>
      </c>
      <c r="U277" s="321" t="n">
        <v>154400</v>
      </c>
      <c r="V277" s="313" t="n">
        <v>0.12</v>
      </c>
      <c r="W277" s="953" t="n">
        <v>0.055</v>
      </c>
      <c r="X277" s="953" t="n">
        <v>0.12</v>
      </c>
      <c r="Y277" s="954" t="n"/>
      <c r="Z277" s="953" t="n">
        <v>0.04</v>
      </c>
      <c r="AA277" s="952">
        <f>U277*(1+V277+W277+X277+Y277+Z277)</f>
        <v>206124.0</v>
      </c>
      <c r="AC277" t="inlineStr">
        <is>
          <t>COE</t>
        </is>
      </c>
      <c r="AD277" t="inlineStr">
        <is>
          <t>COE - Transformation</t>
        </is>
      </c>
      <c r="AE277" t="inlineStr">
        <is>
          <t>COE - Transformation</t>
        </is>
      </c>
      <c r="AF277" t="inlineStr">
        <is>
          <t>COE</t>
        </is>
      </c>
      <c r="AG277" t="inlineStr">
        <is>
          <t>Filled</t>
        </is>
      </c>
    </row>
    <row r="278" ht="18" customHeight="1" s="849">
      <c r="A278" s="250" t="inlineStr">
        <is>
          <t>tbc</t>
        </is>
      </c>
      <c r="B278" s="220" t="inlineStr">
        <is>
          <t>Malcolm Deare</t>
        </is>
      </c>
      <c r="C278" s="305" t="inlineStr">
        <is>
          <t>TDD BP, Group Functions</t>
        </is>
      </c>
      <c r="D278" s="220" t="inlineStr">
        <is>
          <t>Michael Schofield</t>
        </is>
      </c>
      <c r="E278" s="220" t="inlineStr">
        <is>
          <t>GM TDD, Partnering &amp; Transformation</t>
        </is>
      </c>
      <c r="F278" s="220" t="inlineStr">
        <is>
          <t>Partnering &amp; Transformation</t>
        </is>
      </c>
      <c r="G278" s="220" t="inlineStr">
        <is>
          <t>TDD Business Partner</t>
        </is>
      </c>
      <c r="H278" s="220" t="inlineStr">
        <is>
          <t>NA</t>
        </is>
      </c>
      <c r="I278" s="220" t="inlineStr">
        <is>
          <t>NA</t>
        </is>
      </c>
      <c r="J278" s="220" t="inlineStr">
        <is>
          <t>NA</t>
        </is>
      </c>
      <c r="K278" s="220" t="inlineStr">
        <is>
          <t>NA</t>
        </is>
      </c>
      <c r="L278" s="306" t="n"/>
      <c r="M278" s="307" t="inlineStr">
        <is>
          <t>Australia</t>
        </is>
      </c>
      <c r="N278" s="308" t="inlineStr">
        <is>
          <t>CSB</t>
        </is>
      </c>
      <c r="O278" s="308" t="n">
        <v>1</v>
      </c>
      <c r="P278" s="308" t="n"/>
      <c r="Q278" s="308" t="inlineStr">
        <is>
          <t>Permanent - Full Time</t>
        </is>
      </c>
      <c r="R278" s="310" t="n"/>
      <c r="S278" s="310" t="n"/>
      <c r="T278" s="322" t="n">
        <v>220000</v>
      </c>
      <c r="U278" s="321" t="n">
        <v>220000</v>
      </c>
      <c r="V278" s="313" t="n">
        <v>0.14</v>
      </c>
      <c r="W278" s="953" t="n">
        <v>0.055</v>
      </c>
      <c r="X278" s="953" t="n">
        <v>0.12</v>
      </c>
      <c r="Y278" s="954" t="n"/>
      <c r="Z278" s="953" t="n">
        <v>0.04</v>
      </c>
      <c r="AA278" s="952">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849">
      <c r="A279" s="250" t="n">
        <v>5607</v>
      </c>
      <c r="B279" s="220" t="inlineStr">
        <is>
          <t>Maria Somera</t>
        </is>
      </c>
      <c r="C279" s="305" t="inlineStr">
        <is>
          <t>Technology Finance Analyst</t>
        </is>
      </c>
      <c r="D279" s="220" t="inlineStr">
        <is>
          <t>Sam Chan</t>
        </is>
      </c>
      <c r="E279" s="220" t="inlineStr">
        <is>
          <t>Fin Ops Manager</t>
        </is>
      </c>
      <c r="F279" s="220" t="inlineStr">
        <is>
          <t>Partnering &amp; Transformation</t>
        </is>
      </c>
      <c r="G279" s="220" t="inlineStr">
        <is>
          <t>Transformation</t>
        </is>
      </c>
      <c r="H279" s="220" t="inlineStr">
        <is>
          <t>NA</t>
        </is>
      </c>
      <c r="I279" s="220" t="inlineStr">
        <is>
          <t>NA</t>
        </is>
      </c>
      <c r="J279" s="220" t="inlineStr">
        <is>
          <t>NA</t>
        </is>
      </c>
      <c r="K279" s="220" t="inlineStr">
        <is>
          <t>NA</t>
        </is>
      </c>
      <c r="L279" s="306" t="n"/>
      <c r="M279" s="307" t="inlineStr">
        <is>
          <t>Australia</t>
        </is>
      </c>
      <c r="N279" s="310" t="inlineStr">
        <is>
          <t>CIA</t>
        </is>
      </c>
      <c r="O279" s="310" t="n">
        <v>1</v>
      </c>
      <c r="P279" s="310" t="n"/>
      <c r="Q279" s="310" t="inlineStr">
        <is>
          <t>Permanent - Full Time</t>
        </is>
      </c>
      <c r="R279" s="310" t="n"/>
      <c r="S279" s="310" t="n"/>
      <c r="T279" s="322" t="n">
        <v>136360</v>
      </c>
      <c r="U279" s="321" t="n">
        <v>136360</v>
      </c>
      <c r="V279" s="313" t="n">
        <v>0.1</v>
      </c>
      <c r="W279" s="953" t="n">
        <v>0.055</v>
      </c>
      <c r="X279" s="953" t="n">
        <v>0.12</v>
      </c>
      <c r="Y279" s="954" t="n"/>
      <c r="Z279" s="953" t="n">
        <v>0.04</v>
      </c>
      <c r="AA279" s="952">
        <f>U279*(1+V279+W279+X279+Y279+Z279)</f>
        <v>179313.4</v>
      </c>
      <c r="AC279" t="inlineStr">
        <is>
          <t>COE</t>
        </is>
      </c>
      <c r="AD279" t="inlineStr">
        <is>
          <t>COE - Transformation</t>
        </is>
      </c>
      <c r="AE279" t="inlineStr">
        <is>
          <t>COE - Transformation</t>
        </is>
      </c>
      <c r="AF279" t="inlineStr">
        <is>
          <t>COE</t>
        </is>
      </c>
      <c r="AG279" t="inlineStr">
        <is>
          <t>Filled</t>
        </is>
      </c>
    </row>
    <row r="280" ht="18" customHeight="1" s="849">
      <c r="A280" s="250" t="n">
        <v>99999102029</v>
      </c>
      <c r="B280" s="220" t="inlineStr">
        <is>
          <t>Matt Saunders</t>
        </is>
      </c>
      <c r="C280" s="305" t="inlineStr">
        <is>
          <t>Scrum Master</t>
        </is>
      </c>
      <c r="D280" s="306" t="inlineStr">
        <is>
          <t>Vacant</t>
        </is>
      </c>
      <c r="E280" s="220" t="inlineStr">
        <is>
          <t xml:space="preserve">Lead Technology Support </t>
        </is>
      </c>
      <c r="F280" s="220" t="inlineStr">
        <is>
          <t>Partnering &amp; Transformation</t>
        </is>
      </c>
      <c r="G280" s="220" t="inlineStr">
        <is>
          <t>Transformation</t>
        </is>
      </c>
      <c r="H280" s="220" t="inlineStr">
        <is>
          <t>NA</t>
        </is>
      </c>
      <c r="I280" s="220" t="inlineStr">
        <is>
          <t>NA</t>
        </is>
      </c>
      <c r="J280" s="220" t="inlineStr">
        <is>
          <t>NA</t>
        </is>
      </c>
      <c r="K280" s="220" t="inlineStr">
        <is>
          <t>NA</t>
        </is>
      </c>
      <c r="L280" s="306" t="n"/>
      <c r="M280" s="307" t="inlineStr">
        <is>
          <t>NZ</t>
        </is>
      </c>
      <c r="N280" s="308" t="inlineStr">
        <is>
          <t>CIA</t>
        </is>
      </c>
      <c r="O280" s="309" t="n">
        <v>1</v>
      </c>
      <c r="P280" s="308" t="n"/>
      <c r="Q280" s="309" t="inlineStr">
        <is>
          <t>Permanent - Full Time</t>
        </is>
      </c>
      <c r="R280" s="310" t="n"/>
      <c r="S280" s="310" t="n"/>
      <c r="T280" s="322" t="n">
        <v>128000</v>
      </c>
      <c r="U280" s="321" t="n">
        <v>117760</v>
      </c>
      <c r="V280" s="312" t="n">
        <v>0.15</v>
      </c>
      <c r="W280" s="310" t="n"/>
      <c r="X280" s="313" t="n">
        <v>0.05</v>
      </c>
      <c r="Y280" s="951" t="n">
        <v>2910</v>
      </c>
      <c r="Z280" s="313" t="n">
        <v>0.03</v>
      </c>
      <c r="AA280" s="952">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849">
      <c r="A281" s="250" t="n">
        <v>116540</v>
      </c>
      <c r="B281" s="220" t="inlineStr">
        <is>
          <t>Neil Reilly</t>
        </is>
      </c>
      <c r="C281" s="305" t="inlineStr">
        <is>
          <t>TDD BP - T&amp;S</t>
        </is>
      </c>
      <c r="D281" s="220" t="inlineStr">
        <is>
          <t>Michael Schofield</t>
        </is>
      </c>
      <c r="E281" s="220" t="inlineStr">
        <is>
          <t>GM TDD, Partnering &amp; Transformation</t>
        </is>
      </c>
      <c r="F281" s="220" t="inlineStr">
        <is>
          <t>Partnering &amp; Transformation</t>
        </is>
      </c>
      <c r="G281" s="220" t="inlineStr">
        <is>
          <t>TDD Business Partner</t>
        </is>
      </c>
      <c r="H281" s="220" t="inlineStr">
        <is>
          <t>NA</t>
        </is>
      </c>
      <c r="I281" s="220" t="inlineStr">
        <is>
          <t>NA</t>
        </is>
      </c>
      <c r="J281" s="220" t="inlineStr">
        <is>
          <t>NA</t>
        </is>
      </c>
      <c r="K281" s="220" t="inlineStr">
        <is>
          <t>NA</t>
        </is>
      </c>
      <c r="L281" s="306" t="n"/>
      <c r="M281" s="307" t="inlineStr">
        <is>
          <t>Singapore</t>
        </is>
      </c>
      <c r="N281" s="308" t="inlineStr">
        <is>
          <t>CSC</t>
        </is>
      </c>
      <c r="O281" s="308" t="n">
        <v>1</v>
      </c>
      <c r="P281" s="308" t="n"/>
      <c r="Q281" s="308" t="inlineStr">
        <is>
          <t>Permanent - Full Time</t>
        </is>
      </c>
      <c r="R281" s="310" t="n"/>
      <c r="S281" s="310" t="n"/>
      <c r="T281" s="322" t="n">
        <v>350000</v>
      </c>
      <c r="U281" s="321" t="n">
        <v>423500</v>
      </c>
      <c r="V281" s="313" t="n">
        <v>0.35</v>
      </c>
      <c r="W281" s="310" t="n"/>
      <c r="X281" s="313" t="n">
        <v>0.17</v>
      </c>
      <c r="Y281" s="951" t="n">
        <v>3310</v>
      </c>
      <c r="Z281" s="335" t="n">
        <v>0.045</v>
      </c>
      <c r="AA281" s="952">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849">
      <c r="A282" s="250" t="n">
        <v>113835</v>
      </c>
      <c r="B282" s="220" t="inlineStr">
        <is>
          <t>Ruth Chou</t>
        </is>
      </c>
      <c r="C282" s="305" t="inlineStr">
        <is>
          <t>Portfolio Reporting Manager</t>
        </is>
      </c>
      <c r="D282" s="306" t="inlineStr">
        <is>
          <t>Vacant</t>
        </is>
      </c>
      <c r="E282" s="220" t="inlineStr">
        <is>
          <t xml:space="preserve">Manager Service Perforance &amp; Assurance </t>
        </is>
      </c>
      <c r="F282" s="220" t="inlineStr">
        <is>
          <t>Partnering &amp; Transformation</t>
        </is>
      </c>
      <c r="G282" s="220" t="inlineStr">
        <is>
          <t>Transformation</t>
        </is>
      </c>
      <c r="H282" s="220" t="inlineStr">
        <is>
          <t>NA</t>
        </is>
      </c>
      <c r="I282" s="220" t="inlineStr">
        <is>
          <t>NA</t>
        </is>
      </c>
      <c r="J282" s="220" t="inlineStr">
        <is>
          <t>NA</t>
        </is>
      </c>
      <c r="K282" s="220" t="inlineStr">
        <is>
          <t>NA</t>
        </is>
      </c>
      <c r="L282" s="306" t="n"/>
      <c r="M282" s="307" t="inlineStr">
        <is>
          <t>Australia</t>
        </is>
      </c>
      <c r="N282" s="308" t="inlineStr">
        <is>
          <t>CSB</t>
        </is>
      </c>
      <c r="O282" s="308" t="n">
        <v>1</v>
      </c>
      <c r="P282" s="308" t="n"/>
      <c r="Q282" s="308" t="inlineStr">
        <is>
          <t>Permanent - Full Time</t>
        </is>
      </c>
      <c r="R282" s="310" t="n"/>
      <c r="S282" s="310" t="n"/>
      <c r="T282" s="322" t="n">
        <v>216470</v>
      </c>
      <c r="U282" s="321" t="n">
        <v>216470</v>
      </c>
      <c r="V282" s="313" t="n">
        <v>0.14</v>
      </c>
      <c r="W282" s="953" t="n">
        <v>0.055</v>
      </c>
      <c r="X282" s="953" t="n">
        <v>0.12</v>
      </c>
      <c r="Y282" s="954" t="n"/>
      <c r="Z282" s="953" t="n">
        <v>0.04</v>
      </c>
      <c r="AA282" s="952">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849">
      <c r="A283" s="250" t="n">
        <v>83658</v>
      </c>
      <c r="B283" s="220" t="inlineStr">
        <is>
          <t>Sam Chan</t>
        </is>
      </c>
      <c r="C283" s="305" t="inlineStr">
        <is>
          <t>FinOps Manager</t>
        </is>
      </c>
      <c r="D283" s="306" t="inlineStr">
        <is>
          <t>Vacant</t>
        </is>
      </c>
      <c r="E283" s="220" t="inlineStr">
        <is>
          <t xml:space="preserve">Manager Cyber Security Operations </t>
        </is>
      </c>
      <c r="F283" s="220" t="inlineStr">
        <is>
          <t>Partnering &amp; Transformation</t>
        </is>
      </c>
      <c r="G283" s="220" t="inlineStr">
        <is>
          <t>Transformation</t>
        </is>
      </c>
      <c r="H283" t="inlineStr">
        <is>
          <t>NA</t>
        </is>
      </c>
      <c r="I283" s="220" t="inlineStr">
        <is>
          <t>NA</t>
        </is>
      </c>
      <c r="J283" s="220" t="inlineStr">
        <is>
          <t>NA</t>
        </is>
      </c>
      <c r="K283" s="220" t="inlineStr">
        <is>
          <t>NA</t>
        </is>
      </c>
      <c r="L283" s="306" t="n"/>
      <c r="M283" s="307" t="inlineStr">
        <is>
          <t>Australia</t>
        </is>
      </c>
      <c r="N283" s="310" t="inlineStr">
        <is>
          <t>CIC</t>
        </is>
      </c>
      <c r="O283" s="310" t="n">
        <v>1</v>
      </c>
      <c r="P283" s="310" t="n"/>
      <c r="Q283" s="310" t="inlineStr">
        <is>
          <t>Permanent - Full Time</t>
        </is>
      </c>
      <c r="R283" s="310" t="n"/>
      <c r="S283" s="310" t="n"/>
      <c r="T283" s="322" t="n">
        <v>169130</v>
      </c>
      <c r="U283" s="321" t="n">
        <v>169130</v>
      </c>
      <c r="V283" s="313" t="n">
        <v>0.12</v>
      </c>
      <c r="W283" s="953" t="n">
        <v>0.055</v>
      </c>
      <c r="X283" s="953" t="n">
        <v>0.12</v>
      </c>
      <c r="Y283" s="954" t="n"/>
      <c r="Z283" s="953" t="n">
        <v>0.04</v>
      </c>
      <c r="AA283" s="952">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849">
      <c r="A284" s="250" t="n">
        <v>99999102144</v>
      </c>
      <c r="B284" s="220" t="inlineStr">
        <is>
          <t>Shelley Crawford</t>
        </is>
      </c>
      <c r="C284" s="305" t="inlineStr">
        <is>
          <t>TDD BP - Z</t>
        </is>
      </c>
      <c r="D284" s="220" t="inlineStr">
        <is>
          <t>Michael Schofield</t>
        </is>
      </c>
      <c r="E284" s="220" t="inlineStr">
        <is>
          <t>GM TDD, Partnering &amp; Transformation</t>
        </is>
      </c>
      <c r="F284" s="220" t="inlineStr">
        <is>
          <t>Partnering &amp; Transformation</t>
        </is>
      </c>
      <c r="G284" s="220" t="inlineStr">
        <is>
          <t>TDD Business Partner</t>
        </is>
      </c>
      <c r="H284" s="220" t="inlineStr">
        <is>
          <t>NA</t>
        </is>
      </c>
      <c r="I284" s="220" t="inlineStr">
        <is>
          <t>NA</t>
        </is>
      </c>
      <c r="J284" s="220" t="inlineStr">
        <is>
          <t>NA</t>
        </is>
      </c>
      <c r="K284" s="220" t="inlineStr">
        <is>
          <t>NA</t>
        </is>
      </c>
      <c r="L284" s="306" t="n"/>
      <c r="M284" s="307" t="inlineStr">
        <is>
          <t>NZ</t>
        </is>
      </c>
      <c r="N284" s="308" t="inlineStr">
        <is>
          <t>CSC</t>
        </is>
      </c>
      <c r="O284" s="309" t="n">
        <v>1</v>
      </c>
      <c r="P284" s="308" t="n"/>
      <c r="Q284" s="309" t="inlineStr">
        <is>
          <t>Permanent - Full Time</t>
        </is>
      </c>
      <c r="R284" s="310" t="n"/>
      <c r="S284" s="310" t="n"/>
      <c r="T284" s="322" t="n">
        <v>245000</v>
      </c>
      <c r="U284" s="321" t="n">
        <v>225400</v>
      </c>
      <c r="V284" s="312" t="n">
        <v>0.2</v>
      </c>
      <c r="W284" s="310" t="n"/>
      <c r="X284" s="313" t="n">
        <v>0.05</v>
      </c>
      <c r="Y284" s="951" t="n">
        <v>2910</v>
      </c>
      <c r="Z284" s="313" t="n">
        <v>0.03</v>
      </c>
      <c r="AA284" s="952">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849">
      <c r="A285" s="250" t="n">
        <v>113935</v>
      </c>
      <c r="B285" s="220" t="inlineStr">
        <is>
          <t>Thomas Reid</t>
        </is>
      </c>
      <c r="C285" s="305" t="inlineStr">
        <is>
          <t>TDD BP - Retail &amp; Customer - Store Digital</t>
        </is>
      </c>
      <c r="D285" s="220" t="inlineStr">
        <is>
          <t>Michael Schofield</t>
        </is>
      </c>
      <c r="E285" s="220" t="inlineStr">
        <is>
          <t>GM TDD, Partnering &amp; Transformation</t>
        </is>
      </c>
      <c r="F285" s="220" t="inlineStr">
        <is>
          <t>Partnering &amp; Transformation</t>
        </is>
      </c>
      <c r="G285" s="220" t="inlineStr">
        <is>
          <t>TDD Business Partner</t>
        </is>
      </c>
      <c r="H285" s="220" t="inlineStr">
        <is>
          <t>NA</t>
        </is>
      </c>
      <c r="I285" s="220" t="inlineStr">
        <is>
          <t>NA</t>
        </is>
      </c>
      <c r="J285" s="220" t="inlineStr">
        <is>
          <t>NA</t>
        </is>
      </c>
      <c r="K285" s="220" t="inlineStr">
        <is>
          <t>NA</t>
        </is>
      </c>
      <c r="L285" s="306" t="n"/>
      <c r="M285" s="307" t="inlineStr">
        <is>
          <t>Australia</t>
        </is>
      </c>
      <c r="N285" s="308" t="inlineStr">
        <is>
          <t>CSC</t>
        </is>
      </c>
      <c r="O285" s="308" t="n">
        <v>1</v>
      </c>
      <c r="P285" s="308" t="n"/>
      <c r="Q285" s="308" t="inlineStr">
        <is>
          <t>Permanent - Full Time</t>
        </is>
      </c>
      <c r="R285" s="310" t="n"/>
      <c r="S285" s="310" t="n"/>
      <c r="T285" s="322" t="n">
        <v>295000</v>
      </c>
      <c r="U285" s="321" t="n">
        <v>295000</v>
      </c>
      <c r="V285" s="313" t="n">
        <v>0.2</v>
      </c>
      <c r="W285" s="953" t="n">
        <v>0.055</v>
      </c>
      <c r="X285" s="953" t="n">
        <v>0.12</v>
      </c>
      <c r="Y285" s="954" t="n"/>
      <c r="Z285" s="953" t="n">
        <v>0.04</v>
      </c>
      <c r="AA285" s="952">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849">
      <c r="A286" s="250" t="inlineStr">
        <is>
          <t>V</t>
        </is>
      </c>
      <c r="B286" s="220" t="inlineStr">
        <is>
          <t>Vacant</t>
        </is>
      </c>
      <c r="C286" s="305" t="inlineStr">
        <is>
          <t>Commercial Director</t>
        </is>
      </c>
      <c r="D286" s="220" t="inlineStr">
        <is>
          <t>Michael Schofield</t>
        </is>
      </c>
      <c r="E286" s="220" t="inlineStr">
        <is>
          <t>GM TDD, Partnering &amp; Transformation</t>
        </is>
      </c>
      <c r="F286" s="220" t="inlineStr">
        <is>
          <t>Partnering &amp; Transformation</t>
        </is>
      </c>
      <c r="G286" s="220" t="inlineStr">
        <is>
          <t>Commercial</t>
        </is>
      </c>
      <c r="H286" s="220" t="inlineStr">
        <is>
          <t>NA</t>
        </is>
      </c>
      <c r="I286" s="220" t="inlineStr">
        <is>
          <t>NA</t>
        </is>
      </c>
      <c r="J286" s="220" t="inlineStr">
        <is>
          <t>NA</t>
        </is>
      </c>
      <c r="K286" s="220" t="inlineStr">
        <is>
          <t>NA</t>
        </is>
      </c>
      <c r="L286" s="306" t="n"/>
      <c r="M286" s="307" t="inlineStr">
        <is>
          <t>Australia</t>
        </is>
      </c>
      <c r="N286" s="308" t="inlineStr">
        <is>
          <t>LSB</t>
        </is>
      </c>
      <c r="O286" s="308" t="n">
        <v>1</v>
      </c>
      <c r="P286" s="308" t="n"/>
      <c r="Q286" s="308" t="inlineStr">
        <is>
          <t>v</t>
        </is>
      </c>
      <c r="R286" s="310" t="n"/>
      <c r="S286" s="310" t="n"/>
      <c r="T286" s="322" t="n">
        <v>300000</v>
      </c>
      <c r="U286" s="321" t="n">
        <v>300000</v>
      </c>
      <c r="V286" s="313" t="n">
        <v>0.25</v>
      </c>
      <c r="W286" s="953" t="n">
        <v>0.055</v>
      </c>
      <c r="X286" s="953" t="n">
        <v>0.12</v>
      </c>
      <c r="Y286" s="954" t="n"/>
      <c r="Z286" s="953" t="n">
        <v>0.04</v>
      </c>
      <c r="AA286" s="952">
        <f>U286*(1+V286+W286+X286+Y286+Z286)</f>
        <v>439499.99999999994</v>
      </c>
      <c r="AC286" s="316" t="inlineStr">
        <is>
          <t>COE</t>
        </is>
      </c>
      <c r="AD286" t="inlineStr">
        <is>
          <t>COE - Business Partnering</t>
        </is>
      </c>
      <c r="AE286" t="inlineStr">
        <is>
          <t>COE - Business Partnering</t>
        </is>
      </c>
      <c r="AF286" t="inlineStr">
        <is>
          <t>COE</t>
        </is>
      </c>
      <c r="AG286" t="inlineStr">
        <is>
          <t>Vacant</t>
        </is>
      </c>
    </row>
    <row r="287" ht="18" customHeight="1" s="849">
      <c r="A287" s="250" t="inlineStr">
        <is>
          <t>V</t>
        </is>
      </c>
      <c r="B287" s="220" t="inlineStr">
        <is>
          <t>Vacant</t>
        </is>
      </c>
      <c r="C287" s="305" t="inlineStr">
        <is>
          <t>Head of Transformation</t>
        </is>
      </c>
      <c r="D287" s="220" t="inlineStr">
        <is>
          <t>Michael Schofield</t>
        </is>
      </c>
      <c r="E287" s="220" t="inlineStr">
        <is>
          <t>Head of Service Operatoins &amp; Assurance</t>
        </is>
      </c>
      <c r="F287" s="220" t="inlineStr">
        <is>
          <t>Partnering &amp; Transformation</t>
        </is>
      </c>
      <c r="G287" s="220" t="inlineStr">
        <is>
          <t>Transformation</t>
        </is>
      </c>
      <c r="H287" s="220" t="inlineStr">
        <is>
          <t>NA</t>
        </is>
      </c>
      <c r="I287" s="220" t="inlineStr">
        <is>
          <t>NA</t>
        </is>
      </c>
      <c r="J287" s="220" t="inlineStr">
        <is>
          <t>NA</t>
        </is>
      </c>
      <c r="K287" s="220" t="inlineStr">
        <is>
          <t>NA</t>
        </is>
      </c>
      <c r="L287" s="306" t="n"/>
      <c r="M287" s="307" t="inlineStr">
        <is>
          <t>Australia</t>
        </is>
      </c>
      <c r="N287" s="308" t="inlineStr">
        <is>
          <t>CSC</t>
        </is>
      </c>
      <c r="O287" s="308" t="n">
        <v>1</v>
      </c>
      <c r="P287" s="308" t="n"/>
      <c r="Q287" s="308" t="inlineStr">
        <is>
          <t>v</t>
        </is>
      </c>
      <c r="R287" s="310" t="n"/>
      <c r="S287" s="310" t="n"/>
      <c r="T287" s="322" t="n">
        <v>260000</v>
      </c>
      <c r="U287" s="321" t="n">
        <v>260000</v>
      </c>
      <c r="V287" s="313" t="n">
        <v>0.2</v>
      </c>
      <c r="W287" s="953" t="n">
        <v>0.055</v>
      </c>
      <c r="X287" s="953" t="n">
        <v>0.12</v>
      </c>
      <c r="Y287" s="954" t="n"/>
      <c r="Z287" s="953" t="n">
        <v>0.04</v>
      </c>
      <c r="AA287" s="952">
        <f>U287*(1+V287+W287+X287+Y287+Z287)</f>
        <v>367900.0</v>
      </c>
      <c r="AC287" t="inlineStr">
        <is>
          <t>COE</t>
        </is>
      </c>
      <c r="AD287" t="inlineStr">
        <is>
          <t>COE - Transformation</t>
        </is>
      </c>
      <c r="AE287" t="inlineStr">
        <is>
          <t>COE - Transformation</t>
        </is>
      </c>
      <c r="AF287" t="inlineStr">
        <is>
          <t>COE</t>
        </is>
      </c>
      <c r="AG287" t="inlineStr">
        <is>
          <t>Vacant</t>
        </is>
      </c>
    </row>
    <row r="288" ht="18" customHeight="1" s="849">
      <c r="A288" s="250" t="inlineStr">
        <is>
          <t>V</t>
        </is>
      </c>
      <c r="B288" s="220" t="inlineStr">
        <is>
          <t>Vacant</t>
        </is>
      </c>
      <c r="C288" s="305" t="inlineStr">
        <is>
          <t>Delivery Systems Analyst</t>
        </is>
      </c>
      <c r="D288" s="220" t="inlineStr">
        <is>
          <t>Ruth Chou</t>
        </is>
      </c>
      <c r="E288" s="220" t="inlineStr">
        <is>
          <t>Portfolio Reporting Manger</t>
        </is>
      </c>
      <c r="F288" s="220" t="inlineStr">
        <is>
          <t>Partnering &amp; Transformation</t>
        </is>
      </c>
      <c r="G288" s="220" t="inlineStr">
        <is>
          <t>Transformation</t>
        </is>
      </c>
      <c r="H288" s="220" t="inlineStr">
        <is>
          <t>NA</t>
        </is>
      </c>
      <c r="I288" s="220" t="inlineStr">
        <is>
          <t>NA</t>
        </is>
      </c>
      <c r="J288" s="220" t="inlineStr">
        <is>
          <t>NA</t>
        </is>
      </c>
      <c r="K288" s="220" t="inlineStr">
        <is>
          <t>NA</t>
        </is>
      </c>
      <c r="L288" s="306" t="n"/>
      <c r="M288" s="307" t="inlineStr">
        <is>
          <t>Australia</t>
        </is>
      </c>
      <c r="N288" s="308" t="inlineStr">
        <is>
          <t>cib</t>
        </is>
      </c>
      <c r="O288" s="308" t="n">
        <v>1</v>
      </c>
      <c r="P288" s="308" t="n"/>
      <c r="Q288" s="308" t="inlineStr">
        <is>
          <t>V</t>
        </is>
      </c>
      <c r="R288" s="310" t="n"/>
      <c r="S288" s="310" t="n"/>
      <c r="T288" s="322" t="n">
        <v>151950</v>
      </c>
      <c r="U288" s="321" t="n">
        <v>151950</v>
      </c>
      <c r="V288" s="313" t="n">
        <v>0.12</v>
      </c>
      <c r="W288" s="953" t="n">
        <v>0.055</v>
      </c>
      <c r="X288" s="953" t="n">
        <v>0.12</v>
      </c>
      <c r="Y288" s="954" t="n"/>
      <c r="Z288" s="953" t="n">
        <v>0.04</v>
      </c>
      <c r="AA288" s="952">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849">
      <c r="A289" s="250" t="inlineStr">
        <is>
          <t>V</t>
        </is>
      </c>
      <c r="B289" s="220" t="inlineStr">
        <is>
          <t>Vacant</t>
        </is>
      </c>
      <c r="C289" s="305" t="inlineStr">
        <is>
          <t>Business Analysis Practice Lead</t>
        </is>
      </c>
      <c r="D289" s="306" t="inlineStr">
        <is>
          <t>Vacant</t>
        </is>
      </c>
      <c r="E289" s="220" t="inlineStr">
        <is>
          <t>Delivery Excellence Manager</t>
        </is>
      </c>
      <c r="F289" s="220" t="inlineStr">
        <is>
          <t>Partnering &amp; Transformation</t>
        </is>
      </c>
      <c r="G289" s="220" t="inlineStr">
        <is>
          <t>Transformation</t>
        </is>
      </c>
      <c r="H289" t="inlineStr">
        <is>
          <t>NA</t>
        </is>
      </c>
      <c r="I289" s="220" t="inlineStr">
        <is>
          <t>NA</t>
        </is>
      </c>
      <c r="J289" s="220" t="inlineStr">
        <is>
          <t>NA</t>
        </is>
      </c>
      <c r="K289" s="220" t="inlineStr">
        <is>
          <t>NA</t>
        </is>
      </c>
      <c r="L289" s="306" t="n"/>
      <c r="M289" s="307" t="inlineStr">
        <is>
          <t>Australia</t>
        </is>
      </c>
      <c r="N289" s="308" t="inlineStr">
        <is>
          <t>CIC</t>
        </is>
      </c>
      <c r="O289" s="308" t="n">
        <v>1</v>
      </c>
      <c r="P289" s="308" t="n"/>
      <c r="Q289" s="308" t="inlineStr">
        <is>
          <t>V</t>
        </is>
      </c>
      <c r="R289" s="310" t="n"/>
      <c r="S289" s="310" t="n"/>
      <c r="T289" s="322" t="n">
        <v>173550</v>
      </c>
      <c r="U289" s="321" t="n">
        <v>173550</v>
      </c>
      <c r="V289" s="313" t="n">
        <v>0.12</v>
      </c>
      <c r="W289" s="953" t="n">
        <v>0.055</v>
      </c>
      <c r="X289" s="953" t="n">
        <v>0.12</v>
      </c>
      <c r="Y289" s="954" t="n"/>
      <c r="Z289" s="953" t="n">
        <v>0.04</v>
      </c>
      <c r="AA289" s="952">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849">
      <c r="A290" s="250" t="inlineStr">
        <is>
          <t>V</t>
        </is>
      </c>
      <c r="B290" s="306" t="inlineStr">
        <is>
          <t>Vacant</t>
        </is>
      </c>
      <c r="C290" s="324" t="inlineStr">
        <is>
          <t>Delivery Assurance Manager</t>
        </is>
      </c>
      <c r="D290" s="306" t="inlineStr">
        <is>
          <t>Vacant</t>
        </is>
      </c>
      <c r="E290" s="306" t="inlineStr">
        <is>
          <t xml:space="preserve">Manager Identity &amp; Access Management </t>
        </is>
      </c>
      <c r="F290" s="220" t="inlineStr">
        <is>
          <t>Partnering &amp; Transformation</t>
        </is>
      </c>
      <c r="G290" s="306" t="inlineStr">
        <is>
          <t>Transformation</t>
        </is>
      </c>
      <c r="H290" s="220" t="inlineStr">
        <is>
          <t>NA</t>
        </is>
      </c>
      <c r="I290" s="220" t="inlineStr">
        <is>
          <t>NA</t>
        </is>
      </c>
      <c r="J290" s="220" t="inlineStr">
        <is>
          <t>NA</t>
        </is>
      </c>
      <c r="K290" s="220" t="inlineStr">
        <is>
          <t>NA</t>
        </is>
      </c>
      <c r="L290" s="306" t="n"/>
      <c r="M290" s="307" t="inlineStr">
        <is>
          <t>Australia</t>
        </is>
      </c>
      <c r="N290" s="308" t="inlineStr">
        <is>
          <t>CSB</t>
        </is>
      </c>
      <c r="O290" s="308" t="n">
        <v>1</v>
      </c>
      <c r="P290" s="308" t="n"/>
      <c r="Q290" s="308" t="inlineStr">
        <is>
          <t>V</t>
        </is>
      </c>
      <c r="R290" s="310" t="n"/>
      <c r="S290" s="310" t="n"/>
      <c r="T290" s="322" t="n">
        <v>203550</v>
      </c>
      <c r="U290" s="321" t="n">
        <v>203550</v>
      </c>
      <c r="V290" s="313" t="n">
        <v>0.14</v>
      </c>
      <c r="W290" s="953" t="n">
        <v>0.055</v>
      </c>
      <c r="X290" s="953" t="n">
        <v>0.12</v>
      </c>
      <c r="Y290" s="954" t="n"/>
      <c r="Z290" s="953" t="n">
        <v>0.04</v>
      </c>
      <c r="AA290" s="952">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849">
      <c r="A291" s="250" t="inlineStr">
        <is>
          <t>V</t>
        </is>
      </c>
      <c r="B291" s="220" t="inlineStr">
        <is>
          <t>Vacant</t>
        </is>
      </c>
      <c r="C291" s="305" t="inlineStr">
        <is>
          <t>Delivery Capacity &amp; Assurance Lead</t>
        </is>
      </c>
      <c r="D291" s="383" t="inlineStr">
        <is>
          <t>Vacant</t>
        </is>
      </c>
      <c r="E291" s="306" t="inlineStr">
        <is>
          <t>vacant</t>
        </is>
      </c>
      <c r="F291" s="220" t="inlineStr">
        <is>
          <t>Partnering &amp; Transformation</t>
        </is>
      </c>
      <c r="G291" s="220" t="inlineStr">
        <is>
          <t>Transformation</t>
        </is>
      </c>
      <c r="H291" s="220" t="inlineStr">
        <is>
          <t>NA</t>
        </is>
      </c>
      <c r="I291" s="220" t="inlineStr">
        <is>
          <t>NA</t>
        </is>
      </c>
      <c r="J291" s="220" t="inlineStr">
        <is>
          <t>NA</t>
        </is>
      </c>
      <c r="K291" s="220" t="inlineStr">
        <is>
          <t>NA</t>
        </is>
      </c>
      <c r="L291" s="306" t="n"/>
      <c r="M291" s="307" t="inlineStr">
        <is>
          <t>Australia</t>
        </is>
      </c>
      <c r="N291" s="308" t="inlineStr">
        <is>
          <t>CIC</t>
        </is>
      </c>
      <c r="O291" s="308" t="n">
        <v>1</v>
      </c>
      <c r="P291" s="308" t="n"/>
      <c r="Q291" s="308" t="inlineStr">
        <is>
          <t>V</t>
        </is>
      </c>
      <c r="R291" s="310" t="n"/>
      <c r="S291" s="310" t="n"/>
      <c r="T291" s="322" t="n">
        <v>173550</v>
      </c>
      <c r="U291" s="321" t="n">
        <v>173550</v>
      </c>
      <c r="V291" s="313" t="n">
        <v>0.12</v>
      </c>
      <c r="W291" s="953" t="n">
        <v>0.055</v>
      </c>
      <c r="X291" s="953" t="n">
        <v>0.12</v>
      </c>
      <c r="Y291" s="954" t="n"/>
      <c r="Z291" s="953" t="n">
        <v>0.04</v>
      </c>
      <c r="AA291" s="952">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849">
      <c r="A292" s="250" t="inlineStr">
        <is>
          <t>V</t>
        </is>
      </c>
      <c r="B292" s="220" t="inlineStr">
        <is>
          <t>Vacant</t>
        </is>
      </c>
      <c r="C292" s="305" t="inlineStr">
        <is>
          <t>Delivery Excellence Manager</t>
        </is>
      </c>
      <c r="D292" s="306" t="inlineStr">
        <is>
          <t>Vacant</t>
        </is>
      </c>
      <c r="E292" s="220" t="inlineStr">
        <is>
          <t xml:space="preserve">CISO </t>
        </is>
      </c>
      <c r="F292" s="220" t="inlineStr">
        <is>
          <t>Partnering &amp; Transformation</t>
        </is>
      </c>
      <c r="G292" s="220" t="inlineStr">
        <is>
          <t>Transformation</t>
        </is>
      </c>
      <c r="H292" s="220" t="inlineStr">
        <is>
          <t>NA</t>
        </is>
      </c>
      <c r="I292" s="220" t="inlineStr">
        <is>
          <t>NA</t>
        </is>
      </c>
      <c r="J292" s="220" t="inlineStr">
        <is>
          <t>NA</t>
        </is>
      </c>
      <c r="K292" s="220" t="inlineStr">
        <is>
          <t>NA</t>
        </is>
      </c>
      <c r="L292" s="306" t="n"/>
      <c r="M292" s="307" t="inlineStr">
        <is>
          <t>Australia</t>
        </is>
      </c>
      <c r="N292" s="308" t="inlineStr">
        <is>
          <t>CSB</t>
        </is>
      </c>
      <c r="O292" s="308" t="n">
        <v>1</v>
      </c>
      <c r="P292" s="308" t="n"/>
      <c r="Q292" s="308" t="inlineStr">
        <is>
          <t>V</t>
        </is>
      </c>
      <c r="R292" s="310" t="n"/>
      <c r="S292" s="310" t="n"/>
      <c r="T292" s="322" t="n">
        <v>203550</v>
      </c>
      <c r="U292" s="321" t="n">
        <v>203550</v>
      </c>
      <c r="V292" s="313" t="n">
        <v>0.14</v>
      </c>
      <c r="W292" s="953" t="n">
        <v>0.055</v>
      </c>
      <c r="X292" s="953" t="n">
        <v>0.12</v>
      </c>
      <c r="Y292" s="954" t="n"/>
      <c r="Z292" s="953" t="n">
        <v>0.04</v>
      </c>
      <c r="AA292" s="952">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849">
      <c r="A293" s="250" t="inlineStr">
        <is>
          <t>V</t>
        </is>
      </c>
      <c r="B293" s="220" t="inlineStr">
        <is>
          <t>Vacant</t>
        </is>
      </c>
      <c r="C293" s="305" t="inlineStr">
        <is>
          <t>Scrum Master</t>
        </is>
      </c>
      <c r="D293" s="306" t="inlineStr">
        <is>
          <t>Vacant</t>
        </is>
      </c>
      <c r="E293" s="220" t="inlineStr">
        <is>
          <t xml:space="preserve">Lead Technology Support </t>
        </is>
      </c>
      <c r="F293" s="220" t="inlineStr">
        <is>
          <t>Partnering &amp; Transformation</t>
        </is>
      </c>
      <c r="G293" s="220" t="inlineStr">
        <is>
          <t>Transformation</t>
        </is>
      </c>
      <c r="H293" s="220" t="inlineStr">
        <is>
          <t>NA</t>
        </is>
      </c>
      <c r="I293" s="220" t="inlineStr">
        <is>
          <t>NA</t>
        </is>
      </c>
      <c r="J293" s="220" t="inlineStr">
        <is>
          <t>NA</t>
        </is>
      </c>
      <c r="K293" s="220" t="inlineStr">
        <is>
          <t>NA</t>
        </is>
      </c>
      <c r="L293" s="306" t="n"/>
      <c r="M293" s="307" t="inlineStr">
        <is>
          <t>NZ</t>
        </is>
      </c>
      <c r="N293" s="308" t="inlineStr">
        <is>
          <t>CIA</t>
        </is>
      </c>
      <c r="O293" s="308" t="n">
        <v>1</v>
      </c>
      <c r="P293" s="308" t="n"/>
      <c r="Q293" s="308" t="inlineStr">
        <is>
          <t>v</t>
        </is>
      </c>
      <c r="R293" s="310" t="n"/>
      <c r="S293" s="310" t="n"/>
      <c r="T293" s="322" t="n">
        <v>131550</v>
      </c>
      <c r="U293" s="321" t="n">
        <v>121026</v>
      </c>
      <c r="V293" s="312" t="n">
        <v>0.15</v>
      </c>
      <c r="W293" s="310" t="n"/>
      <c r="X293" s="313" t="n">
        <v>0.05</v>
      </c>
      <c r="Y293" s="951" t="n">
        <v>2910</v>
      </c>
      <c r="Z293" s="313" t="n">
        <v>0.03</v>
      </c>
      <c r="AA293" s="952">
        <f>U293*(1+V293+X293+Z293)+Y293</f>
        <v>151771.98</v>
      </c>
      <c r="AC293" t="inlineStr">
        <is>
          <t>COE</t>
        </is>
      </c>
      <c r="AD293" t="inlineStr">
        <is>
          <t>COE - Transformation</t>
        </is>
      </c>
      <c r="AE293" t="inlineStr">
        <is>
          <t>COE - Transformation</t>
        </is>
      </c>
      <c r="AF293" t="inlineStr">
        <is>
          <t>COE</t>
        </is>
      </c>
      <c r="AG293" t="inlineStr">
        <is>
          <t>Vacant</t>
        </is>
      </c>
    </row>
    <row r="294" ht="18" customHeight="1" s="849">
      <c r="A294" s="250" t="inlineStr">
        <is>
          <t>V</t>
        </is>
      </c>
      <c r="B294" s="220" t="inlineStr">
        <is>
          <t xml:space="preserve">Vacant </t>
        </is>
      </c>
      <c r="C294" s="305" t="inlineStr">
        <is>
          <t>Portfolio Analyst</t>
        </is>
      </c>
      <c r="D294" s="220" t="inlineStr">
        <is>
          <t>Ruth Chou</t>
        </is>
      </c>
      <c r="E294" s="220" t="inlineStr">
        <is>
          <t xml:space="preserve">Manager Service Perforance &amp; Assurance </t>
        </is>
      </c>
      <c r="F294" s="220" t="inlineStr">
        <is>
          <t>Partnering &amp; Transformation</t>
        </is>
      </c>
      <c r="G294" s="220" t="inlineStr">
        <is>
          <t>Transformation</t>
        </is>
      </c>
      <c r="H294" s="220" t="inlineStr">
        <is>
          <t>NA</t>
        </is>
      </c>
      <c r="I294" s="220" t="inlineStr">
        <is>
          <t>NA</t>
        </is>
      </c>
      <c r="J294" s="220" t="inlineStr">
        <is>
          <t>NA</t>
        </is>
      </c>
      <c r="K294" s="220" t="inlineStr">
        <is>
          <t>NA</t>
        </is>
      </c>
      <c r="L294" s="306" t="n"/>
      <c r="M294" s="307" t="inlineStr">
        <is>
          <t>Australia</t>
        </is>
      </c>
      <c r="N294" s="308" t="inlineStr">
        <is>
          <t>CIA</t>
        </is>
      </c>
      <c r="O294" s="308" t="n">
        <v>1</v>
      </c>
      <c r="P294" s="308" t="n"/>
      <c r="Q294" s="308" t="inlineStr">
        <is>
          <t>v</t>
        </is>
      </c>
      <c r="R294" s="310" t="n"/>
      <c r="S294" s="310" t="n"/>
      <c r="T294" s="322" t="n">
        <v>129650</v>
      </c>
      <c r="U294" s="321" t="n">
        <v>129650</v>
      </c>
      <c r="V294" s="313" t="n">
        <v>0.1</v>
      </c>
      <c r="W294" s="953" t="n">
        <v>0.055</v>
      </c>
      <c r="X294" s="953" t="n">
        <v>0.12</v>
      </c>
      <c r="Y294" s="954" t="n"/>
      <c r="Z294" s="953" t="n">
        <v>0.04</v>
      </c>
      <c r="AA294" s="952">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849">
      <c r="A295" s="250" t="n">
        <v>101862</v>
      </c>
      <c r="B295" s="220" t="inlineStr">
        <is>
          <t>Vaughn Scott</t>
        </is>
      </c>
      <c r="C295" s="305" t="inlineStr">
        <is>
          <t>TDD BP - ES</t>
        </is>
      </c>
      <c r="D295" s="220" t="inlineStr">
        <is>
          <t>Michael Schofield</t>
        </is>
      </c>
      <c r="E295" s="220" t="inlineStr">
        <is>
          <t>GM TDD, Partnering &amp; Transformation</t>
        </is>
      </c>
      <c r="F295" s="220" t="inlineStr">
        <is>
          <t>Partnering &amp; Transformation</t>
        </is>
      </c>
      <c r="G295" s="220" t="inlineStr">
        <is>
          <t>TDD Business Partner</t>
        </is>
      </c>
      <c r="H295" s="220" t="inlineStr">
        <is>
          <t>NA</t>
        </is>
      </c>
      <c r="I295" s="220" t="inlineStr">
        <is>
          <t>NA</t>
        </is>
      </c>
      <c r="J295" s="220" t="inlineStr">
        <is>
          <t>NA</t>
        </is>
      </c>
      <c r="K295" s="220" t="inlineStr">
        <is>
          <t>NA</t>
        </is>
      </c>
      <c r="L295" s="306" t="n"/>
      <c r="M295" s="307" t="inlineStr">
        <is>
          <t>Australia</t>
        </is>
      </c>
      <c r="N295" s="308" t="inlineStr">
        <is>
          <t>CSC</t>
        </is>
      </c>
      <c r="O295" s="308" t="n">
        <v>1</v>
      </c>
      <c r="P295" s="308" t="n"/>
      <c r="Q295" s="308" t="inlineStr">
        <is>
          <t>Permanent - Full Time</t>
        </is>
      </c>
      <c r="R295" s="310" t="n"/>
      <c r="S295" s="310" t="n"/>
      <c r="T295" s="322" t="n">
        <v>242660</v>
      </c>
      <c r="U295" s="321" t="n">
        <v>242660</v>
      </c>
      <c r="V295" s="313" t="n">
        <v>0.2</v>
      </c>
      <c r="W295" s="953" t="n">
        <v>0.055</v>
      </c>
      <c r="X295" s="953" t="n">
        <v>0.12</v>
      </c>
      <c r="Y295" s="954" t="n"/>
      <c r="Z295" s="953" t="n">
        <v>0.04</v>
      </c>
      <c r="AA295" s="952">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849">
      <c r="A296" s="250" t="n">
        <v>116032</v>
      </c>
      <c r="B296" s="306" t="inlineStr">
        <is>
          <t>Abdul Ghaffar</t>
        </is>
      </c>
      <c r="C296" s="324" t="inlineStr">
        <is>
          <t>Applications Specialist - Demand Planning</t>
        </is>
      </c>
      <c r="D296" s="220" t="inlineStr">
        <is>
          <t>Sai Konka</t>
        </is>
      </c>
      <c r="E296" s="220" t="inlineStr">
        <is>
          <t>Applications &amp; Analytics Manager</t>
        </is>
      </c>
      <c r="F296" s="323" t="inlineStr">
        <is>
          <t>Strategy, Architecture &amp; Data</t>
        </is>
      </c>
      <c r="G296" s="306" t="inlineStr">
        <is>
          <t>Group Data</t>
        </is>
      </c>
      <c r="H296" s="323" t="inlineStr">
        <is>
          <t>Data Engineering &amp; Platforms</t>
        </is>
      </c>
      <c r="I296" s="323" t="inlineStr">
        <is>
          <t>Enterprise Data</t>
        </is>
      </c>
      <c r="J296" s="323" t="inlineStr">
        <is>
          <t>EGI</t>
        </is>
      </c>
      <c r="K296" s="323" t="inlineStr">
        <is>
          <t>Reporting &amp; Analytics</t>
        </is>
      </c>
      <c r="L296" s="306" t="n"/>
      <c r="M296" s="307" t="inlineStr">
        <is>
          <t>Australia</t>
        </is>
      </c>
      <c r="N296" s="308" t="inlineStr">
        <is>
          <t>CIB</t>
        </is>
      </c>
      <c r="O296" s="308" t="n">
        <v>1</v>
      </c>
      <c r="P296" s="308" t="n"/>
      <c r="Q296" s="308" t="inlineStr">
        <is>
          <t>Permanent - Full Time</t>
        </is>
      </c>
      <c r="R296" s="310" t="n"/>
      <c r="S296" s="310" t="n"/>
      <c r="T296" s="322" t="n">
        <v>180000</v>
      </c>
      <c r="U296" s="321" t="n">
        <v>180000</v>
      </c>
      <c r="V296" s="313" t="n">
        <v>0.12</v>
      </c>
      <c r="W296" s="953" t="n">
        <v>0.055</v>
      </c>
      <c r="X296" s="953" t="n">
        <v>0.12</v>
      </c>
      <c r="Y296" s="954" t="n"/>
      <c r="Z296" s="953" t="n">
        <v>0.04</v>
      </c>
      <c r="AA296" s="952">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849">
      <c r="A297" s="250" t="n">
        <v>102098</v>
      </c>
      <c r="B297" s="220" t="inlineStr">
        <is>
          <t>Bobby Mason</t>
        </is>
      </c>
      <c r="C297" s="305" t="inlineStr">
        <is>
          <t>Reporting Analyst</t>
        </is>
      </c>
      <c r="D297" s="220" t="inlineStr">
        <is>
          <t>Prashanth Krishnankutty</t>
        </is>
      </c>
      <c r="E297" s="220" t="inlineStr">
        <is>
          <t>Lead, Reporting &amp; Insights</t>
        </is>
      </c>
      <c r="F297" s="323" t="inlineStr">
        <is>
          <t>Strategy, Architecture &amp; Data</t>
        </is>
      </c>
      <c r="G297" s="306" t="inlineStr">
        <is>
          <t>Group Data</t>
        </is>
      </c>
      <c r="H297" s="323" t="inlineStr">
        <is>
          <t>Data Engineering &amp; Platforms</t>
        </is>
      </c>
      <c r="I297" s="323" t="inlineStr">
        <is>
          <t>Enterprise Data</t>
        </is>
      </c>
      <c r="J297" s="323" t="inlineStr">
        <is>
          <t>Group Data</t>
        </is>
      </c>
      <c r="K297" s="323" t="inlineStr">
        <is>
          <t>Reporting &amp; Analytics</t>
        </is>
      </c>
      <c r="L297" s="306" t="n"/>
      <c r="M297" s="307" t="inlineStr">
        <is>
          <t>Australia</t>
        </is>
      </c>
      <c r="N297" s="308" t="inlineStr">
        <is>
          <t>CIB</t>
        </is>
      </c>
      <c r="O297" s="308" t="n">
        <v>1</v>
      </c>
      <c r="P297" s="308" t="n"/>
      <c r="Q297" s="308" t="inlineStr">
        <is>
          <t>Permanent - Full Time</t>
        </is>
      </c>
      <c r="R297" s="310" t="n"/>
      <c r="S297" s="310" t="n"/>
      <c r="T297" s="322" t="n">
        <v>166560</v>
      </c>
      <c r="U297" s="321" t="n">
        <v>166560</v>
      </c>
      <c r="V297" s="313" t="n">
        <v>0.12</v>
      </c>
      <c r="W297" s="953" t="n">
        <v>0.055</v>
      </c>
      <c r="X297" s="953" t="n">
        <v>0.12</v>
      </c>
      <c r="Y297" s="954" t="n"/>
      <c r="Z297" s="953" t="n">
        <v>0.04</v>
      </c>
      <c r="AA297" s="952">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849">
      <c r="A298" s="250" t="n">
        <v>99999101507</v>
      </c>
      <c r="B298" s="220" t="inlineStr">
        <is>
          <t>Carol Kuang</t>
        </is>
      </c>
      <c r="C298" s="305" t="inlineStr">
        <is>
          <t>Senior Data Scientist</t>
        </is>
      </c>
      <c r="D298" s="220" t="inlineStr">
        <is>
          <t>Jonathan Robinson</t>
        </is>
      </c>
      <c r="E298" s="220" t="inlineStr">
        <is>
          <t>Technology Manager, Data Science</t>
        </is>
      </c>
      <c r="F298" s="323" t="inlineStr">
        <is>
          <t>Strategy, Architecture &amp; Data</t>
        </is>
      </c>
      <c r="G298" s="306" t="inlineStr">
        <is>
          <t>Group Data</t>
        </is>
      </c>
      <c r="H298" s="323" t="inlineStr">
        <is>
          <t>Data Science</t>
        </is>
      </c>
      <c r="I298" s="323" t="inlineStr">
        <is>
          <t>Enterprise Data</t>
        </is>
      </c>
      <c r="J298" s="323" t="inlineStr">
        <is>
          <t>Group Data</t>
        </is>
      </c>
      <c r="K298" s="306" t="inlineStr">
        <is>
          <t>Data Science</t>
        </is>
      </c>
      <c r="L298" s="306" t="n"/>
      <c r="M298" s="307" t="inlineStr">
        <is>
          <t>NZ</t>
        </is>
      </c>
      <c r="N298" s="308" t="inlineStr">
        <is>
          <t>CIC</t>
        </is>
      </c>
      <c r="O298" s="309" t="n">
        <v>1</v>
      </c>
      <c r="P298" s="308" t="n"/>
      <c r="Q298" s="309" t="inlineStr">
        <is>
          <t>Permanent - Full Time</t>
        </is>
      </c>
      <c r="R298" s="310" t="n"/>
      <c r="S298" s="310" t="n"/>
      <c r="T298" s="322" t="n">
        <v>160800</v>
      </c>
      <c r="U298" s="321" t="n">
        <v>147936</v>
      </c>
      <c r="V298" s="312" t="n">
        <v>0.15</v>
      </c>
      <c r="W298" s="309" t="n"/>
      <c r="X298" s="313" t="n">
        <v>0.05</v>
      </c>
      <c r="Y298" s="951" t="n">
        <v>2910</v>
      </c>
      <c r="Z298" s="313" t="n">
        <v>0.03</v>
      </c>
      <c r="AA298" s="952">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849">
      <c r="A299" s="310" t="n">
        <v>115483</v>
      </c>
      <c r="B299" s="250" t="inlineStr">
        <is>
          <t>Craig Ambrose</t>
        </is>
      </c>
      <c r="C299" s="305" t="inlineStr">
        <is>
          <t>Domain Architect - Group Functions</t>
        </is>
      </c>
      <c r="D299" s="220" t="inlineStr">
        <is>
          <t>Vacant</t>
        </is>
      </c>
      <c r="E299" s="220" t="inlineStr">
        <is>
          <t>Head of Architecture</t>
        </is>
      </c>
      <c r="F299" s="323" t="inlineStr">
        <is>
          <t>Strategy, Architecture &amp; Data</t>
        </is>
      </c>
      <c r="G299" s="306" t="inlineStr">
        <is>
          <t>Architecture</t>
        </is>
      </c>
      <c r="H299" s="323" t="inlineStr">
        <is>
          <t>Architecture</t>
        </is>
      </c>
      <c r="I299" s="323" t="n"/>
      <c r="J299" s="323" t="n"/>
      <c r="K299" s="306" t="n"/>
      <c r="L299" s="306" t="n"/>
      <c r="M299" s="307" t="inlineStr">
        <is>
          <t>NZ</t>
        </is>
      </c>
      <c r="N299" s="308" t="inlineStr">
        <is>
          <t>CSB</t>
        </is>
      </c>
      <c r="O299" s="308" t="n">
        <v>1</v>
      </c>
      <c r="P299" s="308" t="n"/>
      <c r="Q299" s="308" t="inlineStr">
        <is>
          <t>Permanent - Full Time</t>
        </is>
      </c>
      <c r="R299" s="310" t="n"/>
      <c r="S299" s="310" t="n"/>
      <c r="T299" s="322" t="n">
        <v>211940</v>
      </c>
      <c r="U299" s="321" t="n">
        <v>194984.8</v>
      </c>
      <c r="V299" s="312" t="n">
        <v>0.15</v>
      </c>
      <c r="W299" s="310" t="n"/>
      <c r="X299" s="313" t="n">
        <v>0.05</v>
      </c>
      <c r="Y299" s="951" t="n">
        <v>2910</v>
      </c>
      <c r="Z299" s="313" t="n">
        <v>0.03</v>
      </c>
      <c r="AA299" s="952">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849">
      <c r="A300" s="250" t="n">
        <v>113956</v>
      </c>
      <c r="B300" s="220" t="inlineStr">
        <is>
          <t>Deepali Mahajan</t>
        </is>
      </c>
      <c r="C300" s="305" t="inlineStr">
        <is>
          <t>Data Operations Manager</t>
        </is>
      </c>
      <c r="D300" s="220" t="inlineStr">
        <is>
          <t>James Holgate</t>
        </is>
      </c>
      <c r="E300" s="220" t="inlineStr">
        <is>
          <t>Head of Technology,  Group Data</t>
        </is>
      </c>
      <c r="F300" s="323" t="inlineStr">
        <is>
          <t>Strategy, Architecture &amp; Data</t>
        </is>
      </c>
      <c r="G300" s="306" t="inlineStr">
        <is>
          <t>Group Data</t>
        </is>
      </c>
      <c r="H300" s="306" t="inlineStr">
        <is>
          <t>Data Operations</t>
        </is>
      </c>
      <c r="I300" s="323" t="inlineStr">
        <is>
          <t>Enterprise Data</t>
        </is>
      </c>
      <c r="J300" s="323" t="inlineStr">
        <is>
          <t>Leadership</t>
        </is>
      </c>
      <c r="K300" s="306" t="n"/>
      <c r="L300" s="306" t="n"/>
      <c r="M300" s="307" t="inlineStr">
        <is>
          <t>Australia</t>
        </is>
      </c>
      <c r="N300" s="308" t="inlineStr">
        <is>
          <t>CSB</t>
        </is>
      </c>
      <c r="O300" s="308" t="n">
        <v>1</v>
      </c>
      <c r="P300" s="308" t="n"/>
      <c r="Q300" s="308" t="inlineStr">
        <is>
          <t>Permanent - Full Time</t>
        </is>
      </c>
      <c r="R300" s="310" t="n"/>
      <c r="S300" s="310" t="n"/>
      <c r="T300" s="322" t="n">
        <v>218390</v>
      </c>
      <c r="U300" s="321" t="n">
        <v>218390</v>
      </c>
      <c r="V300" s="313" t="n">
        <v>0.14</v>
      </c>
      <c r="W300" s="953" t="n">
        <v>0.055</v>
      </c>
      <c r="X300" s="953" t="n">
        <v>0.12</v>
      </c>
      <c r="Y300" s="954" t="n"/>
      <c r="Z300" s="953" t="n">
        <v>0.04</v>
      </c>
      <c r="AA300" s="952">
        <f>U300*(1+V300+W300+X300+Y300+Z300)</f>
        <v>295918.45</v>
      </c>
      <c r="AC300" s="330" t="inlineStr">
        <is>
          <t>Enterprise Data</t>
        </is>
      </c>
      <c r="AD300" t="inlineStr">
        <is>
          <t>Leadership</t>
        </is>
      </c>
      <c r="AE300" t="inlineStr">
        <is>
          <t>Leadership</t>
        </is>
      </c>
      <c r="AF300" t="inlineStr">
        <is>
          <t>Leadership</t>
        </is>
      </c>
      <c r="AG300" t="inlineStr">
        <is>
          <t>Filled</t>
        </is>
      </c>
    </row>
    <row r="301" hidden="1" ht="18" customHeight="1" s="849">
      <c r="A301" s="379" t="n">
        <v>105010</v>
      </c>
      <c r="B301" s="220" t="inlineStr">
        <is>
          <t>Dinesh Chandrasekaran</t>
        </is>
      </c>
      <c r="C301" s="305" t="inlineStr">
        <is>
          <t>Lead Engineer (Snowflake)</t>
        </is>
      </c>
      <c r="D301" s="220" t="inlineStr">
        <is>
          <t>Jason Gleason</t>
        </is>
      </c>
      <c r="E301" s="220" t="inlineStr">
        <is>
          <t>Technology Manager, Data Engineering &amp; Platforms</t>
        </is>
      </c>
      <c r="F301" s="220" t="inlineStr">
        <is>
          <t>Strategy, Architecture &amp; Data</t>
        </is>
      </c>
      <c r="G301" s="220" t="inlineStr">
        <is>
          <t>Group Data</t>
        </is>
      </c>
      <c r="H301" s="323" t="inlineStr">
        <is>
          <t>Data Engineering &amp; Platforms</t>
        </is>
      </c>
      <c r="I301" s="306" t="inlineStr">
        <is>
          <t>Enterprise Data</t>
        </is>
      </c>
      <c r="J301" s="323" t="inlineStr">
        <is>
          <t>Group Data</t>
        </is>
      </c>
      <c r="K301" s="306" t="inlineStr">
        <is>
          <t>Data Platform</t>
        </is>
      </c>
      <c r="L301" s="306" t="n"/>
      <c r="M301" s="307" t="inlineStr">
        <is>
          <t>Australia</t>
        </is>
      </c>
      <c r="N301" s="380" t="inlineStr">
        <is>
          <t xml:space="preserve">CIB </t>
        </is>
      </c>
      <c r="O301" s="380" t="n">
        <v>1</v>
      </c>
      <c r="P301" s="380" t="n"/>
      <c r="Q301" s="380" t="inlineStr">
        <is>
          <t>Permanent - Full Time</t>
        </is>
      </c>
      <c r="R301" s="220" t="n"/>
      <c r="S301" s="220" t="n"/>
      <c r="T301" s="377" t="n">
        <v>182760</v>
      </c>
      <c r="U301" s="321" t="n">
        <v>182760</v>
      </c>
      <c r="V301" s="313" t="n">
        <v>0.12</v>
      </c>
      <c r="W301" s="953" t="n">
        <v>0.055</v>
      </c>
      <c r="X301" s="953" t="n">
        <v>0.12</v>
      </c>
      <c r="Y301" s="954" t="n"/>
      <c r="Z301" s="953" t="n">
        <v>0.04</v>
      </c>
      <c r="AA301" s="952">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849">
      <c r="A302" s="250" t="n">
        <v>80469</v>
      </c>
      <c r="B302" s="220" t="inlineStr">
        <is>
          <t>James Holgate</t>
        </is>
      </c>
      <c r="C302" s="305" t="inlineStr">
        <is>
          <t>Head of Technology,  Group Data</t>
        </is>
      </c>
      <c r="D302" s="220" t="inlineStr">
        <is>
          <t>Matt Ashley</t>
        </is>
      </c>
      <c r="E302" s="220" t="inlineStr">
        <is>
          <t>GM TDD, Strategy, Architecture, Data</t>
        </is>
      </c>
      <c r="F302" s="323" t="inlineStr">
        <is>
          <t>Strategy, Architecture &amp; Data</t>
        </is>
      </c>
      <c r="G302" s="306" t="inlineStr">
        <is>
          <t>Group Data</t>
        </is>
      </c>
      <c r="H302" s="323" t="n"/>
      <c r="I302" s="306" t="n"/>
      <c r="J302" s="323" t="inlineStr">
        <is>
          <t>Leadership</t>
        </is>
      </c>
      <c r="K302" s="323" t="n"/>
      <c r="L302" s="306" t="n"/>
      <c r="M302" s="307" t="inlineStr">
        <is>
          <t>Australia</t>
        </is>
      </c>
      <c r="N302" s="310" t="inlineStr">
        <is>
          <t>CSC</t>
        </is>
      </c>
      <c r="O302" s="310" t="n">
        <v>1</v>
      </c>
      <c r="P302" s="310" t="n"/>
      <c r="Q302" s="310" t="inlineStr">
        <is>
          <t>Permanent - Full Time</t>
        </is>
      </c>
      <c r="R302" s="310" t="n"/>
      <c r="S302" s="310" t="n"/>
      <c r="T302" s="322" t="n">
        <v>289580</v>
      </c>
      <c r="U302" s="321" t="n">
        <v>289580</v>
      </c>
      <c r="V302" s="313" t="n">
        <v>0.2</v>
      </c>
      <c r="W302" s="953" t="n">
        <v>0.055</v>
      </c>
      <c r="X302" s="953" t="n">
        <v>0.12</v>
      </c>
      <c r="Y302" s="954" t="n"/>
      <c r="Z302" s="953" t="n">
        <v>0.04</v>
      </c>
      <c r="AA302" s="952">
        <f>U302*(1+V302+W302+X302+Y302+Z302)</f>
        <v>409755.7</v>
      </c>
      <c r="AC302" s="316" t="inlineStr">
        <is>
          <t>COE</t>
        </is>
      </c>
      <c r="AD302" t="inlineStr">
        <is>
          <t>COE - Data</t>
        </is>
      </c>
      <c r="AE302" t="inlineStr">
        <is>
          <t>COE - Data</t>
        </is>
      </c>
      <c r="AF302" t="inlineStr">
        <is>
          <t>COE</t>
        </is>
      </c>
      <c r="AG302" t="inlineStr">
        <is>
          <t>Filled</t>
        </is>
      </c>
    </row>
    <row r="303" hidden="1" ht="18" customHeight="1" s="849">
      <c r="A303" s="250" t="n">
        <v>99999102152</v>
      </c>
      <c r="B303" s="220" t="inlineStr">
        <is>
          <t>Jason Gleason</t>
        </is>
      </c>
      <c r="C303" s="305" t="inlineStr">
        <is>
          <t>Technology Manager, Data Engineering &amp; Platforms</t>
        </is>
      </c>
      <c r="D303" s="220" t="inlineStr">
        <is>
          <t>James Holgate</t>
        </is>
      </c>
      <c r="E303" s="220" t="inlineStr">
        <is>
          <t>Head of Technology,  Group Data</t>
        </is>
      </c>
      <c r="F303" s="323" t="inlineStr">
        <is>
          <t>Strategy, Architecture &amp; Data</t>
        </is>
      </c>
      <c r="G303" s="306" t="inlineStr">
        <is>
          <t>Group Data</t>
        </is>
      </c>
      <c r="H303" s="323" t="inlineStr">
        <is>
          <t>Data Engineering &amp; Platforms</t>
        </is>
      </c>
      <c r="I303" s="323" t="inlineStr">
        <is>
          <t>Enterprise Data</t>
        </is>
      </c>
      <c r="J303" s="384" t="inlineStr">
        <is>
          <t>Leadership</t>
        </is>
      </c>
      <c r="K303" s="306" t="n"/>
      <c r="L303" s="306" t="n"/>
      <c r="M303" s="307" t="inlineStr">
        <is>
          <t>NZ</t>
        </is>
      </c>
      <c r="N303" s="308" t="inlineStr">
        <is>
          <t>CSC</t>
        </is>
      </c>
      <c r="O303" s="309" t="n">
        <v>1</v>
      </c>
      <c r="P303" s="308" t="n"/>
      <c r="Q303" s="309" t="inlineStr">
        <is>
          <t>Permanent - Full Time</t>
        </is>
      </c>
      <c r="R303" s="310" t="n"/>
      <c r="S303" s="310" t="n"/>
      <c r="T303" s="322" t="n">
        <v>270000</v>
      </c>
      <c r="U303" s="321" t="n">
        <v>248400</v>
      </c>
      <c r="V303" s="312" t="n">
        <v>0.2</v>
      </c>
      <c r="W303" s="309" t="n"/>
      <c r="X303" s="313" t="n">
        <v>0.05</v>
      </c>
      <c r="Y303" s="951" t="n">
        <v>2910</v>
      </c>
      <c r="Z303" s="313" t="n">
        <v>0.03</v>
      </c>
      <c r="AA303" s="952">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849">
      <c r="A304" s="250" t="n">
        <v>113381</v>
      </c>
      <c r="B304" s="220" t="inlineStr">
        <is>
          <t>Joel Vijayakumar</t>
        </is>
      </c>
      <c r="C304" s="305" t="inlineStr">
        <is>
          <t>Delivery Manager, Strategy, Architecture &amp; Data</t>
        </is>
      </c>
      <c r="D304" s="220" t="inlineStr">
        <is>
          <t>Matt Ashley</t>
        </is>
      </c>
      <c r="E304" s="220" t="inlineStr">
        <is>
          <t>GM TDD, Strategy, Architecture, Data</t>
        </is>
      </c>
      <c r="F304" s="323" t="inlineStr">
        <is>
          <t>Strategy, Architecture &amp; Data</t>
        </is>
      </c>
      <c r="G304" s="306" t="inlineStr">
        <is>
          <t>Delivery, SADA</t>
        </is>
      </c>
      <c r="H304" s="306" t="n"/>
      <c r="I304" s="306" t="n"/>
      <c r="J304" s="323" t="inlineStr">
        <is>
          <t>Leadership</t>
        </is>
      </c>
      <c r="K304" s="323" t="n"/>
      <c r="L304" s="306" t="n"/>
      <c r="M304" s="307" t="inlineStr">
        <is>
          <t>Australia</t>
        </is>
      </c>
      <c r="N304" s="308" t="inlineStr">
        <is>
          <t>CSC</t>
        </is>
      </c>
      <c r="O304" s="308" t="n">
        <v>1</v>
      </c>
      <c r="P304" s="308" t="n"/>
      <c r="Q304" s="308" t="inlineStr">
        <is>
          <t>Permanent - Full Time</t>
        </is>
      </c>
      <c r="R304" s="310" t="n"/>
      <c r="S304" s="310" t="n"/>
      <c r="T304" s="322" t="n">
        <v>260840</v>
      </c>
      <c r="U304" s="321" t="n">
        <v>260840</v>
      </c>
      <c r="V304" s="313" t="n">
        <v>0.2</v>
      </c>
      <c r="W304" s="953" t="n">
        <v>0.055</v>
      </c>
      <c r="X304" s="953" t="n">
        <v>0.12</v>
      </c>
      <c r="Y304" s="954" t="n"/>
      <c r="Z304" s="953" t="n">
        <v>0.04</v>
      </c>
      <c r="AA304" s="952">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849">
      <c r="A305" s="250" t="n"/>
      <c r="B305" s="220" t="inlineStr">
        <is>
          <t>John Forde</t>
        </is>
      </c>
      <c r="C305" s="305" t="inlineStr">
        <is>
          <t>Enterprise Architect</t>
        </is>
      </c>
      <c r="D305" s="220" t="inlineStr">
        <is>
          <t>Vacant</t>
        </is>
      </c>
      <c r="E305" s="220" t="inlineStr">
        <is>
          <t>Head of Architecture</t>
        </is>
      </c>
      <c r="F305" s="323" t="inlineStr">
        <is>
          <t>Strategy, Architecture &amp; Data</t>
        </is>
      </c>
      <c r="G305" s="306" t="inlineStr">
        <is>
          <t>Architecture</t>
        </is>
      </c>
      <c r="H305" s="323" t="inlineStr">
        <is>
          <t>Architecture</t>
        </is>
      </c>
      <c r="I305" s="323" t="n"/>
      <c r="J305" s="323" t="n"/>
      <c r="K305" s="306" t="n"/>
      <c r="L305" s="306" t="n"/>
      <c r="M305" s="307" t="inlineStr">
        <is>
          <t>NZ</t>
        </is>
      </c>
      <c r="N305" s="308" t="inlineStr">
        <is>
          <t>CSB</t>
        </is>
      </c>
      <c r="O305" s="308" t="n">
        <v>1</v>
      </c>
      <c r="P305" s="308" t="n"/>
      <c r="Q305" s="308" t="inlineStr">
        <is>
          <t>Permanent - Full Time</t>
        </is>
      </c>
      <c r="R305" s="319" t="n"/>
      <c r="S305" s="310" t="n"/>
      <c r="T305" s="322" t="n">
        <v>186780</v>
      </c>
      <c r="U305" s="321" t="n">
        <v>171837.6</v>
      </c>
      <c r="V305" s="312" t="n">
        <v>0.15</v>
      </c>
      <c r="W305" s="310" t="n"/>
      <c r="X305" s="313" t="n">
        <v>0.05</v>
      </c>
      <c r="Y305" s="951" t="n">
        <v>2910</v>
      </c>
      <c r="Z305" s="313" t="n">
        <v>0.03</v>
      </c>
      <c r="AA305" s="952">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849">
      <c r="A306" s="250" t="n">
        <v>114067</v>
      </c>
      <c r="B306" s="220" t="inlineStr">
        <is>
          <t>Jonathan Robinson</t>
        </is>
      </c>
      <c r="C306" s="305" t="inlineStr">
        <is>
          <t>Technology Manager  Data Science</t>
        </is>
      </c>
      <c r="D306" s="220" t="inlineStr">
        <is>
          <t>James Holgate</t>
        </is>
      </c>
      <c r="E306" s="220" t="inlineStr">
        <is>
          <t>Head of Technology,  Group Data</t>
        </is>
      </c>
      <c r="F306" s="323" t="inlineStr">
        <is>
          <t>Strategy, Architecture &amp; Data</t>
        </is>
      </c>
      <c r="G306" s="306" t="inlineStr">
        <is>
          <t>Group Data</t>
        </is>
      </c>
      <c r="H306" s="306" t="inlineStr">
        <is>
          <t>Data Science</t>
        </is>
      </c>
      <c r="I306" s="323" t="inlineStr">
        <is>
          <t>Enterprise Data</t>
        </is>
      </c>
      <c r="J306" s="323" t="inlineStr">
        <is>
          <t>Leadership</t>
        </is>
      </c>
      <c r="K306" s="306" t="n"/>
      <c r="L306" s="306" t="n"/>
      <c r="M306" s="307" t="inlineStr">
        <is>
          <t>Australia</t>
        </is>
      </c>
      <c r="N306" s="308" t="inlineStr">
        <is>
          <t>CSB</t>
        </is>
      </c>
      <c r="O306" s="308" t="n">
        <v>1</v>
      </c>
      <c r="P306" s="308" t="n"/>
      <c r="Q306" s="308" t="inlineStr">
        <is>
          <t>Permanent - Full Time</t>
        </is>
      </c>
      <c r="R306" s="310" t="n"/>
      <c r="S306" s="310" t="n"/>
      <c r="T306" s="322" t="n">
        <v>243850</v>
      </c>
      <c r="U306" s="321" t="n">
        <v>243850</v>
      </c>
      <c r="V306" s="313" t="n">
        <v>0.14</v>
      </c>
      <c r="W306" s="953" t="n">
        <v>0.055</v>
      </c>
      <c r="X306" s="953" t="n">
        <v>0.12</v>
      </c>
      <c r="Y306" s="954" t="n"/>
      <c r="Z306" s="953" t="n">
        <v>0.04</v>
      </c>
      <c r="AA306" s="952">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849">
      <c r="A307" s="250" t="n">
        <v>80477</v>
      </c>
      <c r="B307" s="220" t="inlineStr">
        <is>
          <t>Kina Birkby</t>
        </is>
      </c>
      <c r="C307" s="305" t="inlineStr">
        <is>
          <t>Delivery Lead</t>
        </is>
      </c>
      <c r="D307" s="220" t="inlineStr">
        <is>
          <t>Joel Vijayakumar</t>
        </is>
      </c>
      <c r="E307" s="220" t="inlineStr">
        <is>
          <t>Delivery Manager, Strategy, Architecture &amp; Data</t>
        </is>
      </c>
      <c r="F307" s="323" t="inlineStr">
        <is>
          <t>Strategy, Architecture &amp; Data</t>
        </is>
      </c>
      <c r="G307" s="306" t="inlineStr">
        <is>
          <t>Delivery, SADA</t>
        </is>
      </c>
      <c r="H307" s="306" t="n"/>
      <c r="I307" s="323" t="inlineStr">
        <is>
          <t>Enterprise Data</t>
        </is>
      </c>
      <c r="J307" s="323" t="inlineStr">
        <is>
          <t>Group Data</t>
        </is>
      </c>
      <c r="K307" s="323" t="inlineStr">
        <is>
          <t>Reporting &amp; Analytics</t>
        </is>
      </c>
      <c r="L307" s="306" t="n"/>
      <c r="M307" s="307" t="inlineStr">
        <is>
          <t>Australia</t>
        </is>
      </c>
      <c r="N307" s="310" t="inlineStr">
        <is>
          <t>CIC</t>
        </is>
      </c>
      <c r="O307" s="310" t="n">
        <v>0.6</v>
      </c>
      <c r="P307" s="310" t="n"/>
      <c r="Q307" s="310" t="inlineStr">
        <is>
          <t>Permanent - Part Time</t>
        </is>
      </c>
      <c r="R307" s="310" t="n"/>
      <c r="S307" s="310" t="n"/>
      <c r="T307" s="322" t="n">
        <v>197180</v>
      </c>
      <c r="U307" s="321" t="n">
        <v>197180</v>
      </c>
      <c r="V307" s="313" t="n">
        <v>0.12</v>
      </c>
      <c r="W307" s="953" t="n">
        <v>0.055</v>
      </c>
      <c r="X307" s="953" t="n">
        <v>0.12</v>
      </c>
      <c r="Y307" s="954" t="n"/>
      <c r="Z307" s="953" t="n">
        <v>0.04</v>
      </c>
      <c r="AA307" s="952">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849">
      <c r="A308" s="250" t="n">
        <v>99999101535</v>
      </c>
      <c r="B308" s="220" t="inlineStr">
        <is>
          <t>Lynn Yiew</t>
        </is>
      </c>
      <c r="C308" s="305" t="inlineStr">
        <is>
          <t>Data Governance Specialist</t>
        </is>
      </c>
      <c r="D308" s="306" t="inlineStr">
        <is>
          <t>Sanjay Tikoo</t>
        </is>
      </c>
      <c r="E308" s="220" t="inlineStr">
        <is>
          <t>Data Capability Manager</t>
        </is>
      </c>
      <c r="F308" s="323" t="inlineStr">
        <is>
          <t>Strategy, Architecture &amp; Data</t>
        </is>
      </c>
      <c r="G308" s="306" t="inlineStr">
        <is>
          <t>Group Data</t>
        </is>
      </c>
      <c r="H308" s="306" t="inlineStr">
        <is>
          <t>Data Capability</t>
        </is>
      </c>
      <c r="I308" s="323" t="inlineStr">
        <is>
          <t>Enterprise Data</t>
        </is>
      </c>
      <c r="J308" s="323" t="n"/>
      <c r="K308" s="306" t="n"/>
      <c r="L308" s="306" t="n"/>
      <c r="M308" s="307" t="inlineStr">
        <is>
          <t>NZ</t>
        </is>
      </c>
      <c r="N308" s="308" t="inlineStr">
        <is>
          <t>CIB</t>
        </is>
      </c>
      <c r="O308" s="309" t="n">
        <v>1</v>
      </c>
      <c r="P308" s="308" t="n"/>
      <c r="Q308" s="309" t="inlineStr">
        <is>
          <t>Permanent - Full Time</t>
        </is>
      </c>
      <c r="R308" s="310" t="n"/>
      <c r="S308" s="310" t="n"/>
      <c r="T308" s="322" t="n">
        <v>129760</v>
      </c>
      <c r="U308" s="321" t="n">
        <v>119379.2</v>
      </c>
      <c r="V308" s="312" t="n">
        <v>0.15</v>
      </c>
      <c r="W308" s="310" t="n"/>
      <c r="X308" s="313" t="n">
        <v>0.05</v>
      </c>
      <c r="Y308" s="951" t="n">
        <v>2910</v>
      </c>
      <c r="Z308" s="313" t="n">
        <v>0.03</v>
      </c>
      <c r="AA308" s="952">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849">
      <c r="A309" s="310" t="n">
        <v>113595</v>
      </c>
      <c r="B309" s="250" t="inlineStr">
        <is>
          <t>Mike Gilbert</t>
        </is>
      </c>
      <c r="C309" s="305" t="inlineStr">
        <is>
          <t xml:space="preserve">Domain Architect - CFE &amp; Infrastructure </t>
        </is>
      </c>
      <c r="D309" s="220" t="inlineStr">
        <is>
          <t>Vacant</t>
        </is>
      </c>
      <c r="E309" s="220" t="inlineStr">
        <is>
          <t>Head of Architecture</t>
        </is>
      </c>
      <c r="F309" s="323" t="inlineStr">
        <is>
          <t>Strategy, Architecture &amp; Data</t>
        </is>
      </c>
      <c r="G309" s="306" t="inlineStr">
        <is>
          <t>Architecture</t>
        </is>
      </c>
      <c r="H309" s="385" t="inlineStr">
        <is>
          <t>Architecture</t>
        </is>
      </c>
      <c r="I309" s="323" t="n"/>
      <c r="J309" s="323" t="n"/>
      <c r="K309" s="306" t="n"/>
      <c r="L309" s="306" t="n"/>
      <c r="M309" s="307" t="inlineStr">
        <is>
          <t>NZ</t>
        </is>
      </c>
      <c r="N309" s="308" t="inlineStr">
        <is>
          <t>CSB</t>
        </is>
      </c>
      <c r="O309" s="308" t="n">
        <v>1</v>
      </c>
      <c r="P309" s="308" t="n"/>
      <c r="Q309" s="308" t="inlineStr">
        <is>
          <t>Permanent - Full Time</t>
        </is>
      </c>
      <c r="R309" s="310" t="n"/>
      <c r="S309" s="310" t="n"/>
      <c r="T309" s="322" t="n">
        <v>206740</v>
      </c>
      <c r="U309" s="321" t="n">
        <v>190200.8</v>
      </c>
      <c r="V309" s="312" t="n">
        <v>0.15</v>
      </c>
      <c r="W309" s="310" t="n"/>
      <c r="X309" s="313" t="n">
        <v>0.05</v>
      </c>
      <c r="Y309" s="951" t="n">
        <v>2910</v>
      </c>
      <c r="Z309" s="313" t="n">
        <v>0.03</v>
      </c>
      <c r="AA309" s="952">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849">
      <c r="A310" s="250" t="n">
        <v>100330</v>
      </c>
      <c r="B310" s="220" t="inlineStr">
        <is>
          <t>Milan Patel</t>
        </is>
      </c>
      <c r="C310" s="305" t="inlineStr">
        <is>
          <t>Platform Architect</t>
        </is>
      </c>
      <c r="D310" s="306" t="inlineStr">
        <is>
          <t>Sanjay Tikoo</t>
        </is>
      </c>
      <c r="E310" s="220" t="inlineStr">
        <is>
          <t>Data Capability Manager</t>
        </is>
      </c>
      <c r="F310" s="323" t="inlineStr">
        <is>
          <t>Strategy, Architecture &amp; Data</t>
        </is>
      </c>
      <c r="G310" s="306" t="inlineStr">
        <is>
          <t>Group Data</t>
        </is>
      </c>
      <c r="H310" s="306" t="inlineStr">
        <is>
          <t>Data Capability</t>
        </is>
      </c>
      <c r="I310" s="323" t="inlineStr">
        <is>
          <t>Enterprise Data</t>
        </is>
      </c>
      <c r="J310" s="323" t="inlineStr">
        <is>
          <t>Group Data</t>
        </is>
      </c>
      <c r="K310" s="306" t="inlineStr">
        <is>
          <t>Data Platform</t>
        </is>
      </c>
      <c r="L310" s="306" t="n"/>
      <c r="M310" s="307" t="inlineStr">
        <is>
          <t>Australia</t>
        </is>
      </c>
      <c r="N310" s="308" t="inlineStr">
        <is>
          <t>CIC</t>
        </is>
      </c>
      <c r="O310" s="308" t="n">
        <v>1</v>
      </c>
      <c r="P310" s="308" t="n"/>
      <c r="Q310" s="308" t="inlineStr">
        <is>
          <t>Permanent - Full Time</t>
        </is>
      </c>
      <c r="R310" s="310" t="n"/>
      <c r="S310" s="310" t="n"/>
      <c r="T310" s="322" t="n">
        <v>198940</v>
      </c>
      <c r="U310" s="321" t="n">
        <v>198940</v>
      </c>
      <c r="V310" s="313" t="n">
        <v>0.12</v>
      </c>
      <c r="W310" s="953" t="n">
        <v>0.055</v>
      </c>
      <c r="X310" s="953" t="n">
        <v>0.12</v>
      </c>
      <c r="Y310" s="954" t="n"/>
      <c r="Z310" s="953" t="n">
        <v>0.04</v>
      </c>
      <c r="AA310" s="952">
        <f>U310*(1+V310+W310+X310+Y310+Z310)</f>
        <v>265584.89999999997</v>
      </c>
      <c r="AC310" t="inlineStr">
        <is>
          <t>COE</t>
        </is>
      </c>
      <c r="AD310" t="inlineStr">
        <is>
          <t>COE - Data</t>
        </is>
      </c>
      <c r="AE310" t="inlineStr">
        <is>
          <t>COE - Data</t>
        </is>
      </c>
      <c r="AF310" t="inlineStr">
        <is>
          <t>COE</t>
        </is>
      </c>
      <c r="AG310" t="inlineStr">
        <is>
          <t>Filled</t>
        </is>
      </c>
    </row>
    <row r="311" hidden="1" ht="18" customHeight="1" s="849">
      <c r="A311" s="250" t="n">
        <v>99522</v>
      </c>
      <c r="B311" s="220" t="inlineStr">
        <is>
          <t>Mitchell Clarke</t>
        </is>
      </c>
      <c r="C311" s="305" t="inlineStr">
        <is>
          <t>Snr Data Governance Specialist</t>
        </is>
      </c>
      <c r="D311" s="306" t="inlineStr">
        <is>
          <t>Sanjay Tikoo</t>
        </is>
      </c>
      <c r="E311" s="220" t="inlineStr">
        <is>
          <t>Data Capability Manager</t>
        </is>
      </c>
      <c r="F311" s="323" t="inlineStr">
        <is>
          <t>Strategy, Architecture &amp; Data</t>
        </is>
      </c>
      <c r="G311" s="306" t="inlineStr">
        <is>
          <t>Group Data</t>
        </is>
      </c>
      <c r="H311" s="306" t="inlineStr">
        <is>
          <t>Data Capability</t>
        </is>
      </c>
      <c r="I311" s="323" t="inlineStr">
        <is>
          <t>Enterprise Data</t>
        </is>
      </c>
      <c r="J311" s="323" t="n"/>
      <c r="K311" s="306" t="n"/>
      <c r="L311" s="306" t="n"/>
      <c r="M311" s="307" t="inlineStr">
        <is>
          <t>Australia</t>
        </is>
      </c>
      <c r="N311" s="308" t="inlineStr">
        <is>
          <t>CIC</t>
        </is>
      </c>
      <c r="O311" s="308" t="n">
        <v>1</v>
      </c>
      <c r="P311" s="308" t="n"/>
      <c r="Q311" s="308" t="inlineStr">
        <is>
          <t>Permanent - Full Time</t>
        </is>
      </c>
      <c r="R311" s="310" t="n"/>
      <c r="S311" s="310" t="n"/>
      <c r="T311" s="322" t="n">
        <v>169280</v>
      </c>
      <c r="U311" s="321" t="n">
        <v>169280</v>
      </c>
      <c r="V311" s="313" t="n">
        <v>0.12</v>
      </c>
      <c r="W311" s="953" t="n">
        <v>0.055</v>
      </c>
      <c r="X311" s="953" t="n">
        <v>0.12</v>
      </c>
      <c r="Y311" s="954" t="n"/>
      <c r="Z311" s="953" t="n">
        <v>0.04</v>
      </c>
      <c r="AA311" s="952">
        <f>U311*(1+V311+W311+X311+Y311+Z311)</f>
        <v>225988.8</v>
      </c>
      <c r="AC311" t="inlineStr">
        <is>
          <t>COE</t>
        </is>
      </c>
      <c r="AD311" t="inlineStr">
        <is>
          <t>COE - Data</t>
        </is>
      </c>
      <c r="AE311" t="inlineStr">
        <is>
          <t>COE - Data</t>
        </is>
      </c>
      <c r="AF311" t="inlineStr">
        <is>
          <t>COE</t>
        </is>
      </c>
      <c r="AG311" t="inlineStr">
        <is>
          <t>Filled</t>
        </is>
      </c>
    </row>
    <row r="312" hidden="1" ht="18" customHeight="1" s="849">
      <c r="A312" s="250" t="n">
        <v>107048</v>
      </c>
      <c r="B312" s="220" t="inlineStr">
        <is>
          <t>Om Singh</t>
        </is>
      </c>
      <c r="C312" s="305" t="inlineStr">
        <is>
          <t>Data Scientist</t>
        </is>
      </c>
      <c r="D312" s="220" t="inlineStr">
        <is>
          <t>Jonathan Robinson</t>
        </is>
      </c>
      <c r="E312" s="220" t="inlineStr">
        <is>
          <t>Technology Manager, Data Science</t>
        </is>
      </c>
      <c r="F312" s="323" t="inlineStr">
        <is>
          <t>Strategy, Architecture &amp; Data</t>
        </is>
      </c>
      <c r="G312" s="306" t="inlineStr">
        <is>
          <t>Group Data</t>
        </is>
      </c>
      <c r="H312" s="323" t="inlineStr">
        <is>
          <t>Data Science</t>
        </is>
      </c>
      <c r="I312" s="323" t="inlineStr">
        <is>
          <t>Enterprise Data</t>
        </is>
      </c>
      <c r="J312" s="323" t="inlineStr">
        <is>
          <t>Group Data</t>
        </is>
      </c>
      <c r="K312" s="306" t="inlineStr">
        <is>
          <t>Data Science</t>
        </is>
      </c>
      <c r="L312" s="306" t="n"/>
      <c r="M312" s="307" t="inlineStr">
        <is>
          <t>Australia</t>
        </is>
      </c>
      <c r="N312" s="308" t="inlineStr">
        <is>
          <t>CIA</t>
        </is>
      </c>
      <c r="O312" s="308" t="n">
        <v>1</v>
      </c>
      <c r="P312" s="308" t="n"/>
      <c r="Q312" s="308" t="inlineStr">
        <is>
          <t>Temporary - Full Time</t>
        </is>
      </c>
      <c r="R312" s="310" t="n"/>
      <c r="S312" s="310" t="n"/>
      <c r="T312" s="322" t="n">
        <v>138000</v>
      </c>
      <c r="U312" s="321" t="n">
        <v>138000</v>
      </c>
      <c r="V312" s="313" t="n">
        <v>0.1</v>
      </c>
      <c r="W312" s="953" t="n">
        <v>0.055</v>
      </c>
      <c r="X312" s="953" t="n">
        <v>0.12</v>
      </c>
      <c r="Y312" s="954" t="n"/>
      <c r="Z312" s="953" t="n">
        <v>0.04</v>
      </c>
      <c r="AA312" s="952">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849">
      <c r="A313" s="250" t="n">
        <v>107154</v>
      </c>
      <c r="B313" s="220" t="inlineStr">
        <is>
          <t>Prashant Tataskar</t>
        </is>
      </c>
      <c r="C313" s="305" t="inlineStr">
        <is>
          <t>Data Scientist</t>
        </is>
      </c>
      <c r="D313" s="220" t="inlineStr">
        <is>
          <t>Jonathan Robinson</t>
        </is>
      </c>
      <c r="E313" s="220" t="inlineStr">
        <is>
          <t>Technology Manager, Data Science</t>
        </is>
      </c>
      <c r="F313" s="323" t="inlineStr">
        <is>
          <t>Strategy, Architecture &amp; Data</t>
        </is>
      </c>
      <c r="G313" s="306" t="inlineStr">
        <is>
          <t>Group Data</t>
        </is>
      </c>
      <c r="H313" s="323" t="inlineStr">
        <is>
          <t>Data Science</t>
        </is>
      </c>
      <c r="I313" s="323" t="inlineStr">
        <is>
          <t>Enterprise Data</t>
        </is>
      </c>
      <c r="J313" s="323" t="inlineStr">
        <is>
          <t>Group Data</t>
        </is>
      </c>
      <c r="K313" s="306" t="inlineStr">
        <is>
          <t>Data Science</t>
        </is>
      </c>
      <c r="L313" s="306" t="n"/>
      <c r="M313" s="307" t="inlineStr">
        <is>
          <t>Australia</t>
        </is>
      </c>
      <c r="N313" s="308" t="inlineStr">
        <is>
          <t>CIB</t>
        </is>
      </c>
      <c r="O313" s="308" t="n">
        <v>1</v>
      </c>
      <c r="P313" s="308" t="n"/>
      <c r="Q313" s="308" t="inlineStr">
        <is>
          <t>Permanent - Full Time</t>
        </is>
      </c>
      <c r="R313" s="310" t="n"/>
      <c r="S313" s="310" t="n"/>
      <c r="T313" s="322" t="n">
        <v>156160</v>
      </c>
      <c r="U313" s="321" t="n">
        <v>156160</v>
      </c>
      <c r="V313" s="313" t="n">
        <v>0.12</v>
      </c>
      <c r="W313" s="953" t="n">
        <v>0.055</v>
      </c>
      <c r="X313" s="953" t="n">
        <v>0.12</v>
      </c>
      <c r="Y313" s="954" t="n"/>
      <c r="Z313" s="953" t="n">
        <v>0.04</v>
      </c>
      <c r="AA313" s="952">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849">
      <c r="A314" s="250" t="n">
        <v>113451</v>
      </c>
      <c r="B314" s="220" t="inlineStr">
        <is>
          <t>Prashanth Krishnankutty</t>
        </is>
      </c>
      <c r="C314" s="305" t="inlineStr">
        <is>
          <t>Lead Reporting &amp; Insights</t>
        </is>
      </c>
      <c r="D314" s="220" t="inlineStr">
        <is>
          <t>Jason Gleason</t>
        </is>
      </c>
      <c r="E314" s="220" t="inlineStr">
        <is>
          <t>Technology Manager, Data Engineering &amp; Platforms</t>
        </is>
      </c>
      <c r="F314" s="323" t="inlineStr">
        <is>
          <t>Strategy, Architecture &amp; Data</t>
        </is>
      </c>
      <c r="G314" s="306" t="inlineStr">
        <is>
          <t>Group Data</t>
        </is>
      </c>
      <c r="H314" s="323" t="inlineStr">
        <is>
          <t>Data Engineering &amp; Platforms</t>
        </is>
      </c>
      <c r="I314" s="323" t="inlineStr">
        <is>
          <t>Enterprise Data</t>
        </is>
      </c>
      <c r="J314" s="323" t="inlineStr">
        <is>
          <t>Group Data</t>
        </is>
      </c>
      <c r="K314" s="323" t="inlineStr">
        <is>
          <t>Reporting &amp; Analytics</t>
        </is>
      </c>
      <c r="L314" s="306" t="n"/>
      <c r="M314" s="307" t="inlineStr">
        <is>
          <t>Australia</t>
        </is>
      </c>
      <c r="N314" s="308" t="inlineStr">
        <is>
          <t>CIC</t>
        </is>
      </c>
      <c r="O314" s="308" t="n">
        <v>1</v>
      </c>
      <c r="P314" s="308" t="n"/>
      <c r="Q314" s="308" t="inlineStr">
        <is>
          <t>Permanent - Full Time</t>
        </is>
      </c>
      <c r="R314" s="310" t="n"/>
      <c r="S314" s="310" t="n"/>
      <c r="T314" s="322" t="n">
        <v>191290</v>
      </c>
      <c r="U314" s="321" t="n">
        <v>191290</v>
      </c>
      <c r="V314" s="313" t="n">
        <v>0.12</v>
      </c>
      <c r="W314" s="953" t="n">
        <v>0.055</v>
      </c>
      <c r="X314" s="953" t="n">
        <v>0.12</v>
      </c>
      <c r="Y314" s="954" t="n"/>
      <c r="Z314" s="953" t="n">
        <v>0.04</v>
      </c>
      <c r="AA314" s="952">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849">
      <c r="A315" s="250" t="n">
        <v>83092</v>
      </c>
      <c r="B315" s="220" t="inlineStr">
        <is>
          <t>Rakshit Kaul</t>
        </is>
      </c>
      <c r="C315" s="305" t="inlineStr">
        <is>
          <t>Applications Specialist</t>
        </is>
      </c>
      <c r="D315" s="220" t="inlineStr">
        <is>
          <t>Sai Konka</t>
        </is>
      </c>
      <c r="E315" s="220" t="inlineStr">
        <is>
          <t>Applications &amp; Analytics Manager</t>
        </is>
      </c>
      <c r="F315" s="323" t="inlineStr">
        <is>
          <t>Strategy, Architecture &amp; Data</t>
        </is>
      </c>
      <c r="G315" s="306" t="inlineStr">
        <is>
          <t>Group Data</t>
        </is>
      </c>
      <c r="H315" s="323" t="inlineStr">
        <is>
          <t>Data Engineering &amp; Platforms</t>
        </is>
      </c>
      <c r="I315" s="323" t="inlineStr">
        <is>
          <t>Enterprise Data</t>
        </is>
      </c>
      <c r="J315" s="323" t="inlineStr">
        <is>
          <t>EGI</t>
        </is>
      </c>
      <c r="K315" s="323" t="inlineStr">
        <is>
          <t>Reporting &amp; Analytics</t>
        </is>
      </c>
      <c r="L315" s="306" t="n"/>
      <c r="M315" s="307" t="inlineStr">
        <is>
          <t>Australia</t>
        </is>
      </c>
      <c r="N315" s="310" t="inlineStr">
        <is>
          <t>CIB</t>
        </is>
      </c>
      <c r="O315" s="310" t="n">
        <v>1</v>
      </c>
      <c r="P315" s="310" t="n"/>
      <c r="Q315" s="310" t="inlineStr">
        <is>
          <t>Permanent - Full Time</t>
        </is>
      </c>
      <c r="R315" s="310" t="n"/>
      <c r="S315" s="310" t="n"/>
      <c r="T315" s="322" t="n">
        <v>178100</v>
      </c>
      <c r="U315" s="321" t="n">
        <v>178100</v>
      </c>
      <c r="V315" s="313" t="n">
        <v>0.12</v>
      </c>
      <c r="W315" s="953" t="n">
        <v>0.055</v>
      </c>
      <c r="X315" s="953" t="n">
        <v>0.12</v>
      </c>
      <c r="Y315" s="954" t="n"/>
      <c r="Z315" s="953" t="n">
        <v>0.04</v>
      </c>
      <c r="AA315" s="952">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849">
      <c r="A316" s="250" t="n">
        <v>98599</v>
      </c>
      <c r="B316" s="220" t="inlineStr">
        <is>
          <t>Raymond Bai</t>
        </is>
      </c>
      <c r="C316" s="305" t="inlineStr">
        <is>
          <t>Data Adoption Specialist</t>
        </is>
      </c>
      <c r="D316" s="306" t="inlineStr">
        <is>
          <t>Sanjay Tikoo</t>
        </is>
      </c>
      <c r="E316" s="220" t="inlineStr">
        <is>
          <t>Lead Engineer (Databricks)</t>
        </is>
      </c>
      <c r="F316" s="323" t="inlineStr">
        <is>
          <t>Strategy, Architecture &amp; Data</t>
        </is>
      </c>
      <c r="G316" s="306" t="inlineStr">
        <is>
          <t>Group Data</t>
        </is>
      </c>
      <c r="H316" s="323" t="inlineStr">
        <is>
          <t>Data Capability</t>
        </is>
      </c>
      <c r="I316" s="306" t="inlineStr">
        <is>
          <t>Enterprise Data</t>
        </is>
      </c>
      <c r="J316" s="323" t="inlineStr">
        <is>
          <t>Group Data</t>
        </is>
      </c>
      <c r="K316" s="306" t="n"/>
      <c r="L316" s="306" t="n"/>
      <c r="M316" s="307" t="inlineStr">
        <is>
          <t>Australia</t>
        </is>
      </c>
      <c r="N316" s="308" t="inlineStr">
        <is>
          <t>CIB</t>
        </is>
      </c>
      <c r="O316" s="308" t="n">
        <v>1</v>
      </c>
      <c r="P316" s="308" t="n"/>
      <c r="Q316" s="308" t="inlineStr">
        <is>
          <t>Permanent - Full Time</t>
        </is>
      </c>
      <c r="R316" s="310" t="n"/>
      <c r="S316" s="310" t="n"/>
      <c r="T316" s="322" t="n">
        <v>131740</v>
      </c>
      <c r="U316" s="321" t="n">
        <v>131740</v>
      </c>
      <c r="V316" s="313" t="n">
        <v>0.12</v>
      </c>
      <c r="W316" s="953" t="n">
        <v>0.055</v>
      </c>
      <c r="X316" s="953" t="n">
        <v>0.12</v>
      </c>
      <c r="Y316" s="954" t="n"/>
      <c r="Z316" s="953" t="n">
        <v>0.04</v>
      </c>
      <c r="AA316" s="952">
        <f>U316*(1+V316+W316+X316+Y316+Z316)</f>
        <v>175872.9</v>
      </c>
      <c r="AC316" t="inlineStr">
        <is>
          <t>COE</t>
        </is>
      </c>
      <c r="AD316" t="inlineStr">
        <is>
          <t>COE - Data</t>
        </is>
      </c>
      <c r="AE316" t="inlineStr">
        <is>
          <t>COE - Data</t>
        </is>
      </c>
      <c r="AF316" t="inlineStr">
        <is>
          <t>COE</t>
        </is>
      </c>
      <c r="AG316" t="inlineStr">
        <is>
          <t>Filled</t>
        </is>
      </c>
    </row>
    <row r="317" hidden="1" ht="18" customHeight="1" s="849">
      <c r="A317" s="250" t="n">
        <v>110146</v>
      </c>
      <c r="B317" s="220" t="inlineStr">
        <is>
          <t>Renosh Matthew Thomas</t>
        </is>
      </c>
      <c r="C317" s="305" t="inlineStr">
        <is>
          <t>Data Enablement Lead</t>
        </is>
      </c>
      <c r="D317" s="306" t="inlineStr">
        <is>
          <t>Sanjay Tikoo</t>
        </is>
      </c>
      <c r="E317" s="220" t="inlineStr">
        <is>
          <t>Data Capability Manager</t>
        </is>
      </c>
      <c r="F317" s="323" t="inlineStr">
        <is>
          <t>Strategy, Architecture &amp; Data</t>
        </is>
      </c>
      <c r="G317" s="306" t="inlineStr">
        <is>
          <t>Group Data</t>
        </is>
      </c>
      <c r="H317" s="306" t="inlineStr">
        <is>
          <t>Data Capability</t>
        </is>
      </c>
      <c r="I317" s="323" t="inlineStr">
        <is>
          <t>Enterprise Data</t>
        </is>
      </c>
      <c r="J317" s="323" t="inlineStr">
        <is>
          <t>Group Data</t>
        </is>
      </c>
      <c r="K317" s="306" t="n"/>
      <c r="L317" s="306" t="n"/>
      <c r="M317" s="307" t="inlineStr">
        <is>
          <t>Australia</t>
        </is>
      </c>
      <c r="N317" s="308" t="inlineStr">
        <is>
          <t>CIB</t>
        </is>
      </c>
      <c r="O317" s="308" t="n">
        <v>1</v>
      </c>
      <c r="P317" s="308" t="n"/>
      <c r="Q317" s="308" t="inlineStr">
        <is>
          <t>Permanent - Full Time</t>
        </is>
      </c>
      <c r="R317" s="310" t="n"/>
      <c r="S317" s="310" t="n"/>
      <c r="T317" s="322" t="n">
        <v>170080</v>
      </c>
      <c r="U317" s="321" t="n">
        <v>170080</v>
      </c>
      <c r="V317" s="313" t="n">
        <v>0.12</v>
      </c>
      <c r="W317" s="953" t="n">
        <v>0.055</v>
      </c>
      <c r="X317" s="953" t="n">
        <v>0.12</v>
      </c>
      <c r="Y317" s="954" t="n"/>
      <c r="Z317" s="953" t="n">
        <v>0.04</v>
      </c>
      <c r="AA317" s="952">
        <f>U317*(1+V317+W317+X317+Y317+Z317)</f>
        <v>227056.8</v>
      </c>
      <c r="AC317" t="inlineStr">
        <is>
          <t>COE</t>
        </is>
      </c>
      <c r="AD317" t="inlineStr">
        <is>
          <t>COE - Data</t>
        </is>
      </c>
      <c r="AE317" t="inlineStr">
        <is>
          <t>COE - Data</t>
        </is>
      </c>
      <c r="AF317" t="inlineStr">
        <is>
          <t>COE</t>
        </is>
      </c>
      <c r="AG317" t="inlineStr">
        <is>
          <t>Filled</t>
        </is>
      </c>
    </row>
    <row r="318" hidden="1" ht="18" customHeight="1" s="849">
      <c r="A318" s="250" t="n">
        <v>94631</v>
      </c>
      <c r="B318" s="220" t="inlineStr">
        <is>
          <t>Rihan Schalkwyk</t>
        </is>
      </c>
      <c r="C318" s="305" t="inlineStr">
        <is>
          <t>Senior Business Analyst</t>
        </is>
      </c>
      <c r="D318" s="220" t="inlineStr">
        <is>
          <t>Joel Vijayakumar</t>
        </is>
      </c>
      <c r="E318" s="220" t="inlineStr">
        <is>
          <t>Delivery Manager, Strategy, Architecture &amp; Data</t>
        </is>
      </c>
      <c r="F318" s="323" t="inlineStr">
        <is>
          <t>Strategy, Architecture &amp; Data</t>
        </is>
      </c>
      <c r="G318" s="306" t="inlineStr">
        <is>
          <t>Delivery, SADA</t>
        </is>
      </c>
      <c r="H318" s="306" t="n"/>
      <c r="I318" s="306" t="n"/>
      <c r="J318" s="323" t="n"/>
      <c r="K318" s="306" t="n"/>
      <c r="L318" s="306" t="n"/>
      <c r="M318" s="307" t="inlineStr">
        <is>
          <t>Australia</t>
        </is>
      </c>
      <c r="N318" s="308" t="inlineStr">
        <is>
          <t>CIC</t>
        </is>
      </c>
      <c r="O318" s="308" t="n">
        <v>1</v>
      </c>
      <c r="P318" s="308" t="n"/>
      <c r="Q318" s="308" t="inlineStr">
        <is>
          <t>Permanent - Full Time</t>
        </is>
      </c>
      <c r="R318" s="310" t="n"/>
      <c r="S318" s="310" t="n"/>
      <c r="T318" s="322" t="n">
        <v>186610</v>
      </c>
      <c r="U318" s="321" t="n">
        <v>186610</v>
      </c>
      <c r="V318" s="313" t="n">
        <v>0.12</v>
      </c>
      <c r="W318" s="953" t="n">
        <v>0.055</v>
      </c>
      <c r="X318" s="953" t="n">
        <v>0.12</v>
      </c>
      <c r="Y318" s="954" t="n"/>
      <c r="Z318" s="953" t="n">
        <v>0.04</v>
      </c>
      <c r="AA318" s="952">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849">
      <c r="A319" s="250" t="inlineStr">
        <is>
          <t>V</t>
        </is>
      </c>
      <c r="B319" s="220" t="inlineStr">
        <is>
          <t>ring fenced</t>
        </is>
      </c>
      <c r="C319" s="305" t="inlineStr">
        <is>
          <t>Enterprise Architect</t>
        </is>
      </c>
      <c r="D319" s="220" t="inlineStr">
        <is>
          <t>Vacant</t>
        </is>
      </c>
      <c r="E319" s="220" t="inlineStr">
        <is>
          <t>Head of Architecture</t>
        </is>
      </c>
      <c r="F319" s="323" t="inlineStr">
        <is>
          <t>Strategy, Architecture &amp; Data</t>
        </is>
      </c>
      <c r="G319" s="306" t="inlineStr">
        <is>
          <t>Architecture</t>
        </is>
      </c>
      <c r="H319" s="323" t="inlineStr">
        <is>
          <t>Architecture</t>
        </is>
      </c>
      <c r="I319" s="323" t="n"/>
      <c r="J319" s="323" t="n"/>
      <c r="K319" s="306" t="n"/>
      <c r="L319" s="306" t="n"/>
      <c r="M319" s="307" t="inlineStr">
        <is>
          <t>Australia</t>
        </is>
      </c>
      <c r="N319" s="308" t="inlineStr">
        <is>
          <t>CSB</t>
        </is>
      </c>
      <c r="O319" s="308" t="n">
        <v>1</v>
      </c>
      <c r="P319" s="308" t="n"/>
      <c r="Q319" s="308" t="inlineStr">
        <is>
          <t>V</t>
        </is>
      </c>
      <c r="R319" s="319" t="n"/>
      <c r="S319" s="310" t="n"/>
      <c r="T319" s="322" t="n">
        <v>203550</v>
      </c>
      <c r="U319" s="321" t="n">
        <v>203550</v>
      </c>
      <c r="V319" s="313" t="n">
        <v>0.14</v>
      </c>
      <c r="W319" s="953" t="n">
        <v>0.055</v>
      </c>
      <c r="X319" s="953" t="n">
        <v>0.12</v>
      </c>
      <c r="Y319" s="954" t="n"/>
      <c r="Z319" s="953" t="n">
        <v>0.04</v>
      </c>
      <c r="AA319" s="952">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849">
      <c r="A320" s="250" t="n"/>
      <c r="B320" s="220" t="inlineStr">
        <is>
          <t>ring fenced</t>
        </is>
      </c>
      <c r="C320" s="305" t="inlineStr">
        <is>
          <t>Domain Architect - Customer &amp; Digital Tech</t>
        </is>
      </c>
      <c r="D320" s="220" t="inlineStr">
        <is>
          <t>Vacant</t>
        </is>
      </c>
      <c r="E320" s="220" t="inlineStr">
        <is>
          <t>Head of Architecture</t>
        </is>
      </c>
      <c r="F320" s="323" t="inlineStr">
        <is>
          <t>Strategy, Architecture &amp; Data</t>
        </is>
      </c>
      <c r="G320" s="306" t="inlineStr">
        <is>
          <t>Architecture</t>
        </is>
      </c>
      <c r="H320" s="323" t="inlineStr">
        <is>
          <t>Architecture</t>
        </is>
      </c>
      <c r="I320" s="323" t="n"/>
      <c r="J320" s="323" t="n"/>
      <c r="K320" s="306" t="n"/>
      <c r="L320" s="306" t="n"/>
      <c r="M320" s="307" t="inlineStr">
        <is>
          <t>Australia</t>
        </is>
      </c>
      <c r="N320" s="308" t="inlineStr">
        <is>
          <t>CIC</t>
        </is>
      </c>
      <c r="O320" s="308" t="n">
        <v>1</v>
      </c>
      <c r="P320" s="308" t="n"/>
      <c r="Q320" s="308" t="inlineStr">
        <is>
          <t>v</t>
        </is>
      </c>
      <c r="R320" s="319" t="n"/>
      <c r="S320" s="310" t="n"/>
      <c r="T320" s="322" t="n">
        <v>173550</v>
      </c>
      <c r="U320" s="321" t="n">
        <v>173550</v>
      </c>
      <c r="V320" s="313" t="n">
        <v>0.12</v>
      </c>
      <c r="W320" s="953" t="n">
        <v>0.055</v>
      </c>
      <c r="X320" s="953" t="n">
        <v>0.12</v>
      </c>
      <c r="Y320" s="954" t="n"/>
      <c r="Z320" s="953" t="n">
        <v>0.04</v>
      </c>
      <c r="AA320" s="952">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849">
      <c r="A321" s="250" t="n"/>
      <c r="B321" s="220" t="inlineStr">
        <is>
          <t>ring fenced</t>
        </is>
      </c>
      <c r="C321" s="305" t="inlineStr">
        <is>
          <t>Domain Architect - Retail &amp; Z</t>
        </is>
      </c>
      <c r="D321" s="220" t="inlineStr">
        <is>
          <t>Vacant</t>
        </is>
      </c>
      <c r="E321" s="220" t="inlineStr">
        <is>
          <t>Head of Architecture</t>
        </is>
      </c>
      <c r="F321" s="323" t="inlineStr">
        <is>
          <t>Strategy, Architecture &amp; Data</t>
        </is>
      </c>
      <c r="G321" s="306" t="inlineStr">
        <is>
          <t>Architecture</t>
        </is>
      </c>
      <c r="H321" s="323" t="inlineStr">
        <is>
          <t>Architecture</t>
        </is>
      </c>
      <c r="I321" s="323" t="n"/>
      <c r="J321" s="323" t="n"/>
      <c r="K321" s="306" t="n"/>
      <c r="L321" s="306" t="n"/>
      <c r="M321" s="307" t="inlineStr">
        <is>
          <t>Australia</t>
        </is>
      </c>
      <c r="N321" s="308" t="inlineStr">
        <is>
          <t>CIC</t>
        </is>
      </c>
      <c r="O321" s="308" t="n">
        <v>1</v>
      </c>
      <c r="P321" s="308" t="n"/>
      <c r="Q321" s="308" t="inlineStr">
        <is>
          <t>v</t>
        </is>
      </c>
      <c r="R321" s="319" t="n"/>
      <c r="S321" s="310" t="n"/>
      <c r="T321" s="322" t="n">
        <v>173550</v>
      </c>
      <c r="U321" s="321" t="n">
        <v>173550</v>
      </c>
      <c r="V321" s="313" t="n">
        <v>0.12</v>
      </c>
      <c r="W321" s="953" t="n">
        <v>0.055</v>
      </c>
      <c r="X321" s="953" t="n">
        <v>0.12</v>
      </c>
      <c r="Y321" s="954" t="n"/>
      <c r="Z321" s="953" t="n">
        <v>0.04</v>
      </c>
      <c r="AA321" s="952">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849">
      <c r="A322" s="250" t="n"/>
      <c r="B322" s="220" t="inlineStr">
        <is>
          <t>ring fenced</t>
        </is>
      </c>
      <c r="C322" s="305" t="inlineStr">
        <is>
          <t>Domain Architect - TDD</t>
        </is>
      </c>
      <c r="D322" s="220" t="inlineStr">
        <is>
          <t>Vacant</t>
        </is>
      </c>
      <c r="E322" s="220" t="inlineStr">
        <is>
          <t>Head of Architecture</t>
        </is>
      </c>
      <c r="F322" s="323" t="inlineStr">
        <is>
          <t>Strategy, Architecture &amp; Data</t>
        </is>
      </c>
      <c r="G322" s="306" t="inlineStr">
        <is>
          <t>Architecture</t>
        </is>
      </c>
      <c r="H322" s="323" t="inlineStr">
        <is>
          <t>Architecture</t>
        </is>
      </c>
      <c r="I322" s="323" t="n"/>
      <c r="J322" s="323" t="n"/>
      <c r="K322" s="306" t="n"/>
      <c r="L322" s="306" t="n"/>
      <c r="M322" s="307" t="inlineStr">
        <is>
          <t>Australia</t>
        </is>
      </c>
      <c r="N322" s="308" t="inlineStr">
        <is>
          <t>CIC</t>
        </is>
      </c>
      <c r="O322" s="308" t="n">
        <v>1</v>
      </c>
      <c r="P322" s="308" t="n"/>
      <c r="Q322" s="308" t="inlineStr">
        <is>
          <t>v</t>
        </is>
      </c>
      <c r="R322" s="319" t="n"/>
      <c r="S322" s="310" t="n"/>
      <c r="T322" s="322" t="n">
        <v>173550</v>
      </c>
      <c r="U322" s="321" t="n">
        <v>173550</v>
      </c>
      <c r="V322" s="313" t="n">
        <v>0.12</v>
      </c>
      <c r="W322" s="953" t="n">
        <v>0.055</v>
      </c>
      <c r="X322" s="953" t="n">
        <v>0.12</v>
      </c>
      <c r="Y322" s="954" t="n"/>
      <c r="Z322" s="953" t="n">
        <v>0.04</v>
      </c>
      <c r="AA322" s="952">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849">
      <c r="A323" s="250" t="n">
        <v>109802</v>
      </c>
      <c r="B323" s="220" t="inlineStr">
        <is>
          <t>Roger Blazey</t>
        </is>
      </c>
      <c r="C323" s="305" t="inlineStr">
        <is>
          <t>Architect (AI Innovation)</t>
        </is>
      </c>
      <c r="D323" s="220" t="inlineStr">
        <is>
          <t>Vacant</t>
        </is>
      </c>
      <c r="E323" s="220" t="inlineStr">
        <is>
          <t>Head of Technology  Strategy &amp; AI Capability</t>
        </is>
      </c>
      <c r="F323" s="323" t="inlineStr">
        <is>
          <t>Strategy, Architecture &amp; Data</t>
        </is>
      </c>
      <c r="G323" s="306" t="inlineStr">
        <is>
          <t>Technology Strategy &amp; AI Capability</t>
        </is>
      </c>
      <c r="H323" s="306" t="inlineStr">
        <is>
          <t>Technology Strategy &amp; AI Capability</t>
        </is>
      </c>
      <c r="I323" s="323" t="n"/>
      <c r="J323" s="323" t="n"/>
      <c r="K323" s="306" t="n"/>
      <c r="L323" s="306" t="n"/>
      <c r="M323" s="307" t="inlineStr">
        <is>
          <t>Australia</t>
        </is>
      </c>
      <c r="N323" s="308" t="inlineStr">
        <is>
          <t>CIC</t>
        </is>
      </c>
      <c r="O323" s="308" t="n">
        <v>1</v>
      </c>
      <c r="P323" s="308" t="n"/>
      <c r="Q323" s="308" t="inlineStr">
        <is>
          <t>Permanent - Full Time</t>
        </is>
      </c>
      <c r="R323" s="310" t="n"/>
      <c r="S323" s="310" t="n"/>
      <c r="T323" s="322" t="n">
        <v>187450</v>
      </c>
      <c r="U323" s="321" t="n">
        <v>187450</v>
      </c>
      <c r="V323" s="313" t="n">
        <v>0.12</v>
      </c>
      <c r="W323" s="953" t="n">
        <v>0.055</v>
      </c>
      <c r="X323" s="953" t="n">
        <v>0.12</v>
      </c>
      <c r="Y323" s="954" t="n"/>
      <c r="Z323" s="953" t="n">
        <v>0.04</v>
      </c>
      <c r="AA323" s="952">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849">
      <c r="A324" s="250" t="n">
        <v>99999101674</v>
      </c>
      <c r="B324" s="220" t="inlineStr">
        <is>
          <t>Roozbeh Shahbazirad</t>
        </is>
      </c>
      <c r="C324" s="305" t="inlineStr">
        <is>
          <t>Lead Engineer</t>
        </is>
      </c>
      <c r="D324" s="220" t="inlineStr">
        <is>
          <t>Jason Gleason</t>
        </is>
      </c>
      <c r="E324" s="220" t="inlineStr">
        <is>
          <t>Technology Manager, Data Engineering &amp; Platforms</t>
        </is>
      </c>
      <c r="F324" s="323" t="inlineStr">
        <is>
          <t>Strategy, Architecture &amp; Data</t>
        </is>
      </c>
      <c r="G324" s="306" t="inlineStr">
        <is>
          <t>Group Data</t>
        </is>
      </c>
      <c r="H324" s="323" t="inlineStr">
        <is>
          <t>Data Engineering &amp; Platforms</t>
        </is>
      </c>
      <c r="I324" s="306" t="inlineStr">
        <is>
          <t>Enterprise Data</t>
        </is>
      </c>
      <c r="J324" s="323" t="inlineStr">
        <is>
          <t>Group Data</t>
        </is>
      </c>
      <c r="K324" s="306" t="inlineStr">
        <is>
          <t>Data Platform</t>
        </is>
      </c>
      <c r="L324" s="306" t="n"/>
      <c r="M324" s="307" t="inlineStr">
        <is>
          <t>NZ</t>
        </is>
      </c>
      <c r="N324" s="308" t="inlineStr">
        <is>
          <t>CIC</t>
        </is>
      </c>
      <c r="O324" s="309" t="n">
        <v>1</v>
      </c>
      <c r="P324" s="308" t="n"/>
      <c r="Q324" s="309" t="inlineStr">
        <is>
          <t>Permanent - Full Time</t>
        </is>
      </c>
      <c r="R324" s="310" t="n"/>
      <c r="S324" s="310" t="n"/>
      <c r="T324" s="322" t="n">
        <v>177710</v>
      </c>
      <c r="U324" s="321" t="n">
        <v>163493.2</v>
      </c>
      <c r="V324" s="312" t="n">
        <v>0.15</v>
      </c>
      <c r="W324" s="310" t="n"/>
      <c r="X324" s="313" t="n">
        <v>0.05</v>
      </c>
      <c r="Y324" s="951" t="n">
        <v>2910</v>
      </c>
      <c r="Z324" s="313" t="n">
        <v>0.03</v>
      </c>
      <c r="AA324" s="952">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849">
      <c r="A325" s="250" t="n">
        <v>12010</v>
      </c>
      <c r="B325" s="220" t="inlineStr">
        <is>
          <t>Sai Konka</t>
        </is>
      </c>
      <c r="C325" s="305" t="inlineStr">
        <is>
          <t>Application &amp; Analytics Manager</t>
        </is>
      </c>
      <c r="D325" s="220" t="inlineStr">
        <is>
          <t>Jason Gleason</t>
        </is>
      </c>
      <c r="E325" s="220" t="inlineStr">
        <is>
          <t>Technology Manager, Data Engineering &amp; Platforms</t>
        </is>
      </c>
      <c r="F325" s="323" t="inlineStr">
        <is>
          <t>Strategy, Architecture &amp; Data</t>
        </is>
      </c>
      <c r="G325" s="306" t="inlineStr">
        <is>
          <t>Group Data</t>
        </is>
      </c>
      <c r="H325" s="323" t="inlineStr">
        <is>
          <t>Data Engineering &amp; Platforms</t>
        </is>
      </c>
      <c r="I325" s="323" t="inlineStr">
        <is>
          <t>Enterprise Data</t>
        </is>
      </c>
      <c r="J325" s="323" t="inlineStr">
        <is>
          <t>EGI</t>
        </is>
      </c>
      <c r="K325" s="323" t="inlineStr">
        <is>
          <t>Reporting &amp; Analytics</t>
        </is>
      </c>
      <c r="L325" s="306" t="n"/>
      <c r="M325" s="307" t="inlineStr">
        <is>
          <t>Australia</t>
        </is>
      </c>
      <c r="N325" s="310" t="inlineStr">
        <is>
          <t>CIC</t>
        </is>
      </c>
      <c r="O325" s="310" t="n">
        <v>1</v>
      </c>
      <c r="P325" s="310" t="n"/>
      <c r="Q325" s="310" t="inlineStr">
        <is>
          <t>Permanent - Full Time</t>
        </is>
      </c>
      <c r="R325" s="310" t="n"/>
      <c r="S325" s="310" t="n"/>
      <c r="T325" s="322" t="n">
        <v>197480</v>
      </c>
      <c r="U325" s="321" t="n">
        <v>197480</v>
      </c>
      <c r="V325" s="313" t="n">
        <v>0.12</v>
      </c>
      <c r="W325" s="953" t="n">
        <v>0.055</v>
      </c>
      <c r="X325" s="953" t="n">
        <v>0.12</v>
      </c>
      <c r="Y325" s="954" t="n"/>
      <c r="Z325" s="953" t="n">
        <v>0.04</v>
      </c>
      <c r="AA325" s="952">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849">
      <c r="A326" s="250" t="n"/>
      <c r="B326" s="220" t="inlineStr">
        <is>
          <t>Sanjay Tikoo</t>
        </is>
      </c>
      <c r="C326" s="305" t="inlineStr">
        <is>
          <t>Principal, Data Architecture &amp; Governance</t>
        </is>
      </c>
      <c r="D326" s="220" t="inlineStr">
        <is>
          <t>James Holgate</t>
        </is>
      </c>
      <c r="E326" s="220" t="inlineStr">
        <is>
          <t>Head of Technology,  Group Data</t>
        </is>
      </c>
      <c r="F326" s="323" t="inlineStr">
        <is>
          <t>Strategy, Architecture &amp; Data</t>
        </is>
      </c>
      <c r="G326" s="306" t="inlineStr">
        <is>
          <t>Group Data</t>
        </is>
      </c>
      <c r="H326" s="306" t="inlineStr">
        <is>
          <t>Data Capability</t>
        </is>
      </c>
      <c r="I326" s="323" t="inlineStr">
        <is>
          <t>Enterprise Data</t>
        </is>
      </c>
      <c r="J326" s="323" t="inlineStr">
        <is>
          <t>Leadership</t>
        </is>
      </c>
      <c r="K326" s="306" t="n"/>
      <c r="L326" s="306" t="n"/>
      <c r="M326" s="307" t="inlineStr">
        <is>
          <t>Australia</t>
        </is>
      </c>
      <c r="N326" s="308" t="inlineStr">
        <is>
          <t>CSC</t>
        </is>
      </c>
      <c r="O326" s="308" t="n">
        <v>1</v>
      </c>
      <c r="P326" s="308" t="n"/>
      <c r="Q326" s="308" t="inlineStr">
        <is>
          <t>Permanent - Full Time</t>
        </is>
      </c>
      <c r="R326" s="310" t="n"/>
      <c r="S326" s="310" t="n"/>
      <c r="T326" s="322" t="n">
        <v>275000</v>
      </c>
      <c r="U326" s="321" t="n">
        <v>275000</v>
      </c>
      <c r="V326" s="313" t="n">
        <v>0.2</v>
      </c>
      <c r="W326" s="953" t="n">
        <v>0.055</v>
      </c>
      <c r="X326" s="953" t="n">
        <v>0.12</v>
      </c>
      <c r="Y326" s="954" t="n"/>
      <c r="Z326" s="953" t="n">
        <v>0.04</v>
      </c>
      <c r="AA326" s="952">
        <f>U326*(1+V326+W326+X326+Y326+Z326)</f>
        <v>389125.0</v>
      </c>
      <c r="AC326" t="inlineStr">
        <is>
          <t>COE</t>
        </is>
      </c>
      <c r="AD326" t="inlineStr">
        <is>
          <t>COE - Data</t>
        </is>
      </c>
      <c r="AE326" t="inlineStr">
        <is>
          <t>COE - Data</t>
        </is>
      </c>
      <c r="AF326" t="inlineStr">
        <is>
          <t>COE</t>
        </is>
      </c>
      <c r="AG326" t="inlineStr">
        <is>
          <t>Filled</t>
        </is>
      </c>
    </row>
    <row r="327" hidden="1" ht="18" customHeight="1" s="849">
      <c r="A327" s="250" t="n">
        <v>80549</v>
      </c>
      <c r="B327" s="220" t="inlineStr">
        <is>
          <t>Steve Murray</t>
        </is>
      </c>
      <c r="C327" s="305" t="inlineStr">
        <is>
          <t>Applications Specialist</t>
        </is>
      </c>
      <c r="D327" s="220" t="inlineStr">
        <is>
          <t>Sai Konka</t>
        </is>
      </c>
      <c r="E327" s="220" t="inlineStr">
        <is>
          <t>Applications &amp; Analytics Manager</t>
        </is>
      </c>
      <c r="F327" s="323" t="inlineStr">
        <is>
          <t>Strategy, Architecture &amp; Data</t>
        </is>
      </c>
      <c r="G327" s="306" t="inlineStr">
        <is>
          <t>Group Data</t>
        </is>
      </c>
      <c r="H327" s="323" t="inlineStr">
        <is>
          <t>Data Engineering &amp; Platforms</t>
        </is>
      </c>
      <c r="I327" s="323" t="inlineStr">
        <is>
          <t>Enterprise Data</t>
        </is>
      </c>
      <c r="J327" s="323" t="inlineStr">
        <is>
          <t>EGI</t>
        </is>
      </c>
      <c r="K327" s="323" t="inlineStr">
        <is>
          <t>Reporting &amp; Analytics</t>
        </is>
      </c>
      <c r="L327" s="306" t="n"/>
      <c r="M327" s="307" t="inlineStr">
        <is>
          <t>Australia</t>
        </is>
      </c>
      <c r="N327" s="310" t="inlineStr">
        <is>
          <t>CIB</t>
        </is>
      </c>
      <c r="O327" s="310" t="n">
        <v>1</v>
      </c>
      <c r="P327" s="310" t="n"/>
      <c r="Q327" s="310" t="inlineStr">
        <is>
          <t>Permanent - Full Time</t>
        </is>
      </c>
      <c r="R327" s="310" t="n"/>
      <c r="S327" s="310" t="n"/>
      <c r="T327" s="322" t="n">
        <v>182000</v>
      </c>
      <c r="U327" s="321" t="n">
        <v>182000</v>
      </c>
      <c r="V327" s="313" t="n">
        <v>0.12</v>
      </c>
      <c r="W327" s="953" t="n">
        <v>0.055</v>
      </c>
      <c r="X327" s="953" t="n">
        <v>0.12</v>
      </c>
      <c r="Y327" s="954" t="n"/>
      <c r="Z327" s="953" t="n">
        <v>0.04</v>
      </c>
      <c r="AA327" s="952">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849">
      <c r="A328" s="250" t="n">
        <v>114147</v>
      </c>
      <c r="B328" s="220" t="inlineStr">
        <is>
          <t>Sumathi Manikkampichai</t>
        </is>
      </c>
      <c r="C328" s="305" t="inlineStr">
        <is>
          <t>Data Architect</t>
        </is>
      </c>
      <c r="D328" s="220" t="inlineStr">
        <is>
          <t>Jason Gleason</t>
        </is>
      </c>
      <c r="E328" s="220" t="inlineStr">
        <is>
          <t>Technology Manager, Data Engineering &amp; Platforms</t>
        </is>
      </c>
      <c r="F328" s="323" t="inlineStr">
        <is>
          <t>Strategy, Architecture &amp; Data</t>
        </is>
      </c>
      <c r="G328" s="306" t="inlineStr">
        <is>
          <t>Group Data</t>
        </is>
      </c>
      <c r="H328" s="323" t="inlineStr">
        <is>
          <t>Data Engineering &amp; Platforms</t>
        </is>
      </c>
      <c r="I328" s="323" t="inlineStr">
        <is>
          <t>Enterprise Data</t>
        </is>
      </c>
      <c r="J328" s="323" t="inlineStr">
        <is>
          <t>EGI</t>
        </is>
      </c>
      <c r="K328" s="323" t="inlineStr">
        <is>
          <t>Reporting &amp; Analytics</t>
        </is>
      </c>
      <c r="L328" s="306" t="n"/>
      <c r="M328" s="307" t="inlineStr">
        <is>
          <t>Australia</t>
        </is>
      </c>
      <c r="N328" s="308" t="inlineStr">
        <is>
          <t>CIC</t>
        </is>
      </c>
      <c r="O328" s="308" t="n">
        <v>1</v>
      </c>
      <c r="P328" s="308" t="n"/>
      <c r="Q328" s="308" t="inlineStr">
        <is>
          <t>Permanent - Full Time</t>
        </is>
      </c>
      <c r="R328" s="310" t="n"/>
      <c r="S328" s="310" t="n"/>
      <c r="T328" s="322" t="n">
        <v>188010</v>
      </c>
      <c r="U328" s="321" t="n">
        <v>188010</v>
      </c>
      <c r="V328" s="313" t="n">
        <v>0.12</v>
      </c>
      <c r="W328" s="953" t="n">
        <v>0.055</v>
      </c>
      <c r="X328" s="953" t="n">
        <v>0.12</v>
      </c>
      <c r="Y328" s="954" t="n"/>
      <c r="Z328" s="953" t="n">
        <v>0.04</v>
      </c>
      <c r="AA328" s="952">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849">
      <c r="A329" s="250" t="n">
        <v>99999101251</v>
      </c>
      <c r="B329" s="220" t="inlineStr">
        <is>
          <t>Tim Snedden</t>
        </is>
      </c>
      <c r="C329" s="305" t="inlineStr">
        <is>
          <t>Delivery Lead</t>
        </is>
      </c>
      <c r="D329" s="220" t="inlineStr">
        <is>
          <t>Joel Vijayakumar</t>
        </is>
      </c>
      <c r="E329" s="220" t="inlineStr">
        <is>
          <t>Delivery Manager, Strategy, Architecture &amp; Data</t>
        </is>
      </c>
      <c r="F329" s="323" t="inlineStr">
        <is>
          <t>Strategy, Architecture &amp; Data</t>
        </is>
      </c>
      <c r="G329" s="306" t="inlineStr">
        <is>
          <t>Delivery, SADA</t>
        </is>
      </c>
      <c r="H329" s="306" t="n"/>
      <c r="I329" s="306" t="inlineStr">
        <is>
          <t>Enterprise Data</t>
        </is>
      </c>
      <c r="J329" s="323" t="inlineStr">
        <is>
          <t>Group Data</t>
        </is>
      </c>
      <c r="K329" s="306" t="inlineStr">
        <is>
          <t>Data Platform</t>
        </is>
      </c>
      <c r="L329" s="306" t="n"/>
      <c r="M329" s="307" t="inlineStr">
        <is>
          <t>NZ</t>
        </is>
      </c>
      <c r="N329" s="308" t="inlineStr">
        <is>
          <t>CSB</t>
        </is>
      </c>
      <c r="O329" s="309" t="n">
        <v>1</v>
      </c>
      <c r="P329" s="308" t="n"/>
      <c r="Q329" s="309" t="inlineStr">
        <is>
          <t>Permanent - Full Time</t>
        </is>
      </c>
      <c r="R329" s="310" t="n"/>
      <c r="S329" s="310" t="n"/>
      <c r="T329" s="322" t="n">
        <v>161600</v>
      </c>
      <c r="U329" s="321" t="n">
        <v>148672</v>
      </c>
      <c r="V329" s="312" t="n">
        <v>0.15</v>
      </c>
      <c r="W329" s="310" t="n"/>
      <c r="X329" s="313" t="n">
        <v>0.05</v>
      </c>
      <c r="Y329" s="951" t="n">
        <v>2910</v>
      </c>
      <c r="Z329" s="313" t="n">
        <v>0.03</v>
      </c>
      <c r="AA329" s="952">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849">
      <c r="A330" s="250" t="inlineStr">
        <is>
          <t>V</t>
        </is>
      </c>
      <c r="B330" s="220" t="inlineStr">
        <is>
          <t>Vacant</t>
        </is>
      </c>
      <c r="C330" s="305" t="inlineStr">
        <is>
          <t>Service Transition Lead</t>
        </is>
      </c>
      <c r="D330" s="220" t="inlineStr">
        <is>
          <t>Deepali Mahajan</t>
        </is>
      </c>
      <c r="E330" s="220" t="inlineStr">
        <is>
          <t>Data Operations Manager</t>
        </is>
      </c>
      <c r="F330" s="323" t="inlineStr">
        <is>
          <t>Strategy, Architecture &amp; Data</t>
        </is>
      </c>
      <c r="G330" s="306" t="inlineStr">
        <is>
          <t>Group Data</t>
        </is>
      </c>
      <c r="H330" s="323" t="inlineStr">
        <is>
          <t>Data Operations</t>
        </is>
      </c>
      <c r="I330" s="323" t="inlineStr">
        <is>
          <t>Enterprise Data</t>
        </is>
      </c>
      <c r="J330" s="306" t="inlineStr">
        <is>
          <t>Leadership</t>
        </is>
      </c>
      <c r="K330" s="306" t="n"/>
      <c r="L330" s="306" t="n"/>
      <c r="M330" s="307" t="inlineStr">
        <is>
          <t>Australia</t>
        </is>
      </c>
      <c r="N330" s="308" t="inlineStr">
        <is>
          <t>CIB</t>
        </is>
      </c>
      <c r="O330" s="308" t="n">
        <v>1</v>
      </c>
      <c r="P330" s="308" t="n"/>
      <c r="Q330" s="308" t="inlineStr">
        <is>
          <t>v</t>
        </is>
      </c>
      <c r="R330" s="310" t="n"/>
      <c r="S330" s="310" t="n"/>
      <c r="T330" s="322" t="n">
        <v>151950</v>
      </c>
      <c r="U330" s="321" t="n">
        <v>151950</v>
      </c>
      <c r="V330" s="313" t="n">
        <v>0.12</v>
      </c>
      <c r="W330" s="953" t="n">
        <v>0.055</v>
      </c>
      <c r="X330" s="953" t="n">
        <v>0.12</v>
      </c>
      <c r="Y330" s="954" t="n"/>
      <c r="Z330" s="953" t="n">
        <v>0.04</v>
      </c>
      <c r="AA330" s="952">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849">
      <c r="A331" s="250" t="inlineStr">
        <is>
          <t>V</t>
        </is>
      </c>
      <c r="B331" s="220" t="inlineStr">
        <is>
          <t>Vacant</t>
        </is>
      </c>
      <c r="C331" s="305" t="inlineStr">
        <is>
          <t xml:space="preserve">Engineer Data  </t>
        </is>
      </c>
      <c r="D331" s="220" t="inlineStr">
        <is>
          <t>Dinesh Chandrasekaran</t>
        </is>
      </c>
      <c r="E331" s="220" t="inlineStr">
        <is>
          <t>Lead Engineer (Snowflake)</t>
        </is>
      </c>
      <c r="F331" s="323" t="inlineStr">
        <is>
          <t>Strategy, Architecture &amp; Data</t>
        </is>
      </c>
      <c r="G331" s="306" t="inlineStr">
        <is>
          <t>Group Data</t>
        </is>
      </c>
      <c r="H331" s="323" t="inlineStr">
        <is>
          <t>Data Engineering &amp; Platforms</t>
        </is>
      </c>
      <c r="I331" s="306" t="inlineStr">
        <is>
          <t>Enterprise Data</t>
        </is>
      </c>
      <c r="J331" s="323" t="inlineStr">
        <is>
          <t>Group Data</t>
        </is>
      </c>
      <c r="K331" s="306" t="inlineStr">
        <is>
          <t>Data Platform</t>
        </is>
      </c>
      <c r="L331" s="306" t="n"/>
      <c r="M331" s="307" t="inlineStr">
        <is>
          <t>Australia</t>
        </is>
      </c>
      <c r="N331" s="308" t="inlineStr">
        <is>
          <t>CIB</t>
        </is>
      </c>
      <c r="O331" s="308" t="n">
        <v>1</v>
      </c>
      <c r="P331" s="308" t="n"/>
      <c r="Q331" s="308" t="inlineStr">
        <is>
          <t>V</t>
        </is>
      </c>
      <c r="R331" s="310" t="n"/>
      <c r="S331" s="310" t="n"/>
      <c r="T331" s="322" t="n">
        <v>151950</v>
      </c>
      <c r="U331" s="321" t="n">
        <v>151950</v>
      </c>
      <c r="V331" s="313" t="n">
        <v>0.12</v>
      </c>
      <c r="W331" s="953" t="n">
        <v>0.055</v>
      </c>
      <c r="X331" s="953" t="n">
        <v>0.12</v>
      </c>
      <c r="Y331" s="954" t="n"/>
      <c r="Z331" s="953" t="n">
        <v>0.04</v>
      </c>
      <c r="AA331" s="952">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849">
      <c r="A332" s="250" t="inlineStr">
        <is>
          <t>V</t>
        </is>
      </c>
      <c r="B332" s="220" t="inlineStr">
        <is>
          <t>Vacant</t>
        </is>
      </c>
      <c r="C332" s="305" t="inlineStr">
        <is>
          <t>Engineer Data - Reporting</t>
        </is>
      </c>
      <c r="D332" s="220" t="inlineStr">
        <is>
          <t>Dinesh Chandrasekaran</t>
        </is>
      </c>
      <c r="E332" s="220" t="inlineStr">
        <is>
          <t>Lead Engineer (Snowflake)</t>
        </is>
      </c>
      <c r="F332" s="323" t="inlineStr">
        <is>
          <t>Strategy, Architecture &amp; Data</t>
        </is>
      </c>
      <c r="G332" s="306" t="inlineStr">
        <is>
          <t>Group Data</t>
        </is>
      </c>
      <c r="H332" s="323" t="inlineStr">
        <is>
          <t>Data Engineering &amp; Platforms</t>
        </is>
      </c>
      <c r="I332" s="323" t="inlineStr">
        <is>
          <t>Enterprise Data</t>
        </is>
      </c>
      <c r="J332" s="323" t="inlineStr">
        <is>
          <t>Group Data</t>
        </is>
      </c>
      <c r="K332" s="323" t="inlineStr">
        <is>
          <t>Reporting &amp; Analytics</t>
        </is>
      </c>
      <c r="L332" s="306" t="n"/>
      <c r="M332" s="307" t="inlineStr">
        <is>
          <t>Australia</t>
        </is>
      </c>
      <c r="N332" s="308" t="inlineStr">
        <is>
          <t>CIB</t>
        </is>
      </c>
      <c r="O332" s="308" t="n">
        <v>1</v>
      </c>
      <c r="P332" s="308" t="n"/>
      <c r="Q332" s="308" t="inlineStr">
        <is>
          <t>V</t>
        </is>
      </c>
      <c r="R332" s="310" t="n"/>
      <c r="S332" s="310" t="n"/>
      <c r="T332" s="322" t="n">
        <v>151950</v>
      </c>
      <c r="U332" s="321" t="n">
        <v>151950</v>
      </c>
      <c r="V332" s="313" t="n">
        <v>0.12</v>
      </c>
      <c r="W332" s="953" t="n">
        <v>0.055</v>
      </c>
      <c r="X332" s="953" t="n">
        <v>0.12</v>
      </c>
      <c r="Y332" s="954" t="n"/>
      <c r="Z332" s="953" t="n">
        <v>0.04</v>
      </c>
      <c r="AA332" s="952">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849">
      <c r="A333" s="250" t="inlineStr">
        <is>
          <t>V</t>
        </is>
      </c>
      <c r="B333" s="220" t="inlineStr">
        <is>
          <t>Vacant</t>
        </is>
      </c>
      <c r="C333" s="305" t="inlineStr">
        <is>
          <t>Quality Assurance</t>
        </is>
      </c>
      <c r="D333" s="220" t="inlineStr">
        <is>
          <t>Dinesh Chandrasekaran</t>
        </is>
      </c>
      <c r="E333" s="220" t="inlineStr">
        <is>
          <t>Lead Engineer (Snowflake)</t>
        </is>
      </c>
      <c r="F333" s="323" t="inlineStr">
        <is>
          <t>Strategy, Architecture &amp; Data</t>
        </is>
      </c>
      <c r="G333" s="306" t="inlineStr">
        <is>
          <t>Group Data</t>
        </is>
      </c>
      <c r="H333" s="323" t="inlineStr">
        <is>
          <t>Data Engineering &amp; Platforms</t>
        </is>
      </c>
      <c r="I333" s="306" t="inlineStr">
        <is>
          <t>Enterprise Data</t>
        </is>
      </c>
      <c r="J333" s="323" t="inlineStr">
        <is>
          <t>Group Data</t>
        </is>
      </c>
      <c r="K333" s="306" t="inlineStr">
        <is>
          <t>Data Platform</t>
        </is>
      </c>
      <c r="L333" s="306" t="n"/>
      <c r="M333" s="307" t="inlineStr">
        <is>
          <t>Australia</t>
        </is>
      </c>
      <c r="N333" s="308" t="inlineStr">
        <is>
          <t>CIA</t>
        </is>
      </c>
      <c r="O333" s="308" t="n">
        <v>1</v>
      </c>
      <c r="P333" s="308" t="n"/>
      <c r="Q333" s="308" t="inlineStr">
        <is>
          <t>v</t>
        </is>
      </c>
      <c r="R333" s="310" t="n"/>
      <c r="S333" s="310" t="n"/>
      <c r="T333" s="322" t="n">
        <v>129650</v>
      </c>
      <c r="U333" s="321" t="n">
        <v>129650</v>
      </c>
      <c r="V333" s="313" t="n">
        <v>0.1</v>
      </c>
      <c r="W333" s="953" t="n">
        <v>0.055</v>
      </c>
      <c r="X333" s="953" t="n">
        <v>0.12</v>
      </c>
      <c r="Y333" s="954" t="n"/>
      <c r="Z333" s="953" t="n">
        <v>0.04</v>
      </c>
      <c r="AA333" s="952">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849">
      <c r="A334" s="250" t="inlineStr">
        <is>
          <t>V</t>
        </is>
      </c>
      <c r="B334" s="220" t="inlineStr">
        <is>
          <t>Vacant</t>
        </is>
      </c>
      <c r="C334" s="305" t="inlineStr">
        <is>
          <t>Engineer - DevOps</t>
        </is>
      </c>
      <c r="D334" s="220" t="inlineStr">
        <is>
          <t>Jason Gleason</t>
        </is>
      </c>
      <c r="E334" s="220" t="inlineStr">
        <is>
          <t>Technology Manager, Data Engineering &amp; Platforms</t>
        </is>
      </c>
      <c r="F334" s="323" t="inlineStr">
        <is>
          <t>Strategy, Architecture &amp; Data</t>
        </is>
      </c>
      <c r="G334" s="316" t="inlineStr">
        <is>
          <t>Group Data</t>
        </is>
      </c>
      <c r="H334" s="384" t="inlineStr">
        <is>
          <t>Data Engineering &amp; Platforms</t>
        </is>
      </c>
      <c r="I334" s="306" t="inlineStr">
        <is>
          <t>Enterprise Data</t>
        </is>
      </c>
      <c r="J334" s="323" t="inlineStr">
        <is>
          <t>Group Data</t>
        </is>
      </c>
      <c r="K334" s="306" t="inlineStr">
        <is>
          <t>Data Platform</t>
        </is>
      </c>
      <c r="L334" s="306" t="n"/>
      <c r="M334" s="307" t="inlineStr">
        <is>
          <t>Australia</t>
        </is>
      </c>
      <c r="N334" s="308" t="inlineStr">
        <is>
          <t>cib</t>
        </is>
      </c>
      <c r="O334" s="308" t="n">
        <v>1</v>
      </c>
      <c r="P334" s="308" t="n"/>
      <c r="Q334" s="308" t="inlineStr">
        <is>
          <t>V</t>
        </is>
      </c>
      <c r="R334" s="310" t="n"/>
      <c r="S334" s="310" t="n"/>
      <c r="T334" s="322" t="n">
        <v>151950</v>
      </c>
      <c r="U334" s="321" t="n">
        <v>151950</v>
      </c>
      <c r="V334" s="313" t="n">
        <v>0.12</v>
      </c>
      <c r="W334" s="953" t="n">
        <v>0.055</v>
      </c>
      <c r="X334" s="953" t="n">
        <v>0.12</v>
      </c>
      <c r="Y334" s="954" t="n"/>
      <c r="Z334" s="953" t="n">
        <v>0.04</v>
      </c>
      <c r="AA334" s="952">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849">
      <c r="A335" s="250" t="inlineStr">
        <is>
          <t>V</t>
        </is>
      </c>
      <c r="B335" s="220" t="inlineStr">
        <is>
          <t>Vacant</t>
        </is>
      </c>
      <c r="C335" s="305" t="inlineStr">
        <is>
          <t>Business Analyst</t>
        </is>
      </c>
      <c r="D335" s="220" t="inlineStr">
        <is>
          <t>Joel Vijayakumar</t>
        </is>
      </c>
      <c r="E335" s="220" t="inlineStr">
        <is>
          <t>Delivery Manager, Strategy, Architecture &amp; Data</t>
        </is>
      </c>
      <c r="F335" s="323" t="inlineStr">
        <is>
          <t>Strategy, Architecture &amp; Data</t>
        </is>
      </c>
      <c r="G335" s="306" t="inlineStr">
        <is>
          <t>Delivery, SADA</t>
        </is>
      </c>
      <c r="H335" s="306" t="n"/>
      <c r="I335" s="306" t="inlineStr">
        <is>
          <t>Enterprise Data</t>
        </is>
      </c>
      <c r="J335" s="323" t="inlineStr">
        <is>
          <t>Group Data</t>
        </is>
      </c>
      <c r="K335" s="306" t="inlineStr">
        <is>
          <t>Data Platform</t>
        </is>
      </c>
      <c r="L335" s="306" t="n"/>
      <c r="M335" s="307" t="inlineStr">
        <is>
          <t>Australia</t>
        </is>
      </c>
      <c r="N335" s="308" t="inlineStr">
        <is>
          <t>CIB</t>
        </is>
      </c>
      <c r="O335" s="308" t="n">
        <v>1</v>
      </c>
      <c r="P335" s="308" t="n"/>
      <c r="Q335" s="308" t="inlineStr">
        <is>
          <t>V</t>
        </is>
      </c>
      <c r="R335" s="310" t="n"/>
      <c r="S335" s="310" t="n"/>
      <c r="T335" s="322" t="n">
        <v>151950</v>
      </c>
      <c r="U335" s="321" t="n">
        <v>151950</v>
      </c>
      <c r="V335" s="313" t="n">
        <v>0.12</v>
      </c>
      <c r="W335" s="953" t="n">
        <v>0.055</v>
      </c>
      <c r="X335" s="953" t="n">
        <v>0.12</v>
      </c>
      <c r="Y335" s="954" t="n"/>
      <c r="Z335" s="953" t="n">
        <v>0.04</v>
      </c>
      <c r="AA335" s="952">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849">
      <c r="A336" s="250" t="inlineStr">
        <is>
          <t>V</t>
        </is>
      </c>
      <c r="B336" s="220" t="inlineStr">
        <is>
          <t>Vacant</t>
        </is>
      </c>
      <c r="C336" s="305" t="inlineStr">
        <is>
          <t>Business Analyst</t>
        </is>
      </c>
      <c r="D336" s="220" t="inlineStr">
        <is>
          <t>Joel Vijayakumar</t>
        </is>
      </c>
      <c r="E336" s="220" t="inlineStr">
        <is>
          <t>Delivery Manager, Strategy, Architecture &amp; Data</t>
        </is>
      </c>
      <c r="F336" s="323" t="inlineStr">
        <is>
          <t>Strategy, Architecture &amp; Data</t>
        </is>
      </c>
      <c r="G336" s="306" t="inlineStr">
        <is>
          <t>Delivery, SADA</t>
        </is>
      </c>
      <c r="H336" s="306" t="n"/>
      <c r="I336" s="323" t="inlineStr">
        <is>
          <t>Enterprise Data</t>
        </is>
      </c>
      <c r="J336" s="323" t="inlineStr">
        <is>
          <t>EGI</t>
        </is>
      </c>
      <c r="K336" s="323" t="inlineStr">
        <is>
          <t>Reporting &amp; Analytics</t>
        </is>
      </c>
      <c r="L336" s="306" t="n"/>
      <c r="M336" s="307" t="inlineStr">
        <is>
          <t>Australia</t>
        </is>
      </c>
      <c r="N336" s="308" t="inlineStr">
        <is>
          <t>CIB</t>
        </is>
      </c>
      <c r="O336" s="308" t="n">
        <v>1</v>
      </c>
      <c r="P336" s="308" t="n"/>
      <c r="Q336" s="308" t="inlineStr">
        <is>
          <t>V</t>
        </is>
      </c>
      <c r="R336" s="310" t="n"/>
      <c r="S336" s="310" t="n"/>
      <c r="T336" s="322" t="n">
        <v>151950</v>
      </c>
      <c r="U336" s="321" t="n">
        <v>151950</v>
      </c>
      <c r="V336" s="313" t="n">
        <v>0.12</v>
      </c>
      <c r="W336" s="953" t="n">
        <v>0.055</v>
      </c>
      <c r="X336" s="953" t="n">
        <v>0.12</v>
      </c>
      <c r="Y336" s="954" t="n"/>
      <c r="Z336" s="953" t="n">
        <v>0.04</v>
      </c>
      <c r="AA336" s="952">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849">
      <c r="A337" s="250" t="inlineStr">
        <is>
          <t>V</t>
        </is>
      </c>
      <c r="B337" s="220" t="inlineStr">
        <is>
          <t>vacant</t>
        </is>
      </c>
      <c r="C337" s="305" t="inlineStr">
        <is>
          <t>Data Analyst</t>
        </is>
      </c>
      <c r="D337" s="220" t="inlineStr">
        <is>
          <t>Jonathan Robinson</t>
        </is>
      </c>
      <c r="E337" s="220" t="inlineStr">
        <is>
          <t>Technology Manager, Data Science</t>
        </is>
      </c>
      <c r="F337" s="323" t="inlineStr">
        <is>
          <t>Strategy, Architecture &amp; Data</t>
        </is>
      </c>
      <c r="G337" s="306" t="inlineStr">
        <is>
          <t>Group Data</t>
        </is>
      </c>
      <c r="H337" s="323" t="inlineStr">
        <is>
          <t>Data Science</t>
        </is>
      </c>
      <c r="I337" s="323" t="inlineStr">
        <is>
          <t>Enterprise Data</t>
        </is>
      </c>
      <c r="J337" s="323" t="inlineStr">
        <is>
          <t>Group Data</t>
        </is>
      </c>
      <c r="K337" s="306" t="inlineStr">
        <is>
          <t>Data Science</t>
        </is>
      </c>
      <c r="L337" s="306" t="n"/>
      <c r="M337" s="307" t="inlineStr">
        <is>
          <t>Australia</t>
        </is>
      </c>
      <c r="N337" s="308" t="inlineStr">
        <is>
          <t>CIB</t>
        </is>
      </c>
      <c r="O337" s="308" t="n">
        <v>1</v>
      </c>
      <c r="P337" s="308" t="n"/>
      <c r="Q337" s="308" t="inlineStr">
        <is>
          <t>V</t>
        </is>
      </c>
      <c r="R337" s="310" t="n"/>
      <c r="S337" s="310" t="n"/>
      <c r="T337" s="322" t="n">
        <v>151000</v>
      </c>
      <c r="U337" s="321" t="n">
        <v>151000</v>
      </c>
      <c r="V337" s="313" t="n">
        <v>0.12</v>
      </c>
      <c r="W337" s="953" t="n">
        <v>0.055</v>
      </c>
      <c r="X337" s="953" t="n">
        <v>0.12</v>
      </c>
      <c r="Y337" s="954" t="n"/>
      <c r="Z337" s="953" t="n">
        <v>0.04</v>
      </c>
      <c r="AA337" s="952">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849">
      <c r="A338" s="250" t="inlineStr">
        <is>
          <t>V</t>
        </is>
      </c>
      <c r="B338" s="220" t="inlineStr">
        <is>
          <t>Vacant</t>
        </is>
      </c>
      <c r="C338" s="305" t="inlineStr">
        <is>
          <t>Data Analyst</t>
        </is>
      </c>
      <c r="D338" s="220" t="inlineStr">
        <is>
          <t>Jonathan Robinson</t>
        </is>
      </c>
      <c r="E338" s="220" t="inlineStr">
        <is>
          <t>Technology Manager, Data Science</t>
        </is>
      </c>
      <c r="F338" s="323" t="inlineStr">
        <is>
          <t>Strategy, Architecture &amp; Data</t>
        </is>
      </c>
      <c r="G338" s="306" t="inlineStr">
        <is>
          <t>Group Data</t>
        </is>
      </c>
      <c r="H338" s="323" t="inlineStr">
        <is>
          <t>Data Science</t>
        </is>
      </c>
      <c r="I338" s="323" t="inlineStr">
        <is>
          <t>Enterprise Data</t>
        </is>
      </c>
      <c r="J338" s="323" t="inlineStr">
        <is>
          <t>Group Data</t>
        </is>
      </c>
      <c r="K338" s="306" t="inlineStr">
        <is>
          <t>Data Science</t>
        </is>
      </c>
      <c r="L338" s="306" t="n"/>
      <c r="M338" s="307" t="inlineStr">
        <is>
          <t>Australia</t>
        </is>
      </c>
      <c r="N338" s="308" t="inlineStr">
        <is>
          <t>CIB</t>
        </is>
      </c>
      <c r="O338" s="308" t="n">
        <v>1</v>
      </c>
      <c r="P338" s="308" t="n"/>
      <c r="Q338" s="308" t="inlineStr">
        <is>
          <t>V</t>
        </is>
      </c>
      <c r="R338" s="310" t="n"/>
      <c r="S338" s="310" t="n"/>
      <c r="T338" s="322" t="n">
        <v>151000</v>
      </c>
      <c r="U338" s="321" t="n">
        <v>151000</v>
      </c>
      <c r="V338" s="313" t="n">
        <v>0.12</v>
      </c>
      <c r="W338" s="953" t="n">
        <v>0.055</v>
      </c>
      <c r="X338" s="953" t="n">
        <v>0.12</v>
      </c>
      <c r="Y338" s="954" t="n"/>
      <c r="Z338" s="953" t="n">
        <v>0.04</v>
      </c>
      <c r="AA338" s="952">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849">
      <c r="A339" s="250" t="inlineStr">
        <is>
          <t>V</t>
        </is>
      </c>
      <c r="B339" s="220" t="inlineStr">
        <is>
          <t>vacant</t>
        </is>
      </c>
      <c r="C339" s="305" t="inlineStr">
        <is>
          <t>Data Scientist</t>
        </is>
      </c>
      <c r="D339" s="220" t="inlineStr">
        <is>
          <t>Jonathan Robinson</t>
        </is>
      </c>
      <c r="E339" s="220" t="inlineStr">
        <is>
          <t>Technology Manager, Data Science</t>
        </is>
      </c>
      <c r="F339" s="323" t="inlineStr">
        <is>
          <t>Strategy, Architecture &amp; Data</t>
        </is>
      </c>
      <c r="G339" s="306" t="inlineStr">
        <is>
          <t>Group Data</t>
        </is>
      </c>
      <c r="H339" s="323" t="inlineStr">
        <is>
          <t>Data Science</t>
        </is>
      </c>
      <c r="I339" s="323" t="inlineStr">
        <is>
          <t>Enterprise Data</t>
        </is>
      </c>
      <c r="J339" s="323" t="inlineStr">
        <is>
          <t>Group Data</t>
        </is>
      </c>
      <c r="K339" s="306" t="inlineStr">
        <is>
          <t>Data Science</t>
        </is>
      </c>
      <c r="L339" s="306" t="n"/>
      <c r="M339" s="307" t="inlineStr">
        <is>
          <t>Australia</t>
        </is>
      </c>
      <c r="N339" s="308" t="inlineStr">
        <is>
          <t>CIB</t>
        </is>
      </c>
      <c r="O339" s="308" t="n">
        <v>1</v>
      </c>
      <c r="P339" s="308" t="n"/>
      <c r="Q339" s="308" t="inlineStr">
        <is>
          <t>V</t>
        </is>
      </c>
      <c r="R339" s="310" t="n"/>
      <c r="S339" s="310" t="n"/>
      <c r="T339" s="322" t="n">
        <v>151950</v>
      </c>
      <c r="U339" s="321" t="n">
        <v>151950</v>
      </c>
      <c r="V339" s="313" t="n">
        <v>0.12</v>
      </c>
      <c r="W339" s="953" t="n">
        <v>0.055</v>
      </c>
      <c r="X339" s="953" t="n">
        <v>0.12</v>
      </c>
      <c r="Y339" s="954" t="n"/>
      <c r="Z339" s="953" t="n">
        <v>0.04</v>
      </c>
      <c r="AA339" s="952">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849">
      <c r="A340" s="250" t="inlineStr">
        <is>
          <t>V</t>
        </is>
      </c>
      <c r="B340" s="220" t="inlineStr">
        <is>
          <t>Vacant</t>
        </is>
      </c>
      <c r="C340" s="305" t="inlineStr">
        <is>
          <t xml:space="preserve">Reporting Lead </t>
        </is>
      </c>
      <c r="D340" s="220" t="inlineStr">
        <is>
          <t>Prashanth Krishnankutty</t>
        </is>
      </c>
      <c r="E340" s="220" t="inlineStr">
        <is>
          <t>Lead, Reporting &amp; Insights</t>
        </is>
      </c>
      <c r="F340" s="323" t="inlineStr">
        <is>
          <t>Strategy, Architecture &amp; Data</t>
        </is>
      </c>
      <c r="G340" s="306" t="inlineStr">
        <is>
          <t>Group Data</t>
        </is>
      </c>
      <c r="H340" s="323" t="inlineStr">
        <is>
          <t>Data Engineering &amp; Platforms</t>
        </is>
      </c>
      <c r="I340" s="323" t="inlineStr">
        <is>
          <t>Enterprise Data</t>
        </is>
      </c>
      <c r="J340" s="323" t="inlineStr">
        <is>
          <t>Group Data</t>
        </is>
      </c>
      <c r="K340" s="323" t="inlineStr">
        <is>
          <t>Reporting &amp; Analytics</t>
        </is>
      </c>
      <c r="L340" s="306" t="n"/>
      <c r="M340" s="307" t="inlineStr">
        <is>
          <t>Australia</t>
        </is>
      </c>
      <c r="N340" s="308" t="inlineStr">
        <is>
          <t>CIB</t>
        </is>
      </c>
      <c r="O340" s="308" t="n">
        <v>1</v>
      </c>
      <c r="P340" s="308" t="n"/>
      <c r="Q340" s="308" t="inlineStr">
        <is>
          <t>v</t>
        </is>
      </c>
      <c r="R340" s="310" t="n"/>
      <c r="S340" s="310" t="n"/>
      <c r="T340" s="322" t="n">
        <v>151950</v>
      </c>
      <c r="U340" s="321" t="n">
        <v>151950</v>
      </c>
      <c r="V340" s="313" t="n">
        <v>0.12</v>
      </c>
      <c r="W340" s="953" t="n">
        <v>0.055</v>
      </c>
      <c r="X340" s="953" t="n">
        <v>0.12</v>
      </c>
      <c r="Y340" s="954" t="n"/>
      <c r="Z340" s="953" t="n">
        <v>0.04</v>
      </c>
      <c r="AA340" s="952">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849">
      <c r="A341" s="250" t="inlineStr">
        <is>
          <t>V</t>
        </is>
      </c>
      <c r="B341" s="220" t="inlineStr">
        <is>
          <t>vacant</t>
        </is>
      </c>
      <c r="C341" s="305" t="inlineStr">
        <is>
          <t>Engineer - Data</t>
        </is>
      </c>
      <c r="D341" s="220" t="inlineStr">
        <is>
          <t>Roozbeh Shahbazirad</t>
        </is>
      </c>
      <c r="E341" s="220" t="inlineStr">
        <is>
          <t>Lead Engineer (Databricks)</t>
        </is>
      </c>
      <c r="F341" s="323" t="inlineStr">
        <is>
          <t>Strategy, Architecture &amp; Data</t>
        </is>
      </c>
      <c r="G341" s="306" t="inlineStr">
        <is>
          <t>Group Data</t>
        </is>
      </c>
      <c r="H341" s="323" t="inlineStr">
        <is>
          <t>Data Engineering &amp; Platforms</t>
        </is>
      </c>
      <c r="I341" s="306" t="inlineStr">
        <is>
          <t>Enterprise Data</t>
        </is>
      </c>
      <c r="J341" s="323" t="inlineStr">
        <is>
          <t>Group Data</t>
        </is>
      </c>
      <c r="K341" s="306" t="inlineStr">
        <is>
          <t>Data Platform</t>
        </is>
      </c>
      <c r="L341" s="306" t="n"/>
      <c r="M341" s="307" t="inlineStr">
        <is>
          <t>Australia</t>
        </is>
      </c>
      <c r="N341" s="308" t="inlineStr">
        <is>
          <t>CIB</t>
        </is>
      </c>
      <c r="O341" s="308" t="n">
        <v>1</v>
      </c>
      <c r="P341" s="308" t="n"/>
      <c r="Q341" s="308" t="inlineStr">
        <is>
          <t>V</t>
        </is>
      </c>
      <c r="R341" s="310" t="n"/>
      <c r="S341" s="310" t="n"/>
      <c r="T341" s="322" t="n">
        <v>151950</v>
      </c>
      <c r="U341" s="321" t="n">
        <v>151950</v>
      </c>
      <c r="V341" s="313" t="n">
        <v>0.12</v>
      </c>
      <c r="W341" s="953" t="n">
        <v>0.055</v>
      </c>
      <c r="X341" s="953" t="n">
        <v>0.12</v>
      </c>
      <c r="Y341" s="954" t="n"/>
      <c r="Z341" s="953" t="n">
        <v>0.04</v>
      </c>
      <c r="AA341" s="952">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849">
      <c r="A342" s="250" t="inlineStr">
        <is>
          <t>V</t>
        </is>
      </c>
      <c r="B342" s="220" t="inlineStr">
        <is>
          <t>vacant</t>
        </is>
      </c>
      <c r="C342" s="305" t="inlineStr">
        <is>
          <t>Quality Assurance</t>
        </is>
      </c>
      <c r="D342" s="220" t="inlineStr">
        <is>
          <t>Roozbeh Shahbazirad</t>
        </is>
      </c>
      <c r="E342" s="220" t="inlineStr">
        <is>
          <t>Lead Engineer (Databricks)</t>
        </is>
      </c>
      <c r="F342" s="323" t="inlineStr">
        <is>
          <t>Strategy, Architecture &amp; Data</t>
        </is>
      </c>
      <c r="G342" s="306" t="inlineStr">
        <is>
          <t>Group Data</t>
        </is>
      </c>
      <c r="H342" s="323" t="inlineStr">
        <is>
          <t>Data Engineering &amp; Platforms</t>
        </is>
      </c>
      <c r="I342" s="306" t="inlineStr">
        <is>
          <t>Enterprise Data</t>
        </is>
      </c>
      <c r="J342" s="323" t="inlineStr">
        <is>
          <t>EGI</t>
        </is>
      </c>
      <c r="K342" s="306" t="inlineStr">
        <is>
          <t>Data Platform</t>
        </is>
      </c>
      <c r="L342" s="306" t="n"/>
      <c r="M342" s="307" t="inlineStr">
        <is>
          <t>Australia</t>
        </is>
      </c>
      <c r="N342" s="308" t="inlineStr">
        <is>
          <t>CIA</t>
        </is>
      </c>
      <c r="O342" s="308" t="n">
        <v>1</v>
      </c>
      <c r="P342" s="308" t="n"/>
      <c r="Q342" s="308" t="inlineStr">
        <is>
          <t>v</t>
        </is>
      </c>
      <c r="R342" s="310" t="n"/>
      <c r="S342" s="310" t="n"/>
      <c r="T342" s="322" t="n">
        <v>129650</v>
      </c>
      <c r="U342" s="321" t="n">
        <v>129650</v>
      </c>
      <c r="V342" s="313" t="n">
        <v>0.1</v>
      </c>
      <c r="W342" s="953" t="n">
        <v>0.055</v>
      </c>
      <c r="X342" s="953" t="n">
        <v>0.12</v>
      </c>
      <c r="Y342" s="954" t="n"/>
      <c r="Z342" s="953" t="n">
        <v>0.04</v>
      </c>
      <c r="AA342" s="952">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849">
      <c r="A343" s="250" t="inlineStr">
        <is>
          <t>V</t>
        </is>
      </c>
      <c r="B343" s="220" t="inlineStr">
        <is>
          <t>Vacant</t>
        </is>
      </c>
      <c r="C343" s="305" t="inlineStr">
        <is>
          <t>Data Governance Lead</t>
        </is>
      </c>
      <c r="D343" s="306" t="inlineStr">
        <is>
          <t>Sanjay Tikoo</t>
        </is>
      </c>
      <c r="E343" s="220" t="inlineStr">
        <is>
          <t>Data Capability Manager</t>
        </is>
      </c>
      <c r="F343" s="323" t="inlineStr">
        <is>
          <t>Strategy, Architecture &amp; Data</t>
        </is>
      </c>
      <c r="G343" s="383" t="inlineStr">
        <is>
          <t>Group Data</t>
        </is>
      </c>
      <c r="H343" s="385" t="inlineStr">
        <is>
          <t>Data Capability</t>
        </is>
      </c>
      <c r="I343" s="323" t="inlineStr">
        <is>
          <t>Enterprise Data</t>
        </is>
      </c>
      <c r="J343" s="323" t="n"/>
      <c r="K343" s="306" t="n"/>
      <c r="L343" s="306" t="n"/>
      <c r="M343" s="307" t="inlineStr">
        <is>
          <t>australia</t>
        </is>
      </c>
      <c r="N343" s="386" t="inlineStr">
        <is>
          <t>CSC</t>
        </is>
      </c>
      <c r="O343" s="308" t="n">
        <v>1</v>
      </c>
      <c r="P343" s="308" t="n"/>
      <c r="Q343" s="308" t="inlineStr">
        <is>
          <t>V</t>
        </is>
      </c>
      <c r="R343" s="310" t="n"/>
      <c r="S343" s="310" t="n"/>
      <c r="T343" s="322" t="n">
        <v>275340</v>
      </c>
      <c r="U343" s="321" t="n">
        <v>275340</v>
      </c>
      <c r="V343" s="313" t="n">
        <v>0.2</v>
      </c>
      <c r="W343" s="953" t="n">
        <v>0.055</v>
      </c>
      <c r="X343" s="953" t="n">
        <v>0.12</v>
      </c>
      <c r="Y343" s="954" t="n"/>
      <c r="Z343" s="953" t="n">
        <v>0.04</v>
      </c>
      <c r="AA343" s="952">
        <f>U343*(1+V343+W343+X343+Y343+Z343)</f>
        <v>389606.10000000003</v>
      </c>
      <c r="AC343" t="inlineStr">
        <is>
          <t>COE</t>
        </is>
      </c>
      <c r="AD343" t="inlineStr">
        <is>
          <t>COE - Data</t>
        </is>
      </c>
      <c r="AE343" t="inlineStr">
        <is>
          <t>COE - Data</t>
        </is>
      </c>
      <c r="AF343" t="inlineStr">
        <is>
          <t>COE</t>
        </is>
      </c>
      <c r="AG343" t="inlineStr">
        <is>
          <t>Vacant</t>
        </is>
      </c>
    </row>
    <row r="344" hidden="1" ht="18" customHeight="1" s="849">
      <c r="A344" s="250" t="inlineStr">
        <is>
          <t>V</t>
        </is>
      </c>
      <c r="B344" s="220" t="inlineStr">
        <is>
          <t>Vacant</t>
        </is>
      </c>
      <c r="C344" s="305" t="inlineStr">
        <is>
          <t>Head of Architecture</t>
        </is>
      </c>
      <c r="D344" s="220" t="inlineStr">
        <is>
          <t>Matt Ashley</t>
        </is>
      </c>
      <c r="E344" s="220" t="inlineStr">
        <is>
          <t>GM TDD, Strategy, Architecture, Data</t>
        </is>
      </c>
      <c r="F344" s="323" t="inlineStr">
        <is>
          <t>Strategy, Architecture &amp; Data</t>
        </is>
      </c>
      <c r="G344" s="306" t="inlineStr">
        <is>
          <t>Architecture</t>
        </is>
      </c>
      <c r="H344" s="306" t="n"/>
      <c r="I344" s="306" t="n"/>
      <c r="J344" s="323" t="inlineStr">
        <is>
          <t>Leadership</t>
        </is>
      </c>
      <c r="K344" s="323" t="n"/>
      <c r="L344" s="306" t="n"/>
      <c r="M344" s="307" t="inlineStr">
        <is>
          <t>Australia</t>
        </is>
      </c>
      <c r="N344" s="308" t="inlineStr">
        <is>
          <t>CSC</t>
        </is>
      </c>
      <c r="O344" s="308" t="n">
        <v>1</v>
      </c>
      <c r="P344" s="308" t="n"/>
      <c r="Q344" s="308" t="inlineStr">
        <is>
          <t>v</t>
        </is>
      </c>
      <c r="R344" s="310" t="n"/>
      <c r="S344" s="310" t="n"/>
      <c r="T344" s="322" t="n">
        <v>236730</v>
      </c>
      <c r="U344" s="321" t="n">
        <v>236730</v>
      </c>
      <c r="V344" s="313" t="n">
        <v>0.2</v>
      </c>
      <c r="W344" s="953" t="n">
        <v>0.055</v>
      </c>
      <c r="X344" s="953" t="n">
        <v>0.12</v>
      </c>
      <c r="Y344" s="954" t="n"/>
      <c r="Z344" s="953" t="n">
        <v>0.04</v>
      </c>
      <c r="AA344" s="952">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849">
      <c r="A345" s="250" t="inlineStr">
        <is>
          <t>V</t>
        </is>
      </c>
      <c r="B345" s="220" t="inlineStr">
        <is>
          <t>Vacant</t>
        </is>
      </c>
      <c r="C345" s="305" t="inlineStr">
        <is>
          <t>Head of Technology Strategy &amp; AI Capability</t>
        </is>
      </c>
      <c r="D345" s="220" t="inlineStr">
        <is>
          <t>Matt Ashley</t>
        </is>
      </c>
      <c r="E345" s="220" t="inlineStr">
        <is>
          <t>GM TDD, Strategy, Architecture, Data</t>
        </is>
      </c>
      <c r="F345" s="323" t="inlineStr">
        <is>
          <t>Strategy, Architecture &amp; Data</t>
        </is>
      </c>
      <c r="G345" s="306" t="inlineStr">
        <is>
          <t>Technology Strategy &amp; AI Capability</t>
        </is>
      </c>
      <c r="I345" s="306" t="n"/>
      <c r="J345" s="323" t="inlineStr">
        <is>
          <t>Leadership</t>
        </is>
      </c>
      <c r="K345" s="323" t="n"/>
      <c r="L345" s="306" t="n"/>
      <c r="M345" s="307" t="inlineStr">
        <is>
          <t>Australia</t>
        </is>
      </c>
      <c r="N345" s="308" t="inlineStr">
        <is>
          <t>CSC</t>
        </is>
      </c>
      <c r="O345" s="308" t="n">
        <v>1</v>
      </c>
      <c r="P345" s="308" t="n"/>
      <c r="Q345" s="308" t="inlineStr">
        <is>
          <t>v</t>
        </is>
      </c>
      <c r="R345" s="310" t="n"/>
      <c r="S345" s="310" t="n"/>
      <c r="T345" s="322" t="n">
        <v>235350</v>
      </c>
      <c r="U345" s="321" t="n">
        <v>235350</v>
      </c>
      <c r="V345" s="313" t="n">
        <v>0.2</v>
      </c>
      <c r="W345" s="953" t="n">
        <v>0.055</v>
      </c>
      <c r="X345" s="953" t="n">
        <v>0.12</v>
      </c>
      <c r="Y345" s="954" t="n"/>
      <c r="Z345" s="953" t="n">
        <v>0.04</v>
      </c>
      <c r="AA345" s="952">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849">
      <c r="A346" s="250" t="inlineStr">
        <is>
          <t>V</t>
        </is>
      </c>
      <c r="B346" s="220" t="inlineStr">
        <is>
          <t>Vacant</t>
        </is>
      </c>
      <c r="C346" s="305" t="inlineStr">
        <is>
          <t>Senior Communications Advisor</t>
        </is>
      </c>
      <c r="D346" s="220" t="inlineStr">
        <is>
          <t>Matt Ashley</t>
        </is>
      </c>
      <c r="E346" s="220" t="inlineStr">
        <is>
          <t>GM TDD, Strategy, Architecture, Data</t>
        </is>
      </c>
      <c r="F346" s="323" t="inlineStr">
        <is>
          <t>Strategy, Architecture &amp; Data</t>
        </is>
      </c>
      <c r="G346" s="306" t="inlineStr">
        <is>
          <t>na</t>
        </is>
      </c>
      <c r="H346" s="306" t="n"/>
      <c r="I346" s="306" t="n"/>
      <c r="J346" s="323" t="inlineStr">
        <is>
          <t>Leadership</t>
        </is>
      </c>
      <c r="K346" s="323" t="n"/>
      <c r="L346" s="306" t="n"/>
      <c r="M346" s="307" t="inlineStr">
        <is>
          <t>Australia</t>
        </is>
      </c>
      <c r="N346" s="308" t="inlineStr">
        <is>
          <t>CIB</t>
        </is>
      </c>
      <c r="O346" s="308" t="n">
        <v>1</v>
      </c>
      <c r="P346" s="308" t="n"/>
      <c r="Q346" s="308" t="inlineStr">
        <is>
          <t>v</t>
        </is>
      </c>
      <c r="R346" s="310" t="n"/>
      <c r="S346" s="310" t="n"/>
      <c r="T346" s="322" t="n">
        <v>140000</v>
      </c>
      <c r="U346" s="321" t="n">
        <v>140000</v>
      </c>
      <c r="V346" s="313" t="n">
        <v>0.12</v>
      </c>
      <c r="W346" s="953" t="n">
        <v>0.055</v>
      </c>
      <c r="X346" s="953" t="n">
        <v>0.12</v>
      </c>
      <c r="Y346" s="954" t="n"/>
      <c r="Z346" s="953" t="n">
        <v>0.04</v>
      </c>
      <c r="AA346" s="952">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849">
      <c r="A347" s="250" t="inlineStr">
        <is>
          <t>V</t>
        </is>
      </c>
      <c r="B347" s="278" t="inlineStr">
        <is>
          <t>Vacant</t>
        </is>
      </c>
      <c r="C347" s="387" t="inlineStr">
        <is>
          <t>Enterprise Data Architect</t>
        </is>
      </c>
      <c r="D347" s="334" t="inlineStr">
        <is>
          <t>Sanjay Tikoo</t>
        </is>
      </c>
      <c r="E347" s="278" t="inlineStr">
        <is>
          <t>Data Capability Manager</t>
        </is>
      </c>
      <c r="F347" s="388" t="inlineStr">
        <is>
          <t>Strategy, Architecture &amp; Data</t>
        </is>
      </c>
      <c r="G347" s="389" t="inlineStr">
        <is>
          <t>Group Data</t>
        </is>
      </c>
      <c r="H347" s="389" t="inlineStr">
        <is>
          <t>Data Capability</t>
        </is>
      </c>
      <c r="I347" s="388" t="n"/>
      <c r="J347" s="388" t="n"/>
      <c r="K347" s="389" t="n"/>
      <c r="L347" s="389" t="n"/>
      <c r="M347" s="307" t="inlineStr">
        <is>
          <t>Australia</t>
        </is>
      </c>
      <c r="N347" s="308" t="inlineStr">
        <is>
          <t>CSB</t>
        </is>
      </c>
      <c r="O347" s="308" t="n">
        <v>1</v>
      </c>
      <c r="P347" s="308" t="n"/>
      <c r="Q347" s="308" t="inlineStr">
        <is>
          <t>V</t>
        </is>
      </c>
      <c r="R347" s="319" t="n"/>
      <c r="S347" s="310" t="n"/>
      <c r="T347" s="322" t="n">
        <v>203550</v>
      </c>
      <c r="U347" s="321" t="n">
        <v>203550</v>
      </c>
      <c r="V347" s="313" t="n">
        <v>0.14</v>
      </c>
      <c r="W347" s="953" t="n">
        <v>0.055</v>
      </c>
      <c r="X347" s="953" t="n">
        <v>0.12</v>
      </c>
      <c r="Y347" s="954" t="n"/>
      <c r="Z347" s="953" t="n">
        <v>0.04</v>
      </c>
      <c r="AA347" s="952">
        <f>U347*(1+V347+W347+X347+Y347+Z347)</f>
        <v>275810.25</v>
      </c>
      <c r="AC347" t="inlineStr">
        <is>
          <t>COE</t>
        </is>
      </c>
      <c r="AD347" t="inlineStr">
        <is>
          <t>COE - Data</t>
        </is>
      </c>
      <c r="AE347" t="inlineStr">
        <is>
          <t>COE - Data</t>
        </is>
      </c>
      <c r="AF347" t="inlineStr">
        <is>
          <t>COE</t>
        </is>
      </c>
      <c r="AG347" t="inlineStr">
        <is>
          <t>Vacant</t>
        </is>
      </c>
    </row>
    <row r="348" hidden="1" ht="18" customHeight="1" s="849">
      <c r="A348" s="250" t="inlineStr">
        <is>
          <t>V</t>
        </is>
      </c>
      <c r="B348" s="220" t="inlineStr">
        <is>
          <t>Vacant</t>
        </is>
      </c>
      <c r="C348" s="305" t="inlineStr">
        <is>
          <t>AI Capability Lead</t>
        </is>
      </c>
      <c r="D348" t="inlineStr">
        <is>
          <t>Vacant</t>
        </is>
      </c>
      <c r="E348" s="220" t="inlineStr">
        <is>
          <t>Head of Technology  Strategy &amp; AI Capability</t>
        </is>
      </c>
      <c r="F348" s="323" t="inlineStr">
        <is>
          <t>Strategy, Architecture &amp; Data</t>
        </is>
      </c>
      <c r="G348" s="306" t="inlineStr">
        <is>
          <t>Technology Strategy &amp; AI Capability</t>
        </is>
      </c>
      <c r="H348" s="306" t="inlineStr">
        <is>
          <t>Technology Strategy &amp; AI Capability</t>
        </is>
      </c>
      <c r="I348" s="323" t="n"/>
      <c r="J348" s="323" t="n"/>
      <c r="K348" s="306" t="n"/>
      <c r="L348" s="306" t="n"/>
      <c r="M348" s="307" t="inlineStr">
        <is>
          <t>Australia</t>
        </is>
      </c>
      <c r="N348" s="308" t="inlineStr">
        <is>
          <t>CSB</t>
        </is>
      </c>
      <c r="O348" s="308" t="n">
        <v>1</v>
      </c>
      <c r="P348" s="308" t="n"/>
      <c r="Q348" s="308" t="inlineStr">
        <is>
          <t>V</t>
        </is>
      </c>
      <c r="R348" s="310" t="n"/>
      <c r="S348" s="310" t="n"/>
      <c r="T348" s="322" t="n">
        <v>203550</v>
      </c>
      <c r="U348" s="321" t="n">
        <v>203550</v>
      </c>
      <c r="V348" s="313" t="n">
        <v>0.14</v>
      </c>
      <c r="W348" s="953" t="n">
        <v>0.055</v>
      </c>
      <c r="X348" s="953" t="n">
        <v>0.12</v>
      </c>
      <c r="Y348" s="954" t="n"/>
      <c r="Z348" s="953" t="n">
        <v>0.04</v>
      </c>
      <c r="AA348" s="952">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849">
      <c r="A349" s="250" t="inlineStr">
        <is>
          <t>V</t>
        </is>
      </c>
      <c r="B349" s="220" t="inlineStr">
        <is>
          <t>Vacant</t>
        </is>
      </c>
      <c r="C349" s="305" t="inlineStr">
        <is>
          <t>Enterprise Process Lead</t>
        </is>
      </c>
      <c r="D349" t="inlineStr">
        <is>
          <t>Vacant</t>
        </is>
      </c>
      <c r="E349" s="220" t="inlineStr">
        <is>
          <t>Head of Technology  Strategy &amp; AI Capability</t>
        </is>
      </c>
      <c r="F349" s="323" t="inlineStr">
        <is>
          <t>Strategy, Architecture &amp; Data</t>
        </is>
      </c>
      <c r="G349" s="306" t="inlineStr">
        <is>
          <t>Technology Strategy &amp; AI Capability</t>
        </is>
      </c>
      <c r="H349" s="306" t="inlineStr">
        <is>
          <t>Technology Strategy &amp; AI Capability</t>
        </is>
      </c>
      <c r="I349" s="323" t="n"/>
      <c r="J349" s="323" t="n"/>
      <c r="K349" s="306" t="n"/>
      <c r="L349" s="306" t="n"/>
      <c r="M349" s="307" t="inlineStr">
        <is>
          <t>Australia</t>
        </is>
      </c>
      <c r="N349" s="308" t="inlineStr">
        <is>
          <t>CIB</t>
        </is>
      </c>
      <c r="O349" s="308" t="n">
        <v>1</v>
      </c>
      <c r="P349" s="308" t="n"/>
      <c r="Q349" s="308" t="inlineStr">
        <is>
          <t>V</t>
        </is>
      </c>
      <c r="R349" s="310" t="n"/>
      <c r="S349" s="310" t="n"/>
      <c r="T349" s="322" t="n">
        <v>151950</v>
      </c>
      <c r="U349" s="321" t="n">
        <v>151950</v>
      </c>
      <c r="V349" s="313" t="n">
        <v>0.12</v>
      </c>
      <c r="W349" s="953" t="n">
        <v>0.055</v>
      </c>
      <c r="X349" s="953" t="n">
        <v>0.12</v>
      </c>
      <c r="Y349" s="954" t="n"/>
      <c r="Z349" s="953" t="n">
        <v>0.04</v>
      </c>
      <c r="AA349" s="952">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849">
      <c r="A350" s="250" t="inlineStr">
        <is>
          <t>V</t>
        </is>
      </c>
      <c r="B350" s="220" t="inlineStr">
        <is>
          <t>Vacant</t>
        </is>
      </c>
      <c r="C350" s="305" t="inlineStr">
        <is>
          <t>EnterpriseProcess Analyst</t>
        </is>
      </c>
      <c r="D350" s="316" t="inlineStr">
        <is>
          <t>Vacant</t>
        </is>
      </c>
      <c r="E350" s="220" t="inlineStr">
        <is>
          <t>Enterprise Process Lead</t>
        </is>
      </c>
      <c r="F350" s="323" t="inlineStr">
        <is>
          <t>Strategy, Architecture &amp; Data</t>
        </is>
      </c>
      <c r="G350" s="306" t="inlineStr">
        <is>
          <t>Technology Strategy &amp; AI Capability</t>
        </is>
      </c>
      <c r="H350" s="306" t="inlineStr">
        <is>
          <t>Technology Strategy &amp; AI Capability</t>
        </is>
      </c>
      <c r="I350" s="323" t="n"/>
      <c r="J350" s="323" t="n"/>
      <c r="K350" s="306" t="n"/>
      <c r="L350" s="306" t="n"/>
      <c r="M350" s="307" t="inlineStr">
        <is>
          <t>Australia</t>
        </is>
      </c>
      <c r="N350" s="308" t="inlineStr">
        <is>
          <t>CIA</t>
        </is>
      </c>
      <c r="O350" s="308" t="n">
        <v>1</v>
      </c>
      <c r="P350" s="308" t="n"/>
      <c r="Q350" s="308" t="inlineStr">
        <is>
          <t>V</t>
        </is>
      </c>
      <c r="R350" s="310" t="n"/>
      <c r="S350" s="310" t="n"/>
      <c r="T350" s="322" t="n">
        <v>129650</v>
      </c>
      <c r="U350" s="321" t="n">
        <v>129650</v>
      </c>
      <c r="V350" s="313" t="n">
        <v>0.1</v>
      </c>
      <c r="W350" s="953" t="n">
        <v>0.055</v>
      </c>
      <c r="X350" s="953" t="n">
        <v>0.12</v>
      </c>
      <c r="Y350" s="954" t="n"/>
      <c r="Z350" s="953" t="n">
        <v>0.04</v>
      </c>
      <c r="AA350" s="952">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849">
      <c r="A351" s="250" t="inlineStr">
        <is>
          <t>V</t>
        </is>
      </c>
      <c r="B351" s="220" t="inlineStr">
        <is>
          <t>Vacant</t>
        </is>
      </c>
      <c r="C351" s="305" t="inlineStr">
        <is>
          <t>Strategy Analyst</t>
        </is>
      </c>
      <c r="D351" t="inlineStr">
        <is>
          <t>Vacant</t>
        </is>
      </c>
      <c r="E351" s="220" t="inlineStr">
        <is>
          <t>Head of Technology  Strategy &amp; AI Capability</t>
        </is>
      </c>
      <c r="F351" s="323" t="inlineStr">
        <is>
          <t>Strategy, Architecture &amp; Data</t>
        </is>
      </c>
      <c r="G351" s="306" t="inlineStr">
        <is>
          <t>Technology Strategy &amp; AI Capability</t>
        </is>
      </c>
      <c r="H351" s="316" t="inlineStr">
        <is>
          <t>Technology Strategy &amp; AI Capability</t>
        </is>
      </c>
      <c r="I351" s="323" t="n"/>
      <c r="J351" s="323" t="n"/>
      <c r="K351" s="306" t="n"/>
      <c r="L351" s="306" t="n"/>
      <c r="M351" s="307" t="inlineStr">
        <is>
          <t>Australia</t>
        </is>
      </c>
      <c r="N351" s="308" t="inlineStr">
        <is>
          <t>CIA</t>
        </is>
      </c>
      <c r="O351" s="308" t="n">
        <v>1</v>
      </c>
      <c r="P351" s="308" t="n"/>
      <c r="Q351" s="308" t="inlineStr">
        <is>
          <t>v</t>
        </is>
      </c>
      <c r="R351" s="310" t="n"/>
      <c r="S351" s="310" t="n"/>
      <c r="T351" s="322" t="n">
        <v>129650</v>
      </c>
      <c r="U351" s="321" t="n">
        <v>129650</v>
      </c>
      <c r="V351" s="313" t="n">
        <v>0.1</v>
      </c>
      <c r="W351" s="953" t="n">
        <v>0.055</v>
      </c>
      <c r="X351" s="953" t="n">
        <v>0.12</v>
      </c>
      <c r="Y351" s="954" t="n"/>
      <c r="Z351" s="953" t="n">
        <v>0.04</v>
      </c>
      <c r="AA351" s="952">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849">
      <c r="A352" s="250" t="inlineStr">
        <is>
          <t>V</t>
        </is>
      </c>
      <c r="B352" s="220" t="inlineStr">
        <is>
          <t>Vacant  (Contract)</t>
        </is>
      </c>
      <c r="C352" s="305" t="inlineStr">
        <is>
          <t>Applications Specialist - Strategic Programs</t>
        </is>
      </c>
      <c r="D352" t="inlineStr">
        <is>
          <t>Sai Konka</t>
        </is>
      </c>
      <c r="E352" t="inlineStr">
        <is>
          <t>Applications &amp; Analytics Manager</t>
        </is>
      </c>
      <c r="F352" s="323" t="inlineStr">
        <is>
          <t>Strategy, Architecture &amp; Data</t>
        </is>
      </c>
      <c r="G352" s="306" t="inlineStr">
        <is>
          <t>Group Data</t>
        </is>
      </c>
      <c r="H352" s="323" t="inlineStr">
        <is>
          <t>Data Engineering &amp; Platforms</t>
        </is>
      </c>
      <c r="I352" s="306" t="inlineStr">
        <is>
          <t>Enterprise Data</t>
        </is>
      </c>
      <c r="J352" s="323" t="inlineStr">
        <is>
          <t>EGI</t>
        </is>
      </c>
      <c r="K352" s="323" t="inlineStr">
        <is>
          <t>Reporting &amp; Analytics</t>
        </is>
      </c>
      <c r="L352" s="306" t="n"/>
      <c r="M352" s="307" t="inlineStr">
        <is>
          <t>Australia</t>
        </is>
      </c>
      <c r="N352" s="308" t="inlineStr">
        <is>
          <t>CIB</t>
        </is>
      </c>
      <c r="O352" s="308" t="n">
        <v>1</v>
      </c>
      <c r="P352" s="308" t="n"/>
      <c r="Q352" s="308" t="inlineStr">
        <is>
          <t>V</t>
        </is>
      </c>
      <c r="R352" s="310" t="n"/>
      <c r="S352" s="310" t="n"/>
      <c r="T352" s="322" t="n">
        <v>151950</v>
      </c>
      <c r="U352" s="321" t="n">
        <v>151950</v>
      </c>
      <c r="V352" s="313" t="n">
        <v>0.12</v>
      </c>
      <c r="W352" s="953" t="n">
        <v>0.055</v>
      </c>
      <c r="X352" s="953" t="n">
        <v>0.12</v>
      </c>
      <c r="Y352" s="954" t="n"/>
      <c r="Z352" s="953" t="n">
        <v>0.04</v>
      </c>
      <c r="AA352" s="952">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849">
      <c r="A353" s="250" t="inlineStr">
        <is>
          <t>V</t>
        </is>
      </c>
      <c r="B353" s="220" t="inlineStr">
        <is>
          <t>Vacant (contract)</t>
        </is>
      </c>
      <c r="C353" s="305" t="inlineStr">
        <is>
          <t>Reporting analysts - Strategic Programs</t>
        </is>
      </c>
      <c r="D353" t="inlineStr">
        <is>
          <t>Prashanth Krishnankutty</t>
        </is>
      </c>
      <c r="E353" s="220" t="inlineStr">
        <is>
          <t>Lead, Reporting &amp; Insights</t>
        </is>
      </c>
      <c r="F353" s="323" t="inlineStr">
        <is>
          <t>Strategy, Architecture &amp; Data</t>
        </is>
      </c>
      <c r="G353" s="306" t="inlineStr">
        <is>
          <t>Group Data</t>
        </is>
      </c>
      <c r="H353" s="323" t="inlineStr">
        <is>
          <t>Data Engineering &amp; Platforms</t>
        </is>
      </c>
      <c r="I353" s="306" t="inlineStr">
        <is>
          <t>Enterprise Data</t>
        </is>
      </c>
      <c r="J353" s="323" t="inlineStr">
        <is>
          <t>Group Data</t>
        </is>
      </c>
      <c r="K353" s="323" t="inlineStr">
        <is>
          <t>Reporting &amp; Analytics</t>
        </is>
      </c>
      <c r="L353" s="306" t="n"/>
      <c r="M353" s="307" t="inlineStr">
        <is>
          <t>Australia</t>
        </is>
      </c>
      <c r="N353" s="308" t="inlineStr">
        <is>
          <t>CIB</t>
        </is>
      </c>
      <c r="O353" s="308" t="n">
        <v>1</v>
      </c>
      <c r="P353" s="308" t="n"/>
      <c r="Q353" s="308" t="inlineStr">
        <is>
          <t>v</t>
        </is>
      </c>
      <c r="R353" s="310" t="n"/>
      <c r="S353" s="310" t="n"/>
      <c r="T353" s="322" t="n">
        <v>151950</v>
      </c>
      <c r="U353" s="321" t="n">
        <v>151950</v>
      </c>
      <c r="V353" s="313" t="n">
        <v>0.12</v>
      </c>
      <c r="W353" s="953" t="n">
        <v>0.055</v>
      </c>
      <c r="X353" s="953" t="n">
        <v>0.12</v>
      </c>
      <c r="Y353" s="954" t="n"/>
      <c r="Z353" s="953" t="n">
        <v>0.04</v>
      </c>
      <c r="AA353" s="952">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849">
      <c r="A354" s="250" t="n">
        <v>106026</v>
      </c>
      <c r="B354" s="220" t="inlineStr">
        <is>
          <t>Vincent Lu</t>
        </is>
      </c>
      <c r="C354" s="305" t="inlineStr">
        <is>
          <t>Reporting Analyst</t>
        </is>
      </c>
      <c r="D354" t="inlineStr">
        <is>
          <t>Prashanth Krishnankutty</t>
        </is>
      </c>
      <c r="E354" s="220" t="inlineStr">
        <is>
          <t>Lead, Reporting &amp; Insights</t>
        </is>
      </c>
      <c r="F354" s="323" t="inlineStr">
        <is>
          <t>Strategy, Architecture &amp; Data</t>
        </is>
      </c>
      <c r="G354" s="306" t="inlineStr">
        <is>
          <t>Group Data</t>
        </is>
      </c>
      <c r="H354" s="323" t="inlineStr">
        <is>
          <t>Data Engineering &amp; Platforms</t>
        </is>
      </c>
      <c r="I354" s="323" t="inlineStr">
        <is>
          <t>Enterprise Data</t>
        </is>
      </c>
      <c r="J354" s="323" t="inlineStr">
        <is>
          <t>Group Data</t>
        </is>
      </c>
      <c r="K354" s="323" t="inlineStr">
        <is>
          <t>Reporting &amp; Analytics</t>
        </is>
      </c>
      <c r="L354" s="306" t="n"/>
      <c r="M354" s="307" t="inlineStr">
        <is>
          <t>Australia</t>
        </is>
      </c>
      <c r="N354" s="308" t="inlineStr">
        <is>
          <t>CIB</t>
        </is>
      </c>
      <c r="O354" s="308" t="n">
        <v>1</v>
      </c>
      <c r="P354" s="308" t="n"/>
      <c r="Q354" s="308" t="inlineStr">
        <is>
          <t>Permanent - Full Time</t>
        </is>
      </c>
      <c r="R354" s="310" t="n"/>
      <c r="S354" s="310" t="n"/>
      <c r="T354" s="322" t="n">
        <v>134550</v>
      </c>
      <c r="U354" s="321" t="n">
        <v>134550</v>
      </c>
      <c r="V354" s="313" t="n">
        <v>0.12</v>
      </c>
      <c r="W354" s="953" t="n">
        <v>0.055</v>
      </c>
      <c r="X354" s="953" t="n">
        <v>0.12</v>
      </c>
      <c r="Y354" s="954" t="n"/>
      <c r="Z354" s="953" t="n">
        <v>0.04</v>
      </c>
      <c r="AA354" s="952">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849">
      <c r="A355" s="250" t="n">
        <v>101166</v>
      </c>
      <c r="B355" s="306" t="inlineStr">
        <is>
          <t>Yu Chen</t>
        </is>
      </c>
      <c r="C355" s="324" t="inlineStr">
        <is>
          <t>Senior Data Scientist</t>
        </is>
      </c>
      <c r="D355" t="inlineStr">
        <is>
          <t>Jonathan Robinson</t>
        </is>
      </c>
      <c r="E355" s="220" t="inlineStr">
        <is>
          <t>Technology Manager, Data Science</t>
        </is>
      </c>
      <c r="F355" s="323" t="inlineStr">
        <is>
          <t>Strategy, Architecture &amp; Data</t>
        </is>
      </c>
      <c r="G355" s="306" t="inlineStr">
        <is>
          <t>Group Data</t>
        </is>
      </c>
      <c r="H355" s="323" t="inlineStr">
        <is>
          <t>Data Science</t>
        </is>
      </c>
      <c r="I355" s="323" t="inlineStr">
        <is>
          <t>Enterprise Data</t>
        </is>
      </c>
      <c r="J355" s="323" t="inlineStr">
        <is>
          <t>Group Data</t>
        </is>
      </c>
      <c r="K355" s="306" t="inlineStr">
        <is>
          <t>Data Science</t>
        </is>
      </c>
      <c r="L355" s="306" t="n"/>
      <c r="M355" s="307" t="inlineStr">
        <is>
          <t>Australia</t>
        </is>
      </c>
      <c r="N355" s="308" t="inlineStr">
        <is>
          <t>CIC</t>
        </is>
      </c>
      <c r="O355" s="308" t="n">
        <v>1</v>
      </c>
      <c r="P355" s="308" t="n"/>
      <c r="Q355" s="308" t="inlineStr">
        <is>
          <t>Permanent - Full Time</t>
        </is>
      </c>
      <c r="R355" s="310" t="n"/>
      <c r="S355" s="310" t="n"/>
      <c r="T355" s="322" t="n">
        <v>173470</v>
      </c>
      <c r="U355" s="321" t="n">
        <v>173470</v>
      </c>
      <c r="V355" s="313" t="n">
        <v>0.12</v>
      </c>
      <c r="W355" s="953" t="n">
        <v>0.055</v>
      </c>
      <c r="X355" s="953" t="n">
        <v>0.12</v>
      </c>
      <c r="Y355" s="954" t="n"/>
      <c r="Z355" s="953" t="n">
        <v>0.04</v>
      </c>
      <c r="AA355" s="952">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849">
      <c r="A356" s="250" t="n">
        <v>107588</v>
      </c>
      <c r="B356" s="220" t="inlineStr">
        <is>
          <t>Akhil Sriram</t>
        </is>
      </c>
      <c r="C356" s="305" t="inlineStr">
        <is>
          <t>Snr Business Analyst</t>
        </is>
      </c>
      <c r="D356" s="316" t="inlineStr">
        <is>
          <t>Vacant</t>
        </is>
      </c>
      <c r="E356" t="inlineStr">
        <is>
          <t>Delivery Manager</t>
        </is>
      </c>
      <c r="F356" s="220" t="inlineStr">
        <is>
          <t>TDD CFE&amp;I</t>
        </is>
      </c>
      <c r="G356" s="332" t="inlineStr">
        <is>
          <t>Fuel Infrastructure</t>
        </is>
      </c>
      <c r="H356" s="306" t="inlineStr">
        <is>
          <t>Fuel Infrastructure, Delivery</t>
        </is>
      </c>
      <c r="I356" s="306" t="inlineStr">
        <is>
          <t>Infrastructure</t>
        </is>
      </c>
      <c r="J356" s="306" t="inlineStr">
        <is>
          <t>Manufacturing</t>
        </is>
      </c>
      <c r="K356" s="220" t="inlineStr">
        <is>
          <t>Manufacturing Group Projects</t>
        </is>
      </c>
      <c r="L356" s="306" t="n"/>
      <c r="M356" s="307" t="inlineStr">
        <is>
          <t>Australia</t>
        </is>
      </c>
      <c r="N356" s="308" t="inlineStr">
        <is>
          <t>CIB</t>
        </is>
      </c>
      <c r="O356" s="308" t="n">
        <v>1</v>
      </c>
      <c r="P356" s="308" t="n"/>
      <c r="Q356" s="308" t="inlineStr">
        <is>
          <t>Permanent - Full Time</t>
        </is>
      </c>
      <c r="R356" s="310" t="n"/>
      <c r="S356" s="310" t="n"/>
      <c r="T356" s="322" t="n">
        <v>166140</v>
      </c>
      <c r="U356" s="321" t="n">
        <v>166140</v>
      </c>
      <c r="V356" s="313" t="n">
        <v>0.12</v>
      </c>
      <c r="W356" s="953" t="n">
        <v>0.055</v>
      </c>
      <c r="X356" s="953" t="n">
        <v>0.12</v>
      </c>
      <c r="Y356" s="954" t="n"/>
      <c r="Z356" s="953" t="n">
        <v>0.04</v>
      </c>
      <c r="AA356" s="952">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849">
      <c r="A357" s="250" t="n">
        <v>99999101912</v>
      </c>
      <c r="B357" s="220" t="inlineStr">
        <is>
          <t>Alex Abelita</t>
        </is>
      </c>
      <c r="C357" s="305" t="inlineStr">
        <is>
          <t>Associate Engineer - Automation Testing</t>
        </is>
      </c>
      <c r="D357" t="inlineStr">
        <is>
          <t>Elle Spencer</t>
        </is>
      </c>
      <c r="E357" t="inlineStr">
        <is>
          <t>Technology Manager, Energy Solutions</t>
        </is>
      </c>
      <c r="F357" s="220" t="inlineStr">
        <is>
          <t>TDD CFE&amp;I</t>
        </is>
      </c>
      <c r="G357" s="306" t="inlineStr">
        <is>
          <t>B2B &amp; Energy Solutions</t>
        </is>
      </c>
      <c r="H357" s="306" t="inlineStr">
        <is>
          <t>Technology B2B</t>
        </is>
      </c>
      <c r="I357" s="306" t="inlineStr">
        <is>
          <t>B2B &amp; Energy Solutions</t>
        </is>
      </c>
      <c r="J357" s="220" t="inlineStr">
        <is>
          <t>B2B</t>
        </is>
      </c>
      <c r="K357" s="220" t="inlineStr">
        <is>
          <t>B2B</t>
        </is>
      </c>
      <c r="L357" s="306" t="n"/>
      <c r="M357" s="307" t="inlineStr">
        <is>
          <t>NZ</t>
        </is>
      </c>
      <c r="N357" s="308" t="inlineStr">
        <is>
          <t>CDB</t>
        </is>
      </c>
      <c r="O357" s="309" t="n">
        <v>1</v>
      </c>
      <c r="P357" s="308" t="n"/>
      <c r="Q357" s="309" t="inlineStr">
        <is>
          <t>Permanent - Full Time</t>
        </is>
      </c>
      <c r="R357" s="310" t="n"/>
      <c r="S357" s="310" t="n"/>
      <c r="T357" s="322" t="n">
        <v>77500</v>
      </c>
      <c r="U357" s="321" t="n">
        <v>71300</v>
      </c>
      <c r="V357" s="312" t="n">
        <v>0.1</v>
      </c>
      <c r="W357" s="309" t="n"/>
      <c r="X357" s="313" t="n">
        <v>0.05</v>
      </c>
      <c r="Y357" s="951" t="n">
        <v>2910</v>
      </c>
      <c r="Z357" s="313" t="n">
        <v>0.03</v>
      </c>
      <c r="AA357" s="952">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849">
      <c r="A358" s="250" t="n">
        <v>92699</v>
      </c>
      <c r="B358" s="220" t="inlineStr">
        <is>
          <t>Alison Rosier</t>
        </is>
      </c>
      <c r="C358" s="346" t="inlineStr">
        <is>
          <t>Technology Support Engineer - Infrastructure</t>
        </is>
      </c>
      <c r="D358" t="inlineStr">
        <is>
          <t>Glenn Earl</t>
        </is>
      </c>
      <c r="E358" t="inlineStr">
        <is>
          <t>Lead Support, Infrastructure</t>
        </is>
      </c>
      <c r="F358" s="220" t="inlineStr">
        <is>
          <t>TDD CFE&amp;I</t>
        </is>
      </c>
      <c r="G358" s="306" t="inlineStr">
        <is>
          <t>Fuel Infrastructure</t>
        </is>
      </c>
      <c r="H358" s="306" t="inlineStr">
        <is>
          <t>Refinery Applications</t>
        </is>
      </c>
      <c r="I358" s="306" t="inlineStr">
        <is>
          <t>Infrastructure</t>
        </is>
      </c>
      <c r="J358" s="306" t="inlineStr">
        <is>
          <t>Fuel Infrastructure</t>
        </is>
      </c>
      <c r="K358" s="220" t="inlineStr">
        <is>
          <t>Technology Suport</t>
        </is>
      </c>
      <c r="L358" s="306" t="n"/>
      <c r="M358" s="307" t="inlineStr">
        <is>
          <t>Australia</t>
        </is>
      </c>
      <c r="N358" s="308" t="inlineStr">
        <is>
          <t>CIA</t>
        </is>
      </c>
      <c r="O358" s="308" t="n">
        <v>1</v>
      </c>
      <c r="P358" s="308" t="n"/>
      <c r="Q358" s="308" t="inlineStr">
        <is>
          <t>Permanent - Full Time</t>
        </is>
      </c>
      <c r="R358" s="310" t="n"/>
      <c r="S358" s="310" t="n"/>
      <c r="T358" s="322" t="n">
        <v>123906</v>
      </c>
      <c r="U358" s="321" t="n">
        <v>123906</v>
      </c>
      <c r="V358" s="313" t="n">
        <v>0.1</v>
      </c>
      <c r="W358" s="953" t="n">
        <v>0.055</v>
      </c>
      <c r="X358" s="953" t="n">
        <v>0.12</v>
      </c>
      <c r="Y358" s="954" t="n"/>
      <c r="Z358" s="953" t="n">
        <v>0.04</v>
      </c>
      <c r="AA358" s="952">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849">
      <c r="A359" s="250" t="n">
        <v>13925</v>
      </c>
      <c r="B359" s="220" t="inlineStr">
        <is>
          <t>Allan Francia</t>
        </is>
      </c>
      <c r="C359" s="305" t="inlineStr">
        <is>
          <t>Technology Manager - T&amp;S</t>
        </is>
      </c>
      <c r="D359" s="306" t="inlineStr">
        <is>
          <t>Vacant</t>
        </is>
      </c>
      <c r="E359" s="220" t="inlineStr">
        <is>
          <t>Head of Technology, Commercial Fuels</t>
        </is>
      </c>
      <c r="F359" s="220" t="inlineStr">
        <is>
          <t>TDD CFE&amp;I</t>
        </is>
      </c>
      <c r="G359" s="306" t="inlineStr">
        <is>
          <t>Commercial Fuels</t>
        </is>
      </c>
      <c r="H359" s="306" t="inlineStr">
        <is>
          <t>Technology, Trading &amp; Shipping</t>
        </is>
      </c>
      <c r="I359" s="306" t="inlineStr">
        <is>
          <t>Commercial Fuels</t>
        </is>
      </c>
      <c r="J359" s="306" t="inlineStr">
        <is>
          <t>Leadership</t>
        </is>
      </c>
      <c r="K359" s="306" t="inlineStr">
        <is>
          <t>Leadership</t>
        </is>
      </c>
      <c r="L359" s="306" t="n"/>
      <c r="M359" s="307" t="inlineStr">
        <is>
          <t>Australia</t>
        </is>
      </c>
      <c r="N359" s="310" t="inlineStr">
        <is>
          <t>CSB</t>
        </is>
      </c>
      <c r="O359" s="310" t="n">
        <v>1</v>
      </c>
      <c r="P359" s="310" t="n"/>
      <c r="Q359" s="310" t="inlineStr">
        <is>
          <t>Permanent - Full Time</t>
        </is>
      </c>
      <c r="R359" s="310" t="n"/>
      <c r="S359" s="310" t="n"/>
      <c r="T359" s="322" t="n">
        <v>212020</v>
      </c>
      <c r="U359" s="321" t="n">
        <v>212020</v>
      </c>
      <c r="V359" s="313" t="n">
        <v>0.14</v>
      </c>
      <c r="W359" s="953" t="n">
        <v>0.055</v>
      </c>
      <c r="X359" s="953" t="n">
        <v>0.12</v>
      </c>
      <c r="Y359" s="954" t="n"/>
      <c r="Z359" s="953" t="n">
        <v>0.04</v>
      </c>
      <c r="AA359" s="952">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849">
      <c r="A360" s="250" t="n">
        <v>114366</v>
      </c>
      <c r="B360" s="220" t="inlineStr">
        <is>
          <t>Allyn Puente</t>
        </is>
      </c>
      <c r="C360" s="305" t="inlineStr">
        <is>
          <t>Graduate</t>
        </is>
      </c>
      <c r="D360" s="220" t="inlineStr">
        <is>
          <t>Elle Spencer</t>
        </is>
      </c>
      <c r="E360" s="220" t="inlineStr">
        <is>
          <t>Technology Manager, Energy Solutions</t>
        </is>
      </c>
      <c r="F360" s="220" t="inlineStr">
        <is>
          <t>TDD CFE&amp;I</t>
        </is>
      </c>
      <c r="G360" s="306" t="inlineStr">
        <is>
          <t>B2B &amp; Energy Solutions</t>
        </is>
      </c>
      <c r="H360" s="306" t="inlineStr">
        <is>
          <t>Technology B2B</t>
        </is>
      </c>
      <c r="I360" s="306" t="inlineStr">
        <is>
          <t>B2B &amp; Energy Solutions</t>
        </is>
      </c>
      <c r="J360" s="220" t="inlineStr">
        <is>
          <t>B2B</t>
        </is>
      </c>
      <c r="K360" s="220" t="inlineStr">
        <is>
          <t>B2B</t>
        </is>
      </c>
      <c r="L360" s="306" t="n"/>
      <c r="M360" s="307" t="inlineStr">
        <is>
          <t>Australia</t>
        </is>
      </c>
      <c r="N360" s="308" t="inlineStr">
        <is>
          <t>CDB</t>
        </is>
      </c>
      <c r="O360" s="308" t="n">
        <v>1</v>
      </c>
      <c r="P360" s="308" t="n"/>
      <c r="Q360" s="308" t="inlineStr">
        <is>
          <t>Permanent - Full Time</t>
        </is>
      </c>
      <c r="R360" s="310" t="n"/>
      <c r="S360" s="310" t="n"/>
      <c r="T360" s="322" t="n">
        <v>85000</v>
      </c>
      <c r="U360" s="321" t="n">
        <v>85000</v>
      </c>
      <c r="V360" s="313" t="n">
        <v>0.08</v>
      </c>
      <c r="W360" s="953" t="n">
        <v>0.055</v>
      </c>
      <c r="X360" s="953" t="n">
        <v>0.12</v>
      </c>
      <c r="Y360" s="954" t="n"/>
      <c r="Z360" s="953" t="n">
        <v>0.04</v>
      </c>
      <c r="AA360" s="952">
        <f>U360*(1+V360+W360+X360+Y360+Z360)</f>
        <v>110075.0</v>
      </c>
      <c r="AC360" t="inlineStr">
        <is>
          <t>Energy Solutions &amp; B2B</t>
        </is>
      </c>
      <c r="AD360" t="inlineStr">
        <is>
          <t>B2B</t>
        </is>
      </c>
      <c r="AE360" t="inlineStr">
        <is>
          <t>B2B</t>
        </is>
      </c>
      <c r="AF360" t="inlineStr">
        <is>
          <t>Squad</t>
        </is>
      </c>
      <c r="AG360" t="inlineStr">
        <is>
          <t>Filled</t>
        </is>
      </c>
    </row>
    <row r="361" hidden="1" ht="18" customHeight="1" s="849">
      <c r="A361" s="250" t="n">
        <v>99999101752</v>
      </c>
      <c r="B361" s="220" t="inlineStr">
        <is>
          <t>Amanda Turnbull</t>
        </is>
      </c>
      <c r="C361" s="305" t="inlineStr">
        <is>
          <t>Engineer Software</t>
        </is>
      </c>
      <c r="D361" s="306" t="inlineStr">
        <is>
          <t>Vacant</t>
        </is>
      </c>
      <c r="E361" s="220" t="inlineStr">
        <is>
          <t>Technology Manager, Engineering</t>
        </is>
      </c>
      <c r="F361" s="220" t="inlineStr">
        <is>
          <t>TDD CFE&amp;I</t>
        </is>
      </c>
      <c r="G361" s="306" t="inlineStr">
        <is>
          <t>Commercial Fuels</t>
        </is>
      </c>
      <c r="H361" s="306" t="inlineStr">
        <is>
          <t>Technology, CF Engineering</t>
        </is>
      </c>
      <c r="I361" s="306" t="inlineStr">
        <is>
          <t>Commercial Fuels</t>
        </is>
      </c>
      <c r="J361" s="220" t="inlineStr">
        <is>
          <t>CTRM</t>
        </is>
      </c>
      <c r="K361" s="220" t="inlineStr">
        <is>
          <t>CTRM</t>
        </is>
      </c>
      <c r="L361" s="306" t="n"/>
      <c r="M361" s="307" t="inlineStr">
        <is>
          <t>NZ</t>
        </is>
      </c>
      <c r="N361" s="308" t="inlineStr">
        <is>
          <t>CDB</t>
        </is>
      </c>
      <c r="O361" s="309" t="n">
        <v>1</v>
      </c>
      <c r="P361" s="308" t="n"/>
      <c r="Q361" s="309" t="inlineStr">
        <is>
          <t>Permanent - Full Time</t>
        </is>
      </c>
      <c r="R361" s="310" t="n"/>
      <c r="S361" s="310" t="n"/>
      <c r="T361" s="322" t="n">
        <v>90760</v>
      </c>
      <c r="U361" s="321" t="n">
        <v>83499.2</v>
      </c>
      <c r="V361" s="312" t="n">
        <v>0.1</v>
      </c>
      <c r="W361" s="309" t="n"/>
      <c r="X361" s="313" t="n">
        <v>0.05</v>
      </c>
      <c r="Y361" s="951" t="n">
        <v>2910</v>
      </c>
      <c r="Z361" s="313" t="n">
        <v>0.03</v>
      </c>
      <c r="AA361" s="952">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849">
      <c r="A362" s="250" t="n">
        <v>97098</v>
      </c>
      <c r="B362" s="220" t="inlineStr">
        <is>
          <t>Amish Pandit</t>
        </is>
      </c>
      <c r="C362" s="305" t="inlineStr">
        <is>
          <t>Head of Technology, Fuel Infrastructure</t>
        </is>
      </c>
      <c r="D362" s="220" t="inlineStr">
        <is>
          <t>Roanne Steele</t>
        </is>
      </c>
      <c r="E362" s="220" t="inlineStr">
        <is>
          <t>GM TDD, CFE&amp;I</t>
        </is>
      </c>
      <c r="F362" s="220" t="inlineStr">
        <is>
          <t>TDD CFE&amp;I</t>
        </is>
      </c>
      <c r="G362" s="306" t="inlineStr">
        <is>
          <t>Fuel Infrastructure</t>
        </is>
      </c>
      <c r="H362" s="306" t="inlineStr">
        <is>
          <t>Leadership</t>
        </is>
      </c>
      <c r="I362" s="306" t="inlineStr">
        <is>
          <t>Infrastructure</t>
        </is>
      </c>
      <c r="J362" s="220" t="inlineStr">
        <is>
          <t xml:space="preserve">Leadership </t>
        </is>
      </c>
      <c r="K362" s="306" t="inlineStr">
        <is>
          <t>Leadership</t>
        </is>
      </c>
      <c r="L362" s="306" t="n"/>
      <c r="M362" s="307" t="inlineStr">
        <is>
          <t>Australia</t>
        </is>
      </c>
      <c r="N362" s="308" t="inlineStr">
        <is>
          <t>CSC</t>
        </is>
      </c>
      <c r="O362" s="308" t="n">
        <v>1</v>
      </c>
      <c r="P362" s="308" t="n"/>
      <c r="Q362" s="308" t="inlineStr">
        <is>
          <t>Permanent - Full Time</t>
        </is>
      </c>
      <c r="R362" s="310" t="n"/>
      <c r="S362" s="310" t="n"/>
      <c r="T362" s="322" t="n">
        <v>256980</v>
      </c>
      <c r="U362" s="321" t="n">
        <v>256980</v>
      </c>
      <c r="V362" s="313" t="n">
        <v>0.2</v>
      </c>
      <c r="W362" s="953" t="n">
        <v>0.055</v>
      </c>
      <c r="X362" s="953" t="n">
        <v>0.12</v>
      </c>
      <c r="Y362" s="954" t="n"/>
      <c r="Z362" s="953" t="n">
        <v>0.04</v>
      </c>
      <c r="AA362" s="952">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849">
      <c r="A363" s="250" t="n">
        <v>99999100072</v>
      </c>
      <c r="B363" s="220" t="inlineStr">
        <is>
          <t>Angela Ross</t>
        </is>
      </c>
      <c r="C363" s="305" t="inlineStr">
        <is>
          <t>Delivery Lead</t>
        </is>
      </c>
      <c r="D363" s="306" t="inlineStr">
        <is>
          <t>Vacant</t>
        </is>
      </c>
      <c r="E363" s="220" t="inlineStr">
        <is>
          <t>Delivery Manager</t>
        </is>
      </c>
      <c r="F363" s="220" t="inlineStr">
        <is>
          <t>TDD CFE&amp;I</t>
        </is>
      </c>
      <c r="G363" s="306" t="inlineStr">
        <is>
          <t>B2B &amp; Energy Solutions</t>
        </is>
      </c>
      <c r="H363" s="306" t="inlineStr">
        <is>
          <t>Delivery</t>
        </is>
      </c>
      <c r="I363" s="306" t="inlineStr">
        <is>
          <t>B2B &amp; Energy Solutions</t>
        </is>
      </c>
      <c r="J363" s="306" t="inlineStr">
        <is>
          <t>Energy Solutions</t>
        </is>
      </c>
      <c r="K363" s="220" t="inlineStr">
        <is>
          <t>EVCI</t>
        </is>
      </c>
      <c r="L363" s="306" t="n"/>
      <c r="M363" s="307" t="inlineStr">
        <is>
          <t>NZ</t>
        </is>
      </c>
      <c r="N363" s="308" t="inlineStr">
        <is>
          <t>CIC</t>
        </is>
      </c>
      <c r="O363" s="309" t="n">
        <v>1</v>
      </c>
      <c r="P363" s="308" t="n"/>
      <c r="Q363" s="309" t="inlineStr">
        <is>
          <t>Permanent - Full Time</t>
        </is>
      </c>
      <c r="R363" s="310" t="n"/>
      <c r="S363" s="310" t="n"/>
      <c r="T363" s="322" t="n">
        <v>163830</v>
      </c>
      <c r="U363" s="321" t="n">
        <v>150723.6</v>
      </c>
      <c r="V363" s="312" t="n">
        <v>0.15</v>
      </c>
      <c r="W363" s="309" t="n"/>
      <c r="X363" s="313" t="n">
        <v>0.05</v>
      </c>
      <c r="Y363" s="951" t="n">
        <v>2910</v>
      </c>
      <c r="Z363" s="313" t="n">
        <v>0.03</v>
      </c>
      <c r="AA363" s="952">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849">
      <c r="A364" s="250" t="n">
        <v>81395</v>
      </c>
      <c r="B364" s="220" t="inlineStr">
        <is>
          <t>Angus Gibson</t>
        </is>
      </c>
      <c r="C364" s="305" t="inlineStr">
        <is>
          <t>Senior Systems Analyst</t>
        </is>
      </c>
      <c r="D364" s="220" t="inlineStr">
        <is>
          <t>Karla Orozco Loza</t>
        </is>
      </c>
      <c r="E364" s="220" t="inlineStr">
        <is>
          <t>Technology Manager, Future Infrastructure</t>
        </is>
      </c>
      <c r="F364" s="220" t="inlineStr">
        <is>
          <t>TDD CFE&amp;I</t>
        </is>
      </c>
      <c r="G364" s="306" t="inlineStr">
        <is>
          <t>Fuel Infrastructure</t>
        </is>
      </c>
      <c r="H364" s="306" t="inlineStr">
        <is>
          <t>Technology - Distribution</t>
        </is>
      </c>
      <c r="I364" s="306" t="inlineStr">
        <is>
          <t>Infrastructure</t>
        </is>
      </c>
      <c r="J364" s="220" t="inlineStr">
        <is>
          <t>Distribution</t>
        </is>
      </c>
      <c r="K364" s="220" t="inlineStr">
        <is>
          <t>Distribution, Sales &amp; Services</t>
        </is>
      </c>
      <c r="L364" s="306" t="n"/>
      <c r="M364" s="307" t="inlineStr">
        <is>
          <t>Australia</t>
        </is>
      </c>
      <c r="N364" s="310" t="inlineStr">
        <is>
          <t>CIC</t>
        </is>
      </c>
      <c r="O364" s="310" t="n">
        <v>1</v>
      </c>
      <c r="P364" s="310" t="n"/>
      <c r="Q364" s="310" t="inlineStr">
        <is>
          <t>Permanent - Full Time</t>
        </is>
      </c>
      <c r="R364" s="310" t="n"/>
      <c r="S364" s="310" t="n"/>
      <c r="T364" s="322" t="n">
        <v>176400</v>
      </c>
      <c r="U364" s="321" t="n">
        <v>176400</v>
      </c>
      <c r="V364" s="313" t="n">
        <v>0.12</v>
      </c>
      <c r="W364" s="953" t="n">
        <v>0.055</v>
      </c>
      <c r="X364" s="953" t="n">
        <v>0.12</v>
      </c>
      <c r="Y364" s="954" t="n"/>
      <c r="Z364" s="953" t="n">
        <v>0.04</v>
      </c>
      <c r="AA364" s="952">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849">
      <c r="A365" s="250" t="n">
        <v>99999101568</v>
      </c>
      <c r="B365" s="220" t="inlineStr">
        <is>
          <t>Anie Camerino</t>
        </is>
      </c>
      <c r="C365" s="305" t="inlineStr">
        <is>
          <t>Snr Quality Assurance</t>
        </is>
      </c>
      <c r="D365" s="306" t="inlineStr">
        <is>
          <t>Vacant</t>
        </is>
      </c>
      <c r="E365" s="220" t="inlineStr">
        <is>
          <t>Technology Manager, Energy Solutions</t>
        </is>
      </c>
      <c r="F365" s="220" t="inlineStr">
        <is>
          <t>TDD CFE&amp;I</t>
        </is>
      </c>
      <c r="G365" s="306" t="inlineStr">
        <is>
          <t>B2B &amp; Energy Solutions</t>
        </is>
      </c>
      <c r="H365" s="306" t="inlineStr">
        <is>
          <t>Technology Energy Solutions</t>
        </is>
      </c>
      <c r="I365" s="306" t="inlineStr">
        <is>
          <t>B2B &amp; Energy Solutions</t>
        </is>
      </c>
      <c r="J365" s="306" t="inlineStr">
        <is>
          <t>Energy Solutions</t>
        </is>
      </c>
      <c r="K365" s="220" t="inlineStr">
        <is>
          <t>EVCI</t>
        </is>
      </c>
      <c r="L365" s="306" t="n"/>
      <c r="M365" s="307" t="inlineStr">
        <is>
          <t>NZ</t>
        </is>
      </c>
      <c r="N365" s="308" t="inlineStr">
        <is>
          <t>CIA</t>
        </is>
      </c>
      <c r="O365" s="309" t="n">
        <v>1</v>
      </c>
      <c r="P365" s="308" t="n"/>
      <c r="Q365" s="309" t="inlineStr">
        <is>
          <t>Permanent - Full Time</t>
        </is>
      </c>
      <c r="R365" s="310" t="n"/>
      <c r="S365" s="310" t="n"/>
      <c r="T365" s="322" t="n">
        <v>133080</v>
      </c>
      <c r="U365" s="321" t="n">
        <v>122433.6</v>
      </c>
      <c r="V365" s="312" t="n">
        <v>0.15</v>
      </c>
      <c r="W365" s="309" t="n"/>
      <c r="X365" s="313" t="n">
        <v>0.05</v>
      </c>
      <c r="Y365" s="951" t="n">
        <v>2910</v>
      </c>
      <c r="Z365" s="313" t="n">
        <v>0.03</v>
      </c>
      <c r="AA365" s="952">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849">
      <c r="A366" s="250" t="n">
        <v>6851</v>
      </c>
      <c r="B366" s="220" t="inlineStr">
        <is>
          <t>Ann Aquino</t>
        </is>
      </c>
      <c r="C366" s="305" t="inlineStr">
        <is>
          <t>Senior Business Analyst</t>
        </is>
      </c>
      <c r="D366" s="306" t="inlineStr">
        <is>
          <t>Vacant</t>
        </is>
      </c>
      <c r="E366" s="220" t="inlineStr">
        <is>
          <t>Delivery Manager</t>
        </is>
      </c>
      <c r="F366" s="220" t="inlineStr">
        <is>
          <t>TDD CFE&amp;I</t>
        </is>
      </c>
      <c r="G366" s="306" t="inlineStr">
        <is>
          <t>Commercial Fuels</t>
        </is>
      </c>
      <c r="H366" s="306" t="inlineStr">
        <is>
          <t>Delivery, Commercial Fuels</t>
        </is>
      </c>
      <c r="I366" s="306" t="inlineStr">
        <is>
          <t>Commercial Fuels</t>
        </is>
      </c>
      <c r="J366" s="306" t="inlineStr">
        <is>
          <t>Supply</t>
        </is>
      </c>
      <c r="K366" s="306" t="inlineStr">
        <is>
          <t>Supply</t>
        </is>
      </c>
      <c r="L366" s="220" t="n"/>
      <c r="M366" s="307" t="inlineStr">
        <is>
          <t>Australia</t>
        </is>
      </c>
      <c r="N366" s="310" t="inlineStr">
        <is>
          <t>CIB</t>
        </is>
      </c>
      <c r="O366" s="310" t="n">
        <v>1</v>
      </c>
      <c r="P366" s="310" t="n"/>
      <c r="Q366" s="310" t="inlineStr">
        <is>
          <t>Permanent - Full Time</t>
        </is>
      </c>
      <c r="R366" s="310" t="n"/>
      <c r="S366" s="310" t="n"/>
      <c r="T366" s="322" t="n">
        <v>164050</v>
      </c>
      <c r="U366" s="321" t="n">
        <v>164050</v>
      </c>
      <c r="V366" s="313" t="n">
        <v>0.12</v>
      </c>
      <c r="W366" s="953" t="n">
        <v>0.055</v>
      </c>
      <c r="X366" s="953" t="n">
        <v>0.12</v>
      </c>
      <c r="Y366" s="954" t="n"/>
      <c r="Z366" s="953" t="n">
        <v>0.04</v>
      </c>
      <c r="AA366" s="952">
        <f>U366*(1+V366+W366+X366+Y366+Z366)</f>
        <v>219006.75</v>
      </c>
      <c r="AC366" t="inlineStr">
        <is>
          <t>Commercial Fuels</t>
        </is>
      </c>
      <c r="AD366" t="inlineStr">
        <is>
          <t>Supply</t>
        </is>
      </c>
      <c r="AE366" t="inlineStr">
        <is>
          <t>Supply</t>
        </is>
      </c>
      <c r="AF366" t="inlineStr">
        <is>
          <t>Squad</t>
        </is>
      </c>
      <c r="AG366" t="inlineStr">
        <is>
          <t>Filled</t>
        </is>
      </c>
    </row>
    <row r="367" hidden="1" ht="18" customHeight="1" s="849">
      <c r="A367" s="250" t="n">
        <v>113039</v>
      </c>
      <c r="B367" s="220" t="inlineStr">
        <is>
          <t>Anusha Viswanatha</t>
        </is>
      </c>
      <c r="C367" s="305" t="inlineStr">
        <is>
          <t>Delivery Lead</t>
        </is>
      </c>
      <c r="D367" s="306" t="inlineStr">
        <is>
          <t>Vacant</t>
        </is>
      </c>
      <c r="E367" s="220" t="inlineStr">
        <is>
          <t>Technology Manager, Data</t>
        </is>
      </c>
      <c r="F367" s="220" t="inlineStr">
        <is>
          <t>TDD CFE&amp;I</t>
        </is>
      </c>
      <c r="G367" s="306" t="inlineStr">
        <is>
          <t>Commercial Fuels</t>
        </is>
      </c>
      <c r="H367" s="306" t="inlineStr">
        <is>
          <t>Technology, T&amp;S Data</t>
        </is>
      </c>
      <c r="I367" s="306" t="inlineStr">
        <is>
          <t>Commercial Fuels</t>
        </is>
      </c>
      <c r="J367" s="306" t="inlineStr">
        <is>
          <t>Trading &amp; Shipping</t>
        </is>
      </c>
      <c r="K367" s="306" t="inlineStr">
        <is>
          <t>Trading &amp; Shipping Data</t>
        </is>
      </c>
      <c r="L367" s="306" t="n"/>
      <c r="M367" s="307" t="inlineStr">
        <is>
          <t>Singapore</t>
        </is>
      </c>
      <c r="N367" s="308" t="inlineStr">
        <is>
          <t>CIC</t>
        </is>
      </c>
      <c r="O367" s="308" t="n">
        <v>1</v>
      </c>
      <c r="P367" s="308" t="n"/>
      <c r="Q367" s="308" t="inlineStr">
        <is>
          <t>Temporary - Full Time</t>
        </is>
      </c>
      <c r="R367" s="310" t="n"/>
      <c r="S367" s="310" t="n"/>
      <c r="T367" s="322" t="n">
        <v>160000</v>
      </c>
      <c r="U367" s="321" t="n">
        <v>193600</v>
      </c>
      <c r="V367" s="313" t="n">
        <v>0.25</v>
      </c>
      <c r="W367" s="310" t="n"/>
      <c r="X367" s="313" t="n">
        <v>0.17</v>
      </c>
      <c r="Y367" s="951" t="n">
        <v>3310</v>
      </c>
      <c r="Z367" s="335" t="n">
        <v>0.045</v>
      </c>
      <c r="AA367" s="952">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849">
      <c r="A368" s="250" t="n">
        <v>97776</v>
      </c>
      <c r="B368" s="220" t="inlineStr">
        <is>
          <t>Anvitha Kurra</t>
        </is>
      </c>
      <c r="C368" s="305" t="inlineStr">
        <is>
          <t>Senior Systems Analyst</t>
        </is>
      </c>
      <c r="D368" s="220" t="inlineStr">
        <is>
          <t>Karla Orozco Loza</t>
        </is>
      </c>
      <c r="E368" s="220" t="inlineStr">
        <is>
          <t>Technology Manager, Future Infrastructure</t>
        </is>
      </c>
      <c r="F368" s="220" t="inlineStr">
        <is>
          <t>TDD CFE&amp;I</t>
        </is>
      </c>
      <c r="G368" s="306" t="inlineStr">
        <is>
          <t>Fuel Infrastructure</t>
        </is>
      </c>
      <c r="H368" s="306" t="inlineStr">
        <is>
          <t>Technology - Distribution</t>
        </is>
      </c>
      <c r="I368" s="306" t="inlineStr">
        <is>
          <t>Infrastructure</t>
        </is>
      </c>
      <c r="J368" s="220" t="inlineStr">
        <is>
          <t>Distribution</t>
        </is>
      </c>
      <c r="K368" s="220" t="inlineStr">
        <is>
          <t>Distribution, Sales &amp; Services</t>
        </is>
      </c>
      <c r="L368" s="306" t="n"/>
      <c r="M368" s="307" t="inlineStr">
        <is>
          <t>Australia</t>
        </is>
      </c>
      <c r="N368" s="308" t="inlineStr">
        <is>
          <t>CIB</t>
        </is>
      </c>
      <c r="O368" s="308" t="n">
        <v>1</v>
      </c>
      <c r="P368" s="308" t="n"/>
      <c r="Q368" s="308" t="inlineStr">
        <is>
          <t>Permanent - Full Time</t>
        </is>
      </c>
      <c r="R368" s="310" t="n"/>
      <c r="S368" s="310" t="n"/>
      <c r="T368" s="322" t="n">
        <v>161340</v>
      </c>
      <c r="U368" s="321" t="n">
        <v>161340</v>
      </c>
      <c r="V368" s="313" t="n">
        <v>0.12</v>
      </c>
      <c r="W368" s="953" t="n">
        <v>0.055</v>
      </c>
      <c r="X368" s="953" t="n">
        <v>0.12</v>
      </c>
      <c r="Y368" s="954" t="n"/>
      <c r="Z368" s="953" t="n">
        <v>0.04</v>
      </c>
      <c r="AA368" s="952">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849">
      <c r="A369" s="250" t="n">
        <v>111319</v>
      </c>
      <c r="B369" s="220" t="inlineStr">
        <is>
          <t>Arun Prakash Jayaprakasam</t>
        </is>
      </c>
      <c r="C369" s="305" t="inlineStr">
        <is>
          <t>Data Engineer Analyst</t>
        </is>
      </c>
      <c r="D369" s="306" t="inlineStr">
        <is>
          <t>Vacant</t>
        </is>
      </c>
      <c r="E369" s="220" t="inlineStr">
        <is>
          <t>Technology Manager, Data</t>
        </is>
      </c>
      <c r="F369" s="220" t="inlineStr">
        <is>
          <t>TDD CFE&amp;I</t>
        </is>
      </c>
      <c r="G369" s="306" t="inlineStr">
        <is>
          <t>Commercial Fuels</t>
        </is>
      </c>
      <c r="H369" s="306" t="inlineStr">
        <is>
          <t>Technology, T&amp;S Data</t>
        </is>
      </c>
      <c r="I369" s="306" t="inlineStr">
        <is>
          <t>Commercial Fuels</t>
        </is>
      </c>
      <c r="J369" s="306" t="inlineStr">
        <is>
          <t>Trading &amp; Shipping</t>
        </is>
      </c>
      <c r="K369" s="306" t="inlineStr">
        <is>
          <t>Trading &amp; Shipping Data</t>
        </is>
      </c>
      <c r="L369" s="306" t="n"/>
      <c r="M369" s="307" t="inlineStr">
        <is>
          <t>Singapore</t>
        </is>
      </c>
      <c r="N369" s="308" t="inlineStr">
        <is>
          <t>CIB</t>
        </is>
      </c>
      <c r="O369" s="308" t="n">
        <v>1</v>
      </c>
      <c r="P369" s="308" t="n"/>
      <c r="Q369" s="308" t="inlineStr">
        <is>
          <t>Permanent - Full Time</t>
        </is>
      </c>
      <c r="R369" s="310" t="n"/>
      <c r="S369" s="310" t="n"/>
      <c r="T369" s="322" t="n">
        <v>149480</v>
      </c>
      <c r="U369" s="321" t="n">
        <v>180870.8</v>
      </c>
      <c r="V369" s="313" t="n">
        <v>0.25</v>
      </c>
      <c r="W369" s="310" t="n"/>
      <c r="X369" s="313" t="n">
        <v>0.17</v>
      </c>
      <c r="Y369" s="951" t="n">
        <v>3310</v>
      </c>
      <c r="Z369" s="335" t="n">
        <v>0.045</v>
      </c>
      <c r="AA369" s="952">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849">
      <c r="A370" s="250" t="n">
        <v>108033</v>
      </c>
      <c r="B370" s="220" t="inlineStr">
        <is>
          <t>Ayushi Agarwal</t>
        </is>
      </c>
      <c r="C370" s="305" t="inlineStr">
        <is>
          <t>Engineer Data</t>
        </is>
      </c>
      <c r="D370" s="306" t="inlineStr">
        <is>
          <t>Vacant</t>
        </is>
      </c>
      <c r="E370" s="220" t="inlineStr">
        <is>
          <t>Technology Manager, Data</t>
        </is>
      </c>
      <c r="F370" s="220" t="inlineStr">
        <is>
          <t>TDD CFE&amp;I</t>
        </is>
      </c>
      <c r="G370" s="306" t="inlineStr">
        <is>
          <t>Commercial Fuels</t>
        </is>
      </c>
      <c r="H370" s="306" t="inlineStr">
        <is>
          <t>Technology, T&amp;S Data</t>
        </is>
      </c>
      <c r="I370" s="306" t="inlineStr">
        <is>
          <t>Commercial Fuels</t>
        </is>
      </c>
      <c r="J370" s="306" t="inlineStr">
        <is>
          <t>Trading &amp; Shipping</t>
        </is>
      </c>
      <c r="K370" s="306" t="inlineStr">
        <is>
          <t>Trading &amp; Shipping Data</t>
        </is>
      </c>
      <c r="L370" s="306" t="n"/>
      <c r="M370" s="307" t="inlineStr">
        <is>
          <t>Singapore</t>
        </is>
      </c>
      <c r="N370" s="308" t="inlineStr">
        <is>
          <t>CIB</t>
        </is>
      </c>
      <c r="O370" s="308" t="n">
        <v>1</v>
      </c>
      <c r="P370" s="308" t="n"/>
      <c r="Q370" s="308" t="inlineStr">
        <is>
          <t>Permanent - Full Time</t>
        </is>
      </c>
      <c r="R370" s="310" t="n"/>
      <c r="S370" s="310" t="n"/>
      <c r="T370" s="322" t="n">
        <v>145320</v>
      </c>
      <c r="U370" s="321" t="n">
        <v>175837.2</v>
      </c>
      <c r="V370" s="313" t="n">
        <v>0.25</v>
      </c>
      <c r="W370" s="310" t="n"/>
      <c r="X370" s="313" t="n">
        <v>0.17</v>
      </c>
      <c r="Y370" s="951" t="n">
        <v>3310</v>
      </c>
      <c r="Z370" s="335" t="n">
        <v>0.045</v>
      </c>
      <c r="AA370" s="952">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849">
      <c r="A371" s="250" t="n">
        <v>14100</v>
      </c>
      <c r="B371" s="220" t="inlineStr">
        <is>
          <t>Belinda Ford</t>
        </is>
      </c>
      <c r="C371" s="305" t="inlineStr">
        <is>
          <t>Quality Assurance</t>
        </is>
      </c>
      <c r="D371" s="220" t="inlineStr">
        <is>
          <t>Elle Spencer</t>
        </is>
      </c>
      <c r="E371" s="220" t="inlineStr">
        <is>
          <t>Technology Manager, Energy Solutions</t>
        </is>
      </c>
      <c r="F371" s="220" t="inlineStr">
        <is>
          <t>TDD CFE&amp;I</t>
        </is>
      </c>
      <c r="G371" s="306" t="inlineStr">
        <is>
          <t>B2B &amp; Energy Solutions</t>
        </is>
      </c>
      <c r="H371" s="306" t="inlineStr">
        <is>
          <t>Technology B2B</t>
        </is>
      </c>
      <c r="I371" s="306" t="inlineStr">
        <is>
          <t>B2B &amp; Energy Solutions</t>
        </is>
      </c>
      <c r="J371" s="220" t="inlineStr">
        <is>
          <t>B2B</t>
        </is>
      </c>
      <c r="K371" s="220" t="inlineStr">
        <is>
          <t>B2B</t>
        </is>
      </c>
      <c r="L371" s="306" t="n"/>
      <c r="M371" s="307" t="inlineStr">
        <is>
          <t>Australia</t>
        </is>
      </c>
      <c r="N371" s="310" t="inlineStr">
        <is>
          <t>CDC</t>
        </is>
      </c>
      <c r="O371" s="310" t="n">
        <v>1</v>
      </c>
      <c r="P371" s="310" t="n"/>
      <c r="Q371" s="310" t="inlineStr">
        <is>
          <t>Permanent - Full Time</t>
        </is>
      </c>
      <c r="R371" s="310" t="n"/>
      <c r="S371" s="310" t="n"/>
      <c r="T371" s="322" t="n">
        <v>113430</v>
      </c>
      <c r="U371" s="321" t="n">
        <v>113430</v>
      </c>
      <c r="V371" s="313" t="n">
        <v>0.1</v>
      </c>
      <c r="W371" s="953" t="n">
        <v>0.055</v>
      </c>
      <c r="X371" s="953" t="n">
        <v>0.12</v>
      </c>
      <c r="Y371" s="954" t="n"/>
      <c r="Z371" s="953" t="n">
        <v>0.04</v>
      </c>
      <c r="AA371" s="952">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849">
      <c r="A372" s="250" t="n">
        <v>101539</v>
      </c>
      <c r="B372" s="220" t="inlineStr">
        <is>
          <t>Breanna Hua</t>
        </is>
      </c>
      <c r="C372" s="305" t="inlineStr">
        <is>
          <t>Systems Analyst</t>
        </is>
      </c>
      <c r="D372" s="220" t="inlineStr">
        <is>
          <t>Karla Orozco Loza</t>
        </is>
      </c>
      <c r="E372" s="220" t="inlineStr">
        <is>
          <t>Technology Manager, Future Infrastructure</t>
        </is>
      </c>
      <c r="F372" s="220" t="inlineStr">
        <is>
          <t>TDD CFE&amp;I</t>
        </is>
      </c>
      <c r="G372" s="306" t="inlineStr">
        <is>
          <t>Fuel Infrastructure</t>
        </is>
      </c>
      <c r="H372" s="306" t="inlineStr">
        <is>
          <t>Fuel Infrastructure</t>
        </is>
      </c>
      <c r="I372" s="306" t="inlineStr">
        <is>
          <t>Infrastructure</t>
        </is>
      </c>
      <c r="J372" s="306" t="inlineStr">
        <is>
          <t>Distribution</t>
        </is>
      </c>
      <c r="K372" s="220" t="inlineStr">
        <is>
          <t>Distribution, Sales &amp; Services</t>
        </is>
      </c>
      <c r="L372" s="306" t="n"/>
      <c r="M372" s="307" t="inlineStr">
        <is>
          <t>Australia</t>
        </is>
      </c>
      <c r="N372" s="308" t="inlineStr">
        <is>
          <t>CIA</t>
        </is>
      </c>
      <c r="O372" s="308" t="n">
        <v>1</v>
      </c>
      <c r="P372" s="308" t="n"/>
      <c r="Q372" s="308" t="inlineStr">
        <is>
          <t>Permanent - Full Time</t>
        </is>
      </c>
      <c r="R372" s="310" t="n"/>
      <c r="S372" s="310" t="n"/>
      <c r="T372" s="322" t="n">
        <v>127110</v>
      </c>
      <c r="U372" s="321" t="n">
        <v>127110</v>
      </c>
      <c r="V372" s="313" t="n">
        <v>0.1</v>
      </c>
      <c r="W372" s="953" t="n">
        <v>0.055</v>
      </c>
      <c r="X372" s="953" t="n">
        <v>0.12</v>
      </c>
      <c r="Y372" s="954" t="n"/>
      <c r="Z372" s="953" t="n">
        <v>0.04</v>
      </c>
      <c r="AA372" s="952">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849">
      <c r="A373" s="250" t="n">
        <v>97284</v>
      </c>
      <c r="B373" s="220" t="inlineStr">
        <is>
          <t>Byron Leung</t>
        </is>
      </c>
      <c r="C373" s="305" t="inlineStr">
        <is>
          <t>Solution Architect</t>
        </is>
      </c>
      <c r="D373" s="306" t="inlineStr">
        <is>
          <t>Vacant</t>
        </is>
      </c>
      <c r="E373" s="220" t="inlineStr">
        <is>
          <t>Technology Manager, Engineering</t>
        </is>
      </c>
      <c r="F373" s="220" t="inlineStr">
        <is>
          <t>TDD CFE&amp;I</t>
        </is>
      </c>
      <c r="G373" s="306" t="inlineStr">
        <is>
          <t>Commercial Fuels</t>
        </is>
      </c>
      <c r="H373" s="306" t="inlineStr">
        <is>
          <t>Technology, CF Engineering</t>
        </is>
      </c>
      <c r="I373" s="306" t="inlineStr">
        <is>
          <t>Commercial Fuels</t>
        </is>
      </c>
      <c r="J373" s="220" t="inlineStr">
        <is>
          <t>CTRM</t>
        </is>
      </c>
      <c r="K373" s="220" t="inlineStr">
        <is>
          <t>CTRM</t>
        </is>
      </c>
      <c r="L373" s="306" t="n"/>
      <c r="M373" s="307" t="inlineStr">
        <is>
          <t>Australia</t>
        </is>
      </c>
      <c r="N373" s="308" t="inlineStr">
        <is>
          <t>CIC</t>
        </is>
      </c>
      <c r="O373" s="308" t="n">
        <v>1</v>
      </c>
      <c r="P373" s="308" t="n"/>
      <c r="Q373" s="308" t="inlineStr">
        <is>
          <t>Permanent - Full Time</t>
        </is>
      </c>
      <c r="R373" s="310" t="n"/>
      <c r="S373" s="310" t="n"/>
      <c r="T373" s="322" t="n">
        <v>207470</v>
      </c>
      <c r="U373" s="321" t="n">
        <v>207470</v>
      </c>
      <c r="V373" s="313" t="n">
        <v>0.12</v>
      </c>
      <c r="W373" s="953" t="n">
        <v>0.055</v>
      </c>
      <c r="X373" s="953" t="n">
        <v>0.12</v>
      </c>
      <c r="Y373" s="954" t="n"/>
      <c r="Z373" s="953" t="n">
        <v>0.04</v>
      </c>
      <c r="AA373" s="952">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849">
      <c r="A374" s="250" t="n">
        <v>99999101505</v>
      </c>
      <c r="B374" s="220" t="inlineStr">
        <is>
          <t>Caitlin Dyas</t>
        </is>
      </c>
      <c r="C374" s="305" t="inlineStr">
        <is>
          <t>Snr Engineer Software</t>
        </is>
      </c>
      <c r="D374" s="306" t="inlineStr">
        <is>
          <t>Vacant</t>
        </is>
      </c>
      <c r="E374" s="220" t="inlineStr">
        <is>
          <t>Technology Manager, Energy Solutions</t>
        </is>
      </c>
      <c r="F374" s="220" t="inlineStr">
        <is>
          <t>TDD CFE&amp;I</t>
        </is>
      </c>
      <c r="G374" s="306" t="inlineStr">
        <is>
          <t>B2B &amp; Energy Solutions</t>
        </is>
      </c>
      <c r="H374" s="306" t="inlineStr">
        <is>
          <t>Technology Energy Solutions</t>
        </is>
      </c>
      <c r="I374" s="306" t="inlineStr">
        <is>
          <t>B2B &amp; Energy Solutions</t>
        </is>
      </c>
      <c r="J374" s="306" t="inlineStr">
        <is>
          <t>Energy Solutions</t>
        </is>
      </c>
      <c r="K374" s="220" t="inlineStr">
        <is>
          <t>EVCI</t>
        </is>
      </c>
      <c r="L374" s="306" t="n"/>
      <c r="M374" s="307" t="inlineStr">
        <is>
          <t>NZ</t>
        </is>
      </c>
      <c r="N374" s="308" t="inlineStr">
        <is>
          <t>CIB</t>
        </is>
      </c>
      <c r="O374" s="309" t="n">
        <v>1</v>
      </c>
      <c r="P374" s="308" t="n"/>
      <c r="Q374" s="309" t="inlineStr">
        <is>
          <t>Permanent - Full Time</t>
        </is>
      </c>
      <c r="R374" s="310" t="n"/>
      <c r="S374" s="310" t="n"/>
      <c r="T374" s="322" t="n">
        <v>125000</v>
      </c>
      <c r="U374" s="321" t="n">
        <v>115000</v>
      </c>
      <c r="V374" s="312" t="n">
        <v>0.15</v>
      </c>
      <c r="W374" s="309" t="n"/>
      <c r="X374" s="313" t="n">
        <v>0.05</v>
      </c>
      <c r="Y374" s="951" t="n">
        <v>2910</v>
      </c>
      <c r="Z374" s="313" t="n">
        <v>0.03</v>
      </c>
      <c r="AA374" s="952">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849">
      <c r="A375" s="250" t="n">
        <v>99999101895</v>
      </c>
      <c r="B375" s="220" t="inlineStr">
        <is>
          <t>Caitlin Naylor</t>
        </is>
      </c>
      <c r="C375" s="305" t="inlineStr">
        <is>
          <t>Associate Engineer- Software</t>
        </is>
      </c>
      <c r="D375" s="306" t="inlineStr">
        <is>
          <t>Vacant</t>
        </is>
      </c>
      <c r="E375" s="220" t="inlineStr">
        <is>
          <t>Technology Manager, Energy Solutions</t>
        </is>
      </c>
      <c r="F375" s="220" t="inlineStr">
        <is>
          <t>TDD CFE&amp;I</t>
        </is>
      </c>
      <c r="G375" s="306" t="inlineStr">
        <is>
          <t>B2B &amp; Energy Solutions</t>
        </is>
      </c>
      <c r="H375" s="306" t="inlineStr">
        <is>
          <t>Technology Energy Solutions</t>
        </is>
      </c>
      <c r="I375" s="306" t="inlineStr">
        <is>
          <t>B2B &amp; Energy Solutions</t>
        </is>
      </c>
      <c r="J375" s="306" t="inlineStr">
        <is>
          <t>Energy Solutions</t>
        </is>
      </c>
      <c r="K375" s="220" t="inlineStr">
        <is>
          <t>Energy</t>
        </is>
      </c>
      <c r="L375" s="306" t="n"/>
      <c r="M375" s="307" t="inlineStr">
        <is>
          <t>NZ</t>
        </is>
      </c>
      <c r="N375" s="308" t="inlineStr">
        <is>
          <t>CDA</t>
        </is>
      </c>
      <c r="O375" s="309" t="n">
        <v>1</v>
      </c>
      <c r="P375" s="308" t="n"/>
      <c r="Q375" s="309" t="inlineStr">
        <is>
          <t>Permanent - Full Time</t>
        </is>
      </c>
      <c r="R375" s="310" t="n"/>
      <c r="S375" s="310" t="n"/>
      <c r="T375" s="322" t="n">
        <v>77860</v>
      </c>
      <c r="U375" s="321" t="n">
        <v>71631.2</v>
      </c>
      <c r="V375" s="312" t="n">
        <v>0.1</v>
      </c>
      <c r="W375" s="309" t="n"/>
      <c r="X375" s="313" t="n">
        <v>0.05</v>
      </c>
      <c r="Y375" s="951" t="n">
        <v>2910</v>
      </c>
      <c r="Z375" s="313" t="n">
        <v>0.03</v>
      </c>
      <c r="AA375" s="952">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849">
      <c r="A376" s="250" t="n">
        <v>106404</v>
      </c>
      <c r="B376" s="220" t="inlineStr">
        <is>
          <t>Carl Russo</t>
        </is>
      </c>
      <c r="C376" s="305" t="inlineStr">
        <is>
          <t>Program Manager - CTRM</t>
        </is>
      </c>
      <c r="D376" s="220" t="inlineStr">
        <is>
          <t>Roanne Steele</t>
        </is>
      </c>
      <c r="E376" s="220" t="inlineStr">
        <is>
          <t>GM TDD, CFE&amp;I</t>
        </is>
      </c>
      <c r="F376" s="220" t="inlineStr">
        <is>
          <t>TDD CFE&amp;I</t>
        </is>
      </c>
      <c r="G376" s="306" t="inlineStr">
        <is>
          <t>Leadership</t>
        </is>
      </c>
      <c r="H376" s="306" t="inlineStr">
        <is>
          <t>Leadership</t>
        </is>
      </c>
      <c r="I376" s="306" t="inlineStr">
        <is>
          <t>Commercial Fuels</t>
        </is>
      </c>
      <c r="J376" s="306" t="inlineStr">
        <is>
          <t>CTRM</t>
        </is>
      </c>
      <c r="K376" s="220" t="inlineStr">
        <is>
          <t>CTRM</t>
        </is>
      </c>
      <c r="L376" s="306" t="n"/>
      <c r="M376" s="307" t="inlineStr">
        <is>
          <t>Australia</t>
        </is>
      </c>
      <c r="N376" s="308" t="inlineStr">
        <is>
          <t>CSB</t>
        </is>
      </c>
      <c r="O376" s="308" t="n">
        <v>1</v>
      </c>
      <c r="P376" s="308" t="n"/>
      <c r="Q376" s="308" t="inlineStr">
        <is>
          <t>Permanent - Full Time</t>
        </is>
      </c>
      <c r="R376" s="310" t="n"/>
      <c r="S376" s="310" t="n"/>
      <c r="T376" s="322" t="n">
        <v>238890</v>
      </c>
      <c r="U376" s="321" t="n">
        <v>238890</v>
      </c>
      <c r="V376" s="313" t="n">
        <v>0.14</v>
      </c>
      <c r="W376" s="953" t="n">
        <v>0.055</v>
      </c>
      <c r="X376" s="953" t="n">
        <v>0.12</v>
      </c>
      <c r="Y376" s="954" t="n"/>
      <c r="Z376" s="953" t="n">
        <v>0.04</v>
      </c>
      <c r="AA376" s="952">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849">
      <c r="A377" s="250" t="n">
        <v>99999101013</v>
      </c>
      <c r="B377" s="220" t="inlineStr">
        <is>
          <t>Chantal Lynch</t>
        </is>
      </c>
      <c r="C377" s="305" t="inlineStr">
        <is>
          <t>Lead Quality Assurance</t>
        </is>
      </c>
      <c r="D377" s="306" t="inlineStr">
        <is>
          <t>Vacant</t>
        </is>
      </c>
      <c r="E377" s="220" t="inlineStr">
        <is>
          <t>Technology Manager, Engineering</t>
        </is>
      </c>
      <c r="F377" s="220" t="inlineStr">
        <is>
          <t>TDD CFE&amp;I</t>
        </is>
      </c>
      <c r="G377" s="306" t="inlineStr">
        <is>
          <t>Commercial Fuels</t>
        </is>
      </c>
      <c r="H377" s="306" t="inlineStr">
        <is>
          <t>Technology, CF Engineering</t>
        </is>
      </c>
      <c r="I377" s="306" t="inlineStr">
        <is>
          <t>Commercial Fuels</t>
        </is>
      </c>
      <c r="J377" s="220" t="inlineStr">
        <is>
          <t>CTRM</t>
        </is>
      </c>
      <c r="K377" s="220" t="inlineStr">
        <is>
          <t>CTRM</t>
        </is>
      </c>
      <c r="L377" s="306" t="n"/>
      <c r="M377" s="307" t="inlineStr">
        <is>
          <t>NZ</t>
        </is>
      </c>
      <c r="N377" s="308" t="inlineStr">
        <is>
          <t>CIC</t>
        </is>
      </c>
      <c r="O377" s="309" t="n">
        <v>1</v>
      </c>
      <c r="P377" s="308" t="n"/>
      <c r="Q377" s="309" t="inlineStr">
        <is>
          <t>Permanent - Full Time</t>
        </is>
      </c>
      <c r="R377" s="310" t="n"/>
      <c r="S377" s="310" t="n"/>
      <c r="T377" s="322" t="n">
        <v>157060</v>
      </c>
      <c r="U377" s="321" t="n">
        <v>144495.2</v>
      </c>
      <c r="V377" s="312" t="n">
        <v>0.15</v>
      </c>
      <c r="W377" s="309" t="n"/>
      <c r="X377" s="313" t="n">
        <v>0.05</v>
      </c>
      <c r="Y377" s="951" t="n">
        <v>2910</v>
      </c>
      <c r="Z377" s="313" t="n">
        <v>0.03</v>
      </c>
      <c r="AA377" s="952">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849">
      <c r="A378" s="250" t="n">
        <v>106547</v>
      </c>
      <c r="B378" s="220" t="inlineStr">
        <is>
          <t>Chin Fang Kwek</t>
        </is>
      </c>
      <c r="C378" s="305" t="inlineStr">
        <is>
          <t>System Analyst</t>
        </is>
      </c>
      <c r="D378" s="220" t="inlineStr">
        <is>
          <t>Allan Francia</t>
        </is>
      </c>
      <c r="E378" s="220" t="inlineStr">
        <is>
          <t>Technology Manager, T&amp;S</t>
        </is>
      </c>
      <c r="F378" s="220" t="inlineStr">
        <is>
          <t>TDD CFE&amp;I</t>
        </is>
      </c>
      <c r="G378" s="306" t="inlineStr">
        <is>
          <t>Commercial Fuels</t>
        </is>
      </c>
      <c r="H378" s="306" t="inlineStr">
        <is>
          <t>Technology, Trading &amp; Shipping</t>
        </is>
      </c>
      <c r="I378" s="306" t="inlineStr">
        <is>
          <t>Commercial Fuels</t>
        </is>
      </c>
      <c r="J378" s="306" t="inlineStr">
        <is>
          <t>Trading &amp; Shipping</t>
        </is>
      </c>
      <c r="K378" s="220" t="inlineStr">
        <is>
          <t>Trading &amp; Shipping</t>
        </is>
      </c>
      <c r="L378" s="306" t="n"/>
      <c r="M378" s="307" t="inlineStr">
        <is>
          <t>Singapore</t>
        </is>
      </c>
      <c r="N378" s="308" t="inlineStr">
        <is>
          <t>CIC</t>
        </is>
      </c>
      <c r="O378" s="308" t="n">
        <v>1</v>
      </c>
      <c r="P378" s="308" t="n"/>
      <c r="Q378" s="308" t="inlineStr">
        <is>
          <t>Permanent - Full Time</t>
        </is>
      </c>
      <c r="R378" s="310" t="n"/>
      <c r="S378" s="310" t="n"/>
      <c r="T378" s="322" t="n">
        <v>193688</v>
      </c>
      <c r="U378" s="321" t="n">
        <v>234362.48</v>
      </c>
      <c r="V378" s="313" t="n">
        <v>0.25</v>
      </c>
      <c r="W378" s="310" t="n"/>
      <c r="X378" s="313" t="n">
        <v>0.17</v>
      </c>
      <c r="Y378" s="951" t="n">
        <v>3310</v>
      </c>
      <c r="Z378" s="335" t="n">
        <v>0.045</v>
      </c>
      <c r="AA378" s="952">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849">
      <c r="A379" s="379" t="n">
        <v>2967</v>
      </c>
      <c r="B379" s="220" t="inlineStr">
        <is>
          <t>Chris Camacho</t>
        </is>
      </c>
      <c r="C379" s="305" t="inlineStr">
        <is>
          <t>Senior Systems Analyst</t>
        </is>
      </c>
      <c r="D379" s="220" t="inlineStr">
        <is>
          <t>Jaya Ganasan</t>
        </is>
      </c>
      <c r="E379" s="220" t="inlineStr">
        <is>
          <t>Technology Manager, TDD Refinery</t>
        </is>
      </c>
      <c r="F379" s="220" t="inlineStr">
        <is>
          <t>TDD CFE&amp;I</t>
        </is>
      </c>
      <c r="G379" s="306" t="inlineStr">
        <is>
          <t>Fuel Infrastructure</t>
        </is>
      </c>
      <c r="H379" s="306" t="inlineStr">
        <is>
          <t>Refinery Applications</t>
        </is>
      </c>
      <c r="I379" s="306" t="inlineStr">
        <is>
          <t>Infrastructure</t>
        </is>
      </c>
      <c r="J379" s="306" t="inlineStr">
        <is>
          <t>Manufacturing</t>
        </is>
      </c>
      <c r="K379" s="220" t="inlineStr">
        <is>
          <t>Manuacturing Group Projects</t>
        </is>
      </c>
      <c r="L379" s="306" t="n"/>
      <c r="M379" s="307" t="inlineStr">
        <is>
          <t>Australia</t>
        </is>
      </c>
      <c r="N379" s="380" t="inlineStr">
        <is>
          <t xml:space="preserve">CSB </t>
        </is>
      </c>
      <c r="O379" s="380" t="n">
        <v>1</v>
      </c>
      <c r="P379" s="380" t="n"/>
      <c r="Q379" s="380" t="inlineStr">
        <is>
          <t>Permanent - Full Time</t>
        </is>
      </c>
      <c r="R379" s="220" t="n"/>
      <c r="S379" s="220" t="n"/>
      <c r="T379" s="377" t="n">
        <v>166090</v>
      </c>
      <c r="U379" s="390" t="n">
        <v>166090</v>
      </c>
      <c r="V379" s="313" t="n">
        <v>0.14</v>
      </c>
      <c r="W379" s="953" t="n">
        <v>0.055</v>
      </c>
      <c r="X379" s="953" t="n">
        <v>0.12</v>
      </c>
      <c r="Y379" s="954" t="n"/>
      <c r="Z379" s="953" t="n">
        <v>0.04</v>
      </c>
      <c r="AA379" s="952">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849">
      <c r="A380" s="250" t="n">
        <v>105532</v>
      </c>
      <c r="B380" s="220" t="inlineStr">
        <is>
          <t>Debbie Gor</t>
        </is>
      </c>
      <c r="C380" s="305" t="inlineStr">
        <is>
          <t>Delivery Lead</t>
        </is>
      </c>
      <c r="D380" s="306" t="inlineStr">
        <is>
          <t>Vacant</t>
        </is>
      </c>
      <c r="E380" s="220" t="inlineStr">
        <is>
          <t>Delivery Manager</t>
        </is>
      </c>
      <c r="F380" s="220" t="inlineStr">
        <is>
          <t>TDD CFE&amp;I</t>
        </is>
      </c>
      <c r="G380" s="306" t="inlineStr">
        <is>
          <t>B2B &amp; Energy Solutions</t>
        </is>
      </c>
      <c r="H380" s="306" t="inlineStr">
        <is>
          <t>Delivery</t>
        </is>
      </c>
      <c r="I380" s="306" t="inlineStr">
        <is>
          <t>B2B &amp; Energy Solutions</t>
        </is>
      </c>
      <c r="J380" s="220" t="inlineStr">
        <is>
          <t>B2B</t>
        </is>
      </c>
      <c r="K380" s="220" t="inlineStr">
        <is>
          <t>B2B</t>
        </is>
      </c>
      <c r="L380" s="306" t="n"/>
      <c r="M380" s="307" t="inlineStr">
        <is>
          <t>Australia</t>
        </is>
      </c>
      <c r="N380" s="308" t="inlineStr">
        <is>
          <t>CIC</t>
        </is>
      </c>
      <c r="O380" s="308" t="n">
        <v>1</v>
      </c>
      <c r="P380" s="308" t="n"/>
      <c r="Q380" s="308" t="inlineStr">
        <is>
          <t>Permanent - Full Time</t>
        </is>
      </c>
      <c r="R380" s="310" t="n"/>
      <c r="S380" s="310" t="n"/>
      <c r="T380" s="322" t="n">
        <v>199710</v>
      </c>
      <c r="U380" s="321" t="n">
        <v>199710</v>
      </c>
      <c r="V380" s="313" t="n">
        <v>0.12</v>
      </c>
      <c r="W380" s="953" t="n">
        <v>0.055</v>
      </c>
      <c r="X380" s="953" t="n">
        <v>0.12</v>
      </c>
      <c r="Y380" s="954" t="n"/>
      <c r="Z380" s="953" t="n">
        <v>0.04</v>
      </c>
      <c r="AA380" s="952">
        <f>U380*(1+V380+W380+X380+Y380+Z380)</f>
        <v>266612.85</v>
      </c>
      <c r="AC380" t="inlineStr">
        <is>
          <t>Energy Solutions &amp; B2B</t>
        </is>
      </c>
      <c r="AD380" t="inlineStr">
        <is>
          <t>B2B</t>
        </is>
      </c>
      <c r="AE380" t="inlineStr">
        <is>
          <t>B2B</t>
        </is>
      </c>
      <c r="AF380" t="inlineStr">
        <is>
          <t>Squad</t>
        </is>
      </c>
      <c r="AG380" t="inlineStr">
        <is>
          <t>Filled</t>
        </is>
      </c>
    </row>
    <row r="381" hidden="1" ht="18" customHeight="1" s="849">
      <c r="A381" s="250" t="n">
        <v>107463</v>
      </c>
      <c r="B381" s="220" t="inlineStr">
        <is>
          <t>Deepa Kaur</t>
        </is>
      </c>
      <c r="C381" s="305" t="inlineStr">
        <is>
          <t>Senior Engineer Automation Testing</t>
        </is>
      </c>
      <c r="D381" s="306" t="inlineStr">
        <is>
          <t>Vacant</t>
        </is>
      </c>
      <c r="E381" s="220" t="inlineStr">
        <is>
          <t>Technology Manager, Engineering</t>
        </is>
      </c>
      <c r="F381" s="220" t="inlineStr">
        <is>
          <t>TDD CFE&amp;I</t>
        </is>
      </c>
      <c r="G381" s="306" t="inlineStr">
        <is>
          <t>Commercial Fuels</t>
        </is>
      </c>
      <c r="H381" s="306" t="inlineStr">
        <is>
          <t>Technology, CF Engineering</t>
        </is>
      </c>
      <c r="I381" s="306" t="inlineStr">
        <is>
          <t>Commercial Fuels</t>
        </is>
      </c>
      <c r="J381" s="220" t="inlineStr">
        <is>
          <t>CTRM</t>
        </is>
      </c>
      <c r="K381" s="220" t="inlineStr">
        <is>
          <t>CTRM</t>
        </is>
      </c>
      <c r="L381" s="306" t="n"/>
      <c r="M381" s="307" t="inlineStr">
        <is>
          <t>Australia</t>
        </is>
      </c>
      <c r="N381" s="308" t="inlineStr">
        <is>
          <t>CIB</t>
        </is>
      </c>
      <c r="O381" s="308" t="n">
        <v>1</v>
      </c>
      <c r="P381" s="308" t="n"/>
      <c r="Q381" s="308" t="inlineStr">
        <is>
          <t>Permanent - Full Time</t>
        </is>
      </c>
      <c r="R381" s="310" t="n"/>
      <c r="S381" s="310" t="n"/>
      <c r="T381" s="322" t="n">
        <v>145710</v>
      </c>
      <c r="U381" s="321" t="n">
        <v>145710</v>
      </c>
      <c r="V381" s="313" t="n">
        <v>0.12</v>
      </c>
      <c r="W381" s="953" t="n">
        <v>0.055</v>
      </c>
      <c r="X381" s="953" t="n">
        <v>0.12</v>
      </c>
      <c r="Y381" s="954" t="n"/>
      <c r="Z381" s="953" t="n">
        <v>0.04</v>
      </c>
      <c r="AA381" s="952">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849">
      <c r="A382" s="250" t="n">
        <v>6748</v>
      </c>
      <c r="B382" s="220" t="inlineStr">
        <is>
          <t>Elle Spencer</t>
        </is>
      </c>
      <c r="C382" s="305" t="inlineStr">
        <is>
          <t>Technology Manager - B2B</t>
        </is>
      </c>
      <c r="D382" s="306" t="inlineStr">
        <is>
          <t>Liesl Tye</t>
        </is>
      </c>
      <c r="E382" s="220" t="inlineStr">
        <is>
          <t>Head of Technology, B2B &amp; Energy Solutions</t>
        </is>
      </c>
      <c r="F382" s="220" t="inlineStr">
        <is>
          <t>TDD CFE&amp;I</t>
        </is>
      </c>
      <c r="G382" s="306" t="inlineStr">
        <is>
          <t>B2B &amp; Energy Solutions</t>
        </is>
      </c>
      <c r="H382" s="306" t="inlineStr">
        <is>
          <t>Technology B2B</t>
        </is>
      </c>
      <c r="I382" s="306" t="inlineStr">
        <is>
          <t>B2B &amp; Energy Solutions</t>
        </is>
      </c>
      <c r="J382" s="316" t="inlineStr">
        <is>
          <t>Leadership</t>
        </is>
      </c>
      <c r="K382" s="220" t="inlineStr">
        <is>
          <t>Leadership</t>
        </is>
      </c>
      <c r="L382" s="306" t="n"/>
      <c r="M382" s="307" t="inlineStr">
        <is>
          <t>Australia</t>
        </is>
      </c>
      <c r="N382" s="310" t="inlineStr">
        <is>
          <t>CSB</t>
        </is>
      </c>
      <c r="O382" s="310" t="n">
        <v>1</v>
      </c>
      <c r="P382" s="310" t="n"/>
      <c r="Q382" s="310" t="inlineStr">
        <is>
          <t>Permanent - Full Time</t>
        </is>
      </c>
      <c r="R382" s="310" t="n"/>
      <c r="S382" s="310" t="n"/>
      <c r="T382" s="322" t="n">
        <v>217390</v>
      </c>
      <c r="U382" s="321" t="n">
        <v>217390</v>
      </c>
      <c r="V382" s="313" t="n">
        <v>0.14</v>
      </c>
      <c r="W382" s="953" t="n">
        <v>0.055</v>
      </c>
      <c r="X382" s="953" t="n">
        <v>0.12</v>
      </c>
      <c r="Y382" s="954" t="n"/>
      <c r="Z382" s="953" t="n">
        <v>0.04</v>
      </c>
      <c r="AA382" s="952">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849">
      <c r="A383" s="250" t="n">
        <v>97973</v>
      </c>
      <c r="B383" s="220" t="inlineStr">
        <is>
          <t>Elma Kurian</t>
        </is>
      </c>
      <c r="C383" s="305" t="inlineStr">
        <is>
          <t>System Specialist</t>
        </is>
      </c>
      <c r="D383" s="306" t="inlineStr">
        <is>
          <t>Vacant</t>
        </is>
      </c>
      <c r="E383" s="220" t="inlineStr">
        <is>
          <t>Technology Manager, Energy Solutions</t>
        </is>
      </c>
      <c r="F383" s="220" t="inlineStr">
        <is>
          <t>TDD CFE&amp;I</t>
        </is>
      </c>
      <c r="G383" s="306" t="inlineStr">
        <is>
          <t>B2B &amp; Energy Solutions</t>
        </is>
      </c>
      <c r="H383" s="306" t="inlineStr">
        <is>
          <t>Technology Energy Solutions</t>
        </is>
      </c>
      <c r="I383" s="306" t="inlineStr">
        <is>
          <t>B2B &amp; Energy Solutions</t>
        </is>
      </c>
      <c r="J383" s="306" t="inlineStr">
        <is>
          <t>Energy Solutions</t>
        </is>
      </c>
      <c r="K383" s="220" t="inlineStr">
        <is>
          <t>Energy</t>
        </is>
      </c>
      <c r="L383" s="306" t="n"/>
      <c r="M383" s="307" t="inlineStr">
        <is>
          <t>Australia</t>
        </is>
      </c>
      <c r="N383" s="308" t="inlineStr">
        <is>
          <t>CIB</t>
        </is>
      </c>
      <c r="O383" s="308" t="n">
        <v>1</v>
      </c>
      <c r="P383" s="308" t="n"/>
      <c r="Q383" s="308" t="inlineStr">
        <is>
          <t>Permanent - Full Time</t>
        </is>
      </c>
      <c r="R383" s="310" t="n"/>
      <c r="S383" s="310" t="n"/>
      <c r="T383" s="322" t="n">
        <v>152250</v>
      </c>
      <c r="U383" s="321" t="n">
        <v>152250</v>
      </c>
      <c r="V383" s="313" t="n">
        <v>0.12</v>
      </c>
      <c r="W383" s="953" t="n">
        <v>0.055</v>
      </c>
      <c r="X383" s="953" t="n">
        <v>0.12</v>
      </c>
      <c r="Y383" s="954" t="n"/>
      <c r="Z383" s="953" t="n">
        <v>0.04</v>
      </c>
      <c r="AA383" s="952">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849">
      <c r="A384" s="250" t="n">
        <v>116090</v>
      </c>
      <c r="B384" s="220" t="inlineStr">
        <is>
          <t>Fabian Moreno Cortes</t>
        </is>
      </c>
      <c r="C384" s="305" t="inlineStr">
        <is>
          <t>Engineer - Software</t>
        </is>
      </c>
      <c r="D384" s="220" t="inlineStr">
        <is>
          <t>Jaya Ganasan</t>
        </is>
      </c>
      <c r="E384" s="220" t="inlineStr">
        <is>
          <t>Technology Manager, TDD Refinery</t>
        </is>
      </c>
      <c r="F384" s="220" t="inlineStr">
        <is>
          <t>TDD CFE&amp;I</t>
        </is>
      </c>
      <c r="G384" s="306" t="inlineStr">
        <is>
          <t>Fuel Infrastructure</t>
        </is>
      </c>
      <c r="H384" s="306" t="inlineStr">
        <is>
          <t>Refinery Applications</t>
        </is>
      </c>
      <c r="I384" s="306" t="inlineStr">
        <is>
          <t>Infrastructure</t>
        </is>
      </c>
      <c r="J384" s="306" t="inlineStr">
        <is>
          <t>Manufacturing</t>
        </is>
      </c>
      <c r="K384" s="220" t="inlineStr">
        <is>
          <t>Manuacturing Group Projects</t>
        </is>
      </c>
      <c r="L384" s="306" t="n"/>
      <c r="M384" s="307" t="inlineStr">
        <is>
          <t>Australia</t>
        </is>
      </c>
      <c r="N384" s="308" t="inlineStr">
        <is>
          <t>CIB</t>
        </is>
      </c>
      <c r="O384" s="308" t="n">
        <v>1</v>
      </c>
      <c r="P384" s="308" t="n"/>
      <c r="Q384" s="308" t="inlineStr">
        <is>
          <t>Permanent - Full Time</t>
        </is>
      </c>
      <c r="R384" s="310" t="n"/>
      <c r="S384" s="310" t="n"/>
      <c r="T384" s="322" t="n">
        <v>145000</v>
      </c>
      <c r="U384" s="321" t="n">
        <v>145000</v>
      </c>
      <c r="V384" s="313" t="n">
        <v>0.12</v>
      </c>
      <c r="W384" s="953" t="n">
        <v>0.055</v>
      </c>
      <c r="X384" s="953" t="n">
        <v>0.12</v>
      </c>
      <c r="Y384" s="954" t="n"/>
      <c r="Z384" s="953" t="n">
        <v>0.04</v>
      </c>
      <c r="AA384" s="952">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849">
      <c r="A385" s="250" t="n">
        <v>99691</v>
      </c>
      <c r="B385" s="220" t="inlineStr">
        <is>
          <t>Frank Liang</t>
        </is>
      </c>
      <c r="C385" s="305" t="inlineStr">
        <is>
          <t>Senior Systems Analyst</t>
        </is>
      </c>
      <c r="D385" s="220" t="inlineStr">
        <is>
          <t>Elle Spencer</t>
        </is>
      </c>
      <c r="E385" s="220" t="inlineStr">
        <is>
          <t>Technology Manager, Energy Solutions</t>
        </is>
      </c>
      <c r="F385" s="220" t="inlineStr">
        <is>
          <t>TDD CFE&amp;I</t>
        </is>
      </c>
      <c r="G385" s="306" t="inlineStr">
        <is>
          <t>B2B &amp; Energy Solutions</t>
        </is>
      </c>
      <c r="H385" s="306" t="inlineStr">
        <is>
          <t>Technology B2B</t>
        </is>
      </c>
      <c r="I385" s="306" t="inlineStr">
        <is>
          <t>B2B &amp; Energy Solutions</t>
        </is>
      </c>
      <c r="J385" s="220" t="inlineStr">
        <is>
          <t>B2B</t>
        </is>
      </c>
      <c r="K385" s="220" t="inlineStr">
        <is>
          <t>B2B</t>
        </is>
      </c>
      <c r="L385" s="306" t="n"/>
      <c r="M385" s="307" t="inlineStr">
        <is>
          <t>Australia</t>
        </is>
      </c>
      <c r="N385" s="308" t="inlineStr">
        <is>
          <t>CIC</t>
        </is>
      </c>
      <c r="O385" s="308" t="n">
        <v>1</v>
      </c>
      <c r="P385" s="308" t="n"/>
      <c r="Q385" s="308" t="inlineStr">
        <is>
          <t>Permanent - Full Time</t>
        </is>
      </c>
      <c r="R385" s="310" t="n"/>
      <c r="S385" s="310" t="n"/>
      <c r="T385" s="322" t="n">
        <v>167510</v>
      </c>
      <c r="U385" s="321" t="n">
        <v>167510</v>
      </c>
      <c r="V385" s="313" t="n">
        <v>0.12</v>
      </c>
      <c r="W385" s="953" t="n">
        <v>0.055</v>
      </c>
      <c r="X385" s="953" t="n">
        <v>0.12</v>
      </c>
      <c r="Y385" s="954" t="n"/>
      <c r="Z385" s="953" t="n">
        <v>0.04</v>
      </c>
      <c r="AA385" s="952">
        <f>U385*(1+V385+W385+X385+Y385+Z385)</f>
        <v>223625.85</v>
      </c>
      <c r="AC385" t="inlineStr">
        <is>
          <t>Energy Solutions &amp; B2B</t>
        </is>
      </c>
      <c r="AD385" t="inlineStr">
        <is>
          <t>B2B</t>
        </is>
      </c>
      <c r="AE385" t="inlineStr">
        <is>
          <t>B2B</t>
        </is>
      </c>
      <c r="AF385" t="inlineStr">
        <is>
          <t>Squad</t>
        </is>
      </c>
      <c r="AG385" t="inlineStr">
        <is>
          <t>Filled</t>
        </is>
      </c>
    </row>
    <row r="386" hidden="1" ht="18" customHeight="1" s="849">
      <c r="A386" s="250" t="n">
        <v>114717</v>
      </c>
      <c r="B386" s="220" t="inlineStr">
        <is>
          <t>Fransiscus Setiawan</t>
        </is>
      </c>
      <c r="C386" s="305" t="inlineStr">
        <is>
          <t xml:space="preserve">Integration Architect   </t>
        </is>
      </c>
      <c r="D386" s="306" t="inlineStr">
        <is>
          <t>Vacant</t>
        </is>
      </c>
      <c r="E386" s="220" t="inlineStr">
        <is>
          <t>Technology Manager, Engineering</t>
        </is>
      </c>
      <c r="F386" s="220" t="inlineStr">
        <is>
          <t>TDD CFE&amp;I</t>
        </is>
      </c>
      <c r="G386" s="306" t="inlineStr">
        <is>
          <t>Commercial Fuels</t>
        </is>
      </c>
      <c r="H386" s="306" t="inlineStr">
        <is>
          <t>Technology, CF Engineering</t>
        </is>
      </c>
      <c r="I386" s="306" t="inlineStr">
        <is>
          <t>Commercial Fuels</t>
        </is>
      </c>
      <c r="J386" s="220" t="inlineStr">
        <is>
          <t>CTRM</t>
        </is>
      </c>
      <c r="K386" s="220" t="inlineStr">
        <is>
          <t>CTRM</t>
        </is>
      </c>
      <c r="L386" s="306" t="n"/>
      <c r="M386" s="307" t="inlineStr">
        <is>
          <t>Australia</t>
        </is>
      </c>
      <c r="N386" s="308" t="inlineStr">
        <is>
          <t>CIC</t>
        </is>
      </c>
      <c r="O386" s="308" t="n">
        <v>1</v>
      </c>
      <c r="P386" s="308" t="n"/>
      <c r="Q386" s="308" t="inlineStr">
        <is>
          <t>Permanent - Full Time</t>
        </is>
      </c>
      <c r="R386" s="310" t="n"/>
      <c r="S386" s="310" t="n"/>
      <c r="T386" s="322" t="n">
        <v>210000</v>
      </c>
      <c r="U386" s="321" t="n">
        <v>210000</v>
      </c>
      <c r="V386" s="313" t="n">
        <v>0.12</v>
      </c>
      <c r="W386" s="953" t="n">
        <v>0.055</v>
      </c>
      <c r="X386" s="953" t="n">
        <v>0.12</v>
      </c>
      <c r="Y386" s="954" t="n"/>
      <c r="Z386" s="953" t="n">
        <v>0.04</v>
      </c>
      <c r="AA386" s="952">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849">
      <c r="A387" s="250" t="n">
        <v>106201</v>
      </c>
      <c r="B387" s="323" t="inlineStr">
        <is>
          <t>George Moun</t>
        </is>
      </c>
      <c r="C387" s="391" t="inlineStr">
        <is>
          <t>Solution Architect</t>
        </is>
      </c>
      <c r="D387" s="306" t="inlineStr">
        <is>
          <t>Amish Pandit</t>
        </is>
      </c>
      <c r="E387" s="306" t="inlineStr">
        <is>
          <t>Head of Technology, Infrastructure</t>
        </is>
      </c>
      <c r="F387" s="220" t="inlineStr">
        <is>
          <t>TDD CFE&amp;I</t>
        </is>
      </c>
      <c r="G387" s="306" t="inlineStr">
        <is>
          <t>Fuel Infrastructure</t>
        </is>
      </c>
      <c r="H387" s="306" t="inlineStr">
        <is>
          <t>Fuel Infrastructure</t>
        </is>
      </c>
      <c r="I387" s="306" t="inlineStr">
        <is>
          <t>Infrastructure</t>
        </is>
      </c>
      <c r="J387" s="306" t="inlineStr">
        <is>
          <t xml:space="preserve">Leadership </t>
        </is>
      </c>
      <c r="K387" s="306" t="inlineStr">
        <is>
          <t>Leadership</t>
        </is>
      </c>
      <c r="L387" s="306" t="n"/>
      <c r="M387" s="307" t="inlineStr">
        <is>
          <t>Australia</t>
        </is>
      </c>
      <c r="N387" s="308" t="inlineStr">
        <is>
          <t>CIC</t>
        </is>
      </c>
      <c r="O387" s="308" t="n">
        <v>1</v>
      </c>
      <c r="P387" s="308" t="n"/>
      <c r="Q387" s="308" t="inlineStr">
        <is>
          <t>Permanent - Full Time</t>
        </is>
      </c>
      <c r="R387" s="310" t="n"/>
      <c r="S387" s="310" t="n"/>
      <c r="T387" s="322" t="n">
        <v>192260</v>
      </c>
      <c r="U387" s="321" t="n">
        <v>192260</v>
      </c>
      <c r="V387" s="313" t="n">
        <v>0.12</v>
      </c>
      <c r="W387" s="953" t="n">
        <v>0.055</v>
      </c>
      <c r="X387" s="953" t="n">
        <v>0.12</v>
      </c>
      <c r="Y387" s="954" t="n"/>
      <c r="Z387" s="953" t="n">
        <v>0.04</v>
      </c>
      <c r="AA387" s="952">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849">
      <c r="A388" s="250" t="n">
        <v>102576</v>
      </c>
      <c r="B388" s="220" t="inlineStr">
        <is>
          <t>Glenn Earl</t>
        </is>
      </c>
      <c r="C388" s="305" t="inlineStr">
        <is>
          <t>Lead Technology Support - Infrastructure</t>
        </is>
      </c>
      <c r="D388" s="220" t="inlineStr">
        <is>
          <t>Jaya Ganasan</t>
        </is>
      </c>
      <c r="E388" s="220" t="inlineStr">
        <is>
          <t>Technology Manager, TDD Refinery</t>
        </is>
      </c>
      <c r="F388" s="220" t="inlineStr">
        <is>
          <t>TDD CFE&amp;I</t>
        </is>
      </c>
      <c r="G388" s="306" t="inlineStr">
        <is>
          <t>Fuel Infrastructure</t>
        </is>
      </c>
      <c r="H388" s="306" t="inlineStr">
        <is>
          <t>Refinery Applications</t>
        </is>
      </c>
      <c r="I388" s="306" t="inlineStr">
        <is>
          <t>Infrastructure</t>
        </is>
      </c>
      <c r="J388" s="306" t="inlineStr">
        <is>
          <t>Fuel Infrastructure</t>
        </is>
      </c>
      <c r="K388" s="220" t="inlineStr">
        <is>
          <t>Technology Suport</t>
        </is>
      </c>
      <c r="L388" s="306" t="n"/>
      <c r="M388" s="307" t="inlineStr">
        <is>
          <t>Australia</t>
        </is>
      </c>
      <c r="N388" s="308" t="inlineStr">
        <is>
          <t>CIA</t>
        </is>
      </c>
      <c r="O388" s="308" t="n">
        <v>1</v>
      </c>
      <c r="P388" s="308" t="n"/>
      <c r="Q388" s="308" t="inlineStr">
        <is>
          <t>Permanent - Full Time</t>
        </is>
      </c>
      <c r="R388" s="310" t="n"/>
      <c r="S388" s="310" t="n"/>
      <c r="T388" s="322" t="n">
        <v>130260</v>
      </c>
      <c r="U388" s="321" t="n">
        <v>130260</v>
      </c>
      <c r="V388" s="313" t="n">
        <v>0.1</v>
      </c>
      <c r="W388" s="953" t="n">
        <v>0.055</v>
      </c>
      <c r="X388" s="953" t="n">
        <v>0.12</v>
      </c>
      <c r="Y388" s="954" t="n"/>
      <c r="Z388" s="953" t="n">
        <v>0.04</v>
      </c>
      <c r="AA388" s="952">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849">
      <c r="A389" s="250" t="n">
        <v>99999100769</v>
      </c>
      <c r="B389" s="220" t="inlineStr">
        <is>
          <t>Gokila Mylsamy</t>
        </is>
      </c>
      <c r="C389" s="305" t="inlineStr">
        <is>
          <t>Lead Engineer Software</t>
        </is>
      </c>
      <c r="D389" s="306" t="inlineStr">
        <is>
          <t>Vacant</t>
        </is>
      </c>
      <c r="E389" s="220" t="inlineStr">
        <is>
          <t>Technology Manager, Energy Solutions</t>
        </is>
      </c>
      <c r="F389" s="220" t="inlineStr">
        <is>
          <t>TDD CFE&amp;I</t>
        </is>
      </c>
      <c r="G389" s="306" t="inlineStr">
        <is>
          <t>B2B &amp; Energy Solutions</t>
        </is>
      </c>
      <c r="H389" s="306" t="inlineStr">
        <is>
          <t>Technology Energy Solutions</t>
        </is>
      </c>
      <c r="I389" s="306" t="inlineStr">
        <is>
          <t>B2B &amp; Energy Solutions</t>
        </is>
      </c>
      <c r="J389" s="306" t="inlineStr">
        <is>
          <t>Energy Solutions</t>
        </is>
      </c>
      <c r="K389" s="220" t="inlineStr">
        <is>
          <t>EVCI</t>
        </is>
      </c>
      <c r="L389" s="306" t="n"/>
      <c r="M389" s="307" t="inlineStr">
        <is>
          <t>NZ</t>
        </is>
      </c>
      <c r="N389" s="308" t="inlineStr">
        <is>
          <t>CIC</t>
        </is>
      </c>
      <c r="O389" s="309" t="n">
        <v>1</v>
      </c>
      <c r="P389" s="308" t="n"/>
      <c r="Q389" s="309" t="inlineStr">
        <is>
          <t>Permanent - Full Time</t>
        </is>
      </c>
      <c r="R389" s="310" t="n"/>
      <c r="S389" s="310" t="n"/>
      <c r="T389" s="322" t="n">
        <v>160220</v>
      </c>
      <c r="U389" s="321" t="n">
        <v>147402.4</v>
      </c>
      <c r="V389" s="312" t="n">
        <v>0.15</v>
      </c>
      <c r="W389" s="309" t="n"/>
      <c r="X389" s="313" t="n">
        <v>0.05</v>
      </c>
      <c r="Y389" s="951" t="n">
        <v>2910</v>
      </c>
      <c r="Z389" s="313" t="n">
        <v>0.03</v>
      </c>
      <c r="AA389" s="952">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849">
      <c r="A390" s="250" t="n">
        <v>107550</v>
      </c>
      <c r="B390" s="220" t="inlineStr">
        <is>
          <t>Gunjan Vasudeva</t>
        </is>
      </c>
      <c r="C390" s="305" t="inlineStr">
        <is>
          <t>Lead Quality Assurance</t>
        </is>
      </c>
      <c r="D390" s="306" t="inlineStr">
        <is>
          <t>Vacant</t>
        </is>
      </c>
      <c r="E390" s="220" t="inlineStr">
        <is>
          <t>Technology Manager, Energy Solutions</t>
        </is>
      </c>
      <c r="F390" s="220" t="inlineStr">
        <is>
          <t>TDD CFE&amp;I</t>
        </is>
      </c>
      <c r="G390" s="306" t="inlineStr">
        <is>
          <t>B2B &amp; Energy Solutions</t>
        </is>
      </c>
      <c r="H390" s="306" t="inlineStr">
        <is>
          <t>Technology Energy Solutions</t>
        </is>
      </c>
      <c r="I390" s="306" t="inlineStr">
        <is>
          <t>B2B &amp; Energy Solutions</t>
        </is>
      </c>
      <c r="J390" s="306" t="inlineStr">
        <is>
          <t>Energy Solutions</t>
        </is>
      </c>
      <c r="K390" s="220" t="inlineStr">
        <is>
          <t>Energy</t>
        </is>
      </c>
      <c r="L390" s="306" t="n"/>
      <c r="M390" s="307" t="inlineStr">
        <is>
          <t>Australia</t>
        </is>
      </c>
      <c r="N390" s="308" t="inlineStr">
        <is>
          <t>CIB</t>
        </is>
      </c>
      <c r="O390" s="308" t="n">
        <v>1</v>
      </c>
      <c r="P390" s="308" t="n"/>
      <c r="Q390" s="308" t="inlineStr">
        <is>
          <t>Permanent - Full Time</t>
        </is>
      </c>
      <c r="R390" s="310" t="n"/>
      <c r="S390" s="310" t="n"/>
      <c r="T390" s="322" t="n">
        <v>156160</v>
      </c>
      <c r="U390" s="321" t="n">
        <v>156160</v>
      </c>
      <c r="V390" s="313" t="n">
        <v>0.12</v>
      </c>
      <c r="W390" s="953" t="n">
        <v>0.055</v>
      </c>
      <c r="X390" s="953" t="n">
        <v>0.12</v>
      </c>
      <c r="Y390" s="954" t="n"/>
      <c r="Z390" s="953" t="n">
        <v>0.04</v>
      </c>
      <c r="AA390" s="952">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849">
      <c r="A391" s="250" t="n">
        <v>103651</v>
      </c>
      <c r="B391" s="220" t="inlineStr">
        <is>
          <t>Hari Maneti</t>
        </is>
      </c>
      <c r="C391" s="305" t="inlineStr">
        <is>
          <t>Systems Analyst</t>
        </is>
      </c>
      <c r="D391" s="220" t="inlineStr">
        <is>
          <t>Allan Francia</t>
        </is>
      </c>
      <c r="E391" s="220" t="inlineStr">
        <is>
          <t>Technology Manager, T&amp;S</t>
        </is>
      </c>
      <c r="F391" s="220" t="inlineStr">
        <is>
          <t>TDD CFE&amp;I</t>
        </is>
      </c>
      <c r="G391" s="306" t="inlineStr">
        <is>
          <t>Commercial Fuels</t>
        </is>
      </c>
      <c r="H391" s="306" t="inlineStr">
        <is>
          <t>Technology, Trading &amp; Shipping</t>
        </is>
      </c>
      <c r="I391" s="306" t="inlineStr">
        <is>
          <t>Commercial Fuels</t>
        </is>
      </c>
      <c r="J391" s="306" t="inlineStr">
        <is>
          <t>Trading &amp; Shipping</t>
        </is>
      </c>
      <c r="K391" s="220" t="inlineStr">
        <is>
          <t>Trading &amp; Shipping</t>
        </is>
      </c>
      <c r="L391" s="306" t="n"/>
      <c r="M391" s="307" t="inlineStr">
        <is>
          <t>Singapore</t>
        </is>
      </c>
      <c r="N391" s="308" t="inlineStr">
        <is>
          <t>CIB</t>
        </is>
      </c>
      <c r="O391" s="308" t="n">
        <v>1</v>
      </c>
      <c r="P391" s="308" t="n"/>
      <c r="Q391" s="308" t="inlineStr">
        <is>
          <t>Permanent - Full Time</t>
        </is>
      </c>
      <c r="R391" s="310" t="n"/>
      <c r="S391" s="310" t="n"/>
      <c r="T391" s="322" t="n">
        <v>163780</v>
      </c>
      <c r="U391" s="321" t="n">
        <v>198173.8</v>
      </c>
      <c r="V391" s="313" t="n">
        <v>0.25</v>
      </c>
      <c r="W391" s="310" t="n"/>
      <c r="X391" s="313" t="n">
        <v>0.17</v>
      </c>
      <c r="Y391" s="951" t="n">
        <v>3310</v>
      </c>
      <c r="Z391" s="335" t="n">
        <v>0.045</v>
      </c>
      <c r="AA391" s="952">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849">
      <c r="A392" s="250" t="n">
        <v>99999101143</v>
      </c>
      <c r="B392" s="220" t="inlineStr">
        <is>
          <t>Hayden Corney</t>
        </is>
      </c>
      <c r="C392" s="305" t="inlineStr">
        <is>
          <t>Lead Engineer Software</t>
        </is>
      </c>
      <c r="D392" s="306" t="inlineStr">
        <is>
          <t>Vacant</t>
        </is>
      </c>
      <c r="E392" s="220" t="inlineStr">
        <is>
          <t>Technology Manager, Engineering</t>
        </is>
      </c>
      <c r="F392" s="220" t="inlineStr">
        <is>
          <t>TDD CFE&amp;I</t>
        </is>
      </c>
      <c r="G392" s="306" t="inlineStr">
        <is>
          <t>Commercial Fuels</t>
        </is>
      </c>
      <c r="H392" s="306" t="inlineStr">
        <is>
          <t>Technology, CF Engineering</t>
        </is>
      </c>
      <c r="I392" s="306" t="inlineStr">
        <is>
          <t>Commercial Fuels</t>
        </is>
      </c>
      <c r="J392" s="220" t="inlineStr">
        <is>
          <t>CTRM</t>
        </is>
      </c>
      <c r="K392" s="220" t="inlineStr">
        <is>
          <t>CTRM</t>
        </is>
      </c>
      <c r="L392" s="306" t="n"/>
      <c r="M392" s="307" t="inlineStr">
        <is>
          <t>NZ</t>
        </is>
      </c>
      <c r="N392" s="308" t="inlineStr">
        <is>
          <t>CIC</t>
        </is>
      </c>
      <c r="O392" s="309" t="n">
        <v>1</v>
      </c>
      <c r="P392" s="308" t="n"/>
      <c r="Q392" s="309" t="inlineStr">
        <is>
          <t>Permanent - Full Time</t>
        </is>
      </c>
      <c r="R392" s="310" t="n"/>
      <c r="S392" s="310" t="n"/>
      <c r="T392" s="322" t="n">
        <v>171800</v>
      </c>
      <c r="U392" s="321" t="n">
        <v>158056</v>
      </c>
      <c r="V392" s="312" t="n">
        <v>0.15</v>
      </c>
      <c r="W392" s="309" t="n"/>
      <c r="X392" s="313" t="n">
        <v>0.05</v>
      </c>
      <c r="Y392" s="951" t="n">
        <v>2910</v>
      </c>
      <c r="Z392" s="313" t="n">
        <v>0.03</v>
      </c>
      <c r="AA392" s="952">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849">
      <c r="A393" s="250" t="n">
        <v>108075</v>
      </c>
      <c r="B393" s="220" t="inlineStr">
        <is>
          <t>Isha Riyat</t>
        </is>
      </c>
      <c r="C393" s="305" t="inlineStr">
        <is>
          <t>Senior Business Analyst</t>
        </is>
      </c>
      <c r="D393" s="306" t="inlineStr">
        <is>
          <t>Vacant</t>
        </is>
      </c>
      <c r="E393" s="220" t="inlineStr">
        <is>
          <t>Delivery Manager</t>
        </is>
      </c>
      <c r="F393" s="220" t="inlineStr">
        <is>
          <t>TDD CFE&amp;I</t>
        </is>
      </c>
      <c r="G393" s="306" t="inlineStr">
        <is>
          <t>Commercial Fuels</t>
        </is>
      </c>
      <c r="H393" s="306" t="inlineStr">
        <is>
          <t>Delivery, Commercial Fuels</t>
        </is>
      </c>
      <c r="I393" s="306" t="inlineStr">
        <is>
          <t>Commercial Fuels</t>
        </is>
      </c>
      <c r="J393" s="306" t="inlineStr">
        <is>
          <t>Trading &amp; Shipping</t>
        </is>
      </c>
      <c r="K393" s="306" t="inlineStr">
        <is>
          <t>Trading &amp; Shipping</t>
        </is>
      </c>
      <c r="L393" s="220" t="n"/>
      <c r="M393" s="307" t="inlineStr">
        <is>
          <t>Australia</t>
        </is>
      </c>
      <c r="N393" s="308" t="inlineStr">
        <is>
          <t>CIB</t>
        </is>
      </c>
      <c r="O393" s="308" t="n">
        <v>1</v>
      </c>
      <c r="P393" s="308" t="n"/>
      <c r="Q393" s="308" t="inlineStr">
        <is>
          <t>Permanent - Full Time</t>
        </is>
      </c>
      <c r="R393" s="310" t="n"/>
      <c r="S393" s="310" t="n"/>
      <c r="T393" s="322" t="n">
        <v>169610</v>
      </c>
      <c r="U393" s="321" t="n">
        <v>169610</v>
      </c>
      <c r="V393" s="313" t="n">
        <v>0.12</v>
      </c>
      <c r="W393" s="953" t="n">
        <v>0.055</v>
      </c>
      <c r="X393" s="953" t="n">
        <v>0.12</v>
      </c>
      <c r="Y393" s="954" t="n"/>
      <c r="Z393" s="953" t="n">
        <v>0.04</v>
      </c>
      <c r="AA393" s="952">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849">
      <c r="A394" s="250" t="n">
        <v>104159</v>
      </c>
      <c r="B394" s="220" t="inlineStr">
        <is>
          <t>James Hung</t>
        </is>
      </c>
      <c r="C394" s="305" t="inlineStr">
        <is>
          <t>System Specialist</t>
        </is>
      </c>
      <c r="D394" s="306" t="inlineStr">
        <is>
          <t>Vacant</t>
        </is>
      </c>
      <c r="E394" s="220" t="inlineStr">
        <is>
          <t>Technology Manager, Energy Solutions</t>
        </is>
      </c>
      <c r="F394" s="220" t="inlineStr">
        <is>
          <t>TDD CFE&amp;I</t>
        </is>
      </c>
      <c r="G394" s="306" t="inlineStr">
        <is>
          <t>B2B &amp; Energy Solutions</t>
        </is>
      </c>
      <c r="H394" s="306" t="inlineStr">
        <is>
          <t>Technology Energy Solutions</t>
        </is>
      </c>
      <c r="I394" s="306" t="inlineStr">
        <is>
          <t>B2B &amp; Energy Solutions</t>
        </is>
      </c>
      <c r="J394" s="306" t="inlineStr">
        <is>
          <t>Energy Solutions</t>
        </is>
      </c>
      <c r="K394" s="220" t="inlineStr">
        <is>
          <t>Energy</t>
        </is>
      </c>
      <c r="L394" s="306" t="n"/>
      <c r="M394" s="307" t="inlineStr">
        <is>
          <t>Australia</t>
        </is>
      </c>
      <c r="N394" s="308" t="inlineStr">
        <is>
          <t>CIB</t>
        </is>
      </c>
      <c r="O394" s="308" t="n">
        <v>1</v>
      </c>
      <c r="P394" s="308" t="n"/>
      <c r="Q394" s="308" t="inlineStr">
        <is>
          <t>Permanent - Full Time</t>
        </is>
      </c>
      <c r="R394" s="310" t="n"/>
      <c r="S394" s="310" t="n"/>
      <c r="T394" s="322" t="n">
        <v>159950</v>
      </c>
      <c r="U394" s="321" t="n">
        <v>159950</v>
      </c>
      <c r="V394" s="313" t="n">
        <v>0.12</v>
      </c>
      <c r="W394" s="953" t="n">
        <v>0.055</v>
      </c>
      <c r="X394" s="953" t="n">
        <v>0.12</v>
      </c>
      <c r="Y394" s="954" t="n"/>
      <c r="Z394" s="953" t="n">
        <v>0.04</v>
      </c>
      <c r="AA394" s="952">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849">
      <c r="A395" s="250" t="n">
        <v>109475</v>
      </c>
      <c r="B395" s="220" t="inlineStr">
        <is>
          <t>Jaya Ganasan</t>
        </is>
      </c>
      <c r="C395" s="392" t="inlineStr">
        <is>
          <t>B2B &amp; Energy+B452:I452</t>
        </is>
      </c>
      <c r="D395" s="220" t="inlineStr">
        <is>
          <t>Amish Pandit</t>
        </is>
      </c>
      <c r="E395" s="220" t="inlineStr">
        <is>
          <t>Head of Technology, Fuel Infrastructure</t>
        </is>
      </c>
      <c r="F395" s="220" t="inlineStr">
        <is>
          <t>TDD CFE&amp;I</t>
        </is>
      </c>
      <c r="G395" s="306" t="inlineStr">
        <is>
          <t>Fuel Infrastructure</t>
        </is>
      </c>
      <c r="H395" s="306" t="inlineStr">
        <is>
          <t>Refinery Applications</t>
        </is>
      </c>
      <c r="I395" s="306" t="inlineStr">
        <is>
          <t>Infrastructure</t>
        </is>
      </c>
      <c r="J395" s="306" t="inlineStr">
        <is>
          <t>Manufacturing</t>
        </is>
      </c>
      <c r="K395" s="220" t="inlineStr">
        <is>
          <t>Manufacturing Group Projects</t>
        </is>
      </c>
      <c r="L395" s="306" t="n"/>
      <c r="M395" s="307" t="inlineStr">
        <is>
          <t>Australia</t>
        </is>
      </c>
      <c r="N395" s="308" t="inlineStr">
        <is>
          <t>CSB</t>
        </is>
      </c>
      <c r="O395" s="308" t="n">
        <v>1</v>
      </c>
      <c r="P395" s="308" t="n"/>
      <c r="Q395" s="308" t="inlineStr">
        <is>
          <t>Permanent - Full Time</t>
        </is>
      </c>
      <c r="R395" s="310" t="n"/>
      <c r="S395" s="310" t="n"/>
      <c r="T395" s="322" t="n">
        <v>190180</v>
      </c>
      <c r="U395" s="321" t="n">
        <v>190180</v>
      </c>
      <c r="V395" s="313" t="n">
        <v>0.14</v>
      </c>
      <c r="W395" s="953" t="n">
        <v>0.055</v>
      </c>
      <c r="X395" s="953" t="n">
        <v>0.12</v>
      </c>
      <c r="Y395" s="954" t="n"/>
      <c r="Z395" s="953" t="n">
        <v>0.04</v>
      </c>
      <c r="AA395" s="952">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849">
      <c r="A396" s="250" t="n">
        <v>14013</v>
      </c>
      <c r="B396" s="220" t="inlineStr">
        <is>
          <t>Jem Cruz</t>
        </is>
      </c>
      <c r="C396" s="305" t="inlineStr">
        <is>
          <t>System Specialist</t>
        </is>
      </c>
      <c r="D396" s="220" t="inlineStr">
        <is>
          <t>Allan Francia</t>
        </is>
      </c>
      <c r="E396" s="220" t="inlineStr">
        <is>
          <t>Technology Manager, T&amp;S</t>
        </is>
      </c>
      <c r="F396" s="220" t="inlineStr">
        <is>
          <t>TDD CFE&amp;I</t>
        </is>
      </c>
      <c r="G396" s="306" t="inlineStr">
        <is>
          <t>Commercial Fuels</t>
        </is>
      </c>
      <c r="H396" s="306" t="inlineStr">
        <is>
          <t>Technology, Trading &amp; Shipping</t>
        </is>
      </c>
      <c r="I396" s="306" t="inlineStr">
        <is>
          <t>Commercial Fuels</t>
        </is>
      </c>
      <c r="J396" s="306" t="inlineStr">
        <is>
          <t>Trading &amp; Shipping</t>
        </is>
      </c>
      <c r="K396" s="220" t="inlineStr">
        <is>
          <t>Trading &amp; Shipping</t>
        </is>
      </c>
      <c r="L396" s="306" t="n"/>
      <c r="M396" s="307" t="inlineStr">
        <is>
          <t>Australia</t>
        </is>
      </c>
      <c r="N396" s="310" t="inlineStr">
        <is>
          <t>CIA</t>
        </is>
      </c>
      <c r="O396" s="310" t="n">
        <v>1</v>
      </c>
      <c r="P396" s="310" t="n"/>
      <c r="Q396" s="310" t="inlineStr">
        <is>
          <t>Permanent - Full Time</t>
        </is>
      </c>
      <c r="R396" s="310" t="n"/>
      <c r="S396" s="310" t="n"/>
      <c r="T396" s="322" t="n">
        <v>136890</v>
      </c>
      <c r="U396" s="321" t="n">
        <v>136890</v>
      </c>
      <c r="V396" s="313" t="n">
        <v>0.1</v>
      </c>
      <c r="W396" s="953" t="n">
        <v>0.055</v>
      </c>
      <c r="X396" s="953" t="n">
        <v>0.12</v>
      </c>
      <c r="Y396" s="954" t="n"/>
      <c r="Z396" s="953" t="n">
        <v>0.04</v>
      </c>
      <c r="AA396" s="952">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849">
      <c r="A397" s="250" t="n">
        <v>101157</v>
      </c>
      <c r="B397" s="220" t="inlineStr">
        <is>
          <t>Jessica Calla</t>
        </is>
      </c>
      <c r="C397" s="305" t="inlineStr">
        <is>
          <t>System Analyst Card</t>
        </is>
      </c>
      <c r="D397" s="220" t="inlineStr">
        <is>
          <t>Elle Spencer</t>
        </is>
      </c>
      <c r="E397" s="220" t="inlineStr">
        <is>
          <t>Technology Manager, Energy Solutions</t>
        </is>
      </c>
      <c r="F397" s="220" t="inlineStr">
        <is>
          <t>TDD CFE&amp;I</t>
        </is>
      </c>
      <c r="G397" s="306" t="inlineStr">
        <is>
          <t>B2B &amp; Energy Solutions</t>
        </is>
      </c>
      <c r="H397" s="306" t="inlineStr">
        <is>
          <t>Technology B2B</t>
        </is>
      </c>
      <c r="I397" s="306" t="inlineStr">
        <is>
          <t>B2B &amp; Energy Solutions</t>
        </is>
      </c>
      <c r="J397" s="220" t="inlineStr">
        <is>
          <t>B2B</t>
        </is>
      </c>
      <c r="K397" s="220" t="inlineStr">
        <is>
          <t>B2B</t>
        </is>
      </c>
      <c r="L397" s="306" t="n"/>
      <c r="M397" s="307" t="inlineStr">
        <is>
          <t>Australia</t>
        </is>
      </c>
      <c r="N397" s="308" t="inlineStr">
        <is>
          <t>CDC</t>
        </is>
      </c>
      <c r="O397" s="308" t="n">
        <v>1</v>
      </c>
      <c r="P397" s="308" t="n"/>
      <c r="Q397" s="308" t="inlineStr">
        <is>
          <t>Permanent - Full Time</t>
        </is>
      </c>
      <c r="R397" s="310" t="n"/>
      <c r="S397" s="310" t="n"/>
      <c r="T397" s="322" t="n">
        <v>104570</v>
      </c>
      <c r="U397" s="321" t="n">
        <v>104570</v>
      </c>
      <c r="V397" s="313" t="n">
        <v>0.1</v>
      </c>
      <c r="W397" s="953" t="n">
        <v>0.055</v>
      </c>
      <c r="X397" s="953" t="n">
        <v>0.12</v>
      </c>
      <c r="Y397" s="954" t="n"/>
      <c r="Z397" s="953" t="n">
        <v>0.04</v>
      </c>
      <c r="AA397" s="952">
        <f>U397*(1+V397+W397+X397+Y397+Z397)</f>
        <v>137509.55</v>
      </c>
      <c r="AC397" t="inlineStr">
        <is>
          <t>Energy Solutions &amp; B2B</t>
        </is>
      </c>
      <c r="AD397" t="inlineStr">
        <is>
          <t>B2B</t>
        </is>
      </c>
      <c r="AE397" t="inlineStr">
        <is>
          <t>B2B</t>
        </is>
      </c>
      <c r="AF397" t="inlineStr">
        <is>
          <t>Squad</t>
        </is>
      </c>
      <c r="AG397" t="inlineStr">
        <is>
          <t>Filled</t>
        </is>
      </c>
    </row>
    <row r="398" hidden="1" ht="18" customHeight="1" s="849">
      <c r="A398" s="250" t="n">
        <v>105531</v>
      </c>
      <c r="B398" s="220" t="inlineStr">
        <is>
          <t>Jodi Higgins</t>
        </is>
      </c>
      <c r="C398" s="305" t="inlineStr">
        <is>
          <t>Delivery Lead</t>
        </is>
      </c>
      <c r="D398" s="306" t="inlineStr">
        <is>
          <t>Vacant</t>
        </is>
      </c>
      <c r="E398" s="220" t="inlineStr">
        <is>
          <t>Delivery Manager</t>
        </is>
      </c>
      <c r="F398" s="220" t="inlineStr">
        <is>
          <t>TDD CFE&amp;I</t>
        </is>
      </c>
      <c r="G398" s="332" t="inlineStr">
        <is>
          <t>Fuel Infrastructure</t>
        </is>
      </c>
      <c r="H398" s="306" t="inlineStr">
        <is>
          <t>Fuel Infrastructure, Delivery</t>
        </is>
      </c>
      <c r="I398" s="306" t="inlineStr">
        <is>
          <t>Infrastructure</t>
        </is>
      </c>
      <c r="J398" s="306" t="inlineStr">
        <is>
          <t>Distribution</t>
        </is>
      </c>
      <c r="K398" s="220" t="inlineStr">
        <is>
          <t>Distribution, Sales &amp; Services</t>
        </is>
      </c>
      <c r="L398" s="306" t="n"/>
      <c r="M398" s="307" t="inlineStr">
        <is>
          <t>Australia</t>
        </is>
      </c>
      <c r="N398" s="308" t="inlineStr">
        <is>
          <t>CIC</t>
        </is>
      </c>
      <c r="O398" s="308" t="n">
        <v>1</v>
      </c>
      <c r="P398" s="308" t="n"/>
      <c r="Q398" s="308" t="inlineStr">
        <is>
          <t>Permanent - Full Time</t>
        </is>
      </c>
      <c r="R398" s="310" t="n"/>
      <c r="S398" s="310" t="n"/>
      <c r="T398" s="322" t="n">
        <v>192870</v>
      </c>
      <c r="U398" s="321" t="n">
        <v>192870</v>
      </c>
      <c r="V398" s="313" t="n">
        <v>0.12</v>
      </c>
      <c r="W398" s="953" t="n">
        <v>0.055</v>
      </c>
      <c r="X398" s="953" t="n">
        <v>0.12</v>
      </c>
      <c r="Y398" s="954" t="n"/>
      <c r="Z398" s="953" t="n">
        <v>0.04</v>
      </c>
      <c r="AA398" s="952">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849">
      <c r="A399" s="250" t="n">
        <v>115847</v>
      </c>
      <c r="B399" s="220" t="inlineStr">
        <is>
          <t>Jonathan Wong</t>
        </is>
      </c>
      <c r="C399" s="305" t="inlineStr">
        <is>
          <t>Senior Business Analyst</t>
        </is>
      </c>
      <c r="D399" s="306" t="inlineStr">
        <is>
          <t>Vacant</t>
        </is>
      </c>
      <c r="E399" s="220" t="inlineStr">
        <is>
          <t>Technology Manager, Data</t>
        </is>
      </c>
      <c r="F399" s="220" t="inlineStr">
        <is>
          <t>TDD CFE&amp;I</t>
        </is>
      </c>
      <c r="G399" s="306" t="inlineStr">
        <is>
          <t>Commercial Fuels</t>
        </is>
      </c>
      <c r="H399" s="306" t="inlineStr">
        <is>
          <t>Technology, T&amp;S Data</t>
        </is>
      </c>
      <c r="I399" s="306" t="inlineStr">
        <is>
          <t>Commercial Fuels</t>
        </is>
      </c>
      <c r="J399" s="306" t="inlineStr">
        <is>
          <t>Trading &amp; Shipping</t>
        </is>
      </c>
      <c r="K399" s="306" t="inlineStr">
        <is>
          <t>Trading &amp; Shipping Data</t>
        </is>
      </c>
      <c r="L399" s="306" t="n"/>
      <c r="M399" s="307" t="inlineStr">
        <is>
          <t>Singapore</t>
        </is>
      </c>
      <c r="N399" s="308" t="inlineStr">
        <is>
          <t>CIC</t>
        </is>
      </c>
      <c r="O399" s="308" t="n">
        <v>1</v>
      </c>
      <c r="P399" s="308" t="n"/>
      <c r="Q399" s="308" t="inlineStr">
        <is>
          <t>Permanent - Full Time</t>
        </is>
      </c>
      <c r="R399" s="310" t="n"/>
      <c r="S399" s="310" t="n"/>
      <c r="T399" s="322" t="n">
        <v>180000</v>
      </c>
      <c r="U399" s="321" t="n">
        <v>217800</v>
      </c>
      <c r="V399" s="313" t="n">
        <v>0.25</v>
      </c>
      <c r="W399" s="310" t="n"/>
      <c r="X399" s="313" t="n">
        <v>0.17</v>
      </c>
      <c r="Y399" s="951" t="n">
        <v>3310</v>
      </c>
      <c r="Z399" s="335" t="n">
        <v>0.045</v>
      </c>
      <c r="AA399" s="952">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849">
      <c r="A400" s="250" t="n">
        <v>99999101545</v>
      </c>
      <c r="B400" s="220" t="inlineStr">
        <is>
          <t>Josh Campbell</t>
        </is>
      </c>
      <c r="C400" s="305" t="inlineStr">
        <is>
          <t>Engineer Software</t>
        </is>
      </c>
      <c r="D400" s="306" t="inlineStr">
        <is>
          <t>Vacant</t>
        </is>
      </c>
      <c r="E400" s="220" t="inlineStr">
        <is>
          <t>Technology Manager, Energy Solutions</t>
        </is>
      </c>
      <c r="F400" s="220" t="inlineStr">
        <is>
          <t>TDD CFE&amp;I</t>
        </is>
      </c>
      <c r="G400" s="306" t="inlineStr">
        <is>
          <t>B2B &amp; Energy Solutions</t>
        </is>
      </c>
      <c r="H400" s="306" t="inlineStr">
        <is>
          <t>Technology Energy Solutions</t>
        </is>
      </c>
      <c r="I400" s="306" t="inlineStr">
        <is>
          <t>B2B &amp; Energy Solutions</t>
        </is>
      </c>
      <c r="J400" s="306" t="inlineStr">
        <is>
          <t>Energy Solutions</t>
        </is>
      </c>
      <c r="K400" s="220" t="inlineStr">
        <is>
          <t>EVCI</t>
        </is>
      </c>
      <c r="L400" s="306" t="n"/>
      <c r="M400" s="307" t="inlineStr">
        <is>
          <t>NZ</t>
        </is>
      </c>
      <c r="N400" s="308" t="inlineStr">
        <is>
          <t>CDB</t>
        </is>
      </c>
      <c r="O400" s="309" t="n">
        <v>1</v>
      </c>
      <c r="P400" s="308" t="n"/>
      <c r="Q400" s="309" t="inlineStr">
        <is>
          <t>Permanent - Full Time</t>
        </is>
      </c>
      <c r="R400" s="310" t="n"/>
      <c r="S400" s="310" t="n"/>
      <c r="T400" s="322" t="n">
        <v>90970</v>
      </c>
      <c r="U400" s="321" t="n">
        <v>83692.40000000001</v>
      </c>
      <c r="V400" s="312" t="n">
        <v>0.1</v>
      </c>
      <c r="W400" s="309" t="n"/>
      <c r="X400" s="313" t="n">
        <v>0.05</v>
      </c>
      <c r="Y400" s="951" t="n">
        <v>2910</v>
      </c>
      <c r="Z400" s="313" t="n">
        <v>0.03</v>
      </c>
      <c r="AA400" s="952">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849">
      <c r="A401" s="250" t="n">
        <v>115836</v>
      </c>
      <c r="B401" s="220" t="inlineStr">
        <is>
          <t>JR Panganiban</t>
        </is>
      </c>
      <c r="C401" s="305" t="inlineStr">
        <is>
          <t>Technology Support Engineer</t>
        </is>
      </c>
      <c r="D401" s="220" t="inlineStr">
        <is>
          <t>Allan Francia</t>
        </is>
      </c>
      <c r="E401" s="220" t="inlineStr">
        <is>
          <t>Technology Manager, T&amp;S</t>
        </is>
      </c>
      <c r="F401" s="220" t="inlineStr">
        <is>
          <t>TDD CFE&amp;I</t>
        </is>
      </c>
      <c r="G401" s="306" t="inlineStr">
        <is>
          <t>Commercial Fuels</t>
        </is>
      </c>
      <c r="H401" s="306" t="inlineStr">
        <is>
          <t>Technology, Trading &amp; Shipping</t>
        </is>
      </c>
      <c r="I401" s="306" t="inlineStr">
        <is>
          <t>Commercial Fuels</t>
        </is>
      </c>
      <c r="J401" s="306" t="inlineStr">
        <is>
          <t>Trading &amp; Shipping</t>
        </is>
      </c>
      <c r="K401" s="220" t="inlineStr">
        <is>
          <t>Trading &amp; Shipping</t>
        </is>
      </c>
      <c r="L401" s="306" t="n"/>
      <c r="M401" s="393" t="inlineStr">
        <is>
          <t>USA</t>
        </is>
      </c>
      <c r="N401" s="308" t="inlineStr">
        <is>
          <t>CIA</t>
        </is>
      </c>
      <c r="O401" s="308" t="n">
        <v>1</v>
      </c>
      <c r="P401" s="308" t="n"/>
      <c r="Q401" s="308" t="inlineStr">
        <is>
          <t>Permanent - Full Time</t>
        </is>
      </c>
      <c r="R401" s="310" t="n"/>
      <c r="S401" s="310" t="n"/>
      <c r="T401" s="394" t="n">
        <v>92000</v>
      </c>
      <c r="U401" s="395" t="n">
        <v>140760</v>
      </c>
      <c r="V401" s="310" t="n">
        <v>0</v>
      </c>
      <c r="W401" s="310" t="n">
        <v>0</v>
      </c>
      <c r="X401" s="313" t="n">
        <v>0</v>
      </c>
      <c r="Y401" s="306" t="n">
        <v>0</v>
      </c>
      <c r="Z401" s="313" t="n">
        <v>0.04</v>
      </c>
      <c r="AA401" s="952">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849">
      <c r="A402" s="277" t="n">
        <v>11661</v>
      </c>
      <c r="B402" s="388" t="inlineStr">
        <is>
          <t>Kevin Li</t>
        </is>
      </c>
      <c r="C402" s="396" t="inlineStr">
        <is>
          <t>System Specialist</t>
        </is>
      </c>
      <c r="D402" s="389" t="inlineStr">
        <is>
          <t>Allan Francia</t>
        </is>
      </c>
      <c r="E402" s="278" t="inlineStr">
        <is>
          <t>Technology Manager, T&amp;S</t>
        </is>
      </c>
      <c r="F402" s="278" t="inlineStr">
        <is>
          <t>TDD CFE&amp;I</t>
        </is>
      </c>
      <c r="G402" s="389" t="inlineStr">
        <is>
          <t>Commercial Fuels</t>
        </is>
      </c>
      <c r="H402" s="389" t="inlineStr">
        <is>
          <t>Technology, Trading &amp; Shipping</t>
        </is>
      </c>
      <c r="I402" s="389" t="inlineStr">
        <is>
          <t>Commercial Fuels</t>
        </is>
      </c>
      <c r="J402" s="389" t="inlineStr">
        <is>
          <t>Trading &amp; Shipping</t>
        </is>
      </c>
      <c r="K402" s="389" t="inlineStr">
        <is>
          <t>Trading &amp; Shipping</t>
        </is>
      </c>
      <c r="L402" s="389" t="n"/>
      <c r="M402" s="397" t="inlineStr">
        <is>
          <t>Australia</t>
        </is>
      </c>
      <c r="N402" s="328" t="inlineStr">
        <is>
          <t>CIA</t>
        </is>
      </c>
      <c r="O402" s="328" t="n">
        <v>1</v>
      </c>
      <c r="P402" s="328" t="n"/>
      <c r="Q402" s="328" t="inlineStr">
        <is>
          <t>Permanent - Full Time</t>
        </is>
      </c>
      <c r="R402" s="328" t="n"/>
      <c r="S402" s="328" t="n"/>
      <c r="T402" s="398" t="n">
        <v>136860</v>
      </c>
      <c r="U402" s="399" t="n">
        <v>136860</v>
      </c>
      <c r="V402" s="400" t="n">
        <v>0.1</v>
      </c>
      <c r="W402" s="968" t="n">
        <v>0.055</v>
      </c>
      <c r="X402" s="968" t="n">
        <v>0.12</v>
      </c>
      <c r="Y402" s="969" t="n"/>
      <c r="Z402" s="968" t="n">
        <v>0.04</v>
      </c>
      <c r="AA402" s="970">
        <f>U402*(1+V402+W402+X402+Y402+Z402)</f>
        <v>179970.9</v>
      </c>
      <c r="AB402" s="334" t="n"/>
      <c r="AC402" s="334" t="inlineStr">
        <is>
          <t>Commercial Fuels</t>
        </is>
      </c>
      <c r="AD402" t="inlineStr">
        <is>
          <t>Trading &amp; Shipping</t>
        </is>
      </c>
      <c r="AE402" t="inlineStr">
        <is>
          <t>Trading &amp; Shipping</t>
        </is>
      </c>
      <c r="AF402" t="inlineStr">
        <is>
          <t>Squad</t>
        </is>
      </c>
      <c r="AG402" t="inlineStr">
        <is>
          <t>Filled</t>
        </is>
      </c>
    </row>
    <row r="403" hidden="1" ht="18" customHeight="1" s="849">
      <c r="A403" s="250" t="n">
        <v>110044</v>
      </c>
      <c r="B403" s="220" t="inlineStr">
        <is>
          <t>Kevin Nelson</t>
        </is>
      </c>
      <c r="C403" s="305" t="inlineStr">
        <is>
          <t>Delivery Lead</t>
        </is>
      </c>
      <c r="D403" s="306" t="inlineStr">
        <is>
          <t>Vacant</t>
        </is>
      </c>
      <c r="E403" s="220" t="inlineStr">
        <is>
          <t>Delivery Manager</t>
        </is>
      </c>
      <c r="F403" s="220" t="inlineStr">
        <is>
          <t>TDD CFE&amp;I</t>
        </is>
      </c>
      <c r="G403" s="332" t="inlineStr">
        <is>
          <t>Fuel Infrastructure</t>
        </is>
      </c>
      <c r="H403" s="306" t="inlineStr">
        <is>
          <t>Fuel Infrastructure, Delivery</t>
        </is>
      </c>
      <c r="I403" s="306" t="inlineStr">
        <is>
          <t>RETAIL</t>
        </is>
      </c>
      <c r="J403" s="306" t="inlineStr">
        <is>
          <t>AMPOS</t>
        </is>
      </c>
      <c r="K403" s="220" t="inlineStr">
        <is>
          <t>AmPos</t>
        </is>
      </c>
      <c r="L403" s="306" t="n"/>
      <c r="M403" s="307" t="inlineStr">
        <is>
          <t>Australia</t>
        </is>
      </c>
      <c r="N403" s="308" t="inlineStr">
        <is>
          <t>CIC</t>
        </is>
      </c>
      <c r="O403" s="308" t="n">
        <v>1</v>
      </c>
      <c r="P403" s="308" t="n"/>
      <c r="Q403" s="308" t="inlineStr">
        <is>
          <t>Permanent - Full Time</t>
        </is>
      </c>
      <c r="R403" s="310" t="n"/>
      <c r="S403" s="310" t="n"/>
      <c r="T403" s="322" t="n">
        <v>189620</v>
      </c>
      <c r="U403" s="321" t="n">
        <v>189620</v>
      </c>
      <c r="V403" s="313" t="n">
        <v>0.12</v>
      </c>
      <c r="W403" s="953" t="n">
        <v>0.055</v>
      </c>
      <c r="X403" s="953" t="n">
        <v>0.12</v>
      </c>
      <c r="Y403" s="954" t="n"/>
      <c r="Z403" s="953" t="n">
        <v>0.04</v>
      </c>
      <c r="AA403" s="952">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849">
      <c r="A404" s="250" t="n">
        <v>115723</v>
      </c>
      <c r="B404" s="220" t="inlineStr">
        <is>
          <t>Kumar Siva</t>
        </is>
      </c>
      <c r="C404" s="305" t="inlineStr">
        <is>
          <t>Lead engineer Data</t>
        </is>
      </c>
      <c r="D404" s="306" t="inlineStr">
        <is>
          <t>Vacant</t>
        </is>
      </c>
      <c r="E404" s="220" t="inlineStr">
        <is>
          <t>Technology Manager, Data</t>
        </is>
      </c>
      <c r="F404" s="220" t="inlineStr">
        <is>
          <t>TDD CFE&amp;I</t>
        </is>
      </c>
      <c r="G404" s="306" t="inlineStr">
        <is>
          <t>Commercial Fuels</t>
        </is>
      </c>
      <c r="H404" s="306" t="inlineStr">
        <is>
          <t>Technology, T&amp;S Data</t>
        </is>
      </c>
      <c r="I404" s="306" t="inlineStr">
        <is>
          <t>Commercial Fuels</t>
        </is>
      </c>
      <c r="J404" s="306" t="inlineStr">
        <is>
          <t>Trading &amp; Shipping</t>
        </is>
      </c>
      <c r="K404" s="306" t="inlineStr">
        <is>
          <t>Trading &amp; Shipping Data</t>
        </is>
      </c>
      <c r="L404" s="306" t="n"/>
      <c r="M404" s="307" t="inlineStr">
        <is>
          <t>Singapore</t>
        </is>
      </c>
      <c r="N404" s="308" t="inlineStr">
        <is>
          <t>CIC</t>
        </is>
      </c>
      <c r="O404" s="308" t="n">
        <v>1</v>
      </c>
      <c r="P404" s="308" t="n"/>
      <c r="Q404" s="308" t="inlineStr">
        <is>
          <t>Permanent - Full Time</t>
        </is>
      </c>
      <c r="R404" s="310" t="n"/>
      <c r="S404" s="310" t="n"/>
      <c r="T404" s="322" t="n">
        <v>210000</v>
      </c>
      <c r="U404" s="321" t="n">
        <v>254100</v>
      </c>
      <c r="V404" s="313" t="n">
        <v>0.25</v>
      </c>
      <c r="W404" s="310" t="n"/>
      <c r="X404" s="313" t="n">
        <v>0.17</v>
      </c>
      <c r="Y404" s="951" t="n">
        <v>3310</v>
      </c>
      <c r="Z404" s="335" t="n">
        <v>0.045</v>
      </c>
      <c r="AA404" s="952">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849">
      <c r="A405" s="250" t="n">
        <v>99999101421</v>
      </c>
      <c r="B405" s="220" t="inlineStr">
        <is>
          <t>Lana Wagner</t>
        </is>
      </c>
      <c r="C405" s="305" t="inlineStr">
        <is>
          <t>Senior Business Analyst</t>
        </is>
      </c>
      <c r="D405" s="306" t="inlineStr">
        <is>
          <t>Vacant</t>
        </is>
      </c>
      <c r="E405" s="220" t="inlineStr">
        <is>
          <t>Delivery Manager</t>
        </is>
      </c>
      <c r="F405" s="220" t="inlineStr">
        <is>
          <t>TDD CFE&amp;I</t>
        </is>
      </c>
      <c r="G405" s="306" t="inlineStr">
        <is>
          <t>B2B &amp; Energy Solutions</t>
        </is>
      </c>
      <c r="H405" s="306" t="inlineStr">
        <is>
          <t>Delivery</t>
        </is>
      </c>
      <c r="I405" s="306" t="inlineStr">
        <is>
          <t>B2B &amp; Energy Solutions</t>
        </is>
      </c>
      <c r="J405" s="306" t="inlineStr">
        <is>
          <t>Energy Solutions</t>
        </is>
      </c>
      <c r="K405" s="220" t="inlineStr">
        <is>
          <t>EVCI</t>
        </is>
      </c>
      <c r="L405" s="306" t="n"/>
      <c r="M405" s="307" t="inlineStr">
        <is>
          <t>NZ</t>
        </is>
      </c>
      <c r="N405" s="308" t="inlineStr">
        <is>
          <t>CIA</t>
        </is>
      </c>
      <c r="O405" s="309" t="n">
        <v>1</v>
      </c>
      <c r="P405" s="308" t="n"/>
      <c r="Q405" s="309" t="inlineStr">
        <is>
          <t>Permanent - Full Time</t>
        </is>
      </c>
      <c r="R405" s="310" t="n"/>
      <c r="S405" s="310" t="n"/>
      <c r="T405" s="322" t="n">
        <v>137720</v>
      </c>
      <c r="U405" s="321" t="n">
        <v>126702.4</v>
      </c>
      <c r="V405" s="312" t="n">
        <v>0.15</v>
      </c>
      <c r="W405" s="310" t="n"/>
      <c r="X405" s="313" t="n">
        <v>0.05</v>
      </c>
      <c r="Y405" s="951" t="n">
        <v>2910</v>
      </c>
      <c r="Z405" s="313" t="n">
        <v>0.03</v>
      </c>
      <c r="AA405" s="952">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849">
      <c r="A406" s="250" t="n">
        <v>99999101325</v>
      </c>
      <c r="B406" s="220" t="inlineStr">
        <is>
          <t>Laura Roberts</t>
        </is>
      </c>
      <c r="C406" s="305" t="inlineStr">
        <is>
          <t>Senior Engineer Software</t>
        </is>
      </c>
      <c r="D406" s="306" t="inlineStr">
        <is>
          <t>Vacant</t>
        </is>
      </c>
      <c r="E406" s="220" t="inlineStr">
        <is>
          <t>Technology Manager, Engineering</t>
        </is>
      </c>
      <c r="F406" s="220" t="inlineStr">
        <is>
          <t>TDD CFE&amp;I</t>
        </is>
      </c>
      <c r="G406" s="306" t="inlineStr">
        <is>
          <t>Commercial Fuels</t>
        </is>
      </c>
      <c r="H406" s="306" t="inlineStr">
        <is>
          <t>Technology, CF Engineering</t>
        </is>
      </c>
      <c r="I406" s="306" t="inlineStr">
        <is>
          <t>Commercial Fuels</t>
        </is>
      </c>
      <c r="J406" s="220" t="inlineStr">
        <is>
          <t>CTRM</t>
        </is>
      </c>
      <c r="K406" s="220" t="inlineStr">
        <is>
          <t>CTRM</t>
        </is>
      </c>
      <c r="L406" s="306" t="n"/>
      <c r="M406" s="307" t="inlineStr">
        <is>
          <t>NZ</t>
        </is>
      </c>
      <c r="N406" s="308" t="inlineStr">
        <is>
          <t>CIA</t>
        </is>
      </c>
      <c r="O406" s="309" t="n">
        <v>1</v>
      </c>
      <c r="P406" s="308" t="n"/>
      <c r="Q406" s="309" t="inlineStr">
        <is>
          <t>Permanent - Full Time</t>
        </is>
      </c>
      <c r="R406" s="310" t="n"/>
      <c r="S406" s="310" t="n"/>
      <c r="T406" s="322" t="n">
        <v>135720</v>
      </c>
      <c r="U406" s="321" t="n">
        <v>124862.4</v>
      </c>
      <c r="V406" s="312" t="n">
        <v>0.15</v>
      </c>
      <c r="W406" s="310" t="n"/>
      <c r="X406" s="313" t="n">
        <v>0.05</v>
      </c>
      <c r="Y406" s="951" t="n">
        <v>2910</v>
      </c>
      <c r="Z406" s="313" t="n">
        <v>0.03</v>
      </c>
      <c r="AA406" s="952">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849">
      <c r="A407" s="250" t="n">
        <v>6511</v>
      </c>
      <c r="B407" s="220" t="inlineStr">
        <is>
          <t>Leo Machin</t>
        </is>
      </c>
      <c r="C407" s="305" t="inlineStr">
        <is>
          <t>Lead Engineer Applications</t>
        </is>
      </c>
      <c r="D407" s="220" t="inlineStr">
        <is>
          <t>Allan Francia</t>
        </is>
      </c>
      <c r="E407" s="220" t="inlineStr">
        <is>
          <t>Technology Manager, T&amp;S</t>
        </is>
      </c>
      <c r="F407" s="220" t="inlineStr">
        <is>
          <t>TDD CFE&amp;I</t>
        </is>
      </c>
      <c r="G407" s="306" t="inlineStr">
        <is>
          <t>Commercial Fuels</t>
        </is>
      </c>
      <c r="H407" s="306" t="inlineStr">
        <is>
          <t>Technology, Trading &amp; Shipping</t>
        </is>
      </c>
      <c r="I407" s="306" t="inlineStr">
        <is>
          <t>Commercial Fuels</t>
        </is>
      </c>
      <c r="J407" s="306" t="inlineStr">
        <is>
          <t>Trading &amp; Shipping</t>
        </is>
      </c>
      <c r="K407" s="220" t="inlineStr">
        <is>
          <t>Trading &amp; Shipping</t>
        </is>
      </c>
      <c r="L407" s="306" t="n"/>
      <c r="M407" s="307" t="inlineStr">
        <is>
          <t>Australia</t>
        </is>
      </c>
      <c r="N407" s="310" t="inlineStr">
        <is>
          <t>CIB</t>
        </is>
      </c>
      <c r="O407" s="310" t="n">
        <v>1</v>
      </c>
      <c r="P407" s="310" t="n"/>
      <c r="Q407" s="310" t="inlineStr">
        <is>
          <t>Permanent - Full Time</t>
        </is>
      </c>
      <c r="R407" s="310" t="n"/>
      <c r="S407" s="310" t="n"/>
      <c r="T407" s="322" t="n">
        <v>159220</v>
      </c>
      <c r="U407" s="321" t="n">
        <v>159220</v>
      </c>
      <c r="V407" s="313" t="n">
        <v>0.12</v>
      </c>
      <c r="W407" s="953" t="n">
        <v>0.055</v>
      </c>
      <c r="X407" s="953" t="n">
        <v>0.12</v>
      </c>
      <c r="Y407" s="954" t="n"/>
      <c r="Z407" s="953" t="n">
        <v>0.04</v>
      </c>
      <c r="AA407" s="952">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849">
      <c r="A408" s="250" t="n">
        <v>99999101304</v>
      </c>
      <c r="B408" s="220" t="inlineStr">
        <is>
          <t>Liesl Tye</t>
        </is>
      </c>
      <c r="C408" s="305" t="inlineStr">
        <is>
          <t>Head of Technology, B2B &amp; Energy Solutions</t>
        </is>
      </c>
      <c r="D408" s="220" t="inlineStr">
        <is>
          <t xml:space="preserve">Roanne Steele </t>
        </is>
      </c>
      <c r="E408" s="220" t="inlineStr">
        <is>
          <t>GM TDD, CFE&amp;I</t>
        </is>
      </c>
      <c r="F408" s="220" t="inlineStr">
        <is>
          <t>TDD CFE&amp;I</t>
        </is>
      </c>
      <c r="G408" s="306" t="inlineStr">
        <is>
          <t>B2B &amp; Energy Solutions</t>
        </is>
      </c>
      <c r="H408" s="306" t="inlineStr">
        <is>
          <t>Leadership</t>
        </is>
      </c>
      <c r="I408" s="306" t="inlineStr">
        <is>
          <t>B2B &amp; Energy Solutions</t>
        </is>
      </c>
      <c r="J408" s="306" t="inlineStr">
        <is>
          <t>Leadership</t>
        </is>
      </c>
      <c r="K408" s="220" t="inlineStr">
        <is>
          <t>Leadership</t>
        </is>
      </c>
      <c r="L408" s="306" t="n"/>
      <c r="M408" s="307" t="inlineStr">
        <is>
          <t>NZ</t>
        </is>
      </c>
      <c r="N408" s="308" t="inlineStr">
        <is>
          <t>CSC</t>
        </is>
      </c>
      <c r="O408" s="309" t="n">
        <v>1</v>
      </c>
      <c r="P408" s="308" t="n"/>
      <c r="Q408" s="309" t="inlineStr">
        <is>
          <t>Permanent - Full Time</t>
        </is>
      </c>
      <c r="R408" s="310" t="n"/>
      <c r="S408" s="310" t="n"/>
      <c r="T408" s="322" t="n">
        <v>230000</v>
      </c>
      <c r="U408" s="321" t="n">
        <v>211600</v>
      </c>
      <c r="V408" s="312" t="n">
        <v>0.2</v>
      </c>
      <c r="W408" s="310" t="n"/>
      <c r="X408" s="313" t="n">
        <v>0.05</v>
      </c>
      <c r="Y408" s="951" t="n">
        <v>2910</v>
      </c>
      <c r="Z408" s="313" t="n">
        <v>0.03</v>
      </c>
      <c r="AA408" s="952">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849">
      <c r="A409" s="250" t="n">
        <v>105799</v>
      </c>
      <c r="B409" s="220" t="inlineStr">
        <is>
          <t>Lindsay Baipas</t>
        </is>
      </c>
      <c r="C409" s="305" t="inlineStr">
        <is>
          <t>System Analyst Card</t>
        </is>
      </c>
      <c r="D409" s="220" t="inlineStr">
        <is>
          <t>Elle Spencer</t>
        </is>
      </c>
      <c r="E409" s="220" t="inlineStr">
        <is>
          <t>Technology Manager, Energy Solutions</t>
        </is>
      </c>
      <c r="F409" s="220" t="inlineStr">
        <is>
          <t>TDD CFE&amp;I</t>
        </is>
      </c>
      <c r="G409" s="306" t="inlineStr">
        <is>
          <t>B2B &amp; Energy Solutions</t>
        </is>
      </c>
      <c r="H409" s="306" t="inlineStr">
        <is>
          <t>Technology B2B</t>
        </is>
      </c>
      <c r="I409" s="306" t="inlineStr">
        <is>
          <t>B2B &amp; Energy Solutions</t>
        </is>
      </c>
      <c r="J409" s="220" t="inlineStr">
        <is>
          <t>B2B</t>
        </is>
      </c>
      <c r="K409" s="220" t="inlineStr">
        <is>
          <t>B2B</t>
        </is>
      </c>
      <c r="L409" s="306" t="n"/>
      <c r="M409" s="307" t="inlineStr">
        <is>
          <t>Australia</t>
        </is>
      </c>
      <c r="N409" s="308" t="inlineStr">
        <is>
          <t>CIA</t>
        </is>
      </c>
      <c r="O409" s="308" t="n">
        <v>1</v>
      </c>
      <c r="P409" s="308" t="n"/>
      <c r="Q409" s="308" t="inlineStr">
        <is>
          <t>Permanent - Full Time</t>
        </is>
      </c>
      <c r="R409" s="310" t="n"/>
      <c r="S409" s="310" t="n"/>
      <c r="T409" s="322" t="n">
        <v>144720</v>
      </c>
      <c r="U409" s="321" t="n">
        <v>144720</v>
      </c>
      <c r="V409" s="313" t="n">
        <v>0.1</v>
      </c>
      <c r="W409" s="953" t="n">
        <v>0.055</v>
      </c>
      <c r="X409" s="953" t="n">
        <v>0.12</v>
      </c>
      <c r="Y409" s="954" t="n"/>
      <c r="Z409" s="953" t="n">
        <v>0.04</v>
      </c>
      <c r="AA409" s="952">
        <f>U409*(1+V409+W409+X409+Y409+Z409)</f>
        <v>190306.8</v>
      </c>
      <c r="AC409" t="inlineStr">
        <is>
          <t>Energy Solutions &amp; B2B</t>
        </is>
      </c>
      <c r="AD409" t="inlineStr">
        <is>
          <t>B2B</t>
        </is>
      </c>
      <c r="AE409" t="inlineStr">
        <is>
          <t>B2B</t>
        </is>
      </c>
      <c r="AF409" t="inlineStr">
        <is>
          <t>Squad</t>
        </is>
      </c>
      <c r="AG409" t="inlineStr">
        <is>
          <t>Filled</t>
        </is>
      </c>
    </row>
    <row r="410" hidden="1" ht="18" customHeight="1" s="849">
      <c r="A410" s="250" t="n">
        <v>105488</v>
      </c>
      <c r="B410" s="220" t="inlineStr">
        <is>
          <t>Louis Ballington</t>
        </is>
      </c>
      <c r="C410" s="305" t="inlineStr">
        <is>
          <t>Delivery Lead</t>
        </is>
      </c>
      <c r="D410" s="306" t="inlineStr">
        <is>
          <t>Vacant</t>
        </is>
      </c>
      <c r="E410" s="220" t="inlineStr">
        <is>
          <t>Delivery Manager</t>
        </is>
      </c>
      <c r="F410" s="220" t="inlineStr">
        <is>
          <t>TDD CFE&amp;I</t>
        </is>
      </c>
      <c r="G410" s="332" t="inlineStr">
        <is>
          <t>Fuel Infrastructure</t>
        </is>
      </c>
      <c r="H410" s="306" t="inlineStr">
        <is>
          <t>Fuel Infrastructure, Delivery</t>
        </is>
      </c>
      <c r="I410" s="306" t="inlineStr">
        <is>
          <t>Infrastructure</t>
        </is>
      </c>
      <c r="J410" s="306" t="inlineStr">
        <is>
          <t>Manufacturing</t>
        </is>
      </c>
      <c r="K410" s="220" t="inlineStr">
        <is>
          <t>Manufacturing Group Projects</t>
        </is>
      </c>
      <c r="L410" s="306" t="n"/>
      <c r="M410" s="307" t="inlineStr">
        <is>
          <t>Australia</t>
        </is>
      </c>
      <c r="N410" s="308" t="inlineStr">
        <is>
          <t>CIC</t>
        </is>
      </c>
      <c r="O410" s="308" t="n">
        <v>1</v>
      </c>
      <c r="P410" s="308" t="n"/>
      <c r="Q410" s="308" t="inlineStr">
        <is>
          <t>Permanent - Full Time</t>
        </is>
      </c>
      <c r="R410" s="310" t="n"/>
      <c r="S410" s="310" t="n"/>
      <c r="T410" s="322" t="n">
        <v>192110</v>
      </c>
      <c r="U410" s="321" t="n">
        <v>192110</v>
      </c>
      <c r="V410" s="313" t="n">
        <v>0.12</v>
      </c>
      <c r="W410" s="953" t="n">
        <v>0.055</v>
      </c>
      <c r="X410" s="953" t="n">
        <v>0.12</v>
      </c>
      <c r="Y410" s="954" t="n"/>
      <c r="Z410" s="953" t="n">
        <v>0.04</v>
      </c>
      <c r="AA410" s="952">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849">
      <c r="A411" s="250" t="n">
        <v>8367</v>
      </c>
      <c r="B411" s="220" t="inlineStr">
        <is>
          <t>Marcela Gonzalez</t>
        </is>
      </c>
      <c r="C411" s="305" t="inlineStr">
        <is>
          <t>Energy Platforms Lead</t>
        </is>
      </c>
      <c r="D411" s="306" t="inlineStr">
        <is>
          <t>Vacant</t>
        </is>
      </c>
      <c r="E411" s="220" t="inlineStr">
        <is>
          <t>Technology Manager, Energy Solutions</t>
        </is>
      </c>
      <c r="F411" s="220" t="inlineStr">
        <is>
          <t>TDD CFE&amp;I</t>
        </is>
      </c>
      <c r="G411" s="306" t="inlineStr">
        <is>
          <t>B2B &amp; Energy Solutions</t>
        </is>
      </c>
      <c r="H411" s="306" t="inlineStr">
        <is>
          <t>Technology Energy Solutions</t>
        </is>
      </c>
      <c r="I411" s="306" t="inlineStr">
        <is>
          <t>B2B &amp; Energy Solutions</t>
        </is>
      </c>
      <c r="J411" s="306" t="inlineStr">
        <is>
          <t>Energy Solutions</t>
        </is>
      </c>
      <c r="K411" s="220" t="inlineStr">
        <is>
          <t>Energy</t>
        </is>
      </c>
      <c r="L411" s="306" t="n"/>
      <c r="M411" s="307" t="inlineStr">
        <is>
          <t>Australia</t>
        </is>
      </c>
      <c r="N411" s="310" t="inlineStr">
        <is>
          <t>cic</t>
        </is>
      </c>
      <c r="O411" s="310" t="n">
        <v>1</v>
      </c>
      <c r="P411" s="310" t="n"/>
      <c r="Q411" s="310" t="inlineStr">
        <is>
          <t>Permanent - Full Time</t>
        </is>
      </c>
      <c r="R411" s="310" t="n"/>
      <c r="S411" s="310" t="n"/>
      <c r="T411" s="322" t="n">
        <v>187730</v>
      </c>
      <c r="U411" s="321" t="n">
        <v>187730</v>
      </c>
      <c r="V411" s="313" t="n">
        <v>0.12</v>
      </c>
      <c r="W411" s="953" t="n">
        <v>0.055</v>
      </c>
      <c r="X411" s="953" t="n">
        <v>0.12</v>
      </c>
      <c r="Y411" s="954" t="n"/>
      <c r="Z411" s="953" t="n">
        <v>0.04</v>
      </c>
      <c r="AA411" s="952">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849">
      <c r="A412" s="250" t="n">
        <v>85491</v>
      </c>
      <c r="B412" s="220" t="inlineStr">
        <is>
          <t>Mick DaSilva</t>
        </is>
      </c>
      <c r="C412" s="305" t="inlineStr">
        <is>
          <t>Senior Business Analyst</t>
        </is>
      </c>
      <c r="D412" s="306" t="inlineStr">
        <is>
          <t>Vacant</t>
        </is>
      </c>
      <c r="E412" s="220" t="inlineStr">
        <is>
          <t>Delivery Manager</t>
        </is>
      </c>
      <c r="F412" s="220" t="inlineStr">
        <is>
          <t>TDD CFE&amp;I</t>
        </is>
      </c>
      <c r="G412" s="306" t="inlineStr">
        <is>
          <t>B2B &amp; Energy Solutions</t>
        </is>
      </c>
      <c r="H412" s="306" t="inlineStr">
        <is>
          <t>Delivery</t>
        </is>
      </c>
      <c r="I412" s="306" t="inlineStr">
        <is>
          <t>B2B &amp; Energy Solutions</t>
        </is>
      </c>
      <c r="J412" s="220" t="inlineStr">
        <is>
          <t>B2B</t>
        </is>
      </c>
      <c r="K412" s="220" t="inlineStr">
        <is>
          <t>B2B</t>
        </is>
      </c>
      <c r="L412" s="306" t="n"/>
      <c r="M412" s="307" t="inlineStr">
        <is>
          <t>Australia</t>
        </is>
      </c>
      <c r="N412" s="310" t="inlineStr">
        <is>
          <t>CIB</t>
        </is>
      </c>
      <c r="O412" s="310" t="n">
        <v>1</v>
      </c>
      <c r="P412" s="310" t="n"/>
      <c r="Q412" s="310" t="inlineStr">
        <is>
          <t>Permanent - Full Time</t>
        </is>
      </c>
      <c r="R412" s="310" t="n"/>
      <c r="S412" s="310" t="n"/>
      <c r="T412" s="322" t="n">
        <v>164380</v>
      </c>
      <c r="U412" s="321" t="n">
        <v>164380</v>
      </c>
      <c r="V412" s="313" t="n">
        <v>0.12</v>
      </c>
      <c r="W412" s="953" t="n">
        <v>0.055</v>
      </c>
      <c r="X412" s="953" t="n">
        <v>0.12</v>
      </c>
      <c r="Y412" s="954" t="n"/>
      <c r="Z412" s="953" t="n">
        <v>0.04</v>
      </c>
      <c r="AA412" s="952">
        <f>U412*(1+V412+W412+X412+Y412+Z412)</f>
        <v>219447.3</v>
      </c>
      <c r="AC412" t="inlineStr">
        <is>
          <t>Energy Solutions &amp; B2B</t>
        </is>
      </c>
      <c r="AD412" t="inlineStr">
        <is>
          <t>B2B</t>
        </is>
      </c>
      <c r="AE412" t="inlineStr">
        <is>
          <t>B2B</t>
        </is>
      </c>
      <c r="AF412" t="inlineStr">
        <is>
          <t>Squad</t>
        </is>
      </c>
      <c r="AG412" t="inlineStr">
        <is>
          <t>Filled</t>
        </is>
      </c>
    </row>
    <row r="413" hidden="1" ht="18" customHeight="1" s="849">
      <c r="A413" s="250" t="n">
        <v>90813</v>
      </c>
      <c r="B413" s="220" t="inlineStr">
        <is>
          <t>Mikey Tran</t>
        </is>
      </c>
      <c r="C413" s="305" t="inlineStr">
        <is>
          <t>Senior Systems Analyst - Card</t>
        </is>
      </c>
      <c r="D413" s="220" t="inlineStr">
        <is>
          <t>Elle Spencer</t>
        </is>
      </c>
      <c r="E413" s="220" t="inlineStr">
        <is>
          <t>Technology Manager, Energy Solutions</t>
        </is>
      </c>
      <c r="F413" s="220" t="inlineStr">
        <is>
          <t>TDD CFE&amp;I</t>
        </is>
      </c>
      <c r="G413" s="306" t="inlineStr">
        <is>
          <t>B2B &amp; Energy Solutions</t>
        </is>
      </c>
      <c r="H413" s="306" t="inlineStr">
        <is>
          <t>Technology B2B</t>
        </is>
      </c>
      <c r="I413" s="306" t="inlineStr">
        <is>
          <t>B2B &amp; Energy Solutions</t>
        </is>
      </c>
      <c r="J413" s="220" t="inlineStr">
        <is>
          <t>B2B</t>
        </is>
      </c>
      <c r="K413" s="220" t="inlineStr">
        <is>
          <t>B2B</t>
        </is>
      </c>
      <c r="L413" s="306" t="n"/>
      <c r="M413" s="307" t="inlineStr">
        <is>
          <t>Australia</t>
        </is>
      </c>
      <c r="N413" s="308" t="inlineStr">
        <is>
          <t>CIB</t>
        </is>
      </c>
      <c r="O413" s="308" t="n">
        <v>1</v>
      </c>
      <c r="P413" s="308" t="n"/>
      <c r="Q413" s="308" t="inlineStr">
        <is>
          <t>Permanent - Full Time</t>
        </is>
      </c>
      <c r="R413" s="310" t="n"/>
      <c r="S413" s="310" t="n"/>
      <c r="T413" s="322" t="n">
        <v>140000</v>
      </c>
      <c r="U413" s="321" t="n">
        <v>140000</v>
      </c>
      <c r="V413" s="313" t="n">
        <v>0.12</v>
      </c>
      <c r="W413" s="953" t="n">
        <v>0.055</v>
      </c>
      <c r="X413" s="953" t="n">
        <v>0.12</v>
      </c>
      <c r="Y413" s="954" t="n"/>
      <c r="Z413" s="953" t="n">
        <v>0.04</v>
      </c>
      <c r="AA413" s="952">
        <f>U413*(1+V413+W413+X413+Y413+Z413)</f>
        <v>186900.0</v>
      </c>
      <c r="AC413" t="inlineStr">
        <is>
          <t>Energy Solutions &amp; B2B</t>
        </is>
      </c>
      <c r="AD413" t="inlineStr">
        <is>
          <t>B2B</t>
        </is>
      </c>
      <c r="AE413" t="inlineStr">
        <is>
          <t>B2B</t>
        </is>
      </c>
      <c r="AF413" t="inlineStr">
        <is>
          <t>Squad</t>
        </is>
      </c>
      <c r="AG413" t="inlineStr">
        <is>
          <t>Filled</t>
        </is>
      </c>
    </row>
    <row r="414" hidden="1" ht="18" customHeight="1" s="849">
      <c r="A414" s="250" t="n">
        <v>114723</v>
      </c>
      <c r="B414" s="220" t="inlineStr">
        <is>
          <t>Ming Shao</t>
        </is>
      </c>
      <c r="C414" s="305" t="inlineStr">
        <is>
          <t>Senior Systems Analyst Card</t>
        </is>
      </c>
      <c r="D414" s="220" t="inlineStr">
        <is>
          <t>Elle Spencer</t>
        </is>
      </c>
      <c r="E414" s="220" t="inlineStr">
        <is>
          <t>Technology Manager, Energy Solutions</t>
        </is>
      </c>
      <c r="F414" s="220" t="inlineStr">
        <is>
          <t>TDD CFE&amp;I</t>
        </is>
      </c>
      <c r="G414" s="306" t="inlineStr">
        <is>
          <t>B2B &amp; Energy Solutions</t>
        </is>
      </c>
      <c r="H414" s="306" t="inlineStr">
        <is>
          <t>Technology B2B</t>
        </is>
      </c>
      <c r="I414" s="306" t="inlineStr">
        <is>
          <t>B2B &amp; Energy Solutions</t>
        </is>
      </c>
      <c r="J414" s="220" t="inlineStr">
        <is>
          <t>B2B</t>
        </is>
      </c>
      <c r="K414" s="220" t="inlineStr">
        <is>
          <t>B2B</t>
        </is>
      </c>
      <c r="L414" s="306" t="n"/>
      <c r="M414" s="307" t="inlineStr">
        <is>
          <t>Australia</t>
        </is>
      </c>
      <c r="N414" s="308" t="inlineStr">
        <is>
          <t>CIC</t>
        </is>
      </c>
      <c r="O414" s="308" t="n">
        <v>1</v>
      </c>
      <c r="P414" s="308" t="n"/>
      <c r="Q414" s="308" t="inlineStr">
        <is>
          <t>Permanent - Full Time</t>
        </is>
      </c>
      <c r="R414" s="310" t="n"/>
      <c r="S414" s="310" t="n"/>
      <c r="T414" s="322" t="n">
        <v>166000</v>
      </c>
      <c r="U414" s="321" t="n">
        <v>166000</v>
      </c>
      <c r="V414" s="313" t="n">
        <v>0.12</v>
      </c>
      <c r="W414" s="953" t="n">
        <v>0.055</v>
      </c>
      <c r="X414" s="953" t="n">
        <v>0.12</v>
      </c>
      <c r="Y414" s="954" t="n"/>
      <c r="Z414" s="953" t="n">
        <v>0.04</v>
      </c>
      <c r="AA414" s="952">
        <f>U414*(1+V414+W414+X414+Y414+Z414)</f>
        <v>221610.0</v>
      </c>
      <c r="AC414" t="inlineStr">
        <is>
          <t>Energy Solutions &amp; B2B</t>
        </is>
      </c>
      <c r="AD414" t="inlineStr">
        <is>
          <t>B2B</t>
        </is>
      </c>
      <c r="AE414" t="inlineStr">
        <is>
          <t>B2B</t>
        </is>
      </c>
      <c r="AF414" t="inlineStr">
        <is>
          <t>Squad</t>
        </is>
      </c>
      <c r="AG414" t="inlineStr">
        <is>
          <t>Filled</t>
        </is>
      </c>
    </row>
    <row r="415" hidden="1" ht="18" customHeight="1" s="849">
      <c r="A415" s="250" t="n">
        <v>99999101224</v>
      </c>
      <c r="B415" s="220" t="inlineStr">
        <is>
          <t>Nakul Bharade</t>
        </is>
      </c>
      <c r="C415" s="305" t="inlineStr">
        <is>
          <t>Head of Technology, Commercial Fuels</t>
        </is>
      </c>
      <c r="D415" s="220" t="inlineStr">
        <is>
          <t xml:space="preserve">Roanne Steele </t>
        </is>
      </c>
      <c r="E415" s="220" t="inlineStr">
        <is>
          <t>GM TDD, CFE&amp;I</t>
        </is>
      </c>
      <c r="F415" s="220" t="inlineStr">
        <is>
          <t>TDD CFE&amp;I</t>
        </is>
      </c>
      <c r="G415" s="306" t="inlineStr">
        <is>
          <t>Commercial Fuels</t>
        </is>
      </c>
      <c r="H415" s="306" t="inlineStr">
        <is>
          <t>Leadership</t>
        </is>
      </c>
      <c r="I415" s="306" t="inlineStr">
        <is>
          <t>Commercial Fuels</t>
        </is>
      </c>
      <c r="J415" s="306" t="inlineStr">
        <is>
          <t>Leadership</t>
        </is>
      </c>
      <c r="K415" s="306" t="inlineStr">
        <is>
          <t>Leadership</t>
        </is>
      </c>
      <c r="L415" s="306" t="n"/>
      <c r="M415" s="307" t="inlineStr">
        <is>
          <t>NZ</t>
        </is>
      </c>
      <c r="N415" s="308" t="inlineStr">
        <is>
          <t>CSC</t>
        </is>
      </c>
      <c r="O415" s="309" t="n">
        <v>1</v>
      </c>
      <c r="P415" s="308" t="n"/>
      <c r="Q415" s="309" t="inlineStr">
        <is>
          <t>Permanent - Full Time</t>
        </is>
      </c>
      <c r="R415" s="310" t="n"/>
      <c r="S415" s="310" t="n"/>
      <c r="T415" s="322" t="n">
        <v>245860</v>
      </c>
      <c r="U415" s="311" t="n">
        <v>226191.2</v>
      </c>
      <c r="V415" s="353" t="n">
        <v>0.2</v>
      </c>
      <c r="X415" s="349" t="n">
        <v>0.05</v>
      </c>
      <c r="Y415" s="958" t="n">
        <v>2910</v>
      </c>
      <c r="Z415" s="349" t="n">
        <v>0.03</v>
      </c>
      <c r="AA415" s="957">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849">
      <c r="A416" s="250" t="n">
        <v>99999101908</v>
      </c>
      <c r="B416" s="220" t="inlineStr">
        <is>
          <t>Oliver Shanks</t>
        </is>
      </c>
      <c r="C416" s="305" t="inlineStr">
        <is>
          <t>Associate Engineer Software</t>
        </is>
      </c>
      <c r="D416" s="306" t="inlineStr">
        <is>
          <t>Vacant</t>
        </is>
      </c>
      <c r="E416" s="220" t="inlineStr">
        <is>
          <t>Technology Manager, Engineering</t>
        </is>
      </c>
      <c r="F416" s="220" t="inlineStr">
        <is>
          <t>TDD CFE&amp;I</t>
        </is>
      </c>
      <c r="G416" s="306" t="inlineStr">
        <is>
          <t>Commercial Fuels</t>
        </is>
      </c>
      <c r="H416" s="306" t="inlineStr">
        <is>
          <t>Technology, CF Engineering</t>
        </is>
      </c>
      <c r="I416" s="306" t="inlineStr">
        <is>
          <t>Commercial Fuels</t>
        </is>
      </c>
      <c r="J416" s="220" t="inlineStr">
        <is>
          <t>CTRM</t>
        </is>
      </c>
      <c r="K416" s="220" t="inlineStr">
        <is>
          <t>CTRM</t>
        </is>
      </c>
      <c r="L416" s="306" t="n"/>
      <c r="M416" s="307" t="inlineStr">
        <is>
          <t>NZ</t>
        </is>
      </c>
      <c r="N416" s="308" t="inlineStr">
        <is>
          <t>CDA</t>
        </is>
      </c>
      <c r="O416" s="309" t="n">
        <v>1</v>
      </c>
      <c r="P416" s="308" t="n"/>
      <c r="Q416" s="309" t="inlineStr">
        <is>
          <t>Permanent - Full Time</t>
        </is>
      </c>
      <c r="R416" s="310" t="n"/>
      <c r="S416" s="310" t="n"/>
      <c r="T416" s="322" t="n">
        <v>75170</v>
      </c>
      <c r="U416" s="321" t="n">
        <v>69156.40000000001</v>
      </c>
      <c r="V416" s="312" t="n">
        <v>0.1</v>
      </c>
      <c r="W416" s="310" t="n"/>
      <c r="X416" s="313" t="n">
        <v>0.05</v>
      </c>
      <c r="Y416" s="951" t="n">
        <v>2910</v>
      </c>
      <c r="Z416" s="313" t="n">
        <v>0.03</v>
      </c>
      <c r="AA416" s="952">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849">
      <c r="A417" s="250" t="n">
        <v>106907</v>
      </c>
      <c r="B417" s="220" t="inlineStr">
        <is>
          <t>Oz Shaaban</t>
        </is>
      </c>
      <c r="C417" s="305" t="inlineStr">
        <is>
          <t>Delivery Lead</t>
        </is>
      </c>
      <c r="D417" s="306" t="inlineStr">
        <is>
          <t>Vacant</t>
        </is>
      </c>
      <c r="E417" s="220" t="inlineStr">
        <is>
          <t>Delivery Manager</t>
        </is>
      </c>
      <c r="F417" s="220" t="inlineStr">
        <is>
          <t>TDD CFE&amp;I</t>
        </is>
      </c>
      <c r="G417" s="306" t="inlineStr">
        <is>
          <t>Commercial Fuels</t>
        </is>
      </c>
      <c r="H417" s="306" t="inlineStr">
        <is>
          <t>Delivery, Commercial Fuels</t>
        </is>
      </c>
      <c r="I417" s="306" t="inlineStr">
        <is>
          <t>Commercial Fuels</t>
        </is>
      </c>
      <c r="J417" s="306" t="inlineStr">
        <is>
          <t>CTRM</t>
        </is>
      </c>
      <c r="K417" s="306" t="inlineStr">
        <is>
          <t>CTRM</t>
        </is>
      </c>
      <c r="L417" s="220" t="n"/>
      <c r="M417" s="307" t="inlineStr">
        <is>
          <t>Australia</t>
        </is>
      </c>
      <c r="N417" s="308" t="inlineStr">
        <is>
          <t>CIC</t>
        </is>
      </c>
      <c r="O417" s="308" t="n">
        <v>1</v>
      </c>
      <c r="P417" s="308" t="n"/>
      <c r="Q417" s="308" t="inlineStr">
        <is>
          <t>Permanent - Full Time</t>
        </is>
      </c>
      <c r="R417" s="310" t="n"/>
      <c r="S417" s="310" t="n"/>
      <c r="T417" s="322" t="n">
        <v>190260</v>
      </c>
      <c r="U417" s="321" t="n">
        <v>190260</v>
      </c>
      <c r="V417" s="313" t="n">
        <v>0.12</v>
      </c>
      <c r="W417" s="953" t="n">
        <v>0.055</v>
      </c>
      <c r="X417" s="953" t="n">
        <v>0.12</v>
      </c>
      <c r="Y417" s="954" t="n"/>
      <c r="Z417" s="953" t="n">
        <v>0.04</v>
      </c>
      <c r="AA417" s="952">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849">
      <c r="A418" s="250" t="n">
        <v>14920</v>
      </c>
      <c r="B418" s="220" t="inlineStr">
        <is>
          <t>Poch Fernandez</t>
        </is>
      </c>
      <c r="C418" s="305" t="inlineStr">
        <is>
          <t xml:space="preserve">Lead Technology Support  </t>
        </is>
      </c>
      <c r="D418" s="220" t="inlineStr">
        <is>
          <t>Allan Francia</t>
        </is>
      </c>
      <c r="E418" s="220" t="inlineStr">
        <is>
          <t>Technology Manager, T&amp;S</t>
        </is>
      </c>
      <c r="F418" s="220" t="inlineStr">
        <is>
          <t>TDD CFE&amp;I</t>
        </is>
      </c>
      <c r="G418" s="306" t="inlineStr">
        <is>
          <t>Commercial Fuels</t>
        </is>
      </c>
      <c r="H418" s="306" t="inlineStr">
        <is>
          <t>Technology, Trading &amp; Shipping</t>
        </is>
      </c>
      <c r="I418" s="306" t="inlineStr">
        <is>
          <t>Commercial Fuels</t>
        </is>
      </c>
      <c r="J418" s="316" t="inlineStr">
        <is>
          <t>Trading &amp; Shipping</t>
        </is>
      </c>
      <c r="K418" s="220" t="inlineStr">
        <is>
          <t>Trading &amp; Shipping</t>
        </is>
      </c>
      <c r="L418" s="306" t="n"/>
      <c r="M418" s="307" t="inlineStr">
        <is>
          <t>Singapore</t>
        </is>
      </c>
      <c r="N418" s="310" t="inlineStr">
        <is>
          <t>CIA</t>
        </is>
      </c>
      <c r="O418" s="310" t="n">
        <v>1</v>
      </c>
      <c r="P418" s="310" t="n"/>
      <c r="Q418" s="310" t="inlineStr">
        <is>
          <t>Permanent - Full Time</t>
        </is>
      </c>
      <c r="R418" s="310" t="n"/>
      <c r="S418" s="310" t="n"/>
      <c r="T418" s="322" t="n">
        <v>126380</v>
      </c>
      <c r="U418" s="321" t="n">
        <v>152919.8</v>
      </c>
      <c r="V418" s="313" t="n">
        <v>0.18</v>
      </c>
      <c r="W418" s="310" t="n"/>
      <c r="X418" s="313" t="n">
        <v>0.17</v>
      </c>
      <c r="Y418" s="951" t="n">
        <v>3310</v>
      </c>
      <c r="Z418" s="335" t="n">
        <v>0.045</v>
      </c>
      <c r="AA418" s="952">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849">
      <c r="A419" s="250" t="n">
        <v>92697</v>
      </c>
      <c r="B419" s="220" t="inlineStr">
        <is>
          <t>Radek Rybar</t>
        </is>
      </c>
      <c r="C419" s="305" t="inlineStr">
        <is>
          <t>Technology Support Engineer - Infrastructure</t>
        </is>
      </c>
      <c r="D419" s="220" t="inlineStr">
        <is>
          <t>Glenn Earl</t>
        </is>
      </c>
      <c r="E419" s="220" t="inlineStr">
        <is>
          <t>Lead Support, Infrastructure</t>
        </is>
      </c>
      <c r="F419" s="220" t="inlineStr">
        <is>
          <t>TDD CFE&amp;I</t>
        </is>
      </c>
      <c r="G419" s="306" t="inlineStr">
        <is>
          <t>Fuel Infrastructure</t>
        </is>
      </c>
      <c r="H419" s="306" t="inlineStr">
        <is>
          <t>Refinery Applications</t>
        </is>
      </c>
      <c r="I419" s="306" t="inlineStr">
        <is>
          <t>Infrastructure</t>
        </is>
      </c>
      <c r="J419" s="316" t="inlineStr">
        <is>
          <t>Fuel Infrastructure</t>
        </is>
      </c>
      <c r="K419" s="220" t="inlineStr">
        <is>
          <t>Technology Suport</t>
        </is>
      </c>
      <c r="L419" s="306" t="n"/>
      <c r="M419" s="307" t="inlineStr">
        <is>
          <t>Australia</t>
        </is>
      </c>
      <c r="N419" s="308" t="inlineStr">
        <is>
          <t>CIA</t>
        </is>
      </c>
      <c r="O419" s="308" t="n">
        <v>1</v>
      </c>
      <c r="P419" s="308" t="n"/>
      <c r="Q419" s="308" t="inlineStr">
        <is>
          <t>Permanent - Full Time</t>
        </is>
      </c>
      <c r="R419" s="310" t="n"/>
      <c r="S419" s="310" t="n"/>
      <c r="T419" s="322" t="n">
        <v>116880</v>
      </c>
      <c r="U419" s="321" t="n">
        <v>116880</v>
      </c>
      <c r="V419" s="313" t="n">
        <v>0.1</v>
      </c>
      <c r="W419" s="953" t="n">
        <v>0.055</v>
      </c>
      <c r="X419" s="953" t="n">
        <v>0.12</v>
      </c>
      <c r="Y419" s="954" t="n"/>
      <c r="Z419" s="953" t="n">
        <v>0.04</v>
      </c>
      <c r="AA419" s="952">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849">
      <c r="A420" s="250" t="n">
        <v>97884</v>
      </c>
      <c r="B420" s="220" t="inlineStr">
        <is>
          <t>Rebecca Estepa</t>
        </is>
      </c>
      <c r="C420" s="305" t="inlineStr">
        <is>
          <t>Snr Business Analyst</t>
        </is>
      </c>
      <c r="D420" s="306" t="inlineStr">
        <is>
          <t>Vacant</t>
        </is>
      </c>
      <c r="E420" s="220" t="inlineStr">
        <is>
          <t>Delivery Manager</t>
        </is>
      </c>
      <c r="F420" s="220" t="inlineStr">
        <is>
          <t>TDD CFE&amp;I</t>
        </is>
      </c>
      <c r="G420" s="332" t="inlineStr">
        <is>
          <t>Fuel Infrastructure</t>
        </is>
      </c>
      <c r="H420" s="306" t="inlineStr">
        <is>
          <t>Fuel Infrastructure, Delivery</t>
        </is>
      </c>
      <c r="I420" s="306" t="inlineStr">
        <is>
          <t>Infrastructure</t>
        </is>
      </c>
      <c r="J420" s="220" t="inlineStr">
        <is>
          <t>Distribution</t>
        </is>
      </c>
      <c r="K420" s="220" t="inlineStr">
        <is>
          <t>Distribution, Sales &amp; Services</t>
        </is>
      </c>
      <c r="L420" s="306" t="n"/>
      <c r="M420" s="307" t="inlineStr">
        <is>
          <t>Australia</t>
        </is>
      </c>
      <c r="N420" s="308" t="inlineStr">
        <is>
          <t>CIB</t>
        </is>
      </c>
      <c r="O420" s="308" t="n">
        <v>1</v>
      </c>
      <c r="P420" s="308" t="n"/>
      <c r="Q420" s="308" t="inlineStr">
        <is>
          <t>Permanent - Full Time</t>
        </is>
      </c>
      <c r="R420" s="310" t="n"/>
      <c r="S420" s="310" t="n"/>
      <c r="T420" s="322" t="n">
        <v>174780</v>
      </c>
      <c r="U420" s="321" t="n">
        <v>174780</v>
      </c>
      <c r="V420" s="313" t="n">
        <v>0.12</v>
      </c>
      <c r="W420" s="953" t="n">
        <v>0.055</v>
      </c>
      <c r="X420" s="953" t="n">
        <v>0.12</v>
      </c>
      <c r="Y420" s="954" t="n"/>
      <c r="Z420" s="953" t="n">
        <v>0.04</v>
      </c>
      <c r="AA420" s="952">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849">
      <c r="A421" s="250" t="n">
        <v>115935</v>
      </c>
      <c r="B421" s="220" t="inlineStr">
        <is>
          <t>Rick Abainza</t>
        </is>
      </c>
      <c r="C421" s="305" t="inlineStr">
        <is>
          <t>Lead Business Analyst</t>
        </is>
      </c>
      <c r="D421" s="306" t="inlineStr">
        <is>
          <t>Vacant</t>
        </is>
      </c>
      <c r="E421" s="220" t="inlineStr">
        <is>
          <t>Delivery Manager</t>
        </is>
      </c>
      <c r="F421" s="220" t="inlineStr">
        <is>
          <t>TDD CFE&amp;I</t>
        </is>
      </c>
      <c r="G421" s="306" t="inlineStr">
        <is>
          <t>Commercial Fuels</t>
        </is>
      </c>
      <c r="H421" s="306" t="inlineStr">
        <is>
          <t>Delivery, Commercial Fuels</t>
        </is>
      </c>
      <c r="I421" s="306" t="inlineStr">
        <is>
          <t>Commercial Fuels</t>
        </is>
      </c>
      <c r="J421" s="306" t="inlineStr">
        <is>
          <t>CTRM</t>
        </is>
      </c>
      <c r="K421" s="306" t="inlineStr">
        <is>
          <t>CTRM</t>
        </is>
      </c>
      <c r="L421" s="220" t="n"/>
      <c r="M421" s="307" t="inlineStr">
        <is>
          <t>Singapore</t>
        </is>
      </c>
      <c r="N421" s="308" t="inlineStr">
        <is>
          <t>CIC</t>
        </is>
      </c>
      <c r="O421" s="308" t="n">
        <v>1</v>
      </c>
      <c r="P421" s="308" t="n"/>
      <c r="Q421" s="308" t="inlineStr">
        <is>
          <t>Permanent - Full Time</t>
        </is>
      </c>
      <c r="R421" s="310" t="n"/>
      <c r="S421" s="310" t="n"/>
      <c r="T421" s="322" t="n">
        <v>205000</v>
      </c>
      <c r="U421" s="321" t="n">
        <v>248050</v>
      </c>
      <c r="V421" s="313" t="n">
        <v>0.25</v>
      </c>
      <c r="W421" s="310" t="n"/>
      <c r="X421" s="313" t="n">
        <v>0.17</v>
      </c>
      <c r="Y421" s="951" t="n">
        <v>3310</v>
      </c>
      <c r="Z421" s="335" t="n">
        <v>0.045</v>
      </c>
      <c r="AA421" s="952">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849">
      <c r="A422" s="250" t="n">
        <v>99999101636</v>
      </c>
      <c r="B422" s="220" t="inlineStr">
        <is>
          <t>Rod Santillan</t>
        </is>
      </c>
      <c r="C422" s="305" t="inlineStr">
        <is>
          <t>Snr Engineer Software</t>
        </is>
      </c>
      <c r="D422" s="220" t="inlineStr">
        <is>
          <t>Elle Spencer</t>
        </is>
      </c>
      <c r="E422" s="220" t="inlineStr">
        <is>
          <t>Technology Manager, Energy Solutions</t>
        </is>
      </c>
      <c r="F422" s="220" t="inlineStr">
        <is>
          <t>TDD CFE&amp;I</t>
        </is>
      </c>
      <c r="G422" s="306" t="inlineStr">
        <is>
          <t>B2B &amp; Energy Solutions</t>
        </is>
      </c>
      <c r="H422" s="306" t="inlineStr">
        <is>
          <t>Technology B2B</t>
        </is>
      </c>
      <c r="I422" s="306" t="inlineStr">
        <is>
          <t>B2B &amp; Energy Solutions</t>
        </is>
      </c>
      <c r="J422" s="220" t="inlineStr">
        <is>
          <t>B2B</t>
        </is>
      </c>
      <c r="K422" s="220" t="inlineStr">
        <is>
          <t>B2B</t>
        </is>
      </c>
      <c r="L422" s="306" t="n"/>
      <c r="M422" s="307" t="inlineStr">
        <is>
          <t>NZ</t>
        </is>
      </c>
      <c r="N422" s="308" t="inlineStr">
        <is>
          <t>CIA</t>
        </is>
      </c>
      <c r="O422" s="309" t="n">
        <v>1</v>
      </c>
      <c r="P422" s="308" t="n"/>
      <c r="Q422" s="309" t="inlineStr">
        <is>
          <t>Permanent - Full Time</t>
        </is>
      </c>
      <c r="R422" s="310" t="n"/>
      <c r="S422" s="310" t="n"/>
      <c r="T422" s="322" t="n">
        <v>142200</v>
      </c>
      <c r="U422" s="321" t="n">
        <v>130824</v>
      </c>
      <c r="V422" s="312" t="n">
        <v>0.15</v>
      </c>
      <c r="W422" s="310" t="n"/>
      <c r="X422" s="313" t="n">
        <v>0.05</v>
      </c>
      <c r="Y422" s="951" t="n">
        <v>2910</v>
      </c>
      <c r="Z422" s="313" t="n">
        <v>0.03</v>
      </c>
      <c r="AA422" s="952">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849">
      <c r="A423" s="250" t="n">
        <v>113202</v>
      </c>
      <c r="B423" s="220" t="inlineStr">
        <is>
          <t>Rohan Patel</t>
        </is>
      </c>
      <c r="C423" s="305" t="inlineStr">
        <is>
          <t>Senior Systems Analyst</t>
        </is>
      </c>
      <c r="D423" s="220" t="inlineStr">
        <is>
          <t>Karla Orozco Loza</t>
        </is>
      </c>
      <c r="E423" s="220" t="inlineStr">
        <is>
          <t>Technology Manager, Future Infrastructure</t>
        </is>
      </c>
      <c r="F423" s="220" t="inlineStr">
        <is>
          <t>TDD CFE&amp;I</t>
        </is>
      </c>
      <c r="G423" s="306" t="inlineStr">
        <is>
          <t>Fuel Infrastructure</t>
        </is>
      </c>
      <c r="H423" s="306" t="inlineStr">
        <is>
          <t>Technology - Distribution</t>
        </is>
      </c>
      <c r="I423" s="306" t="inlineStr">
        <is>
          <t>Infrastructure</t>
        </is>
      </c>
      <c r="J423" s="306" t="inlineStr">
        <is>
          <t>Distribution</t>
        </is>
      </c>
      <c r="K423" s="220" t="inlineStr">
        <is>
          <t>Distribution, Sales &amp; Services</t>
        </is>
      </c>
      <c r="L423" s="306" t="n"/>
      <c r="M423" s="307" t="inlineStr">
        <is>
          <t>Australia</t>
        </is>
      </c>
      <c r="N423" s="308" t="inlineStr">
        <is>
          <t>CIB</t>
        </is>
      </c>
      <c r="O423" s="308" t="n">
        <v>1</v>
      </c>
      <c r="P423" s="308" t="n"/>
      <c r="Q423" s="308" t="inlineStr">
        <is>
          <t>Permanent - Full Time</t>
        </is>
      </c>
      <c r="R423" s="310" t="n"/>
      <c r="S423" s="310" t="n"/>
      <c r="T423" s="322" t="n">
        <v>156850</v>
      </c>
      <c r="U423" s="321" t="n">
        <v>156850</v>
      </c>
      <c r="V423" s="313" t="n">
        <v>0.12</v>
      </c>
      <c r="W423" s="953" t="n">
        <v>0.055</v>
      </c>
      <c r="X423" s="953" t="n">
        <v>0.12</v>
      </c>
      <c r="Y423" s="954" t="n"/>
      <c r="Z423" s="953" t="n">
        <v>0.04</v>
      </c>
      <c r="AA423" s="952">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849">
      <c r="A424" s="250" t="n">
        <v>109362</v>
      </c>
      <c r="B424" s="220" t="inlineStr">
        <is>
          <t>Scott Hasson</t>
        </is>
      </c>
      <c r="C424" s="305" t="inlineStr">
        <is>
          <t>Technology Support Engineer - Infrastructure</t>
        </is>
      </c>
      <c r="D424" s="220" t="inlineStr">
        <is>
          <t>Glenn Earl</t>
        </is>
      </c>
      <c r="E424" s="220" t="inlineStr">
        <is>
          <t>Lead Support, Infrastructure</t>
        </is>
      </c>
      <c r="F424" s="220" t="inlineStr">
        <is>
          <t>TDD CFE&amp;I</t>
        </is>
      </c>
      <c r="G424" s="306" t="inlineStr">
        <is>
          <t>Fuel Infrastructure</t>
        </is>
      </c>
      <c r="H424" s="306" t="inlineStr">
        <is>
          <t>Refinery Applications</t>
        </is>
      </c>
      <c r="I424" s="306" t="inlineStr">
        <is>
          <t>Infrastructure</t>
        </is>
      </c>
      <c r="J424" s="306" t="inlineStr">
        <is>
          <t>Fuel Infrastructure</t>
        </is>
      </c>
      <c r="K424" s="220" t="inlineStr">
        <is>
          <t>Technology Suport</t>
        </is>
      </c>
      <c r="L424" s="306" t="n"/>
      <c r="M424" s="307" t="inlineStr">
        <is>
          <t>Australia</t>
        </is>
      </c>
      <c r="N424" s="308" t="inlineStr">
        <is>
          <t>CIA</t>
        </is>
      </c>
      <c r="O424" s="308" t="n">
        <v>1</v>
      </c>
      <c r="P424" s="308" t="n"/>
      <c r="Q424" s="308" t="inlineStr">
        <is>
          <t>Permanent - Full Time</t>
        </is>
      </c>
      <c r="R424" s="310" t="n"/>
      <c r="S424" s="310" t="n"/>
      <c r="T424" s="322" t="n">
        <v>111580</v>
      </c>
      <c r="U424" s="321" t="n">
        <v>111580</v>
      </c>
      <c r="V424" s="313" t="n">
        <v>0.1</v>
      </c>
      <c r="W424" s="953" t="n">
        <v>0.055</v>
      </c>
      <c r="X424" s="953" t="n">
        <v>0.12</v>
      </c>
      <c r="Y424" s="954" t="n"/>
      <c r="Z424" s="953" t="n">
        <v>0.04</v>
      </c>
      <c r="AA424" s="952">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849">
      <c r="A425" s="250" t="n">
        <v>102187</v>
      </c>
      <c r="B425" s="220" t="inlineStr">
        <is>
          <t>Sijin Zhu</t>
        </is>
      </c>
      <c r="C425" s="305" t="inlineStr">
        <is>
          <t>Business Analyst</t>
        </is>
      </c>
      <c r="D425" s="306" t="inlineStr">
        <is>
          <t>Vacant</t>
        </is>
      </c>
      <c r="E425" s="220" t="inlineStr">
        <is>
          <t>Delivery Manager</t>
        </is>
      </c>
      <c r="F425" s="220" t="inlineStr">
        <is>
          <t>TDD CFE&amp;I</t>
        </is>
      </c>
      <c r="G425" s="306" t="inlineStr">
        <is>
          <t>Commercial Fuels</t>
        </is>
      </c>
      <c r="H425" s="306" t="inlineStr">
        <is>
          <t>Delivery, Commercial Fuels</t>
        </is>
      </c>
      <c r="I425" s="306" t="inlineStr">
        <is>
          <t>Commercial Fuels</t>
        </is>
      </c>
      <c r="J425" s="306" t="inlineStr">
        <is>
          <t>CTRM</t>
        </is>
      </c>
      <c r="K425" s="306" t="inlineStr">
        <is>
          <t>CTRM</t>
        </is>
      </c>
      <c r="L425" s="220" t="n"/>
      <c r="M425" s="307" t="inlineStr">
        <is>
          <t>Singapore</t>
        </is>
      </c>
      <c r="N425" s="308" t="inlineStr">
        <is>
          <t>CIB</t>
        </is>
      </c>
      <c r="O425" s="308" t="n">
        <v>1</v>
      </c>
      <c r="P425" s="308" t="n"/>
      <c r="Q425" s="308" t="inlineStr">
        <is>
          <t>Permanent - Full Time</t>
        </is>
      </c>
      <c r="R425" s="310" t="n"/>
      <c r="S425" s="310" t="n"/>
      <c r="T425" s="322" t="n">
        <v>155640</v>
      </c>
      <c r="U425" s="321" t="n">
        <v>188324.4</v>
      </c>
      <c r="V425" s="313" t="n">
        <v>0.25</v>
      </c>
      <c r="W425" s="310" t="n"/>
      <c r="X425" s="313" t="n">
        <v>0.17</v>
      </c>
      <c r="Y425" s="951" t="n">
        <v>3310</v>
      </c>
      <c r="Z425" s="335" t="n">
        <v>0.045</v>
      </c>
      <c r="AA425" s="952">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849">
      <c r="A426" s="250" t="inlineStr">
        <is>
          <t>C</t>
        </is>
      </c>
      <c r="B426" s="220" t="inlineStr">
        <is>
          <t>Simrat Singh</t>
        </is>
      </c>
      <c r="C426" s="305" t="inlineStr">
        <is>
          <t>Reporting Analyst</t>
        </is>
      </c>
      <c r="D426" s="220" t="inlineStr">
        <is>
          <t>Jaya Ganasan</t>
        </is>
      </c>
      <c r="E426" s="220" t="inlineStr">
        <is>
          <t>Technology Manager, TDD Refinery</t>
        </is>
      </c>
      <c r="F426" s="220" t="inlineStr">
        <is>
          <t>TDD CFE&amp;I</t>
        </is>
      </c>
      <c r="G426" s="306" t="inlineStr">
        <is>
          <t>Fuel Infrastructure</t>
        </is>
      </c>
      <c r="H426" s="306" t="inlineStr">
        <is>
          <t>Refinery Applications</t>
        </is>
      </c>
      <c r="I426" s="306" t="inlineStr">
        <is>
          <t>Infrastructure</t>
        </is>
      </c>
      <c r="J426" s="220" t="inlineStr">
        <is>
          <t xml:space="preserve">Data &amp; Insights </t>
        </is>
      </c>
      <c r="K426" s="220" t="inlineStr">
        <is>
          <t xml:space="preserve">Data &amp; Insights </t>
        </is>
      </c>
      <c r="L426" s="306" t="n"/>
      <c r="M426" s="307" t="inlineStr">
        <is>
          <t>Australia</t>
        </is>
      </c>
      <c r="N426" s="310" t="inlineStr">
        <is>
          <t>NA</t>
        </is>
      </c>
      <c r="O426" s="308" t="n">
        <v>1</v>
      </c>
      <c r="P426" s="310" t="n"/>
      <c r="Q426" s="310" t="inlineStr">
        <is>
          <t>cxc</t>
        </is>
      </c>
      <c r="R426" s="319" t="inlineStr">
        <is>
          <t>Daily</t>
        </is>
      </c>
      <c r="S426" s="310" t="n">
        <v>890</v>
      </c>
      <c r="T426" s="322" t="n">
        <v>0</v>
      </c>
      <c r="U426" s="322" t="n"/>
      <c r="V426" s="306" t="n"/>
      <c r="W426" s="306" t="n"/>
      <c r="X426" s="306" t="n"/>
      <c r="Y426" s="306" t="n"/>
      <c r="Z426" s="306" t="n"/>
      <c r="AA426" s="320">
        <f>S426*222</f>
        <v>197580.0</v>
      </c>
      <c r="AC426" t="inlineStr">
        <is>
          <t>Infrastructure</t>
        </is>
      </c>
      <c r="AD426" t="inlineStr">
        <is>
          <t>Data &amp; Insights</t>
        </is>
      </c>
      <c r="AE426" t="inlineStr">
        <is>
          <t>Data &amp; Insights</t>
        </is>
      </c>
      <c r="AF426" t="inlineStr">
        <is>
          <t>Squad</t>
        </is>
      </c>
      <c r="AG426" t="inlineStr">
        <is>
          <t>Filled</t>
        </is>
      </c>
    </row>
    <row r="427" hidden="1" ht="18" customHeight="1" s="849">
      <c r="A427" s="250" t="n">
        <v>116253</v>
      </c>
      <c r="B427" s="220" t="inlineStr">
        <is>
          <t>Siva Chimmani</t>
        </is>
      </c>
      <c r="C427" s="305" t="inlineStr">
        <is>
          <t>Senior Engineer</t>
        </is>
      </c>
      <c r="D427" s="220" t="inlineStr">
        <is>
          <t>Karla Orozco Loza</t>
        </is>
      </c>
      <c r="E427" s="220" t="inlineStr">
        <is>
          <t>Technology Manager, Future Infrastructure</t>
        </is>
      </c>
      <c r="F427" s="220" t="inlineStr">
        <is>
          <t>TDD CFE&amp;I</t>
        </is>
      </c>
      <c r="G427" s="306" t="inlineStr">
        <is>
          <t>Fuel Infrastructure</t>
        </is>
      </c>
      <c r="H427" s="306" t="inlineStr">
        <is>
          <t>Technology - Distribution</t>
        </is>
      </c>
      <c r="I427" s="306" t="inlineStr">
        <is>
          <t>Infrastructure</t>
        </is>
      </c>
      <c r="J427" s="306" t="inlineStr">
        <is>
          <t>Distribution</t>
        </is>
      </c>
      <c r="K427" s="220" t="inlineStr">
        <is>
          <t>Distribution, Sales &amp; Services</t>
        </is>
      </c>
      <c r="L427" s="306" t="n"/>
      <c r="M427" s="307" t="inlineStr">
        <is>
          <t>Australia</t>
        </is>
      </c>
      <c r="N427" s="308" t="inlineStr">
        <is>
          <t>CIB</t>
        </is>
      </c>
      <c r="O427" s="308" t="n">
        <v>1</v>
      </c>
      <c r="P427" s="308" t="n"/>
      <c r="Q427" s="308" t="inlineStr">
        <is>
          <t>Permanent - Full Time</t>
        </is>
      </c>
      <c r="R427" s="310" t="n"/>
      <c r="S427" s="310" t="n"/>
      <c r="T427" s="322" t="n">
        <v>160000</v>
      </c>
      <c r="U427" s="321" t="n">
        <v>160000</v>
      </c>
      <c r="V427" s="313" t="n">
        <v>0.12</v>
      </c>
      <c r="W427" s="953" t="n">
        <v>0.055</v>
      </c>
      <c r="X427" s="953" t="n">
        <v>0.12</v>
      </c>
      <c r="Y427" s="954" t="n"/>
      <c r="Z427" s="953" t="n">
        <v>0.04</v>
      </c>
      <c r="AA427" s="952">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849">
      <c r="A428" s="250" t="n">
        <v>110185</v>
      </c>
      <c r="B428" s="220" t="inlineStr">
        <is>
          <t>Soumya Choudhury</t>
        </is>
      </c>
      <c r="C428" s="305" t="inlineStr">
        <is>
          <t xml:space="preserve">Data Application Specialist </t>
        </is>
      </c>
      <c r="D428" s="306" t="inlineStr">
        <is>
          <t>Vacant</t>
        </is>
      </c>
      <c r="E428" s="220" t="inlineStr">
        <is>
          <t>Technology Manager, Data</t>
        </is>
      </c>
      <c r="F428" s="220" t="inlineStr">
        <is>
          <t>TDD CFE&amp;I</t>
        </is>
      </c>
      <c r="G428" s="306" t="inlineStr">
        <is>
          <t>Commercial Fuels</t>
        </is>
      </c>
      <c r="H428" s="306" t="inlineStr">
        <is>
          <t>Technology, T&amp;S Data</t>
        </is>
      </c>
      <c r="I428" s="306" t="inlineStr">
        <is>
          <t>Commercial Fuels</t>
        </is>
      </c>
      <c r="J428" s="306" t="inlineStr">
        <is>
          <t>Trading &amp; Shipping</t>
        </is>
      </c>
      <c r="K428" s="306" t="inlineStr">
        <is>
          <t>Trading &amp; Shipping Data</t>
        </is>
      </c>
      <c r="L428" s="306" t="n"/>
      <c r="M428" s="307" t="inlineStr">
        <is>
          <t>Singapore</t>
        </is>
      </c>
      <c r="N428" s="308" t="inlineStr">
        <is>
          <t>CIC</t>
        </is>
      </c>
      <c r="O428" s="308" t="n">
        <v>1</v>
      </c>
      <c r="P428" s="308" t="n"/>
      <c r="Q428" s="308" t="inlineStr">
        <is>
          <t>Permanent - Full Time</t>
        </is>
      </c>
      <c r="R428" s="310" t="n"/>
      <c r="S428" s="310" t="n"/>
      <c r="T428" s="322" t="n">
        <v>181860</v>
      </c>
      <c r="U428" s="321" t="n">
        <v>220050.6</v>
      </c>
      <c r="V428" s="313" t="n">
        <v>0.25</v>
      </c>
      <c r="W428" s="310" t="n"/>
      <c r="X428" s="313" t="n">
        <v>0.17</v>
      </c>
      <c r="Y428" s="951" t="n">
        <v>3310</v>
      </c>
      <c r="Z428" s="335" t="n">
        <v>0.045</v>
      </c>
      <c r="AA428" s="952">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849">
      <c r="A429" s="250" t="n">
        <v>101059</v>
      </c>
      <c r="B429" s="220" t="inlineStr">
        <is>
          <t>Sriramani Deyyala</t>
        </is>
      </c>
      <c r="C429" s="305" t="inlineStr">
        <is>
          <t>Systems Analyst</t>
        </is>
      </c>
      <c r="D429" s="220" t="inlineStr">
        <is>
          <t>Karla Orozco Loza</t>
        </is>
      </c>
      <c r="E429" s="220" t="inlineStr">
        <is>
          <t>Technology Manager, Future Infrastructure</t>
        </is>
      </c>
      <c r="F429" s="220" t="inlineStr">
        <is>
          <t>TDD CFE&amp;I</t>
        </is>
      </c>
      <c r="G429" s="306" t="inlineStr">
        <is>
          <t>Fuel Infrastructure</t>
        </is>
      </c>
      <c r="H429" s="306" t="inlineStr">
        <is>
          <t>Technology - Distribution</t>
        </is>
      </c>
      <c r="I429" s="306" t="inlineStr">
        <is>
          <t>Infrastructure</t>
        </is>
      </c>
      <c r="J429" s="306" t="inlineStr">
        <is>
          <t>Distribution</t>
        </is>
      </c>
      <c r="K429" s="220" t="inlineStr">
        <is>
          <t>Distribution, Sales &amp; Services</t>
        </is>
      </c>
      <c r="L429" s="306" t="n"/>
      <c r="M429" s="307" t="inlineStr">
        <is>
          <t>Australia</t>
        </is>
      </c>
      <c r="N429" s="308" t="inlineStr">
        <is>
          <t>CIB</t>
        </is>
      </c>
      <c r="O429" s="308" t="n">
        <v>1</v>
      </c>
      <c r="P429" s="308" t="n"/>
      <c r="Q429" s="308" t="inlineStr">
        <is>
          <t>Permanent - Full Time</t>
        </is>
      </c>
      <c r="R429" s="310" t="n"/>
      <c r="S429" s="310" t="n"/>
      <c r="T429" s="322" t="n">
        <v>166360</v>
      </c>
      <c r="U429" s="321" t="n">
        <v>166360</v>
      </c>
      <c r="V429" s="313" t="n">
        <v>0.12</v>
      </c>
      <c r="W429" s="953" t="n">
        <v>0.055</v>
      </c>
      <c r="X429" s="953" t="n">
        <v>0.12</v>
      </c>
      <c r="Y429" s="954" t="n"/>
      <c r="Z429" s="953" t="n">
        <v>0.04</v>
      </c>
      <c r="AA429" s="952">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849">
      <c r="A430" s="250" t="n">
        <v>10572</v>
      </c>
      <c r="B430" s="220" t="inlineStr">
        <is>
          <t>Stevani Kho</t>
        </is>
      </c>
      <c r="C430" s="305" t="inlineStr">
        <is>
          <t>Delivery Lead</t>
        </is>
      </c>
      <c r="D430" s="220" t="inlineStr">
        <is>
          <t>Vacant</t>
        </is>
      </c>
      <c r="E430" s="220" t="inlineStr">
        <is>
          <t>Technology Manger, Data</t>
        </is>
      </c>
      <c r="F430" s="220" t="inlineStr">
        <is>
          <t>TDD CFE&amp;I</t>
        </is>
      </c>
      <c r="G430" s="306" t="inlineStr">
        <is>
          <t>Fuel Infrastructure</t>
        </is>
      </c>
      <c r="H430" s="306" t="inlineStr">
        <is>
          <t>Fuel Infrastructure, Data</t>
        </is>
      </c>
      <c r="I430" s="306" t="inlineStr">
        <is>
          <t>Infrastructure</t>
        </is>
      </c>
      <c r="J430" s="220" t="inlineStr">
        <is>
          <t xml:space="preserve">Data &amp; Insights </t>
        </is>
      </c>
      <c r="K430" s="220" t="inlineStr">
        <is>
          <t xml:space="preserve">Data &amp; Insights </t>
        </is>
      </c>
      <c r="L430" s="306" t="n"/>
      <c r="M430" s="307" t="inlineStr">
        <is>
          <t>Australia</t>
        </is>
      </c>
      <c r="N430" s="310" t="inlineStr">
        <is>
          <t>CSB</t>
        </is>
      </c>
      <c r="O430" s="310" t="n">
        <v>1</v>
      </c>
      <c r="P430" s="310" t="n"/>
      <c r="Q430" s="310" t="inlineStr">
        <is>
          <t>Permanent - Full Time</t>
        </is>
      </c>
      <c r="R430" s="310" t="n"/>
      <c r="S430" s="310" t="n"/>
      <c r="T430" s="322" t="n">
        <v>205050</v>
      </c>
      <c r="U430" s="321" t="n">
        <v>205050</v>
      </c>
      <c r="V430" s="313" t="n">
        <v>0.14</v>
      </c>
      <c r="W430" s="953" t="n">
        <v>0.055</v>
      </c>
      <c r="X430" s="953" t="n">
        <v>0.12</v>
      </c>
      <c r="Y430" s="954" t="n"/>
      <c r="Z430" s="953" t="n">
        <v>0.04</v>
      </c>
      <c r="AA430" s="952">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849">
      <c r="A431" s="250" t="n">
        <v>106221</v>
      </c>
      <c r="B431" s="220" t="inlineStr">
        <is>
          <t>Suja Sugathan</t>
        </is>
      </c>
      <c r="C431" s="305" t="inlineStr">
        <is>
          <t>Senior Business Analyst</t>
        </is>
      </c>
      <c r="D431" s="306" t="inlineStr">
        <is>
          <t>Vacant</t>
        </is>
      </c>
      <c r="E431" s="220" t="inlineStr">
        <is>
          <t>Delivery Manager</t>
        </is>
      </c>
      <c r="F431" s="220" t="inlineStr">
        <is>
          <t>TDD CFE&amp;I</t>
        </is>
      </c>
      <c r="G431" s="306" t="inlineStr">
        <is>
          <t>Commercial Fuels</t>
        </is>
      </c>
      <c r="H431" s="306" t="inlineStr">
        <is>
          <t>Delivery, Commercial Fuels</t>
        </is>
      </c>
      <c r="I431" s="306" t="inlineStr">
        <is>
          <t>Commercial Fuels</t>
        </is>
      </c>
      <c r="J431" s="306" t="inlineStr">
        <is>
          <t>Trading &amp; Shipping</t>
        </is>
      </c>
      <c r="K431" s="306" t="inlineStr">
        <is>
          <t>Trading &amp; Shipping</t>
        </is>
      </c>
      <c r="L431" s="220" t="n"/>
      <c r="M431" s="307" t="inlineStr">
        <is>
          <t>Singapore</t>
        </is>
      </c>
      <c r="N431" s="308" t="inlineStr">
        <is>
          <t>CIC</t>
        </is>
      </c>
      <c r="O431" s="308" t="n">
        <v>1</v>
      </c>
      <c r="P431" s="308" t="n"/>
      <c r="Q431" s="308" t="inlineStr">
        <is>
          <t>Permanent - Full Time</t>
        </is>
      </c>
      <c r="R431" s="310" t="n"/>
      <c r="S431" s="310" t="n"/>
      <c r="T431" s="322" t="n">
        <v>196770</v>
      </c>
      <c r="U431" s="321" t="n">
        <v>238091.7</v>
      </c>
      <c r="V431" s="313" t="n">
        <v>0.25</v>
      </c>
      <c r="W431" s="310" t="n"/>
      <c r="X431" s="313" t="n">
        <v>0.17</v>
      </c>
      <c r="Y431" s="951" t="n">
        <v>3310</v>
      </c>
      <c r="Z431" s="335" t="n">
        <v>0.045</v>
      </c>
      <c r="AA431" s="952">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849">
      <c r="A432" s="250" t="n">
        <v>113333</v>
      </c>
      <c r="B432" s="220" t="inlineStr">
        <is>
          <t>Tom Moore</t>
        </is>
      </c>
      <c r="C432" s="305" t="inlineStr">
        <is>
          <t>Technology Support Engineer - Infrastructure</t>
        </is>
      </c>
      <c r="D432" s="220" t="inlineStr">
        <is>
          <t>Glenn Earl</t>
        </is>
      </c>
      <c r="E432" s="220" t="inlineStr">
        <is>
          <t>Lead Support, Infrastructure</t>
        </is>
      </c>
      <c r="F432" s="220" t="inlineStr">
        <is>
          <t>TDD CFE&amp;I</t>
        </is>
      </c>
      <c r="G432" s="306" t="inlineStr">
        <is>
          <t>Fuel Infrastructure</t>
        </is>
      </c>
      <c r="H432" s="306" t="inlineStr">
        <is>
          <t>Refinery Applications</t>
        </is>
      </c>
      <c r="I432" s="306" t="inlineStr">
        <is>
          <t>Infrastructure</t>
        </is>
      </c>
      <c r="J432" s="306" t="inlineStr">
        <is>
          <t>Fuel Infrastructure</t>
        </is>
      </c>
      <c r="K432" s="220" t="inlineStr">
        <is>
          <t>Technology Suport</t>
        </is>
      </c>
      <c r="L432" s="306" t="n"/>
      <c r="M432" s="307" t="inlineStr">
        <is>
          <t>Australia</t>
        </is>
      </c>
      <c r="N432" s="308" t="inlineStr">
        <is>
          <t>CDA</t>
        </is>
      </c>
      <c r="O432" s="308" t="n">
        <v>1</v>
      </c>
      <c r="P432" s="308" t="n"/>
      <c r="Q432" s="308" t="inlineStr">
        <is>
          <t>Permanent - Full Time</t>
        </is>
      </c>
      <c r="R432" s="310" t="n"/>
      <c r="S432" s="310" t="n"/>
      <c r="T432" s="322" t="n">
        <v>82380</v>
      </c>
      <c r="U432" s="321" t="n">
        <v>82380</v>
      </c>
      <c r="V432" s="313" t="n">
        <v>0.08</v>
      </c>
      <c r="W432" s="953" t="n">
        <v>0.055</v>
      </c>
      <c r="X432" s="953" t="n">
        <v>0.12</v>
      </c>
      <c r="Y432" s="954" t="n"/>
      <c r="Z432" s="953" t="n">
        <v>0.04</v>
      </c>
      <c r="AA432" s="952">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849">
      <c r="A433" s="250" t="n">
        <v>116312</v>
      </c>
      <c r="B433" s="220" t="inlineStr">
        <is>
          <t>Trung Truong</t>
        </is>
      </c>
      <c r="C433" s="305" t="inlineStr">
        <is>
          <t>Engineer Applications</t>
        </is>
      </c>
      <c r="D433" s="220" t="inlineStr">
        <is>
          <t>Allan Francia</t>
        </is>
      </c>
      <c r="E433" s="220" t="inlineStr">
        <is>
          <t>Technology Manager, T&amp;S</t>
        </is>
      </c>
      <c r="F433" s="220" t="inlineStr">
        <is>
          <t>TDD CFE&amp;I</t>
        </is>
      </c>
      <c r="G433" s="306" t="inlineStr">
        <is>
          <t>Commercial Fuels</t>
        </is>
      </c>
      <c r="H433" s="306" t="inlineStr">
        <is>
          <t>Technology, Trading &amp; Shipping</t>
        </is>
      </c>
      <c r="I433" s="306" t="inlineStr">
        <is>
          <t>Commercial Fuels</t>
        </is>
      </c>
      <c r="J433" s="220" t="inlineStr">
        <is>
          <t>CTRM</t>
        </is>
      </c>
      <c r="K433" s="220" t="inlineStr">
        <is>
          <t>CTRM</t>
        </is>
      </c>
      <c r="L433" s="306" t="n"/>
      <c r="M433" s="307" t="inlineStr">
        <is>
          <t>Singapore</t>
        </is>
      </c>
      <c r="N433" s="308" t="inlineStr">
        <is>
          <t>CIC</t>
        </is>
      </c>
      <c r="O433" s="308" t="n">
        <v>1</v>
      </c>
      <c r="P433" s="308" t="n"/>
      <c r="Q433" s="308" t="inlineStr">
        <is>
          <t>Permanent - Full Time</t>
        </is>
      </c>
      <c r="R433" s="310" t="n"/>
      <c r="S433" s="310" t="n"/>
      <c r="T433" s="322" t="n">
        <v>170000</v>
      </c>
      <c r="U433" s="321" t="n">
        <v>205700</v>
      </c>
      <c r="V433" s="313" t="n">
        <v>0.25</v>
      </c>
      <c r="W433" s="310" t="n"/>
      <c r="X433" s="313" t="n">
        <v>0.17</v>
      </c>
      <c r="Y433" s="951" t="n">
        <v>3310</v>
      </c>
      <c r="Z433" s="335" t="n">
        <v>0.045</v>
      </c>
      <c r="AA433" s="952">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849">
      <c r="A434" s="250" t="n">
        <v>110040</v>
      </c>
      <c r="B434" s="220" t="inlineStr">
        <is>
          <t>Tyler Meggs</t>
        </is>
      </c>
      <c r="C434" s="305" t="inlineStr">
        <is>
          <t>System Analyst</t>
        </is>
      </c>
      <c r="D434" s="220" t="inlineStr">
        <is>
          <t>Jaya Ganasan</t>
        </is>
      </c>
      <c r="E434" s="220" t="inlineStr">
        <is>
          <t>Technology Manager, TDD Refinery</t>
        </is>
      </c>
      <c r="F434" s="220" t="inlineStr">
        <is>
          <t>TDD CFE&amp;I</t>
        </is>
      </c>
      <c r="G434" s="306" t="inlineStr">
        <is>
          <t>Fuel Infrastructure</t>
        </is>
      </c>
      <c r="H434" s="306" t="inlineStr">
        <is>
          <t>Refinery Applications</t>
        </is>
      </c>
      <c r="I434" s="306" t="inlineStr">
        <is>
          <t>Infrastructure</t>
        </is>
      </c>
      <c r="J434" s="306" t="inlineStr">
        <is>
          <t>Manufacturing</t>
        </is>
      </c>
      <c r="K434" s="220" t="inlineStr">
        <is>
          <t>Manufacturing Group Projects</t>
        </is>
      </c>
      <c r="L434" s="306" t="n"/>
      <c r="M434" s="307" t="inlineStr">
        <is>
          <t>Australia</t>
        </is>
      </c>
      <c r="N434" s="308" t="inlineStr">
        <is>
          <t>CIA</t>
        </is>
      </c>
      <c r="O434" s="308" t="n">
        <v>1</v>
      </c>
      <c r="P434" s="308" t="n"/>
      <c r="Q434" s="308" t="inlineStr">
        <is>
          <t>Permanent - Full Time</t>
        </is>
      </c>
      <c r="R434" s="310" t="n"/>
      <c r="S434" s="310" t="n"/>
      <c r="T434" s="322" t="n">
        <v>110000</v>
      </c>
      <c r="U434" s="321" t="n">
        <v>110000</v>
      </c>
      <c r="V434" s="313" t="n">
        <v>0.1</v>
      </c>
      <c r="W434" s="953" t="n">
        <v>0.055</v>
      </c>
      <c r="X434" s="953" t="n">
        <v>0.12</v>
      </c>
      <c r="Y434" s="954" t="n"/>
      <c r="Z434" s="953" t="n">
        <v>0.04</v>
      </c>
      <c r="AA434" s="952">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849">
      <c r="A435" s="250" t="inlineStr">
        <is>
          <t>V</t>
        </is>
      </c>
      <c r="B435" s="220" t="inlineStr">
        <is>
          <t>Vacant</t>
        </is>
      </c>
      <c r="C435" s="305" t="inlineStr">
        <is>
          <t>Engineer Software</t>
        </is>
      </c>
      <c r="D435" s="220" t="inlineStr">
        <is>
          <t>Elle Spencer</t>
        </is>
      </c>
      <c r="E435" s="220" t="inlineStr">
        <is>
          <t>Technology Manager, Energy Solutions</t>
        </is>
      </c>
      <c r="F435" s="220" t="inlineStr">
        <is>
          <t>TDD CFE&amp;I</t>
        </is>
      </c>
      <c r="G435" s="306" t="inlineStr">
        <is>
          <t>B2B &amp; Energy Solutions</t>
        </is>
      </c>
      <c r="H435" s="306" t="inlineStr">
        <is>
          <t>Technology B2B</t>
        </is>
      </c>
      <c r="I435" s="306" t="inlineStr">
        <is>
          <t>B2B &amp; Energy Solutions</t>
        </is>
      </c>
      <c r="J435" s="220" t="inlineStr">
        <is>
          <t>B2B</t>
        </is>
      </c>
      <c r="K435" s="220" t="inlineStr">
        <is>
          <t>B2B</t>
        </is>
      </c>
      <c r="L435" s="306" t="n"/>
      <c r="M435" s="307" t="inlineStr">
        <is>
          <t>Australia</t>
        </is>
      </c>
      <c r="N435" s="308" t="inlineStr">
        <is>
          <t>CIB</t>
        </is>
      </c>
      <c r="O435" s="308" t="n">
        <v>1</v>
      </c>
      <c r="P435" s="308" t="n"/>
      <c r="Q435" s="308" t="inlineStr">
        <is>
          <t>V</t>
        </is>
      </c>
      <c r="R435" s="310" t="n"/>
      <c r="S435" s="310" t="n"/>
      <c r="T435" s="322" t="n">
        <v>151950</v>
      </c>
      <c r="U435" s="321" t="n">
        <v>151950</v>
      </c>
      <c r="V435" s="313" t="n">
        <v>0.12</v>
      </c>
      <c r="W435" s="953" t="n">
        <v>0.055</v>
      </c>
      <c r="X435" s="953" t="n">
        <v>0.12</v>
      </c>
      <c r="Y435" s="954" t="n"/>
      <c r="Z435" s="953" t="n">
        <v>0.04</v>
      </c>
      <c r="AA435" s="952">
        <f>U435*(1+V435+W435+X435+Y435+Z435)</f>
        <v>202853.25</v>
      </c>
      <c r="AC435" t="inlineStr">
        <is>
          <t>Energy Solutions &amp; B2B</t>
        </is>
      </c>
      <c r="AD435" t="inlineStr">
        <is>
          <t>B2B</t>
        </is>
      </c>
      <c r="AE435" t="inlineStr">
        <is>
          <t>B2B</t>
        </is>
      </c>
      <c r="AF435" t="inlineStr">
        <is>
          <t>Squad</t>
        </is>
      </c>
      <c r="AG435" t="inlineStr">
        <is>
          <t>Vacant</t>
        </is>
      </c>
    </row>
    <row r="436" hidden="1" ht="18" customHeight="1" s="849">
      <c r="A436" s="250" t="inlineStr">
        <is>
          <t>V</t>
        </is>
      </c>
      <c r="B436" s="220" t="inlineStr">
        <is>
          <t>Vacant</t>
        </is>
      </c>
      <c r="C436" s="305" t="inlineStr">
        <is>
          <t>Solution Architect</t>
        </is>
      </c>
      <c r="D436" s="220" t="inlineStr">
        <is>
          <t>Elle Spencer</t>
        </is>
      </c>
      <c r="E436" s="220" t="inlineStr">
        <is>
          <t>Technology Manager, Energy Solutions</t>
        </is>
      </c>
      <c r="F436" s="220" t="inlineStr">
        <is>
          <t>TDD CFE&amp;I</t>
        </is>
      </c>
      <c r="G436" s="306" t="inlineStr">
        <is>
          <t>B2B &amp; Energy Solutions</t>
        </is>
      </c>
      <c r="H436" s="306" t="inlineStr">
        <is>
          <t>Technology B2B</t>
        </is>
      </c>
      <c r="I436" s="306" t="inlineStr">
        <is>
          <t>B2B &amp; Energy Solutions</t>
        </is>
      </c>
      <c r="J436" s="220" t="inlineStr">
        <is>
          <t>B2B</t>
        </is>
      </c>
      <c r="K436" s="220" t="inlineStr">
        <is>
          <t>B2B</t>
        </is>
      </c>
      <c r="L436" s="306" t="n"/>
      <c r="M436" s="307" t="inlineStr">
        <is>
          <t>australia</t>
        </is>
      </c>
      <c r="N436" s="308" t="inlineStr">
        <is>
          <t>CIC</t>
        </is>
      </c>
      <c r="O436" s="308" t="n">
        <v>1</v>
      </c>
      <c r="P436" s="308" t="n"/>
      <c r="Q436" s="308" t="inlineStr">
        <is>
          <t>v</t>
        </is>
      </c>
      <c r="R436" s="310" t="n"/>
      <c r="S436" s="310" t="n"/>
      <c r="T436" s="322" t="n">
        <v>173550</v>
      </c>
      <c r="U436" s="321" t="n">
        <v>173550</v>
      </c>
      <c r="V436" s="313" t="n">
        <v>0.12</v>
      </c>
      <c r="W436" s="953" t="n">
        <v>0.055</v>
      </c>
      <c r="X436" s="953" t="n">
        <v>0.12</v>
      </c>
      <c r="Y436" s="954" t="n"/>
      <c r="Z436" s="953" t="n">
        <v>0.04</v>
      </c>
      <c r="AA436" s="952">
        <f>U436*(1+V436+W436+X436+Y436+Z436)</f>
        <v>231689.25</v>
      </c>
      <c r="AC436" t="inlineStr">
        <is>
          <t>Energy Solutions &amp; B2B</t>
        </is>
      </c>
      <c r="AD436" t="inlineStr">
        <is>
          <t>B2B</t>
        </is>
      </c>
      <c r="AE436" t="inlineStr">
        <is>
          <t>B2B</t>
        </is>
      </c>
      <c r="AF436" t="inlineStr">
        <is>
          <t>Squad</t>
        </is>
      </c>
      <c r="AG436" t="inlineStr">
        <is>
          <t>Vacant</t>
        </is>
      </c>
    </row>
    <row r="437" hidden="1" ht="18" customHeight="1" s="849">
      <c r="A437" s="250" t="inlineStr">
        <is>
          <t>V</t>
        </is>
      </c>
      <c r="B437" s="220" t="inlineStr">
        <is>
          <t>Vacant</t>
        </is>
      </c>
      <c r="C437" s="305" t="inlineStr">
        <is>
          <t>Delivery manager</t>
        </is>
      </c>
      <c r="D437" s="306" t="inlineStr">
        <is>
          <t>Liesl Tye</t>
        </is>
      </c>
      <c r="E437" s="220" t="inlineStr">
        <is>
          <t>Head of Technology, B2B &amp; Energy Solutions</t>
        </is>
      </c>
      <c r="F437" s="220" t="inlineStr">
        <is>
          <t>TDD CFE&amp;I</t>
        </is>
      </c>
      <c r="G437" s="306" t="inlineStr">
        <is>
          <t>B2B &amp; Energy Solutions</t>
        </is>
      </c>
      <c r="H437" s="306" t="inlineStr">
        <is>
          <t>Leadership</t>
        </is>
      </c>
      <c r="I437" s="306" t="inlineStr">
        <is>
          <t>B2B &amp; Energy Solutions</t>
        </is>
      </c>
      <c r="J437" s="306" t="inlineStr">
        <is>
          <t>Leadership</t>
        </is>
      </c>
      <c r="K437" s="220" t="inlineStr">
        <is>
          <t>Leadership</t>
        </is>
      </c>
      <c r="L437" s="306" t="n"/>
      <c r="M437" s="307" t="inlineStr">
        <is>
          <t>Australia</t>
        </is>
      </c>
      <c r="N437" s="308" t="inlineStr">
        <is>
          <t>CSB</t>
        </is>
      </c>
      <c r="O437" s="308" t="n">
        <v>1</v>
      </c>
      <c r="P437" s="308" t="n"/>
      <c r="Q437" s="308" t="inlineStr">
        <is>
          <t>V</t>
        </is>
      </c>
      <c r="R437" s="310" t="n"/>
      <c r="S437" s="310" t="n"/>
      <c r="T437" s="322" t="n">
        <v>203550</v>
      </c>
      <c r="U437" s="321" t="n">
        <v>203550</v>
      </c>
      <c r="V437" s="313" t="n">
        <v>0.14</v>
      </c>
      <c r="W437" s="953" t="n">
        <v>0.055</v>
      </c>
      <c r="X437" s="953" t="n">
        <v>0.12</v>
      </c>
      <c r="Y437" s="954" t="n"/>
      <c r="Z437" s="953" t="n">
        <v>0.04</v>
      </c>
      <c r="AA437" s="952">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849">
      <c r="A438" s="250" t="inlineStr">
        <is>
          <t>V</t>
        </is>
      </c>
      <c r="B438" s="220" t="inlineStr">
        <is>
          <t>Vacant</t>
        </is>
      </c>
      <c r="C438" s="305" t="inlineStr">
        <is>
          <t>Technology Manager, Energy Solutions</t>
        </is>
      </c>
      <c r="D438" s="306" t="inlineStr">
        <is>
          <t>Liesl Tye</t>
        </is>
      </c>
      <c r="E438" s="220" t="inlineStr">
        <is>
          <t>Head of Technology, B2B &amp; Energy Solutions</t>
        </is>
      </c>
      <c r="F438" s="220" t="inlineStr">
        <is>
          <t>TDD CFE&amp;I</t>
        </is>
      </c>
      <c r="G438" s="306" t="inlineStr">
        <is>
          <t>B2B &amp; Energy Solutions</t>
        </is>
      </c>
      <c r="H438" s="306" t="inlineStr">
        <is>
          <t>Technology Energy Solutions</t>
        </is>
      </c>
      <c r="I438" s="306" t="inlineStr">
        <is>
          <t>B2B &amp; Energy Solutions</t>
        </is>
      </c>
      <c r="J438" s="404" t="inlineStr">
        <is>
          <t>Leadership</t>
        </is>
      </c>
      <c r="K438" s="220" t="inlineStr">
        <is>
          <t>Leadership</t>
        </is>
      </c>
      <c r="L438" s="306" t="n"/>
      <c r="M438" s="307" t="inlineStr">
        <is>
          <t>Australia</t>
        </is>
      </c>
      <c r="N438" s="308" t="inlineStr">
        <is>
          <t>CSB</t>
        </is>
      </c>
      <c r="O438" s="308" t="n">
        <v>1</v>
      </c>
      <c r="P438" s="308" t="n"/>
      <c r="Q438" s="308" t="inlineStr">
        <is>
          <t>v</t>
        </is>
      </c>
      <c r="R438" s="310" t="n"/>
      <c r="S438" s="310" t="n"/>
      <c r="T438" s="322" t="n">
        <v>203550</v>
      </c>
      <c r="U438" s="321" t="n">
        <v>203550</v>
      </c>
      <c r="V438" s="313" t="n">
        <v>0.14</v>
      </c>
      <c r="W438" s="953" t="n">
        <v>0.055</v>
      </c>
      <c r="X438" s="953" t="n">
        <v>0.12</v>
      </c>
      <c r="Y438" s="954" t="n"/>
      <c r="Z438" s="953" t="n">
        <v>0.04</v>
      </c>
      <c r="AA438" s="952">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849">
      <c r="A439" s="250" t="inlineStr">
        <is>
          <t>V</t>
        </is>
      </c>
      <c r="B439" s="220" t="inlineStr">
        <is>
          <t>Vacant</t>
        </is>
      </c>
      <c r="C439" s="305" t="inlineStr">
        <is>
          <t>Engineer Automation - Testing</t>
        </is>
      </c>
      <c r="D439" s="306" t="inlineStr">
        <is>
          <t>Vacant</t>
        </is>
      </c>
      <c r="E439" s="220" t="inlineStr">
        <is>
          <t>Technology Manager, Energy Solutions</t>
        </is>
      </c>
      <c r="F439" s="220" t="inlineStr">
        <is>
          <t>TDD CFE&amp;I</t>
        </is>
      </c>
      <c r="G439" s="306" t="inlineStr">
        <is>
          <t>B2B &amp; Energy Solutions</t>
        </is>
      </c>
      <c r="H439" s="306" t="inlineStr">
        <is>
          <t>Technology Energy Solutions</t>
        </is>
      </c>
      <c r="I439" s="306" t="inlineStr">
        <is>
          <t>B2B &amp; Energy Solutions</t>
        </is>
      </c>
      <c r="J439" s="306" t="inlineStr">
        <is>
          <t>Energy Solutions</t>
        </is>
      </c>
      <c r="K439" s="220" t="inlineStr">
        <is>
          <t>Energy</t>
        </is>
      </c>
      <c r="L439" s="306" t="n"/>
      <c r="M439" s="307" t="inlineStr">
        <is>
          <t>Australia</t>
        </is>
      </c>
      <c r="N439" s="308" t="inlineStr">
        <is>
          <t>CIB</t>
        </is>
      </c>
      <c r="O439" s="308" t="n">
        <v>1</v>
      </c>
      <c r="P439" s="308" t="n"/>
      <c r="Q439" s="308" t="inlineStr">
        <is>
          <t>V</t>
        </is>
      </c>
      <c r="R439" s="310" t="n"/>
      <c r="S439" s="310" t="n"/>
      <c r="T439" s="322" t="n">
        <v>151950</v>
      </c>
      <c r="U439" s="321" t="n">
        <v>151950</v>
      </c>
      <c r="V439" s="313" t="n">
        <v>0.12</v>
      </c>
      <c r="W439" s="953" t="n">
        <v>0.055</v>
      </c>
      <c r="X439" s="953" t="n">
        <v>0.12</v>
      </c>
      <c r="Y439" s="954" t="n"/>
      <c r="Z439" s="953" t="n">
        <v>0.04</v>
      </c>
      <c r="AA439" s="952">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849">
      <c r="A440" s="250" t="inlineStr">
        <is>
          <t>V</t>
        </is>
      </c>
      <c r="B440" s="220" t="inlineStr">
        <is>
          <t>Vacant</t>
        </is>
      </c>
      <c r="C440" s="305" t="inlineStr">
        <is>
          <t>Snr Engineer Software</t>
        </is>
      </c>
      <c r="D440" s="306" t="inlineStr">
        <is>
          <t>Vacant</t>
        </is>
      </c>
      <c r="E440" s="220" t="inlineStr">
        <is>
          <t>Technology Manager, Energy Solutions</t>
        </is>
      </c>
      <c r="F440" s="220" t="inlineStr">
        <is>
          <t>TDD CFE&amp;I</t>
        </is>
      </c>
      <c r="G440" s="306" t="inlineStr">
        <is>
          <t>B2B &amp; Energy Solutions</t>
        </is>
      </c>
      <c r="H440" s="306" t="inlineStr">
        <is>
          <t>Technology Energy Solutions</t>
        </is>
      </c>
      <c r="I440" s="306" t="inlineStr">
        <is>
          <t>B2B &amp; Energy Solutions</t>
        </is>
      </c>
      <c r="J440" s="306" t="inlineStr">
        <is>
          <t>Energy Solutions</t>
        </is>
      </c>
      <c r="K440" s="220" t="inlineStr">
        <is>
          <t>Energy</t>
        </is>
      </c>
      <c r="L440" s="306" t="n"/>
      <c r="M440" s="307" t="inlineStr">
        <is>
          <t>Australia</t>
        </is>
      </c>
      <c r="N440" s="308" t="inlineStr">
        <is>
          <t>CIB</t>
        </is>
      </c>
      <c r="O440" s="308" t="n">
        <v>1</v>
      </c>
      <c r="P440" s="308" t="n"/>
      <c r="Q440" s="308" t="inlineStr">
        <is>
          <t>v</t>
        </is>
      </c>
      <c r="R440" s="310" t="n"/>
      <c r="S440" s="310" t="n"/>
      <c r="T440" s="322" t="n">
        <v>151950</v>
      </c>
      <c r="U440" s="321" t="n">
        <v>151950</v>
      </c>
      <c r="V440" s="313" t="n">
        <v>0.12</v>
      </c>
      <c r="W440" s="953" t="n">
        <v>0.055</v>
      </c>
      <c r="X440" s="953" t="n">
        <v>0.12</v>
      </c>
      <c r="Y440" s="954" t="n"/>
      <c r="Z440" s="953" t="n">
        <v>0.04</v>
      </c>
      <c r="AA440" s="952">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849">
      <c r="A441" s="250" t="inlineStr">
        <is>
          <t>V</t>
        </is>
      </c>
      <c r="B441" s="220" t="inlineStr">
        <is>
          <t>Vacant</t>
        </is>
      </c>
      <c r="C441" s="305" t="inlineStr">
        <is>
          <t>Solution Architect</t>
        </is>
      </c>
      <c r="D441" s="306" t="inlineStr">
        <is>
          <t>Vacant</t>
        </is>
      </c>
      <c r="E441" s="220" t="inlineStr">
        <is>
          <t>Technology Manager, Energy Solutions</t>
        </is>
      </c>
      <c r="F441" s="220" t="inlineStr">
        <is>
          <t>TDD CFE&amp;I</t>
        </is>
      </c>
      <c r="G441" s="306" t="inlineStr">
        <is>
          <t>B2B &amp; Energy Solutions</t>
        </is>
      </c>
      <c r="H441" s="306" t="inlineStr">
        <is>
          <t>Technology Energy Solutions</t>
        </is>
      </c>
      <c r="I441" s="306" t="inlineStr">
        <is>
          <t>B2B &amp; Energy Solutions</t>
        </is>
      </c>
      <c r="J441" s="306" t="inlineStr">
        <is>
          <t>Energy Solutions</t>
        </is>
      </c>
      <c r="K441" s="220" t="inlineStr">
        <is>
          <t>Energy</t>
        </is>
      </c>
      <c r="L441" s="306" t="n"/>
      <c r="M441" s="307" t="inlineStr">
        <is>
          <t>australia</t>
        </is>
      </c>
      <c r="N441" s="308" t="inlineStr">
        <is>
          <t>CIC</t>
        </is>
      </c>
      <c r="O441" s="308" t="n">
        <v>1</v>
      </c>
      <c r="P441" s="308" t="n"/>
      <c r="Q441" s="308" t="inlineStr">
        <is>
          <t>v</t>
        </is>
      </c>
      <c r="R441" s="310" t="n"/>
      <c r="S441" s="310" t="n"/>
      <c r="T441" s="322" t="n">
        <v>173550</v>
      </c>
      <c r="U441" s="321" t="n">
        <v>173550</v>
      </c>
      <c r="V441" s="313" t="n">
        <v>0.12</v>
      </c>
      <c r="W441" s="953" t="n">
        <v>0.055</v>
      </c>
      <c r="X441" s="953" t="n">
        <v>0.12</v>
      </c>
      <c r="Y441" s="954" t="n"/>
      <c r="Z441" s="953" t="n">
        <v>0.04</v>
      </c>
      <c r="AA441" s="952">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849">
      <c r="A442" s="250" t="inlineStr">
        <is>
          <t>V</t>
        </is>
      </c>
      <c r="B442" s="220" t="inlineStr">
        <is>
          <t>Vacant</t>
        </is>
      </c>
      <c r="C442" s="305" t="inlineStr">
        <is>
          <t>System Specialist</t>
        </is>
      </c>
      <c r="D442" s="220" t="inlineStr">
        <is>
          <t>Allan Francia</t>
        </is>
      </c>
      <c r="E442" s="220" t="inlineStr">
        <is>
          <t>Technology Manager, T&amp;S</t>
        </is>
      </c>
      <c r="F442" s="220" t="inlineStr">
        <is>
          <t>TDD CFE&amp;I</t>
        </is>
      </c>
      <c r="G442" s="306" t="inlineStr">
        <is>
          <t>Commercial Fuels</t>
        </is>
      </c>
      <c r="H442" s="306" t="inlineStr">
        <is>
          <t>Technology, Trading &amp; Shipping</t>
        </is>
      </c>
      <c r="I442" s="306" t="inlineStr">
        <is>
          <t>Commercial Fuels</t>
        </is>
      </c>
      <c r="J442" s="306" t="inlineStr">
        <is>
          <t>Supply</t>
        </is>
      </c>
      <c r="K442" s="220" t="inlineStr">
        <is>
          <t>Supply</t>
        </is>
      </c>
      <c r="L442" s="306" t="n"/>
      <c r="M442" s="307" t="inlineStr">
        <is>
          <t>Australia</t>
        </is>
      </c>
      <c r="N442" s="308" t="inlineStr">
        <is>
          <t>CIB</t>
        </is>
      </c>
      <c r="O442" s="308" t="n">
        <v>1</v>
      </c>
      <c r="P442" s="308" t="n"/>
      <c r="Q442" s="308" t="inlineStr">
        <is>
          <t>v</t>
        </is>
      </c>
      <c r="R442" s="310" t="n"/>
      <c r="S442" s="310" t="n"/>
      <c r="T442" s="322" t="n">
        <v>151950</v>
      </c>
      <c r="U442" s="321" t="n">
        <v>151950</v>
      </c>
      <c r="V442" s="313" t="n">
        <v>0.12</v>
      </c>
      <c r="W442" s="953" t="n">
        <v>0.055</v>
      </c>
      <c r="X442" s="953" t="n">
        <v>0.12</v>
      </c>
      <c r="Y442" s="954" t="n"/>
      <c r="Z442" s="953" t="n">
        <v>0.04</v>
      </c>
      <c r="AA442" s="952">
        <f>U442*(1+V442+W442+X442+Y442+Z442)</f>
        <v>202853.25</v>
      </c>
      <c r="AC442" t="inlineStr">
        <is>
          <t>Commercial Fuels</t>
        </is>
      </c>
      <c r="AD442" t="inlineStr">
        <is>
          <t>Supply</t>
        </is>
      </c>
      <c r="AE442" t="inlineStr">
        <is>
          <t>Supply</t>
        </is>
      </c>
      <c r="AF442" t="inlineStr">
        <is>
          <t>Squad</t>
        </is>
      </c>
      <c r="AG442" t="inlineStr">
        <is>
          <t>Vacant</t>
        </is>
      </c>
    </row>
    <row r="443" hidden="1" ht="18" customHeight="1" s="849">
      <c r="A443" s="250" t="inlineStr">
        <is>
          <t>V</t>
        </is>
      </c>
      <c r="B443" s="220" t="inlineStr">
        <is>
          <t>Vacant</t>
        </is>
      </c>
      <c r="C443" s="305" t="inlineStr">
        <is>
          <t>Tech Support Technician</t>
        </is>
      </c>
      <c r="D443" s="220" t="inlineStr">
        <is>
          <t>Allan Francia</t>
        </is>
      </c>
      <c r="E443" s="220" t="inlineStr">
        <is>
          <t>Technology Manager, T&amp;S</t>
        </is>
      </c>
      <c r="F443" s="220" t="inlineStr">
        <is>
          <t>TDD CFE&amp;I</t>
        </is>
      </c>
      <c r="G443" s="306" t="inlineStr">
        <is>
          <t>Commercial Fuels</t>
        </is>
      </c>
      <c r="H443" s="306" t="inlineStr">
        <is>
          <t>Technology, Trading &amp; Shipping</t>
        </is>
      </c>
      <c r="I443" s="306" t="inlineStr">
        <is>
          <t>Commercial Fuels</t>
        </is>
      </c>
      <c r="J443" s="306" t="inlineStr">
        <is>
          <t>Trading &amp; Shipping</t>
        </is>
      </c>
      <c r="K443" s="220" t="inlineStr">
        <is>
          <t>Trading &amp; Shipping</t>
        </is>
      </c>
      <c r="L443" s="306" t="n"/>
      <c r="M443" s="307" t="inlineStr">
        <is>
          <t>Australia</t>
        </is>
      </c>
      <c r="N443" s="308" t="inlineStr">
        <is>
          <t>CDB</t>
        </is>
      </c>
      <c r="O443" s="308" t="n">
        <v>1</v>
      </c>
      <c r="P443" s="308" t="n"/>
      <c r="Q443" s="308" t="inlineStr">
        <is>
          <t>v</t>
        </is>
      </c>
      <c r="R443" s="310" t="n"/>
      <c r="S443" s="310" t="n"/>
      <c r="T443" s="322" t="n">
        <v>94650</v>
      </c>
      <c r="U443" s="321" t="n">
        <v>94650</v>
      </c>
      <c r="V443" s="313" t="n">
        <v>0.08</v>
      </c>
      <c r="W443" s="953" t="n">
        <v>0.055</v>
      </c>
      <c r="X443" s="953" t="n">
        <v>0.12</v>
      </c>
      <c r="Y443" s="954" t="n"/>
      <c r="Z443" s="953" t="n">
        <v>0.04</v>
      </c>
      <c r="AA443" s="952">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849">
      <c r="A444" s="250" t="inlineStr">
        <is>
          <t>V</t>
        </is>
      </c>
      <c r="B444" s="220" t="inlineStr">
        <is>
          <t>Vacant</t>
        </is>
      </c>
      <c r="C444" s="305" t="inlineStr">
        <is>
          <t>Delivery Manager</t>
        </is>
      </c>
      <c r="D444" s="306" t="inlineStr">
        <is>
          <t>Nakul Bharade</t>
        </is>
      </c>
      <c r="E444" s="220" t="inlineStr">
        <is>
          <t>Head of Technology, Commercial Fuels</t>
        </is>
      </c>
      <c r="F444" s="220" t="inlineStr">
        <is>
          <t>TDD CFE&amp;I</t>
        </is>
      </c>
      <c r="G444" s="306" t="inlineStr">
        <is>
          <t>Commercial Fuels</t>
        </is>
      </c>
      <c r="H444" s="316" t="inlineStr">
        <is>
          <t>Delivery, Commercial Fuels</t>
        </is>
      </c>
      <c r="I444" s="306" t="inlineStr">
        <is>
          <t>Commercial Fuels</t>
        </is>
      </c>
      <c r="J444" s="306" t="inlineStr">
        <is>
          <t>Leadership</t>
        </is>
      </c>
      <c r="K444" s="306" t="inlineStr">
        <is>
          <t>Leadership</t>
        </is>
      </c>
      <c r="L444" s="306" t="n"/>
      <c r="M444" s="307" t="inlineStr">
        <is>
          <t>Australia</t>
        </is>
      </c>
      <c r="N444" s="308" t="inlineStr">
        <is>
          <t>CSB</t>
        </is>
      </c>
      <c r="O444" s="308" t="n">
        <v>1</v>
      </c>
      <c r="P444" s="308" t="n"/>
      <c r="Q444" s="308" t="inlineStr">
        <is>
          <t>V</t>
        </is>
      </c>
      <c r="R444" s="310" t="n"/>
      <c r="S444" s="310" t="n"/>
      <c r="T444" s="322" t="n">
        <v>203550</v>
      </c>
      <c r="U444" s="321" t="n">
        <v>203550</v>
      </c>
      <c r="V444" s="313" t="n">
        <v>0.14</v>
      </c>
      <c r="W444" s="953" t="n">
        <v>0.055</v>
      </c>
      <c r="X444" s="953" t="n">
        <v>0.12</v>
      </c>
      <c r="Y444" s="954" t="n"/>
      <c r="Z444" s="953" t="n">
        <v>0.04</v>
      </c>
      <c r="AA444" s="952">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849">
      <c r="A445" s="250" t="inlineStr">
        <is>
          <t>V</t>
        </is>
      </c>
      <c r="B445" s="220" t="inlineStr">
        <is>
          <t>Vacant</t>
        </is>
      </c>
      <c r="C445" s="305" t="inlineStr">
        <is>
          <t>Technology Manager, Data</t>
        </is>
      </c>
      <c r="D445" s="306" t="inlineStr">
        <is>
          <t>Nakul Bharade</t>
        </is>
      </c>
      <c r="E445" s="220" t="inlineStr">
        <is>
          <t>Head of Technology, Commercial Fuels</t>
        </is>
      </c>
      <c r="F445" s="220" t="inlineStr">
        <is>
          <t>TDD CFE&amp;I</t>
        </is>
      </c>
      <c r="G445" s="306" t="inlineStr">
        <is>
          <t>Commercial Fuels</t>
        </is>
      </c>
      <c r="H445" s="306" t="inlineStr">
        <is>
          <t>Technology, T&amp;S Data</t>
        </is>
      </c>
      <c r="I445" s="306" t="inlineStr">
        <is>
          <t>Commercial Fuels</t>
        </is>
      </c>
      <c r="J445" s="306" t="inlineStr">
        <is>
          <t>Leadership</t>
        </is>
      </c>
      <c r="K445" s="306" t="inlineStr">
        <is>
          <t>Leadership</t>
        </is>
      </c>
      <c r="L445" s="306" t="n"/>
      <c r="M445" s="307" t="inlineStr">
        <is>
          <t>Australia</t>
        </is>
      </c>
      <c r="N445" s="308" t="inlineStr">
        <is>
          <t>CSB</t>
        </is>
      </c>
      <c r="O445" s="308" t="n">
        <v>1</v>
      </c>
      <c r="P445" s="308" t="n"/>
      <c r="Q445" s="308" t="inlineStr">
        <is>
          <t>v</t>
        </is>
      </c>
      <c r="R445" s="310" t="n"/>
      <c r="S445" s="310" t="n"/>
      <c r="T445" s="322" t="n">
        <v>203550</v>
      </c>
      <c r="U445" s="321" t="n">
        <v>203550</v>
      </c>
      <c r="V445" s="313" t="n">
        <v>0.14</v>
      </c>
      <c r="W445" s="953" t="n">
        <v>0.055</v>
      </c>
      <c r="X445" s="953" t="n">
        <v>0.12</v>
      </c>
      <c r="Y445" s="954" t="n"/>
      <c r="Z445" s="953" t="n">
        <v>0.04</v>
      </c>
      <c r="AA445" s="952">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849">
      <c r="A446" s="250" t="inlineStr">
        <is>
          <t>V</t>
        </is>
      </c>
      <c r="B446" s="220" t="inlineStr">
        <is>
          <t>Vacant</t>
        </is>
      </c>
      <c r="C446" s="305" t="inlineStr">
        <is>
          <t>Delivery Lead</t>
        </is>
      </c>
      <c r="D446" s="306" t="inlineStr">
        <is>
          <t>Vacant</t>
        </is>
      </c>
      <c r="E446" s="220" t="inlineStr">
        <is>
          <t>Delivery Manager</t>
        </is>
      </c>
      <c r="F446" s="220" t="inlineStr">
        <is>
          <t>TDD CFE&amp;I</t>
        </is>
      </c>
      <c r="G446" s="306" t="inlineStr">
        <is>
          <t>Commercial Fuels</t>
        </is>
      </c>
      <c r="H446" s="306" t="inlineStr">
        <is>
          <t>Delivery, Commercial Fuels</t>
        </is>
      </c>
      <c r="I446" s="306" t="inlineStr">
        <is>
          <t>Commercial Fuels</t>
        </is>
      </c>
      <c r="J446" s="306" t="inlineStr">
        <is>
          <t>Supply</t>
        </is>
      </c>
      <c r="K446" s="306" t="inlineStr">
        <is>
          <t>Supply</t>
        </is>
      </c>
      <c r="L446" s="220" t="n"/>
      <c r="M446" s="307" t="inlineStr">
        <is>
          <t>Australia</t>
        </is>
      </c>
      <c r="N446" s="308" t="inlineStr">
        <is>
          <t>CIC</t>
        </is>
      </c>
      <c r="O446" s="308" t="n">
        <v>1</v>
      </c>
      <c r="P446" s="308" t="n"/>
      <c r="Q446" s="308" t="inlineStr">
        <is>
          <t>V</t>
        </is>
      </c>
      <c r="R446" s="310" t="n"/>
      <c r="S446" s="310" t="n"/>
      <c r="T446" s="322" t="n">
        <v>173550</v>
      </c>
      <c r="U446" s="321" t="n">
        <v>173550</v>
      </c>
      <c r="V446" s="313" t="n">
        <v>0.12</v>
      </c>
      <c r="W446" s="953" t="n">
        <v>0.055</v>
      </c>
      <c r="X446" s="953" t="n">
        <v>0.12</v>
      </c>
      <c r="Y446" s="954" t="n"/>
      <c r="Z446" s="953" t="n">
        <v>0.04</v>
      </c>
      <c r="AA446" s="952">
        <f>U446*(1+V446+W446+X446+Y446+Z446)</f>
        <v>231689.25</v>
      </c>
      <c r="AC446" t="inlineStr">
        <is>
          <t>Commercial Fuels</t>
        </is>
      </c>
      <c r="AD446" t="inlineStr">
        <is>
          <t>Supply</t>
        </is>
      </c>
      <c r="AE446" t="inlineStr">
        <is>
          <t>Supply</t>
        </is>
      </c>
      <c r="AF446" t="inlineStr">
        <is>
          <t>Squad</t>
        </is>
      </c>
      <c r="AG446" t="inlineStr">
        <is>
          <t>Vacant</t>
        </is>
      </c>
    </row>
    <row r="447" hidden="1" ht="18" customHeight="1" s="849">
      <c r="A447" s="250" t="inlineStr">
        <is>
          <t>V</t>
        </is>
      </c>
      <c r="B447" s="220" t="inlineStr">
        <is>
          <t>Vacant</t>
        </is>
      </c>
      <c r="C447" s="305" t="inlineStr">
        <is>
          <t>Delivery Lead</t>
        </is>
      </c>
      <c r="D447" s="306" t="inlineStr">
        <is>
          <t>Vacant</t>
        </is>
      </c>
      <c r="E447" s="220" t="inlineStr">
        <is>
          <t>Delivery Manager</t>
        </is>
      </c>
      <c r="F447" s="220" t="inlineStr">
        <is>
          <t>TDD CFE&amp;I</t>
        </is>
      </c>
      <c r="G447" s="306" t="inlineStr">
        <is>
          <t>Commercial Fuels</t>
        </is>
      </c>
      <c r="H447" s="306" t="inlineStr">
        <is>
          <t>Delivery, Commercial Fuels</t>
        </is>
      </c>
      <c r="I447" s="306" t="inlineStr">
        <is>
          <t>Commercial Fuels</t>
        </is>
      </c>
      <c r="J447" s="306" t="inlineStr">
        <is>
          <t>Trading &amp; Shipping</t>
        </is>
      </c>
      <c r="K447" s="306" t="inlineStr">
        <is>
          <t>Trading &amp; Shipping</t>
        </is>
      </c>
      <c r="L447" s="220" t="n"/>
      <c r="M447" s="307" t="inlineStr">
        <is>
          <t>Australia</t>
        </is>
      </c>
      <c r="N447" s="308" t="inlineStr">
        <is>
          <t>CIC</t>
        </is>
      </c>
      <c r="O447" s="308" t="n">
        <v>1</v>
      </c>
      <c r="P447" s="308" t="n"/>
      <c r="Q447" s="308" t="inlineStr">
        <is>
          <t>V</t>
        </is>
      </c>
      <c r="R447" s="310" t="n"/>
      <c r="S447" s="310" t="n"/>
      <c r="T447" s="322" t="n">
        <v>173550</v>
      </c>
      <c r="U447" s="321" t="n">
        <v>173550</v>
      </c>
      <c r="V447" s="313" t="n">
        <v>0.12</v>
      </c>
      <c r="W447" s="953" t="n">
        <v>0.055</v>
      </c>
      <c r="X447" s="953" t="n">
        <v>0.12</v>
      </c>
      <c r="Y447" s="954" t="n"/>
      <c r="Z447" s="953" t="n">
        <v>0.04</v>
      </c>
      <c r="AA447" s="952">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849">
      <c r="A448" s="250" t="inlineStr">
        <is>
          <t>V</t>
        </is>
      </c>
      <c r="B448" s="220" t="inlineStr">
        <is>
          <t>Vacant</t>
        </is>
      </c>
      <c r="C448" s="305" t="inlineStr">
        <is>
          <t>Quality Assurance</t>
        </is>
      </c>
      <c r="D448" s="306" t="inlineStr">
        <is>
          <t>Vacant</t>
        </is>
      </c>
      <c r="E448" s="220" t="inlineStr">
        <is>
          <t>Technology Manager, Engineering</t>
        </is>
      </c>
      <c r="F448" s="220" t="inlineStr">
        <is>
          <t>TDD CFE&amp;I</t>
        </is>
      </c>
      <c r="G448" s="306" t="inlineStr">
        <is>
          <t>Commercial Fuels</t>
        </is>
      </c>
      <c r="H448" s="306" t="inlineStr">
        <is>
          <t>Technology, CF Engineering</t>
        </is>
      </c>
      <c r="I448" s="306" t="inlineStr">
        <is>
          <t>Commercial Fuels</t>
        </is>
      </c>
      <c r="J448" s="306" t="inlineStr">
        <is>
          <t>Trading &amp; Shipping</t>
        </is>
      </c>
      <c r="K448" s="220" t="inlineStr">
        <is>
          <t>Trading &amp; Shipping</t>
        </is>
      </c>
      <c r="L448" s="306" t="n"/>
      <c r="M448" s="307" t="inlineStr">
        <is>
          <t>Australia</t>
        </is>
      </c>
      <c r="N448" s="308" t="inlineStr">
        <is>
          <t>CIA</t>
        </is>
      </c>
      <c r="O448" s="308" t="n">
        <v>1</v>
      </c>
      <c r="P448" s="308" t="n"/>
      <c r="Q448" s="308" t="inlineStr">
        <is>
          <t>v</t>
        </is>
      </c>
      <c r="R448" s="310" t="n"/>
      <c r="S448" s="310" t="n"/>
      <c r="T448" s="322" t="n">
        <v>129650</v>
      </c>
      <c r="U448" s="321" t="n">
        <v>129650</v>
      </c>
      <c r="V448" s="313" t="n">
        <v>0.1</v>
      </c>
      <c r="W448" s="953" t="n">
        <v>0.055</v>
      </c>
      <c r="X448" s="953" t="n">
        <v>0.12</v>
      </c>
      <c r="Y448" s="954" t="n"/>
      <c r="Z448" s="953" t="n">
        <v>0.04</v>
      </c>
      <c r="AA448" s="952">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849">
      <c r="A449" s="250" t="inlineStr">
        <is>
          <t>V</t>
        </is>
      </c>
      <c r="B449" s="220" t="inlineStr">
        <is>
          <t>vacant</t>
        </is>
      </c>
      <c r="C449" s="305" t="inlineStr">
        <is>
          <t>Delivery manager</t>
        </is>
      </c>
      <c r="D449" s="220" t="inlineStr">
        <is>
          <t>Amish Pandit</t>
        </is>
      </c>
      <c r="E449" s="220" t="inlineStr">
        <is>
          <t>Head of Technology, Fuel Infrastructure</t>
        </is>
      </c>
      <c r="F449" s="220" t="inlineStr">
        <is>
          <t>TDD CFE&amp;I</t>
        </is>
      </c>
      <c r="G449" s="306" t="inlineStr">
        <is>
          <t>Fuel Infrastructure</t>
        </is>
      </c>
      <c r="H449" s="306" t="inlineStr">
        <is>
          <t>Fuel Infrastructure, Delivery</t>
        </is>
      </c>
      <c r="I449" s="306" t="inlineStr">
        <is>
          <t>Infrastructure</t>
        </is>
      </c>
      <c r="J449" s="306" t="inlineStr">
        <is>
          <t xml:space="preserve">Leadership </t>
        </is>
      </c>
      <c r="K449" s="220" t="inlineStr">
        <is>
          <t>Leadership</t>
        </is>
      </c>
      <c r="L449" s="306" t="n"/>
      <c r="M449" s="307" t="inlineStr">
        <is>
          <t>Australia</t>
        </is>
      </c>
      <c r="N449" s="308" t="inlineStr">
        <is>
          <t>CSB</t>
        </is>
      </c>
      <c r="O449" s="308" t="n">
        <v>1</v>
      </c>
      <c r="P449" s="308" t="n"/>
      <c r="Q449" s="308" t="inlineStr">
        <is>
          <t>V</t>
        </is>
      </c>
      <c r="R449" s="310" t="n"/>
      <c r="S449" s="310" t="n"/>
      <c r="T449" s="322" t="n">
        <v>203550</v>
      </c>
      <c r="U449" s="321" t="n">
        <v>203550</v>
      </c>
      <c r="V449" s="313" t="n">
        <v>0.14</v>
      </c>
      <c r="W449" s="953" t="n">
        <v>0.055</v>
      </c>
      <c r="X449" s="953" t="n">
        <v>0.12</v>
      </c>
      <c r="Y449" s="954" t="n"/>
      <c r="Z449" s="953" t="n">
        <v>0.04</v>
      </c>
      <c r="AA449" s="952">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849">
      <c r="A450" s="250" t="inlineStr">
        <is>
          <t>V</t>
        </is>
      </c>
      <c r="B450" s="220" t="inlineStr">
        <is>
          <t>Vacant</t>
        </is>
      </c>
      <c r="C450" s="305" t="inlineStr">
        <is>
          <t>Technology Manager Data</t>
        </is>
      </c>
      <c r="D450" s="220" t="inlineStr">
        <is>
          <t>Amish Pandit</t>
        </is>
      </c>
      <c r="E450" s="220" t="inlineStr">
        <is>
          <t>Head of Technology, Fuel Infrastructure</t>
        </is>
      </c>
      <c r="F450" s="220" t="inlineStr">
        <is>
          <t>TDD CFE&amp;I</t>
        </is>
      </c>
      <c r="G450" s="306" t="inlineStr">
        <is>
          <t>Fuel Infrastructure</t>
        </is>
      </c>
      <c r="H450" s="306" t="inlineStr">
        <is>
          <t>Fuel Infrastructure, Data</t>
        </is>
      </c>
      <c r="I450" s="306" t="inlineStr">
        <is>
          <t>Infrastructure</t>
        </is>
      </c>
      <c r="J450" s="220" t="inlineStr">
        <is>
          <t>Leadership</t>
        </is>
      </c>
      <c r="K450" s="220" t="inlineStr">
        <is>
          <t>Leadership</t>
        </is>
      </c>
      <c r="L450" s="306" t="n"/>
      <c r="M450" s="307" t="inlineStr">
        <is>
          <t>Australia</t>
        </is>
      </c>
      <c r="N450" s="308" t="inlineStr">
        <is>
          <t>CSB</t>
        </is>
      </c>
      <c r="O450" s="308" t="n">
        <v>1</v>
      </c>
      <c r="P450" s="308" t="n"/>
      <c r="Q450" s="308" t="inlineStr">
        <is>
          <t>v</t>
        </is>
      </c>
      <c r="R450" s="310" t="n"/>
      <c r="S450" s="310" t="n"/>
      <c r="T450" s="322" t="n">
        <v>203550</v>
      </c>
      <c r="U450" s="321" t="n">
        <v>203550</v>
      </c>
      <c r="V450" s="313" t="n">
        <v>0.14</v>
      </c>
      <c r="W450" s="953" t="n">
        <v>0.055</v>
      </c>
      <c r="X450" s="953" t="n">
        <v>0.12</v>
      </c>
      <c r="Y450" s="954" t="n"/>
      <c r="Z450" s="953" t="n">
        <v>0.04</v>
      </c>
      <c r="AA450" s="952">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849">
      <c r="A451" s="250" t="inlineStr">
        <is>
          <t>V</t>
        </is>
      </c>
      <c r="B451" s="220" t="inlineStr">
        <is>
          <t>Vacant</t>
        </is>
      </c>
      <c r="C451" s="305" t="inlineStr">
        <is>
          <t xml:space="preserve">Technology Manager, Future Infrastructure </t>
        </is>
      </c>
      <c r="D451" s="220" t="inlineStr">
        <is>
          <t>Amish Pandit</t>
        </is>
      </c>
      <c r="E451" s="220" t="inlineStr">
        <is>
          <t>Head of Technology, Fuel Infrastructure</t>
        </is>
      </c>
      <c r="F451" s="220" t="inlineStr">
        <is>
          <t>TDD CFE&amp;I</t>
        </is>
      </c>
      <c r="G451" s="306" t="inlineStr">
        <is>
          <t>Fuel Infrastructure</t>
        </is>
      </c>
      <c r="H451" s="306" t="inlineStr">
        <is>
          <t>Technology - Distribution</t>
        </is>
      </c>
      <c r="I451" s="306" t="inlineStr">
        <is>
          <t>Infrastructure</t>
        </is>
      </c>
      <c r="J451" s="306" t="inlineStr">
        <is>
          <t>Distribution</t>
        </is>
      </c>
      <c r="K451" s="220" t="inlineStr">
        <is>
          <t>Leadership</t>
        </is>
      </c>
      <c r="L451" s="306" t="n"/>
      <c r="M451" s="307" t="inlineStr">
        <is>
          <t>Australia</t>
        </is>
      </c>
      <c r="N451" s="308" t="inlineStr">
        <is>
          <t>CSB</t>
        </is>
      </c>
      <c r="O451" s="308" t="n">
        <v>1</v>
      </c>
      <c r="P451" s="308" t="n"/>
      <c r="Q451" s="308" t="inlineStr">
        <is>
          <t>v</t>
        </is>
      </c>
      <c r="R451" s="310" t="n"/>
      <c r="S451" s="310" t="n"/>
      <c r="T451" s="322" t="n">
        <v>203550</v>
      </c>
      <c r="U451" s="321" t="n">
        <v>203550</v>
      </c>
      <c r="V451" s="313" t="n">
        <v>0.14</v>
      </c>
      <c r="W451" s="953" t="n">
        <v>0.055</v>
      </c>
      <c r="X451" s="953" t="n">
        <v>0.12</v>
      </c>
      <c r="Y451" s="954" t="n"/>
      <c r="Z451" s="953" t="n">
        <v>0.04</v>
      </c>
      <c r="AA451" s="952">
        <f>U451*(1+V451+W451+X451+Y451+Z451)</f>
        <v>275810.25</v>
      </c>
      <c r="AC451" s="330" t="inlineStr">
        <is>
          <t>Infrastructure</t>
        </is>
      </c>
      <c r="AD451" t="inlineStr">
        <is>
          <t>Leadership</t>
        </is>
      </c>
      <c r="AE451" t="inlineStr">
        <is>
          <t>Leadership</t>
        </is>
      </c>
      <c r="AF451" t="inlineStr">
        <is>
          <t>Leadership</t>
        </is>
      </c>
      <c r="AG451" t="inlineStr">
        <is>
          <t>Vacant</t>
        </is>
      </c>
    </row>
    <row r="452" hidden="1" ht="18" customHeight="1" s="849">
      <c r="A452" s="250" t="inlineStr">
        <is>
          <t>V</t>
        </is>
      </c>
      <c r="B452" s="220" t="inlineStr">
        <is>
          <t>Vacant</t>
        </is>
      </c>
      <c r="C452" s="305" t="inlineStr">
        <is>
          <t>Quality Assurance</t>
        </is>
      </c>
      <c r="D452" s="220" t="inlineStr">
        <is>
          <t>Jaya Ganasan</t>
        </is>
      </c>
      <c r="E452" s="220" t="inlineStr">
        <is>
          <t>Technology Manager, TDD Refinery</t>
        </is>
      </c>
      <c r="F452" s="220" t="inlineStr">
        <is>
          <t>TDD CFE&amp;I</t>
        </is>
      </c>
      <c r="G452" s="306" t="inlineStr">
        <is>
          <t>Fuel Infrastructure</t>
        </is>
      </c>
      <c r="H452" s="306" t="inlineStr">
        <is>
          <t>Refinery Applications</t>
        </is>
      </c>
      <c r="I452" s="306" t="inlineStr">
        <is>
          <t>Infrastructure</t>
        </is>
      </c>
      <c r="J452" s="306" t="inlineStr">
        <is>
          <t>Manufacturing</t>
        </is>
      </c>
      <c r="K452" s="220" t="inlineStr">
        <is>
          <t>Manufacturing Group Projects</t>
        </is>
      </c>
      <c r="L452" s="306" t="n"/>
      <c r="M452" s="307" t="inlineStr">
        <is>
          <t>Australia</t>
        </is>
      </c>
      <c r="N452" s="308" t="inlineStr">
        <is>
          <t>CIA</t>
        </is>
      </c>
      <c r="O452" s="308" t="n">
        <v>1</v>
      </c>
      <c r="P452" s="308" t="n"/>
      <c r="Q452" s="308" t="inlineStr">
        <is>
          <t>v</t>
        </is>
      </c>
      <c r="R452" s="310" t="n"/>
      <c r="S452" s="310" t="n"/>
      <c r="T452" s="322" t="n">
        <v>129650</v>
      </c>
      <c r="U452" s="321" t="n">
        <v>129650</v>
      </c>
      <c r="V452" s="313" t="n">
        <v>0.1</v>
      </c>
      <c r="W452" s="953" t="n">
        <v>0.055</v>
      </c>
      <c r="X452" s="953" t="n">
        <v>0.12</v>
      </c>
      <c r="Y452" s="954" t="n"/>
      <c r="Z452" s="953" t="n">
        <v>0.04</v>
      </c>
      <c r="AA452" s="952">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849">
      <c r="A453" s="250" t="inlineStr">
        <is>
          <t>V</t>
        </is>
      </c>
      <c r="B453" s="220" t="inlineStr">
        <is>
          <t>Vacant</t>
        </is>
      </c>
      <c r="C453" s="305" t="inlineStr">
        <is>
          <t>Solution Architect</t>
        </is>
      </c>
      <c r="D453" s="220" t="inlineStr">
        <is>
          <t>Jaya Ganasan</t>
        </is>
      </c>
      <c r="E453" s="220" t="inlineStr">
        <is>
          <t>Technology Manager, TDD Refinery</t>
        </is>
      </c>
      <c r="F453" s="220" t="inlineStr">
        <is>
          <t>TDD CFE&amp;I</t>
        </is>
      </c>
      <c r="G453" s="306" t="inlineStr">
        <is>
          <t>Fuel Infrastructure</t>
        </is>
      </c>
      <c r="H453" s="306" t="inlineStr">
        <is>
          <t>Refinery Applications</t>
        </is>
      </c>
      <c r="I453" s="306" t="inlineStr">
        <is>
          <t>Infrastructure</t>
        </is>
      </c>
      <c r="J453" s="306" t="inlineStr">
        <is>
          <t>Manufacturing</t>
        </is>
      </c>
      <c r="K453" s="220" t="inlineStr">
        <is>
          <t>Manufacturing Group Projects</t>
        </is>
      </c>
      <c r="L453" s="306" t="n"/>
      <c r="M453" s="307" t="inlineStr">
        <is>
          <t>australia</t>
        </is>
      </c>
      <c r="N453" s="308" t="inlineStr">
        <is>
          <t>CIC</t>
        </is>
      </c>
      <c r="O453" s="308" t="n">
        <v>1</v>
      </c>
      <c r="P453" s="308" t="n"/>
      <c r="Q453" s="308" t="inlineStr">
        <is>
          <t>v</t>
        </is>
      </c>
      <c r="R453" s="310" t="n"/>
      <c r="S453" s="310" t="n"/>
      <c r="T453" s="322" t="n">
        <v>173550</v>
      </c>
      <c r="U453" s="321" t="n">
        <v>173550</v>
      </c>
      <c r="V453" s="313" t="n">
        <v>0.12</v>
      </c>
      <c r="W453" s="953" t="n">
        <v>0.055</v>
      </c>
      <c r="X453" s="953" t="n">
        <v>0.12</v>
      </c>
      <c r="Y453" s="954" t="n"/>
      <c r="Z453" s="953" t="n">
        <v>0.04</v>
      </c>
      <c r="AA453" s="952">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849">
      <c r="A454" s="250" t="inlineStr">
        <is>
          <t>V</t>
        </is>
      </c>
      <c r="B454" s="220" t="inlineStr">
        <is>
          <t>Vacant</t>
        </is>
      </c>
      <c r="C454" s="305" t="inlineStr">
        <is>
          <t>Quality Assurance</t>
        </is>
      </c>
      <c r="D454" s="220" t="inlineStr">
        <is>
          <t>Karla Orozco Loza</t>
        </is>
      </c>
      <c r="E454" s="220" t="inlineStr">
        <is>
          <t>Technology Manager, Future Infrastructure</t>
        </is>
      </c>
      <c r="F454" s="220" t="inlineStr">
        <is>
          <t>TDD CFE&amp;I</t>
        </is>
      </c>
      <c r="G454" s="306" t="inlineStr">
        <is>
          <t>Fuel Infrastructure</t>
        </is>
      </c>
      <c r="H454" s="306" t="inlineStr">
        <is>
          <t>Technology - Distribution</t>
        </is>
      </c>
      <c r="I454" s="306" t="inlineStr">
        <is>
          <t>Infrastructure</t>
        </is>
      </c>
      <c r="J454" s="306" t="inlineStr">
        <is>
          <t>Distribution</t>
        </is>
      </c>
      <c r="K454" s="220" t="inlineStr">
        <is>
          <t>Distribution, Sales &amp; Services</t>
        </is>
      </c>
      <c r="L454" s="306" t="n"/>
      <c r="M454" s="307" t="inlineStr">
        <is>
          <t>Australia</t>
        </is>
      </c>
      <c r="N454" s="308" t="inlineStr">
        <is>
          <t>CIA</t>
        </is>
      </c>
      <c r="O454" s="308" t="n">
        <v>1</v>
      </c>
      <c r="P454" s="308" t="n"/>
      <c r="Q454" s="308" t="inlineStr">
        <is>
          <t>v</t>
        </is>
      </c>
      <c r="R454" s="310" t="n"/>
      <c r="S454" s="310" t="n"/>
      <c r="T454" s="322" t="n">
        <v>129650</v>
      </c>
      <c r="U454" s="321" t="n">
        <v>129650</v>
      </c>
      <c r="V454" s="313" t="n">
        <v>0.1</v>
      </c>
      <c r="W454" s="953" t="n">
        <v>0.055</v>
      </c>
      <c r="X454" s="953" t="n">
        <v>0.12</v>
      </c>
      <c r="Y454" s="954" t="n"/>
      <c r="Z454" s="953" t="n">
        <v>0.04</v>
      </c>
      <c r="AA454" s="952">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849">
      <c r="A455" s="250" t="inlineStr">
        <is>
          <t>V</t>
        </is>
      </c>
      <c r="B455" s="220" t="inlineStr">
        <is>
          <t>Vacant</t>
        </is>
      </c>
      <c r="C455" s="305" t="inlineStr">
        <is>
          <t>Business Analyst</t>
        </is>
      </c>
      <c r="D455" s="306" t="inlineStr">
        <is>
          <t>Vacant</t>
        </is>
      </c>
      <c r="E455" s="220" t="inlineStr">
        <is>
          <t>Delivery Manager</t>
        </is>
      </c>
      <c r="F455" s="220" t="inlineStr">
        <is>
          <t>TDD CFE&amp;I</t>
        </is>
      </c>
      <c r="G455" s="332" t="inlineStr">
        <is>
          <t>Fuel Infrastructure</t>
        </is>
      </c>
      <c r="H455" s="306" t="inlineStr">
        <is>
          <t>Fuel Infrastructure, Delivery</t>
        </is>
      </c>
      <c r="I455" s="306" t="inlineStr">
        <is>
          <t>Infrastructure</t>
        </is>
      </c>
      <c r="J455" s="306" t="inlineStr">
        <is>
          <t>Distribution</t>
        </is>
      </c>
      <c r="K455" s="220" t="inlineStr">
        <is>
          <t>Distribution, Sales &amp; Services</t>
        </is>
      </c>
      <c r="L455" s="306" t="n"/>
      <c r="M455" s="307" t="inlineStr">
        <is>
          <t>Australia</t>
        </is>
      </c>
      <c r="N455" s="308" t="inlineStr">
        <is>
          <t>CIB</t>
        </is>
      </c>
      <c r="O455" s="308" t="n">
        <v>1</v>
      </c>
      <c r="P455" s="308" t="n"/>
      <c r="Q455" s="308" t="inlineStr">
        <is>
          <t>V</t>
        </is>
      </c>
      <c r="R455" s="310" t="n"/>
      <c r="S455" s="310" t="n"/>
      <c r="T455" s="322" t="n">
        <v>151950</v>
      </c>
      <c r="U455" s="321" t="n">
        <v>151950</v>
      </c>
      <c r="V455" s="313" t="n">
        <v>0.12</v>
      </c>
      <c r="W455" s="953" t="n">
        <v>0.055</v>
      </c>
      <c r="X455" s="953" t="n">
        <v>0.12</v>
      </c>
      <c r="Y455" s="954" t="n"/>
      <c r="Z455" s="953" t="n">
        <v>0.04</v>
      </c>
      <c r="AA455" s="952">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849">
      <c r="A456" s="250" t="inlineStr">
        <is>
          <t>V</t>
        </is>
      </c>
      <c r="B456" s="220" t="inlineStr">
        <is>
          <t>Vacant</t>
        </is>
      </c>
      <c r="C456" s="305" t="inlineStr">
        <is>
          <t>Data Analyst</t>
        </is>
      </c>
      <c r="D456" s="220" t="inlineStr">
        <is>
          <t>Vacant</t>
        </is>
      </c>
      <c r="E456" s="220" t="inlineStr">
        <is>
          <t>Technology Manger, Data</t>
        </is>
      </c>
      <c r="F456" s="220" t="inlineStr">
        <is>
          <t>TDD CFE&amp;I</t>
        </is>
      </c>
      <c r="G456" s="306" t="inlineStr">
        <is>
          <t>Fuel Infrastructure</t>
        </is>
      </c>
      <c r="H456" s="306" t="inlineStr">
        <is>
          <t>Fuel Infrastructure, Data</t>
        </is>
      </c>
      <c r="I456" s="306" t="inlineStr">
        <is>
          <t>Infrastructure</t>
        </is>
      </c>
      <c r="J456" s="220" t="inlineStr">
        <is>
          <t xml:space="preserve">Data &amp; Insights </t>
        </is>
      </c>
      <c r="K456" s="220" t="inlineStr">
        <is>
          <t xml:space="preserve">Data &amp; Insights </t>
        </is>
      </c>
      <c r="L456" s="306" t="n"/>
      <c r="M456" s="307" t="inlineStr">
        <is>
          <t>Australia</t>
        </is>
      </c>
      <c r="N456" s="308" t="inlineStr">
        <is>
          <t>CIB</t>
        </is>
      </c>
      <c r="O456" s="308" t="n">
        <v>1</v>
      </c>
      <c r="P456" s="308" t="n"/>
      <c r="Q456" s="308" t="inlineStr">
        <is>
          <t>V</t>
        </is>
      </c>
      <c r="R456" s="310" t="n"/>
      <c r="S456" s="310" t="n"/>
      <c r="T456" s="322" t="n">
        <v>151000</v>
      </c>
      <c r="U456" s="321" t="n">
        <v>151000</v>
      </c>
      <c r="V456" s="313" t="n">
        <v>0.12</v>
      </c>
      <c r="W456" s="953" t="n">
        <v>0.055</v>
      </c>
      <c r="X456" s="953" t="n">
        <v>0.12</v>
      </c>
      <c r="Y456" s="954" t="n"/>
      <c r="Z456" s="953" t="n">
        <v>0.04</v>
      </c>
      <c r="AA456" s="952">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849">
      <c r="A457" s="250" t="inlineStr">
        <is>
          <t>V</t>
        </is>
      </c>
      <c r="B457" s="220" t="inlineStr">
        <is>
          <t>Vacant</t>
        </is>
      </c>
      <c r="C457" s="305" t="inlineStr">
        <is>
          <t>Engineer Data</t>
        </is>
      </c>
      <c r="D457" s="220" t="inlineStr">
        <is>
          <t>Vacant</t>
        </is>
      </c>
      <c r="E457" s="220" t="inlineStr">
        <is>
          <t>Technology Manger, Data</t>
        </is>
      </c>
      <c r="F457" s="220" t="inlineStr">
        <is>
          <t>TDD CFE&amp;I</t>
        </is>
      </c>
      <c r="G457" s="306" t="inlineStr">
        <is>
          <t>Fuel Infrastructure</t>
        </is>
      </c>
      <c r="H457" s="306" t="inlineStr">
        <is>
          <t>Fuel Infrastructure, Data</t>
        </is>
      </c>
      <c r="I457" s="306" t="inlineStr">
        <is>
          <t>Infrastructure</t>
        </is>
      </c>
      <c r="J457" s="220" t="inlineStr">
        <is>
          <t xml:space="preserve">Data &amp; Insights </t>
        </is>
      </c>
      <c r="K457" s="220" t="inlineStr">
        <is>
          <t xml:space="preserve">Data &amp; Insights </t>
        </is>
      </c>
      <c r="L457" s="306" t="n"/>
      <c r="M457" s="307" t="inlineStr">
        <is>
          <t>Australia</t>
        </is>
      </c>
      <c r="N457" s="308" t="inlineStr">
        <is>
          <t>CIB</t>
        </is>
      </c>
      <c r="O457" s="308" t="n">
        <v>1</v>
      </c>
      <c r="P457" s="308" t="n"/>
      <c r="Q457" s="308" t="inlineStr">
        <is>
          <t>V</t>
        </is>
      </c>
      <c r="R457" s="310" t="n"/>
      <c r="S457" s="310" t="n"/>
      <c r="T457" s="322" t="n">
        <v>151950</v>
      </c>
      <c r="U457" s="321" t="n">
        <v>151950</v>
      </c>
      <c r="V457" s="313" t="n">
        <v>0.12</v>
      </c>
      <c r="W457" s="953" t="n">
        <v>0.055</v>
      </c>
      <c r="X457" s="953" t="n">
        <v>0.12</v>
      </c>
      <c r="Y457" s="954" t="n"/>
      <c r="Z457" s="953" t="n">
        <v>0.04</v>
      </c>
      <c r="AA457" s="952">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849">
      <c r="A458" s="250" t="inlineStr">
        <is>
          <t>V</t>
        </is>
      </c>
      <c r="B458" s="220" t="inlineStr">
        <is>
          <t>Vacant</t>
        </is>
      </c>
      <c r="C458" s="305" t="inlineStr">
        <is>
          <t>Lead Data Analyst</t>
        </is>
      </c>
      <c r="D458" s="220" t="inlineStr">
        <is>
          <t>Vacant</t>
        </is>
      </c>
      <c r="E458" s="220" t="inlineStr">
        <is>
          <t>Technology Manger, Data</t>
        </is>
      </c>
      <c r="F458" s="220" t="inlineStr">
        <is>
          <t>TDD CFE&amp;I</t>
        </is>
      </c>
      <c r="G458" s="306" t="inlineStr">
        <is>
          <t>Fuel Infrastructure</t>
        </is>
      </c>
      <c r="H458" s="306" t="inlineStr">
        <is>
          <t>Fuel Infrastructure, Data</t>
        </is>
      </c>
      <c r="I458" s="306" t="inlineStr">
        <is>
          <t>Infrastructure</t>
        </is>
      </c>
      <c r="J458" s="220" t="inlineStr">
        <is>
          <t xml:space="preserve">Data &amp; Insights </t>
        </is>
      </c>
      <c r="K458" s="220" t="inlineStr">
        <is>
          <t xml:space="preserve">Data &amp; Insights </t>
        </is>
      </c>
      <c r="L458" s="306" t="n"/>
      <c r="M458" s="307" t="inlineStr">
        <is>
          <t>Australia</t>
        </is>
      </c>
      <c r="N458" s="308" t="inlineStr">
        <is>
          <t>CIC</t>
        </is>
      </c>
      <c r="O458" s="308" t="n">
        <v>1</v>
      </c>
      <c r="P458" s="308" t="n"/>
      <c r="Q458" s="308" t="inlineStr">
        <is>
          <t>v</t>
        </is>
      </c>
      <c r="R458" s="310" t="n"/>
      <c r="S458" s="310" t="n"/>
      <c r="T458" s="322" t="n">
        <v>173550</v>
      </c>
      <c r="U458" s="321" t="n">
        <v>173550</v>
      </c>
      <c r="V458" s="313" t="n">
        <v>0.12</v>
      </c>
      <c r="W458" s="953" t="n">
        <v>0.055</v>
      </c>
      <c r="X458" s="953" t="n">
        <v>0.12</v>
      </c>
      <c r="Y458" s="954" t="n"/>
      <c r="Z458" s="953" t="n">
        <v>0.04</v>
      </c>
      <c r="AA458" s="952">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849">
      <c r="A459" s="250" t="inlineStr">
        <is>
          <t>V</t>
        </is>
      </c>
      <c r="B459" s="220" t="inlineStr">
        <is>
          <t>Vacant</t>
        </is>
      </c>
      <c r="C459" s="305" t="inlineStr">
        <is>
          <t>Reporting Analyst</t>
        </is>
      </c>
      <c r="D459" s="220" t="inlineStr">
        <is>
          <t>Vacant</t>
        </is>
      </c>
      <c r="E459" s="220" t="inlineStr">
        <is>
          <t>Technology Manger, Data</t>
        </is>
      </c>
      <c r="F459" s="220" t="inlineStr">
        <is>
          <t>TDD CFE&amp;I</t>
        </is>
      </c>
      <c r="G459" s="306" t="inlineStr">
        <is>
          <t>Fuel Infrastructure</t>
        </is>
      </c>
      <c r="H459" s="306" t="inlineStr">
        <is>
          <t>Fuel Infrastructure, Data</t>
        </is>
      </c>
      <c r="I459" s="306" t="inlineStr">
        <is>
          <t>Infrastructure</t>
        </is>
      </c>
      <c r="J459" s="220" t="inlineStr">
        <is>
          <t xml:space="preserve">Data &amp; Insights </t>
        </is>
      </c>
      <c r="K459" s="220" t="inlineStr">
        <is>
          <t xml:space="preserve">Data &amp; Insights </t>
        </is>
      </c>
      <c r="L459" s="306" t="n"/>
      <c r="M459" s="307" t="inlineStr">
        <is>
          <t>Australia</t>
        </is>
      </c>
      <c r="N459" s="308" t="inlineStr">
        <is>
          <t>CIB</t>
        </is>
      </c>
      <c r="O459" s="308" t="n">
        <v>1</v>
      </c>
      <c r="P459" s="308" t="n"/>
      <c r="Q459" s="308" t="inlineStr">
        <is>
          <t>v</t>
        </is>
      </c>
      <c r="R459" s="310" t="n"/>
      <c r="S459" s="310" t="n"/>
      <c r="T459" s="322" t="n">
        <v>151950</v>
      </c>
      <c r="U459" s="321" t="n">
        <v>151950</v>
      </c>
      <c r="V459" s="313" t="n">
        <v>0.12</v>
      </c>
      <c r="W459" s="953" t="n">
        <v>0.055</v>
      </c>
      <c r="X459" s="953" t="n">
        <v>0.12</v>
      </c>
      <c r="Y459" s="954" t="n"/>
      <c r="Z459" s="953" t="n">
        <v>0.04</v>
      </c>
      <c r="AA459" s="952">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849">
      <c r="A460" s="250" t="inlineStr">
        <is>
          <t>V</t>
        </is>
      </c>
      <c r="B460" s="220" t="inlineStr">
        <is>
          <t>Vacant</t>
        </is>
      </c>
      <c r="C460" s="305" t="inlineStr">
        <is>
          <t>Senior Engineer Data</t>
        </is>
      </c>
      <c r="D460" s="220" t="inlineStr">
        <is>
          <t>Vacant</t>
        </is>
      </c>
      <c r="E460" s="220" t="inlineStr">
        <is>
          <t>Technology Manger, Data</t>
        </is>
      </c>
      <c r="F460" s="220" t="inlineStr">
        <is>
          <t>TDD CFE&amp;I</t>
        </is>
      </c>
      <c r="G460" s="306" t="inlineStr">
        <is>
          <t>Fuel Infrastructure</t>
        </is>
      </c>
      <c r="H460" s="306" t="inlineStr">
        <is>
          <t>Fuel Infrastructure, Data</t>
        </is>
      </c>
      <c r="I460" s="306" t="inlineStr">
        <is>
          <t>Infrastructure</t>
        </is>
      </c>
      <c r="J460" s="220" t="inlineStr">
        <is>
          <t xml:space="preserve">Data &amp; Insights </t>
        </is>
      </c>
      <c r="K460" s="220" t="inlineStr">
        <is>
          <t xml:space="preserve">Data &amp; Insights </t>
        </is>
      </c>
      <c r="L460" s="306" t="n"/>
      <c r="M460" s="307" t="inlineStr">
        <is>
          <t>Australia</t>
        </is>
      </c>
      <c r="N460" s="308" t="inlineStr">
        <is>
          <t>CIB</t>
        </is>
      </c>
      <c r="O460" s="308" t="n">
        <v>1</v>
      </c>
      <c r="P460" s="308" t="n"/>
      <c r="Q460" s="308" t="inlineStr">
        <is>
          <t>v</t>
        </is>
      </c>
      <c r="R460" s="310" t="n"/>
      <c r="S460" s="310" t="n"/>
      <c r="T460" s="322" t="n">
        <v>151950</v>
      </c>
      <c r="U460" s="321" t="n">
        <v>151950</v>
      </c>
      <c r="V460" s="313" t="n">
        <v>0.12</v>
      </c>
      <c r="W460" s="953" t="n">
        <v>0.055</v>
      </c>
      <c r="X460" s="953" t="n">
        <v>0.12</v>
      </c>
      <c r="Y460" s="954" t="n"/>
      <c r="Z460" s="953" t="n">
        <v>0.04</v>
      </c>
      <c r="AA460" s="952">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849">
      <c r="A461" s="250" t="inlineStr">
        <is>
          <t>V</t>
        </is>
      </c>
      <c r="B461" s="220" t="inlineStr">
        <is>
          <t xml:space="preserve">Vacant </t>
        </is>
      </c>
      <c r="C461" s="305" t="inlineStr">
        <is>
          <t>Business Analyst</t>
        </is>
      </c>
      <c r="D461" s="306" t="inlineStr">
        <is>
          <t>Vacant</t>
        </is>
      </c>
      <c r="E461" s="220" t="inlineStr">
        <is>
          <t>Delivery Manager</t>
        </is>
      </c>
      <c r="F461" s="220" t="inlineStr">
        <is>
          <t>TDD CFE&amp;I</t>
        </is>
      </c>
      <c r="G461" s="306" t="inlineStr">
        <is>
          <t>B2B &amp; Energy Solutions</t>
        </is>
      </c>
      <c r="H461" s="306" t="inlineStr">
        <is>
          <t>Delivery</t>
        </is>
      </c>
      <c r="I461" s="306" t="inlineStr">
        <is>
          <t>B2B &amp; Energy Solutions</t>
        </is>
      </c>
      <c r="J461" s="220" t="inlineStr">
        <is>
          <t>B2B</t>
        </is>
      </c>
      <c r="K461" s="220" t="inlineStr">
        <is>
          <t>B2B</t>
        </is>
      </c>
      <c r="L461" s="306" t="n"/>
      <c r="M461" s="307" t="inlineStr">
        <is>
          <t>Australia</t>
        </is>
      </c>
      <c r="N461" s="308" t="inlineStr">
        <is>
          <t>CIB</t>
        </is>
      </c>
      <c r="O461" s="308" t="n">
        <v>1</v>
      </c>
      <c r="P461" s="308" t="n"/>
      <c r="Q461" s="308" t="inlineStr">
        <is>
          <t>V</t>
        </is>
      </c>
      <c r="R461" s="310" t="n"/>
      <c r="S461" s="310" t="n"/>
      <c r="T461" s="322" t="n">
        <v>151950</v>
      </c>
      <c r="U461" s="321" t="n">
        <v>151950</v>
      </c>
      <c r="V461" s="313" t="n">
        <v>0.12</v>
      </c>
      <c r="W461" s="953" t="n">
        <v>0.055</v>
      </c>
      <c r="X461" s="953" t="n">
        <v>0.12</v>
      </c>
      <c r="Y461" s="954" t="n"/>
      <c r="Z461" s="953" t="n">
        <v>0.04</v>
      </c>
      <c r="AA461" s="952">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849">
      <c r="A462" s="250" t="inlineStr">
        <is>
          <t>V</t>
        </is>
      </c>
      <c r="B462" s="220" t="inlineStr">
        <is>
          <t xml:space="preserve">Vacant </t>
        </is>
      </c>
      <c r="C462" s="305" t="inlineStr">
        <is>
          <t>Business Analyst</t>
        </is>
      </c>
      <c r="D462" s="306" t="inlineStr">
        <is>
          <t>Vacant</t>
        </is>
      </c>
      <c r="E462" s="220" t="inlineStr">
        <is>
          <t>Delivery Manager</t>
        </is>
      </c>
      <c r="F462" s="220" t="inlineStr">
        <is>
          <t>TDD CFE&amp;I</t>
        </is>
      </c>
      <c r="G462" s="306" t="inlineStr">
        <is>
          <t>B2B &amp; Energy Solutions</t>
        </is>
      </c>
      <c r="H462" s="306" t="inlineStr">
        <is>
          <t>Delivery</t>
        </is>
      </c>
      <c r="I462" s="306" t="inlineStr">
        <is>
          <t>B2B &amp; Energy Solutions</t>
        </is>
      </c>
      <c r="J462" s="306" t="inlineStr">
        <is>
          <t>Energy Solutions</t>
        </is>
      </c>
      <c r="K462" s="220" t="inlineStr">
        <is>
          <t>Energy</t>
        </is>
      </c>
      <c r="L462" s="306" t="n"/>
      <c r="M462" s="307" t="inlineStr">
        <is>
          <t>Australia</t>
        </is>
      </c>
      <c r="N462" s="308" t="inlineStr">
        <is>
          <t>CIB</t>
        </is>
      </c>
      <c r="O462" s="308" t="n">
        <v>1</v>
      </c>
      <c r="P462" s="308" t="n"/>
      <c r="Q462" s="308" t="inlineStr">
        <is>
          <t>V</t>
        </is>
      </c>
      <c r="R462" s="310" t="n"/>
      <c r="S462" s="310" t="n"/>
      <c r="T462" s="322" t="n">
        <v>151950</v>
      </c>
      <c r="U462" s="321" t="n">
        <v>151950</v>
      </c>
      <c r="V462" s="313" t="n">
        <v>0.12</v>
      </c>
      <c r="W462" s="953" t="n">
        <v>0.055</v>
      </c>
      <c r="X462" s="953" t="n">
        <v>0.12</v>
      </c>
      <c r="Y462" s="954" t="n"/>
      <c r="Z462" s="953" t="n">
        <v>0.04</v>
      </c>
      <c r="AA462" s="952">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849">
      <c r="A463" s="250" t="inlineStr">
        <is>
          <t>V</t>
        </is>
      </c>
      <c r="B463" s="220" t="inlineStr">
        <is>
          <t xml:space="preserve">Vacant </t>
        </is>
      </c>
      <c r="C463" s="305" t="inlineStr">
        <is>
          <t>Engineer Software</t>
        </is>
      </c>
      <c r="D463" s="306" t="inlineStr">
        <is>
          <t>Vacant</t>
        </is>
      </c>
      <c r="E463" s="220" t="inlineStr">
        <is>
          <t>Technology Manager, Engineering</t>
        </is>
      </c>
      <c r="F463" s="220" t="inlineStr">
        <is>
          <t>TDD CFE&amp;I</t>
        </is>
      </c>
      <c r="G463" s="306" t="inlineStr">
        <is>
          <t>Commercial Fuels</t>
        </is>
      </c>
      <c r="H463" s="316" t="inlineStr">
        <is>
          <t>Technology, CF Engineering</t>
        </is>
      </c>
      <c r="I463" s="306" t="inlineStr">
        <is>
          <t>Commercial Fuels</t>
        </is>
      </c>
      <c r="J463" s="306" t="inlineStr">
        <is>
          <t>Supply</t>
        </is>
      </c>
      <c r="K463" s="220" t="inlineStr">
        <is>
          <t>Supply</t>
        </is>
      </c>
      <c r="L463" s="306" t="n"/>
      <c r="M463" s="307" t="inlineStr">
        <is>
          <t>Australia</t>
        </is>
      </c>
      <c r="N463" s="308" t="inlineStr">
        <is>
          <t>CIB</t>
        </is>
      </c>
      <c r="O463" s="308" t="n">
        <v>1</v>
      </c>
      <c r="P463" s="308" t="n"/>
      <c r="Q463" s="308" t="inlineStr">
        <is>
          <t>V</t>
        </is>
      </c>
      <c r="R463" s="310" t="n"/>
      <c r="S463" s="310" t="n"/>
      <c r="T463" s="322" t="n">
        <v>151950</v>
      </c>
      <c r="U463" s="321" t="n">
        <v>151950</v>
      </c>
      <c r="V463" s="313" t="n">
        <v>0.12</v>
      </c>
      <c r="W463" s="953" t="n">
        <v>0.055</v>
      </c>
      <c r="X463" s="953" t="n">
        <v>0.12</v>
      </c>
      <c r="Y463" s="954" t="n"/>
      <c r="Z463" s="953" t="n">
        <v>0.04</v>
      </c>
      <c r="AA463" s="952">
        <f>U463*(1+V463+W463+X463+Y463+Z463)</f>
        <v>202853.25</v>
      </c>
      <c r="AC463" t="inlineStr">
        <is>
          <t>Commercial Fuels</t>
        </is>
      </c>
      <c r="AD463" t="inlineStr">
        <is>
          <t>Supply</t>
        </is>
      </c>
      <c r="AE463" t="inlineStr">
        <is>
          <t>Supply</t>
        </is>
      </c>
      <c r="AF463" t="inlineStr">
        <is>
          <t>Squad</t>
        </is>
      </c>
      <c r="AG463" t="inlineStr">
        <is>
          <t>Vacant</t>
        </is>
      </c>
    </row>
    <row r="464" hidden="1" ht="18" customHeight="1" s="849">
      <c r="A464" s="250" t="inlineStr">
        <is>
          <t>V</t>
        </is>
      </c>
      <c r="B464" s="220" t="inlineStr">
        <is>
          <t>Vacant (anaplan)</t>
        </is>
      </c>
      <c r="C464" s="305" t="inlineStr">
        <is>
          <t>System Specialist</t>
        </is>
      </c>
      <c r="D464" s="220" t="inlineStr">
        <is>
          <t>Allan Francia</t>
        </is>
      </c>
      <c r="E464" s="220" t="inlineStr">
        <is>
          <t>Technology Manager, T&amp;S</t>
        </is>
      </c>
      <c r="F464" s="220" t="inlineStr">
        <is>
          <t>TDD CFE&amp;I</t>
        </is>
      </c>
      <c r="G464" s="306" t="inlineStr">
        <is>
          <t>Commercial Fuels</t>
        </is>
      </c>
      <c r="H464" s="306" t="inlineStr">
        <is>
          <t>Technology, Trading &amp; Shipping</t>
        </is>
      </c>
      <c r="I464" s="306" t="inlineStr">
        <is>
          <t>Commercial Fuels</t>
        </is>
      </c>
      <c r="J464" s="306" t="inlineStr">
        <is>
          <t>Supply</t>
        </is>
      </c>
      <c r="K464" s="220" t="inlineStr">
        <is>
          <t>Supply</t>
        </is>
      </c>
      <c r="L464" s="306" t="n"/>
      <c r="M464" s="307" t="inlineStr">
        <is>
          <t>Australia</t>
        </is>
      </c>
      <c r="N464" s="310" t="inlineStr">
        <is>
          <t>CIB</t>
        </is>
      </c>
      <c r="O464" s="308" t="n">
        <v>1</v>
      </c>
      <c r="P464" s="310" t="n"/>
      <c r="Q464" s="308" t="inlineStr">
        <is>
          <t>v</t>
        </is>
      </c>
      <c r="R464" s="310" t="n"/>
      <c r="S464" s="310" t="n"/>
      <c r="T464" s="322" t="n">
        <v>151950</v>
      </c>
      <c r="U464" s="321" t="n">
        <v>151950</v>
      </c>
      <c r="V464" s="313" t="n">
        <v>0.12</v>
      </c>
      <c r="W464" s="953" t="n">
        <v>0.055</v>
      </c>
      <c r="X464" s="953" t="n">
        <v>0.12</v>
      </c>
      <c r="Y464" s="954" t="n"/>
      <c r="Z464" s="953" t="n">
        <v>0.04</v>
      </c>
      <c r="AA464" s="952">
        <f>U464*(1+V464+W464+X464+Y464+Z464)</f>
        <v>202853.25</v>
      </c>
      <c r="AC464" t="inlineStr">
        <is>
          <t>Commercial Fuels</t>
        </is>
      </c>
      <c r="AD464" t="inlineStr">
        <is>
          <t>Supply</t>
        </is>
      </c>
      <c r="AE464" t="inlineStr">
        <is>
          <t>Supply</t>
        </is>
      </c>
      <c r="AF464" t="inlineStr">
        <is>
          <t>Squad</t>
        </is>
      </c>
      <c r="AG464" t="inlineStr">
        <is>
          <t>Filled</t>
        </is>
      </c>
    </row>
    <row r="465" hidden="1" ht="18" customHeight="1" s="849">
      <c r="A465" s="250" t="n">
        <v>106791</v>
      </c>
      <c r="B465" s="220" t="inlineStr">
        <is>
          <t>Victor Beuk</t>
        </is>
      </c>
      <c r="C465" s="305" t="inlineStr">
        <is>
          <t>Delivery Lead</t>
        </is>
      </c>
      <c r="D465" s="306" t="inlineStr">
        <is>
          <t>Vacant</t>
        </is>
      </c>
      <c r="E465" s="220" t="inlineStr">
        <is>
          <t>Delivery Manager</t>
        </is>
      </c>
      <c r="F465" s="220" t="inlineStr">
        <is>
          <t>TDD CFE&amp;I</t>
        </is>
      </c>
      <c r="G465" s="306" t="inlineStr">
        <is>
          <t>B2B &amp; Energy Solutions</t>
        </is>
      </c>
      <c r="H465" s="306" t="inlineStr">
        <is>
          <t>Delivery</t>
        </is>
      </c>
      <c r="I465" s="306" t="inlineStr">
        <is>
          <t>RETAIL</t>
        </is>
      </c>
      <c r="J465" s="306" t="inlineStr">
        <is>
          <t>AMPOS</t>
        </is>
      </c>
      <c r="K465" s="220" t="inlineStr">
        <is>
          <t>AmPos</t>
        </is>
      </c>
      <c r="L465" s="306" t="n"/>
      <c r="M465" s="307" t="inlineStr">
        <is>
          <t>Australia</t>
        </is>
      </c>
      <c r="N465" s="308" t="inlineStr">
        <is>
          <t>CIC</t>
        </is>
      </c>
      <c r="O465" s="308" t="n">
        <v>1</v>
      </c>
      <c r="P465" s="308" t="n"/>
      <c r="Q465" s="308" t="inlineStr">
        <is>
          <t>Permanent - Full Time</t>
        </is>
      </c>
      <c r="R465" s="310" t="n"/>
      <c r="S465" s="310" t="n"/>
      <c r="T465" s="322" t="n">
        <v>185360</v>
      </c>
      <c r="U465" s="321" t="n">
        <v>185360</v>
      </c>
      <c r="V465" s="313" t="n">
        <v>0.12</v>
      </c>
      <c r="W465" s="953" t="n">
        <v>0.055</v>
      </c>
      <c r="X465" s="953" t="n">
        <v>0.12</v>
      </c>
      <c r="Y465" s="954" t="n"/>
      <c r="Z465" s="953" t="n">
        <v>0.04</v>
      </c>
      <c r="AA465" s="952">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849">
      <c r="A466" s="250" t="n">
        <v>98087</v>
      </c>
      <c r="B466" s="220" t="inlineStr">
        <is>
          <t>Victor Olasanoye</t>
        </is>
      </c>
      <c r="C466" s="305" t="inlineStr">
        <is>
          <t>Senior Systems Analyst</t>
        </is>
      </c>
      <c r="D466" s="220" t="inlineStr">
        <is>
          <t>Jaya Ganasan</t>
        </is>
      </c>
      <c r="E466" s="220" t="inlineStr">
        <is>
          <t>Technology Manager, TDD Refinery</t>
        </is>
      </c>
      <c r="F466" s="220" t="inlineStr">
        <is>
          <t>TDD CFE&amp;I</t>
        </is>
      </c>
      <c r="G466" s="306" t="inlineStr">
        <is>
          <t>Fuel Infrastructure</t>
        </is>
      </c>
      <c r="H466" s="306" t="inlineStr">
        <is>
          <t>Refinery Applications</t>
        </is>
      </c>
      <c r="I466" s="306" t="inlineStr">
        <is>
          <t>Infrastructure</t>
        </is>
      </c>
      <c r="J466" s="306" t="inlineStr">
        <is>
          <t>Manufacturing</t>
        </is>
      </c>
      <c r="K466" s="220" t="inlineStr">
        <is>
          <t>Manufacturing Group Projects</t>
        </is>
      </c>
      <c r="L466" s="306" t="n"/>
      <c r="M466" s="307" t="inlineStr">
        <is>
          <t>Australia</t>
        </is>
      </c>
      <c r="N466" s="308" t="inlineStr">
        <is>
          <t>CIB</t>
        </is>
      </c>
      <c r="O466" s="308" t="n">
        <v>1</v>
      </c>
      <c r="P466" s="308" t="n"/>
      <c r="Q466" s="308" t="inlineStr">
        <is>
          <t>Permanent - Full Time</t>
        </is>
      </c>
      <c r="R466" s="310" t="n"/>
      <c r="S466" s="310" t="n"/>
      <c r="T466" s="322" t="n">
        <v>159820</v>
      </c>
      <c r="U466" s="321" t="n">
        <v>159820</v>
      </c>
      <c r="V466" s="313" t="n">
        <v>0.12</v>
      </c>
      <c r="W466" s="953" t="n">
        <v>0.055</v>
      </c>
      <c r="X466" s="953" t="n">
        <v>0.12</v>
      </c>
      <c r="Y466" s="954" t="n"/>
      <c r="Z466" s="953" t="n">
        <v>0.04</v>
      </c>
      <c r="AA466" s="952">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849">
      <c r="A467" s="250" t="n">
        <v>96270</v>
      </c>
      <c r="B467" s="220" t="inlineStr">
        <is>
          <t>Zhan Liu</t>
        </is>
      </c>
      <c r="C467" s="305" t="inlineStr">
        <is>
          <t>Engineer Applications</t>
        </is>
      </c>
      <c r="D467" s="220" t="inlineStr">
        <is>
          <t>Allan Francia</t>
        </is>
      </c>
      <c r="E467" s="220" t="inlineStr">
        <is>
          <t>Technology Manager, T&amp;S</t>
        </is>
      </c>
      <c r="F467" s="220" t="inlineStr">
        <is>
          <t>TDD CFE&amp;I</t>
        </is>
      </c>
      <c r="G467" s="306" t="inlineStr">
        <is>
          <t>Commercial Fuels</t>
        </is>
      </c>
      <c r="H467" s="306" t="inlineStr">
        <is>
          <t>Technology, Trading &amp; Shipping</t>
        </is>
      </c>
      <c r="I467" s="306" t="inlineStr">
        <is>
          <t>Commercial Fuels</t>
        </is>
      </c>
      <c r="J467" s="220" t="inlineStr">
        <is>
          <t>CTRM</t>
        </is>
      </c>
      <c r="K467" s="220" t="inlineStr">
        <is>
          <t>CTRM</t>
        </is>
      </c>
      <c r="L467" s="306" t="n"/>
      <c r="M467" s="307" t="inlineStr">
        <is>
          <t>Australia</t>
        </is>
      </c>
      <c r="N467" s="308" t="inlineStr">
        <is>
          <t>CIC</t>
        </is>
      </c>
      <c r="O467" s="308" t="n">
        <v>1</v>
      </c>
      <c r="P467" s="308" t="n"/>
      <c r="Q467" s="308" t="inlineStr">
        <is>
          <t>Permanent - Full Time</t>
        </is>
      </c>
      <c r="R467" s="310" t="n"/>
      <c r="S467" s="310" t="n"/>
      <c r="T467" s="322" t="n">
        <v>165730</v>
      </c>
      <c r="U467" s="321" t="n">
        <v>165730</v>
      </c>
      <c r="V467" s="313" t="n">
        <v>0.12</v>
      </c>
      <c r="W467" s="953" t="n">
        <v>0.055</v>
      </c>
      <c r="X467" s="953" t="n">
        <v>0.12</v>
      </c>
      <c r="Y467" s="954" t="n"/>
      <c r="Z467" s="953" t="n">
        <v>0.04</v>
      </c>
      <c r="AA467" s="952">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849">
      <c r="A468" s="250" t="inlineStr">
        <is>
          <t>c</t>
        </is>
      </c>
      <c r="B468" s="220" t="inlineStr">
        <is>
          <t>Zijie Zhang</t>
        </is>
      </c>
      <c r="C468" s="305" t="inlineStr">
        <is>
          <t>Senior Data Analyst</t>
        </is>
      </c>
      <c r="D468" s="306" t="inlineStr">
        <is>
          <t>Vacant</t>
        </is>
      </c>
      <c r="E468" s="220" t="inlineStr">
        <is>
          <t>Technology Manager, Data</t>
        </is>
      </c>
      <c r="F468" s="220" t="inlineStr">
        <is>
          <t>TDD CFE&amp;I</t>
        </is>
      </c>
      <c r="G468" s="306" t="inlineStr">
        <is>
          <t>Commercial Fuels</t>
        </is>
      </c>
      <c r="H468" s="306" t="inlineStr">
        <is>
          <t>Technology, T&amp;S Data</t>
        </is>
      </c>
      <c r="I468" s="306" t="inlineStr">
        <is>
          <t>Commercial Fuels</t>
        </is>
      </c>
      <c r="J468" s="306" t="inlineStr">
        <is>
          <t>Trading &amp; Shipping</t>
        </is>
      </c>
      <c r="K468" s="306" t="inlineStr">
        <is>
          <t>Trading &amp; Shipping Data</t>
        </is>
      </c>
      <c r="L468" s="306" t="n"/>
      <c r="M468" s="307" t="inlineStr">
        <is>
          <t>Singapore</t>
        </is>
      </c>
      <c r="N468" s="310" t="n">
        <v>0</v>
      </c>
      <c r="O468" s="310" t="n">
        <v>1</v>
      </c>
      <c r="P468" s="310" t="n"/>
      <c r="Q468" s="310" t="inlineStr">
        <is>
          <t>cant find this person</t>
        </is>
      </c>
      <c r="R468" s="319" t="inlineStr">
        <is>
          <t>Daily</t>
        </is>
      </c>
      <c r="S468" s="337" t="n">
        <v>1200</v>
      </c>
      <c r="T468" s="322" t="n">
        <v>0</v>
      </c>
      <c r="U468" s="322" t="n"/>
      <c r="V468" s="306" t="n"/>
      <c r="W468" s="306" t="n"/>
      <c r="X468" s="306" t="n"/>
      <c r="Y468" s="306" t="n"/>
      <c r="Z468" s="306" t="n"/>
      <c r="AA468" s="320">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849">
      <c r="A469" s="250" t="n">
        <v>109092</v>
      </c>
      <c r="B469" s="220" t="inlineStr">
        <is>
          <t>Anjali Patra</t>
        </is>
      </c>
      <c r="C469" s="305" t="inlineStr">
        <is>
          <t>Delivery Lead - EGI</t>
        </is>
      </c>
      <c r="D469" s="306" t="inlineStr">
        <is>
          <t>Vacant</t>
        </is>
      </c>
      <c r="E469" s="323" t="inlineStr">
        <is>
          <t xml:space="preserve">Delivery Manager </t>
        </is>
      </c>
      <c r="F469" s="220" t="inlineStr">
        <is>
          <t>TDD Group Functions</t>
        </is>
      </c>
      <c r="G469" s="306" t="inlineStr">
        <is>
          <t>TDD &amp; Engineering</t>
        </is>
      </c>
      <c r="H469" s="220" t="inlineStr">
        <is>
          <t>Delivery, TDD &amp; Engineering</t>
        </is>
      </c>
      <c r="I469" s="220" t="inlineStr">
        <is>
          <t>EGI</t>
        </is>
      </c>
      <c r="J469" s="306" t="inlineStr">
        <is>
          <t>EGI</t>
        </is>
      </c>
      <c r="K469" s="306" t="inlineStr">
        <is>
          <t>EGI TDD</t>
        </is>
      </c>
      <c r="L469" s="306" t="n"/>
      <c r="M469" s="307" t="inlineStr">
        <is>
          <t>Australia</t>
        </is>
      </c>
      <c r="N469" s="308" t="inlineStr">
        <is>
          <t>CIB</t>
        </is>
      </c>
      <c r="O469" s="308" t="n">
        <v>1</v>
      </c>
      <c r="P469" s="308" t="n"/>
      <c r="Q469" s="308" t="inlineStr">
        <is>
          <t>Permanent - Full Time</t>
        </is>
      </c>
      <c r="R469" s="310" t="n"/>
      <c r="S469" s="310" t="n"/>
      <c r="T469" s="322" t="n">
        <v>158050</v>
      </c>
      <c r="U469" s="321" t="n">
        <v>158050</v>
      </c>
      <c r="V469" s="313" t="n">
        <v>0.12</v>
      </c>
      <c r="W469" s="953" t="n">
        <v>0.055</v>
      </c>
      <c r="X469" s="953" t="n">
        <v>0.12</v>
      </c>
      <c r="Y469" s="954" t="n"/>
      <c r="Z469" s="953" t="n">
        <v>0.04</v>
      </c>
      <c r="AA469" s="952">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849">
      <c r="A470" s="250" t="n">
        <v>114573</v>
      </c>
      <c r="B470" s="323" t="inlineStr">
        <is>
          <t>Archana Chetiwal</t>
        </is>
      </c>
      <c r="C470" s="391" t="inlineStr">
        <is>
          <t>Snr Engineer</t>
        </is>
      </c>
      <c r="D470" s="306" t="inlineStr">
        <is>
          <t>Vacant</t>
        </is>
      </c>
      <c r="E470" s="323" t="inlineStr">
        <is>
          <t>RPA Lead</t>
        </is>
      </c>
      <c r="F470" s="220" t="inlineStr">
        <is>
          <t>TDD Group Functions</t>
        </is>
      </c>
      <c r="G470" s="306" t="inlineStr">
        <is>
          <t xml:space="preserve">TDD &amp; Engineering </t>
        </is>
      </c>
      <c r="H470" s="306" t="inlineStr">
        <is>
          <t>Integration &amp; Process automation</t>
        </is>
      </c>
      <c r="I470" s="220" t="inlineStr">
        <is>
          <t>TDD</t>
        </is>
      </c>
      <c r="J470" s="306" t="inlineStr">
        <is>
          <t>TDD</t>
        </is>
      </c>
      <c r="K470" s="306" t="inlineStr">
        <is>
          <t>Integration &amp; Process automation</t>
        </is>
      </c>
      <c r="L470" s="306" t="n"/>
      <c r="M470" s="307" t="inlineStr">
        <is>
          <t>Australia</t>
        </is>
      </c>
      <c r="N470" s="308" t="inlineStr">
        <is>
          <t>CIB</t>
        </is>
      </c>
      <c r="O470" s="308" t="n">
        <v>1</v>
      </c>
      <c r="P470" s="308" t="n"/>
      <c r="Q470" s="308" t="inlineStr">
        <is>
          <t>Permanent - Full Time</t>
        </is>
      </c>
      <c r="R470" s="310" t="n"/>
      <c r="S470" s="310" t="n"/>
      <c r="T470" s="322" t="n">
        <v>140000</v>
      </c>
      <c r="U470" s="321" t="n">
        <v>140000</v>
      </c>
      <c r="V470" s="313" t="n">
        <v>0.12</v>
      </c>
      <c r="W470" s="953" t="n">
        <v>0.055</v>
      </c>
      <c r="X470" s="953" t="n">
        <v>0.12</v>
      </c>
      <c r="Y470" s="954" t="n"/>
      <c r="Z470" s="953" t="n">
        <v>0.04</v>
      </c>
      <c r="AA470" s="952">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849">
      <c r="A471" s="250" t="inlineStr">
        <is>
          <t>C</t>
        </is>
      </c>
      <c r="B471" s="355" t="inlineStr">
        <is>
          <t>Arun Tahlan</t>
        </is>
      </c>
      <c r="C471" s="391" t="inlineStr">
        <is>
          <t>Integration Architect (C) - Boomi</t>
        </is>
      </c>
      <c r="D471" s="220" t="inlineStr">
        <is>
          <t>Mike Seales</t>
        </is>
      </c>
      <c r="E471" s="220" t="inlineStr">
        <is>
          <t>Technology Manager Integration &amp; Process Managemetn</t>
        </is>
      </c>
      <c r="F471" s="220" t="inlineStr">
        <is>
          <t>TDD Group Functions</t>
        </is>
      </c>
      <c r="G471" s="306" t="inlineStr">
        <is>
          <t xml:space="preserve">TDD &amp; Engineering </t>
        </is>
      </c>
      <c r="H471" s="220" t="inlineStr">
        <is>
          <t>Integration &amp; Process Management</t>
        </is>
      </c>
      <c r="I471" s="220" t="inlineStr">
        <is>
          <t>EGI</t>
        </is>
      </c>
      <c r="J471" s="306" t="inlineStr">
        <is>
          <t>EGI</t>
        </is>
      </c>
      <c r="K471" s="306" t="inlineStr">
        <is>
          <t>EGI TDD</t>
        </is>
      </c>
      <c r="L471" s="306" t="n"/>
      <c r="M471" s="307" t="inlineStr">
        <is>
          <t>Australia</t>
        </is>
      </c>
      <c r="N471" s="310" t="inlineStr">
        <is>
          <t>NA</t>
        </is>
      </c>
      <c r="O471" s="308" t="n">
        <v>1</v>
      </c>
      <c r="P471" s="310" t="n"/>
      <c r="Q471" s="310" t="inlineStr">
        <is>
          <t>cxc</t>
        </is>
      </c>
      <c r="R471" s="319" t="inlineStr">
        <is>
          <t>Daily</t>
        </is>
      </c>
      <c r="S471" s="310" t="n">
        <v>1568</v>
      </c>
      <c r="T471" s="322" t="n">
        <v>0</v>
      </c>
      <c r="U471" s="322" t="n"/>
      <c r="V471" s="306" t="n"/>
      <c r="W471" s="306" t="n"/>
      <c r="X471" s="306" t="n"/>
      <c r="Y471" s="306" t="n"/>
      <c r="Z471" s="306" t="n"/>
      <c r="AA471" s="320">
        <f>S471*222</f>
        <v>348096.0</v>
      </c>
      <c r="AC471" t="inlineStr">
        <is>
          <t>TDD Group Functions</t>
        </is>
      </c>
      <c r="AD471" t="inlineStr">
        <is>
          <t>EGI TDD</t>
        </is>
      </c>
      <c r="AE471" t="inlineStr">
        <is>
          <t>EGI TDD</t>
        </is>
      </c>
      <c r="AF471" t="inlineStr">
        <is>
          <t>Strategic Program</t>
        </is>
      </c>
      <c r="AG471" t="inlineStr">
        <is>
          <t>Filled</t>
        </is>
      </c>
    </row>
    <row r="472" hidden="1" ht="18" customHeight="1" s="849">
      <c r="A472" s="250" t="n">
        <v>91635</v>
      </c>
      <c r="B472" s="220" t="inlineStr">
        <is>
          <t>Bala Thiruvadi</t>
        </is>
      </c>
      <c r="C472" s="305" t="inlineStr">
        <is>
          <t>Integration Architect - Boomi</t>
        </is>
      </c>
      <c r="D472" s="220" t="inlineStr">
        <is>
          <t>Mike Seales</t>
        </is>
      </c>
      <c r="E472" s="220" t="inlineStr">
        <is>
          <t>Technology Manager Integration &amp; Process Managemetn</t>
        </is>
      </c>
      <c r="F472" s="220" t="inlineStr">
        <is>
          <t>TDD Group Functions</t>
        </is>
      </c>
      <c r="G472" s="306" t="inlineStr">
        <is>
          <t xml:space="preserve">TDD &amp; Engineering </t>
        </is>
      </c>
      <c r="H472" s="220" t="inlineStr">
        <is>
          <t>Integration &amp; Process Management</t>
        </is>
      </c>
      <c r="I472" s="220" t="inlineStr">
        <is>
          <t>TDD</t>
        </is>
      </c>
      <c r="J472" s="306" t="inlineStr">
        <is>
          <t>TDD</t>
        </is>
      </c>
      <c r="K472" s="306" t="inlineStr">
        <is>
          <t>Integration &amp; Process automation</t>
        </is>
      </c>
      <c r="L472" s="306" t="n"/>
      <c r="M472" s="307" t="inlineStr">
        <is>
          <t>Australia</t>
        </is>
      </c>
      <c r="N472" s="308" t="inlineStr">
        <is>
          <t>CIC</t>
        </is>
      </c>
      <c r="O472" s="308" t="n">
        <v>1</v>
      </c>
      <c r="P472" s="308" t="n"/>
      <c r="Q472" s="308" t="inlineStr">
        <is>
          <t>Permanent - Full Time</t>
        </is>
      </c>
      <c r="R472" s="310" t="n"/>
      <c r="S472" s="310" t="n"/>
      <c r="T472" s="322" t="n">
        <v>203672</v>
      </c>
      <c r="U472" s="321" t="n">
        <v>203672</v>
      </c>
      <c r="V472" s="313" t="n">
        <v>0.12</v>
      </c>
      <c r="W472" s="953" t="n">
        <v>0.055</v>
      </c>
      <c r="X472" s="953" t="n">
        <v>0.12</v>
      </c>
      <c r="Y472" s="954" t="n"/>
      <c r="Z472" s="953" t="n">
        <v>0.04</v>
      </c>
      <c r="AA472" s="952">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849">
      <c r="A473" s="250" t="n">
        <v>99999101229</v>
      </c>
      <c r="B473" s="220" t="inlineStr">
        <is>
          <t>Billie Connolly</t>
        </is>
      </c>
      <c r="C473" s="305" t="inlineStr">
        <is>
          <t>Engineer - Modern Workplaces</t>
        </is>
      </c>
      <c r="D473" s="306" t="inlineStr">
        <is>
          <t>Vacant</t>
        </is>
      </c>
      <c r="E473" s="220" t="inlineStr">
        <is>
          <t>Technology Manager, Enterprise Tooling</t>
        </is>
      </c>
      <c r="F473" s="220" t="inlineStr">
        <is>
          <t>TDD Group Functions</t>
        </is>
      </c>
      <c r="G473" s="306" t="inlineStr">
        <is>
          <t xml:space="preserve">TDD &amp; Engineering </t>
        </is>
      </c>
      <c r="H473" s="220" t="inlineStr">
        <is>
          <t>Workplace &amp; Enterprise Tooling</t>
        </is>
      </c>
      <c r="I473" s="220" t="inlineStr">
        <is>
          <t>TDD</t>
        </is>
      </c>
      <c r="J473" s="306" t="inlineStr">
        <is>
          <t>TDD</t>
        </is>
      </c>
      <c r="K473" s="306" t="inlineStr">
        <is>
          <t>Workplace &amp; Enterprise Tooling</t>
        </is>
      </c>
      <c r="L473" s="306" t="n"/>
      <c r="M473" s="307" t="inlineStr">
        <is>
          <t>NZ</t>
        </is>
      </c>
      <c r="N473" s="308" t="inlineStr">
        <is>
          <t>CIA</t>
        </is>
      </c>
      <c r="O473" s="309" t="n">
        <v>1</v>
      </c>
      <c r="P473" s="308" t="n"/>
      <c r="Q473" s="309" t="inlineStr">
        <is>
          <t>Permanent - Full Time</t>
        </is>
      </c>
      <c r="R473" s="310" t="n"/>
      <c r="S473" s="310" t="n"/>
      <c r="T473" s="322" t="n">
        <v>117530</v>
      </c>
      <c r="U473" s="321" t="n">
        <v>108127.6</v>
      </c>
      <c r="V473" s="312" t="n">
        <v>0.15</v>
      </c>
      <c r="W473" s="309" t="n"/>
      <c r="X473" s="313" t="n">
        <v>0.05</v>
      </c>
      <c r="Y473" s="951" t="n">
        <v>2910</v>
      </c>
      <c r="Z473" s="313" t="n">
        <v>0.03</v>
      </c>
      <c r="AA473" s="952">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849">
      <c r="A474" s="250" t="n">
        <v>106829</v>
      </c>
      <c r="B474" s="220" t="inlineStr">
        <is>
          <t>C K Lau</t>
        </is>
      </c>
      <c r="C474" s="305" t="inlineStr">
        <is>
          <t>Delivery Lead (Cloud &amp; Network)</t>
        </is>
      </c>
      <c r="D474" s="220" t="inlineStr">
        <is>
          <t>Vacant</t>
        </is>
      </c>
      <c r="E474" s="220" t="inlineStr">
        <is>
          <t>Delivery Manager</t>
        </is>
      </c>
      <c r="F474" s="220" t="inlineStr">
        <is>
          <t>TDD Group Functions</t>
        </is>
      </c>
      <c r="G474" s="306" t="inlineStr">
        <is>
          <t xml:space="preserve">TDD &amp; Engineering </t>
        </is>
      </c>
      <c r="H474" t="inlineStr">
        <is>
          <t>Delivery, TDD &amp; Engineering</t>
        </is>
      </c>
      <c r="I474" s="220" t="inlineStr">
        <is>
          <t>TDD</t>
        </is>
      </c>
      <c r="J474" s="306" t="inlineStr">
        <is>
          <t>TDD</t>
        </is>
      </c>
      <c r="K474" s="306" t="inlineStr">
        <is>
          <t>Cloud, Network &amp; Infra Ops</t>
        </is>
      </c>
      <c r="L474" s="306" t="n"/>
      <c r="M474" s="307" t="inlineStr">
        <is>
          <t>Australia</t>
        </is>
      </c>
      <c r="N474" s="308" t="inlineStr">
        <is>
          <t>CIC</t>
        </is>
      </c>
      <c r="O474" s="308" t="n">
        <v>1</v>
      </c>
      <c r="P474" s="308" t="n"/>
      <c r="Q474" s="308" t="inlineStr">
        <is>
          <t>Permanent - Full Time</t>
        </is>
      </c>
      <c r="R474" s="310" t="n"/>
      <c r="S474" s="310" t="n"/>
      <c r="T474" s="322" t="n">
        <v>186640</v>
      </c>
      <c r="U474" s="321" t="n">
        <v>186640</v>
      </c>
      <c r="V474" s="313" t="n">
        <v>0.12</v>
      </c>
      <c r="W474" s="953" t="n">
        <v>0.055</v>
      </c>
      <c r="X474" s="953" t="n">
        <v>0.12</v>
      </c>
      <c r="Y474" s="954" t="n"/>
      <c r="Z474" s="953" t="n">
        <v>0.04</v>
      </c>
      <c r="AA474" s="952">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849">
      <c r="A475" s="250" t="n">
        <v>14148</v>
      </c>
      <c r="B475" s="323" t="inlineStr">
        <is>
          <t>Ee Lynn Yap</t>
        </is>
      </c>
      <c r="C475" s="391" t="inlineStr">
        <is>
          <t>SAP ERP Application Lead</t>
        </is>
      </c>
      <c r="D475" s="306" t="inlineStr">
        <is>
          <t>Shane Ker</t>
        </is>
      </c>
      <c r="E475" s="323" t="inlineStr">
        <is>
          <t>Technology Manager Finance Platforms</t>
        </is>
      </c>
      <c r="F475" s="220" t="inlineStr">
        <is>
          <t>TDD Group Functions</t>
        </is>
      </c>
      <c r="G475" s="323" t="inlineStr">
        <is>
          <t>P&amp;C, Finance &amp; Legal</t>
        </is>
      </c>
      <c r="H475" s="316" t="inlineStr">
        <is>
          <t>Tech, Finance Platforms</t>
        </is>
      </c>
      <c r="I475" s="306" t="inlineStr">
        <is>
          <t>EGI</t>
        </is>
      </c>
      <c r="J475" s="306" t="inlineStr">
        <is>
          <t>EGI</t>
        </is>
      </c>
      <c r="K475" s="306" t="inlineStr">
        <is>
          <t>EGI Finance</t>
        </is>
      </c>
      <c r="L475" s="306" t="n"/>
      <c r="M475" s="307" t="inlineStr">
        <is>
          <t>Australia</t>
        </is>
      </c>
      <c r="N475" s="310" t="inlineStr">
        <is>
          <t>CIC</t>
        </is>
      </c>
      <c r="O475" s="310" t="n">
        <v>1</v>
      </c>
      <c r="P475" s="310" t="n"/>
      <c r="Q475" s="310" t="inlineStr">
        <is>
          <t>Permanent - Full Time</t>
        </is>
      </c>
      <c r="R475" s="310" t="n"/>
      <c r="S475" s="310" t="n"/>
      <c r="T475" s="322" t="n">
        <v>181070</v>
      </c>
      <c r="U475" s="321" t="n">
        <v>181070</v>
      </c>
      <c r="V475" s="313" t="n">
        <v>0.12</v>
      </c>
      <c r="W475" s="953" t="n">
        <v>0.055</v>
      </c>
      <c r="X475" s="953" t="n">
        <v>0.12</v>
      </c>
      <c r="Y475" s="954" t="n"/>
      <c r="Z475" s="953" t="n">
        <v>0.04</v>
      </c>
      <c r="AA475" s="965">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849">
      <c r="A476" s="250" t="n">
        <v>99999101516</v>
      </c>
      <c r="B476" s="220" t="inlineStr">
        <is>
          <t>Fan Zhang</t>
        </is>
      </c>
      <c r="C476" s="305" t="inlineStr">
        <is>
          <t>Infrastructure Engineer</t>
        </is>
      </c>
      <c r="D476" s="306" t="inlineStr">
        <is>
          <t>John McCormack</t>
        </is>
      </c>
      <c r="E476" s="323" t="inlineStr">
        <is>
          <t>Manager - Infrastructure Operations</t>
        </is>
      </c>
      <c r="F476" s="220" t="inlineStr">
        <is>
          <t>TDD Group Functions</t>
        </is>
      </c>
      <c r="G476" s="306" t="inlineStr">
        <is>
          <t>TDD &amp; Engineering</t>
        </is>
      </c>
      <c r="H476" s="306" t="inlineStr">
        <is>
          <t>Cloud, Network &amp; Infra</t>
        </is>
      </c>
      <c r="I476" s="220" t="inlineStr">
        <is>
          <t>TDD</t>
        </is>
      </c>
      <c r="J476" s="306" t="inlineStr">
        <is>
          <t>TDD</t>
        </is>
      </c>
      <c r="K476" s="306" t="inlineStr">
        <is>
          <t>Cloud, Network &amp; Infra Ops</t>
        </is>
      </c>
      <c r="L476" s="306" t="n"/>
      <c r="M476" s="307" t="inlineStr">
        <is>
          <t>NZ</t>
        </is>
      </c>
      <c r="N476" s="308" t="inlineStr">
        <is>
          <t>CIA</t>
        </is>
      </c>
      <c r="O476" s="309" t="n">
        <v>1</v>
      </c>
      <c r="P476" s="308" t="n"/>
      <c r="Q476" s="309" t="inlineStr">
        <is>
          <t>Permanent - Full Time</t>
        </is>
      </c>
      <c r="R476" s="310" t="n"/>
      <c r="S476" s="310" t="n"/>
      <c r="T476" s="322" t="n">
        <v>115679</v>
      </c>
      <c r="U476" s="321" t="n">
        <v>106424.68</v>
      </c>
      <c r="V476" s="312" t="n">
        <v>0.15</v>
      </c>
      <c r="W476" s="309" t="n"/>
      <c r="X476" s="313" t="n">
        <v>0.05</v>
      </c>
      <c r="Y476" s="951" t="n">
        <v>2910</v>
      </c>
      <c r="Z476" s="313" t="n">
        <v>0.03</v>
      </c>
      <c r="AA476" s="952">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849">
      <c r="A477" s="250" t="n">
        <v>83003</v>
      </c>
      <c r="B477" s="220" t="inlineStr">
        <is>
          <t>Grace Hadiwijaya</t>
        </is>
      </c>
      <c r="C477" s="305" t="inlineStr">
        <is>
          <t>Lead P&amp;C Platforms</t>
        </is>
      </c>
      <c r="D477" s="306" t="inlineStr">
        <is>
          <t>Vacant</t>
        </is>
      </c>
      <c r="E477" s="220" t="inlineStr">
        <is>
          <t>Technology Manager P&amp;C Platforms</t>
        </is>
      </c>
      <c r="F477" s="220" t="inlineStr">
        <is>
          <t>TDD Group Functions</t>
        </is>
      </c>
      <c r="G477" s="323" t="inlineStr">
        <is>
          <t>P&amp;C, Finance &amp; Legal</t>
        </is>
      </c>
      <c r="H477" s="306" t="inlineStr">
        <is>
          <t>Tech, P&amp;C Platforms</t>
        </is>
      </c>
      <c r="I477" s="306" t="inlineStr">
        <is>
          <t>P&amp;C</t>
        </is>
      </c>
      <c r="J477" s="306" t="inlineStr">
        <is>
          <t>P&amp;C</t>
        </is>
      </c>
      <c r="K477" s="306" t="inlineStr">
        <is>
          <t>P&amp;C</t>
        </is>
      </c>
      <c r="L477" s="306" t="n"/>
      <c r="M477" s="307" t="inlineStr">
        <is>
          <t>Australia</t>
        </is>
      </c>
      <c r="N477" s="310" t="inlineStr">
        <is>
          <t>CIC</t>
        </is>
      </c>
      <c r="O477" s="310" t="n">
        <v>1</v>
      </c>
      <c r="P477" s="310" t="n"/>
      <c r="Q477" s="310" t="inlineStr">
        <is>
          <t>Permanent - Full Time</t>
        </is>
      </c>
      <c r="R477" s="310" t="n"/>
      <c r="S477" s="310" t="n"/>
      <c r="T477" s="322" t="n">
        <v>178250</v>
      </c>
      <c r="U477" s="321" t="n">
        <v>178250</v>
      </c>
      <c r="V477" s="313" t="n">
        <v>0.12</v>
      </c>
      <c r="W477" s="953" t="n">
        <v>0.055</v>
      </c>
      <c r="X477" s="953" t="n">
        <v>0.12</v>
      </c>
      <c r="Y477" s="954" t="n"/>
      <c r="Z477" s="953" t="n">
        <v>0.04</v>
      </c>
      <c r="AA477" s="952">
        <f>U477*(1+V477+W477+X477+Y477+Z477)</f>
        <v>237963.75</v>
      </c>
      <c r="AC477" s="334" t="inlineStr">
        <is>
          <t>P&amp;C</t>
        </is>
      </c>
      <c r="AD477" t="inlineStr">
        <is>
          <t>P&amp;C</t>
        </is>
      </c>
      <c r="AE477" t="inlineStr">
        <is>
          <t>P&amp;C</t>
        </is>
      </c>
      <c r="AF477" t="inlineStr">
        <is>
          <t>Squad</t>
        </is>
      </c>
      <c r="AG477" t="inlineStr">
        <is>
          <t>Filled</t>
        </is>
      </c>
    </row>
    <row r="478" hidden="1" ht="18" customHeight="1" s="849">
      <c r="A478" s="250" t="n">
        <v>105823</v>
      </c>
      <c r="B478" s="323" t="inlineStr">
        <is>
          <t>Hardik Trivedi</t>
        </is>
      </c>
      <c r="C478" s="391" t="inlineStr">
        <is>
          <t>Snr Business Analyst</t>
        </is>
      </c>
      <c r="D478" s="306" t="inlineStr">
        <is>
          <t>Vacant</t>
        </is>
      </c>
      <c r="E478" s="323" t="inlineStr">
        <is>
          <t xml:space="preserve">Delivery Manager </t>
        </is>
      </c>
      <c r="F478" s="220" t="inlineStr">
        <is>
          <t>TDD Group Functions</t>
        </is>
      </c>
      <c r="G478" s="306" t="inlineStr">
        <is>
          <t>TDD &amp; Engineering</t>
        </is>
      </c>
      <c r="H478" s="220" t="inlineStr">
        <is>
          <t>Delivery, TDD &amp; Engineering</t>
        </is>
      </c>
      <c r="I478" s="220" t="inlineStr">
        <is>
          <t>Retail</t>
        </is>
      </c>
      <c r="J478" s="306" t="inlineStr">
        <is>
          <t>AmPOS</t>
        </is>
      </c>
      <c r="K478" s="306" t="inlineStr">
        <is>
          <t>AmPOS</t>
        </is>
      </c>
      <c r="L478" s="306" t="n"/>
      <c r="M478" s="307" t="inlineStr">
        <is>
          <t>Australia</t>
        </is>
      </c>
      <c r="N478" s="308" t="inlineStr">
        <is>
          <t>CIB</t>
        </is>
      </c>
      <c r="O478" s="308" t="n">
        <v>1</v>
      </c>
      <c r="P478" s="308" t="n"/>
      <c r="Q478" s="308" t="inlineStr">
        <is>
          <t>Permanent - Full Time</t>
        </is>
      </c>
      <c r="R478" s="310" t="n"/>
      <c r="S478" s="310" t="n"/>
      <c r="T478" s="322" t="n">
        <v>157560</v>
      </c>
      <c r="U478" s="321" t="n">
        <v>157560</v>
      </c>
      <c r="V478" s="313" t="n">
        <v>0.12</v>
      </c>
      <c r="W478" s="953" t="n">
        <v>0.055</v>
      </c>
      <c r="X478" s="953" t="n">
        <v>0.12</v>
      </c>
      <c r="Y478" s="954" t="n"/>
      <c r="Z478" s="953" t="n">
        <v>0.04</v>
      </c>
      <c r="AA478" s="952">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849">
      <c r="A479" s="250" t="n">
        <v>110830</v>
      </c>
      <c r="B479" s="220" t="inlineStr">
        <is>
          <t>Jason Satoso</t>
        </is>
      </c>
      <c r="C479" s="305" t="inlineStr">
        <is>
          <t>Cloud Operations Engineer</t>
        </is>
      </c>
      <c r="D479" s="306" t="inlineStr">
        <is>
          <t>John McCormack</t>
        </is>
      </c>
      <c r="E479" s="323" t="inlineStr">
        <is>
          <t>Manager - Infrastructure Operations</t>
        </is>
      </c>
      <c r="F479" s="220" t="inlineStr">
        <is>
          <t>TDD Group Functions</t>
        </is>
      </c>
      <c r="G479" s="306" t="inlineStr">
        <is>
          <t>TDD &amp; Engineering</t>
        </is>
      </c>
      <c r="H479" s="306" t="inlineStr">
        <is>
          <t>Cloud, Network &amp; Infra</t>
        </is>
      </c>
      <c r="I479" s="220" t="inlineStr">
        <is>
          <t>TDD</t>
        </is>
      </c>
      <c r="J479" s="306" t="inlineStr">
        <is>
          <t>TDD</t>
        </is>
      </c>
      <c r="K479" s="306" t="inlineStr">
        <is>
          <t>Cloud, Network &amp; Infra Ops</t>
        </is>
      </c>
      <c r="L479" s="306" t="n"/>
      <c r="M479" s="307" t="inlineStr">
        <is>
          <t>Australia</t>
        </is>
      </c>
      <c r="N479" s="308" t="inlineStr">
        <is>
          <t>CIB</t>
        </is>
      </c>
      <c r="O479" s="308" t="n">
        <v>1</v>
      </c>
      <c r="P479" s="308" t="n"/>
      <c r="Q479" s="308" t="inlineStr">
        <is>
          <t>Permanent - Full Time</t>
        </is>
      </c>
      <c r="R479" s="310" t="n"/>
      <c r="S479" s="310" t="n"/>
      <c r="T479" s="322" t="n">
        <v>154450</v>
      </c>
      <c r="U479" s="321" t="n">
        <v>154450</v>
      </c>
      <c r="V479" s="313" t="n">
        <v>0.12</v>
      </c>
      <c r="W479" s="953" t="n">
        <v>0.055</v>
      </c>
      <c r="X479" s="953" t="n">
        <v>0.12</v>
      </c>
      <c r="Y479" s="954" t="n"/>
      <c r="Z479" s="953" t="n">
        <v>0.04</v>
      </c>
      <c r="AA479" s="952">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849">
      <c r="A480" s="250" t="inlineStr">
        <is>
          <t>c</t>
        </is>
      </c>
      <c r="B480" s="220" t="inlineStr">
        <is>
          <t>Jens Tom</t>
        </is>
      </c>
      <c r="C480" s="305" t="inlineStr">
        <is>
          <t>SAP Solution Architect</t>
        </is>
      </c>
      <c r="D480" s="220" t="inlineStr">
        <is>
          <t>Shane Ker</t>
        </is>
      </c>
      <c r="E480" s="220" t="inlineStr">
        <is>
          <t>Solution Architect SAP</t>
        </is>
      </c>
      <c r="F480" s="220" t="inlineStr">
        <is>
          <t>TDD Group Functions</t>
        </is>
      </c>
      <c r="G480" s="306" t="n"/>
      <c r="H480" s="332" t="n"/>
      <c r="I480" s="306" t="n"/>
      <c r="J480" s="306" t="n"/>
      <c r="K480" s="220" t="n"/>
      <c r="L480" s="306" t="n"/>
      <c r="M480" s="307" t="n"/>
      <c r="N480" s="310" t="inlineStr">
        <is>
          <t>na</t>
        </is>
      </c>
      <c r="O480" s="310" t="n">
        <v>1</v>
      </c>
      <c r="P480" s="310" t="n"/>
      <c r="Q480" s="310" t="inlineStr">
        <is>
          <t>cxc</t>
        </is>
      </c>
      <c r="R480" s="310" t="inlineStr">
        <is>
          <t>daily</t>
        </is>
      </c>
      <c r="S480" s="310" t="n">
        <v>1600</v>
      </c>
      <c r="T480" s="322" t="n">
        <v>0</v>
      </c>
      <c r="U480" s="321" t="n"/>
      <c r="V480" s="313" t="n"/>
      <c r="W480" s="953" t="n"/>
      <c r="X480" s="953" t="n"/>
      <c r="Y480" s="954" t="n"/>
      <c r="Z480" s="953" t="n"/>
      <c r="AA480" s="320">
        <f>S480*222</f>
        <v>355200.0</v>
      </c>
      <c r="AC480" t="inlineStr">
        <is>
          <t>Unmapped</t>
        </is>
      </c>
      <c r="AD480" t="inlineStr">
        <is>
          <t>-</t>
        </is>
      </c>
      <c r="AE480" t="inlineStr">
        <is>
          <t>TDD Group Functions</t>
        </is>
      </c>
      <c r="AF480" t="inlineStr">
        <is>
          <t>Unmapped</t>
        </is>
      </c>
      <c r="AG480" t="inlineStr">
        <is>
          <t>Filled</t>
        </is>
      </c>
    </row>
    <row r="481" hidden="1" ht="18" customHeight="1" s="849">
      <c r="A481" s="250" t="n">
        <v>99999100381</v>
      </c>
      <c r="B481" s="220" t="inlineStr">
        <is>
          <t>Joel Krijnen</t>
        </is>
      </c>
      <c r="C481" s="305" t="inlineStr">
        <is>
          <t>Lead Engineer Software</t>
        </is>
      </c>
      <c r="D481" s="220" t="inlineStr">
        <is>
          <t>Mike Seales</t>
        </is>
      </c>
      <c r="E481" s="220" t="inlineStr">
        <is>
          <t>Technology Manager Integration &amp; Process Managemetn</t>
        </is>
      </c>
      <c r="F481" s="220" t="inlineStr">
        <is>
          <t>TDD Group Functions</t>
        </is>
      </c>
      <c r="G481" s="306" t="inlineStr">
        <is>
          <t xml:space="preserve">TDD &amp; Engineering </t>
        </is>
      </c>
      <c r="H481" s="220" t="inlineStr">
        <is>
          <t>Integration &amp; Process Management</t>
        </is>
      </c>
      <c r="I481" s="220" t="inlineStr">
        <is>
          <t>TDD</t>
        </is>
      </c>
      <c r="J481" s="306" t="inlineStr">
        <is>
          <t>TDD</t>
        </is>
      </c>
      <c r="K481" s="306" t="inlineStr">
        <is>
          <t>Integration &amp; Process automation</t>
        </is>
      </c>
      <c r="L481" s="306" t="n"/>
      <c r="M481" s="307" t="inlineStr">
        <is>
          <t>NZ</t>
        </is>
      </c>
      <c r="N481" s="308" t="inlineStr">
        <is>
          <t>CIC</t>
        </is>
      </c>
      <c r="O481" s="309" t="n">
        <v>1</v>
      </c>
      <c r="P481" s="308" t="n"/>
      <c r="Q481" s="309" t="inlineStr">
        <is>
          <t>Permanent - Full Time</t>
        </is>
      </c>
      <c r="R481" s="310" t="n"/>
      <c r="S481" s="310" t="n"/>
      <c r="T481" s="322" t="n">
        <v>154830</v>
      </c>
      <c r="U481" s="321" t="n">
        <v>142443.6</v>
      </c>
      <c r="V481" s="312" t="n">
        <v>0.15</v>
      </c>
      <c r="W481" s="309" t="n"/>
      <c r="X481" s="313" t="n">
        <v>0.05</v>
      </c>
      <c r="Y481" s="951" t="n">
        <v>2910</v>
      </c>
      <c r="Z481" s="313" t="n">
        <v>0.03</v>
      </c>
      <c r="AA481" s="952">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849">
      <c r="A482" s="250" t="n">
        <v>97800</v>
      </c>
      <c r="B482" s="220" t="inlineStr">
        <is>
          <t>John McCormack</t>
        </is>
      </c>
      <c r="C482" s="305" t="inlineStr">
        <is>
          <t>Manager - Infrastructure Operations</t>
        </is>
      </c>
      <c r="D482" s="306" t="inlineStr">
        <is>
          <t>Vacant</t>
        </is>
      </c>
      <c r="E482" s="323" t="inlineStr">
        <is>
          <t>Technology Manager - Cloud, Network &amp; Infrastructure Operations</t>
        </is>
      </c>
      <c r="F482" s="220" t="inlineStr">
        <is>
          <t>TDD Group Functions</t>
        </is>
      </c>
      <c r="G482" s="306" t="inlineStr">
        <is>
          <t>TDD &amp; Engineering</t>
        </is>
      </c>
      <c r="H482" s="306" t="inlineStr">
        <is>
          <t>Cloud, Network &amp; Infra</t>
        </is>
      </c>
      <c r="I482" s="220" t="inlineStr">
        <is>
          <t>TDD</t>
        </is>
      </c>
      <c r="J482" s="306" t="inlineStr">
        <is>
          <t>TDD</t>
        </is>
      </c>
      <c r="K482" s="306" t="inlineStr">
        <is>
          <t>Cloud, Network &amp; Infra Ops</t>
        </is>
      </c>
      <c r="L482" s="306" t="n"/>
      <c r="M482" s="307" t="inlineStr">
        <is>
          <t>Australia</t>
        </is>
      </c>
      <c r="N482" s="308" t="inlineStr">
        <is>
          <t>CIC</t>
        </is>
      </c>
      <c r="O482" s="308" t="n">
        <v>1</v>
      </c>
      <c r="P482" s="308" t="n"/>
      <c r="Q482" s="308" t="inlineStr">
        <is>
          <t>Permanent - Full Time</t>
        </is>
      </c>
      <c r="R482" s="310" t="n"/>
      <c r="S482" s="310" t="n"/>
      <c r="T482" s="322" t="n">
        <v>184640</v>
      </c>
      <c r="U482" s="321" t="n">
        <v>184640</v>
      </c>
      <c r="V482" s="313" t="n">
        <v>0.12</v>
      </c>
      <c r="W482" s="953" t="n">
        <v>0.055</v>
      </c>
      <c r="X482" s="953" t="n">
        <v>0.12</v>
      </c>
      <c r="Y482" s="954" t="n"/>
      <c r="Z482" s="953" t="n">
        <v>0.04</v>
      </c>
      <c r="AA482" s="952">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849">
      <c r="A483" s="250" t="n">
        <v>11241</v>
      </c>
      <c r="B483" s="323" t="inlineStr">
        <is>
          <t>Julma Bhagwani</t>
        </is>
      </c>
      <c r="C483" s="391" t="inlineStr">
        <is>
          <t>SAP ERP Application Lead</t>
        </is>
      </c>
      <c r="D483" s="306" t="inlineStr">
        <is>
          <t>Shane Ker</t>
        </is>
      </c>
      <c r="E483" s="323" t="inlineStr">
        <is>
          <t>Technology Manager Finance Platforms</t>
        </is>
      </c>
      <c r="F483" s="220" t="inlineStr">
        <is>
          <t>TDD Group Functions</t>
        </is>
      </c>
      <c r="G483" s="323" t="inlineStr">
        <is>
          <t>P&amp;C, Finance &amp; Legal</t>
        </is>
      </c>
      <c r="H483" s="306" t="inlineStr">
        <is>
          <t>Tech, Finance Platforms</t>
        </is>
      </c>
      <c r="I483" s="306" t="inlineStr">
        <is>
          <t>Finance</t>
        </is>
      </c>
      <c r="J483" s="306" t="inlineStr">
        <is>
          <t>AU Finance</t>
        </is>
      </c>
      <c r="K483" s="306" t="inlineStr">
        <is>
          <t>SAP ERP</t>
        </is>
      </c>
      <c r="L483" s="306" t="n"/>
      <c r="M483" s="307" t="inlineStr">
        <is>
          <t>Australia</t>
        </is>
      </c>
      <c r="N483" s="310" t="inlineStr">
        <is>
          <t>CIC</t>
        </is>
      </c>
      <c r="O483" s="310" t="n">
        <v>1</v>
      </c>
      <c r="P483" s="310" t="n"/>
      <c r="Q483" s="310" t="inlineStr">
        <is>
          <t>Permanent - Full Time</t>
        </is>
      </c>
      <c r="R483" s="310" t="n"/>
      <c r="S483" s="310" t="n"/>
      <c r="T483" s="322" t="n">
        <v>179700</v>
      </c>
      <c r="U483" s="321" t="n">
        <v>179700</v>
      </c>
      <c r="V483" s="313" t="n">
        <v>0.12</v>
      </c>
      <c r="W483" s="953" t="n">
        <v>0.055</v>
      </c>
      <c r="X483" s="953" t="n">
        <v>0.12</v>
      </c>
      <c r="Y483" s="954" t="n"/>
      <c r="Z483" s="953" t="n">
        <v>0.04</v>
      </c>
      <c r="AA483" s="952">
        <f>U483*(1+V483+W483+X483+Y483+Z483)</f>
        <v>239899.5</v>
      </c>
      <c r="AC483" t="inlineStr">
        <is>
          <t>Finance</t>
        </is>
      </c>
      <c r="AD483" t="inlineStr">
        <is>
          <t>AU Finance</t>
        </is>
      </c>
      <c r="AE483" t="inlineStr">
        <is>
          <t>AU Finance</t>
        </is>
      </c>
      <c r="AF483" t="inlineStr">
        <is>
          <t>Squad</t>
        </is>
      </c>
      <c r="AG483" t="inlineStr">
        <is>
          <t>Filled</t>
        </is>
      </c>
    </row>
    <row r="484" hidden="1" ht="18" customHeight="1" s="849">
      <c r="A484" s="250" t="n">
        <v>95018</v>
      </c>
      <c r="B484" s="220" t="inlineStr">
        <is>
          <t>Ken Thomson</t>
        </is>
      </c>
      <c r="C484" s="305" t="inlineStr">
        <is>
          <t>Servicenow Platform Specialist</t>
        </is>
      </c>
      <c r="D484" s="306" t="inlineStr">
        <is>
          <t>Vacant</t>
        </is>
      </c>
      <c r="E484" s="220" t="inlineStr">
        <is>
          <t>Technology Manager, Enterprise Tooling</t>
        </is>
      </c>
      <c r="F484" s="220" t="inlineStr">
        <is>
          <t>TDD Group Functions</t>
        </is>
      </c>
      <c r="G484" s="306" t="inlineStr">
        <is>
          <t xml:space="preserve">TDD &amp; Engineering </t>
        </is>
      </c>
      <c r="H484" s="220" t="inlineStr">
        <is>
          <t>Workplace &amp; Enterprise Tooling</t>
        </is>
      </c>
      <c r="I484" s="220" t="inlineStr">
        <is>
          <t>TDD</t>
        </is>
      </c>
      <c r="J484" s="306" t="inlineStr">
        <is>
          <t>TDD</t>
        </is>
      </c>
      <c r="K484" s="306" t="inlineStr">
        <is>
          <t>Workplace &amp; Enterprise Tooling</t>
        </is>
      </c>
      <c r="L484" s="306" t="n"/>
      <c r="M484" s="307" t="inlineStr">
        <is>
          <t>Australia</t>
        </is>
      </c>
      <c r="N484" s="308" t="inlineStr">
        <is>
          <t>CIC</t>
        </is>
      </c>
      <c r="O484" s="308" t="n">
        <v>1</v>
      </c>
      <c r="P484" s="308" t="n"/>
      <c r="Q484" s="308" t="inlineStr">
        <is>
          <t>Permanent - Full Time</t>
        </is>
      </c>
      <c r="R484" s="310" t="n"/>
      <c r="S484" s="310" t="n"/>
      <c r="T484" s="322" t="n">
        <v>165450</v>
      </c>
      <c r="U484" s="321" t="n">
        <v>165450</v>
      </c>
      <c r="V484" s="313" t="n">
        <v>0.12</v>
      </c>
      <c r="W484" s="953" t="n">
        <v>0.055</v>
      </c>
      <c r="X484" s="953" t="n">
        <v>0.12</v>
      </c>
      <c r="Y484" s="954" t="n"/>
      <c r="Z484" s="953" t="n">
        <v>0.04</v>
      </c>
      <c r="AA484" s="952">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849">
      <c r="A485" s="250" t="n">
        <v>99999102153</v>
      </c>
      <c r="B485" s="355" t="inlineStr">
        <is>
          <t>Kris Thornley</t>
        </is>
      </c>
      <c r="C485" s="391" t="inlineStr">
        <is>
          <t>Integration Architect (C)</t>
        </is>
      </c>
      <c r="D485" s="220" t="inlineStr">
        <is>
          <t>Mike Seales</t>
        </is>
      </c>
      <c r="E485" s="220" t="inlineStr">
        <is>
          <t>Technology Manager Integration &amp; Process Managemetn</t>
        </is>
      </c>
      <c r="F485" s="220" t="inlineStr">
        <is>
          <t>TDD Group Functions</t>
        </is>
      </c>
      <c r="G485" s="306" t="inlineStr">
        <is>
          <t xml:space="preserve">TDD &amp; Engineering </t>
        </is>
      </c>
      <c r="H485" s="220" t="inlineStr">
        <is>
          <t>Integration &amp; Process Management</t>
        </is>
      </c>
      <c r="I485" s="220" t="inlineStr">
        <is>
          <t>EGI</t>
        </is>
      </c>
      <c r="J485" s="306" t="inlineStr">
        <is>
          <t xml:space="preserve">EGI </t>
        </is>
      </c>
      <c r="K485" s="306" t="inlineStr">
        <is>
          <t>EGI TDD</t>
        </is>
      </c>
      <c r="L485" s="306" t="n"/>
      <c r="M485" s="307" t="inlineStr">
        <is>
          <t>NZ</t>
        </is>
      </c>
      <c r="N485" s="308" t="inlineStr">
        <is>
          <t>NA</t>
        </is>
      </c>
      <c r="O485" s="308" t="n">
        <v>1</v>
      </c>
      <c r="P485" s="308" t="n"/>
      <c r="Q485" s="309" t="inlineStr">
        <is>
          <t>Contractor</t>
        </is>
      </c>
      <c r="R485" s="310" t="inlineStr">
        <is>
          <t>cant find this person</t>
        </is>
      </c>
      <c r="S485" s="337" t="n">
        <v>1200</v>
      </c>
      <c r="T485" s="322" t="n">
        <v>0</v>
      </c>
      <c r="U485" s="322" t="n"/>
      <c r="V485" s="306" t="n"/>
      <c r="W485" s="306" t="n"/>
      <c r="X485" s="306" t="n"/>
      <c r="Y485" s="306" t="n"/>
      <c r="Z485" s="306" t="n"/>
      <c r="AA485" s="320">
        <f>S485*222</f>
        <v>266400.0</v>
      </c>
      <c r="AC485" t="inlineStr">
        <is>
          <t>TDD Group Functions</t>
        </is>
      </c>
      <c r="AD485" t="inlineStr">
        <is>
          <t>EGI TDD</t>
        </is>
      </c>
      <c r="AE485" t="inlineStr">
        <is>
          <t>EGI TDD</t>
        </is>
      </c>
      <c r="AF485" t="inlineStr">
        <is>
          <t>Strategic Program</t>
        </is>
      </c>
      <c r="AG485" t="inlineStr">
        <is>
          <t>Filled</t>
        </is>
      </c>
    </row>
    <row r="486" hidden="1" ht="18" customHeight="1" s="849">
      <c r="A486" s="250" t="inlineStr">
        <is>
          <t>C</t>
        </is>
      </c>
      <c r="B486" s="220" t="inlineStr">
        <is>
          <t>Kurniaty Widjaya</t>
        </is>
      </c>
      <c r="C486" s="305" t="inlineStr">
        <is>
          <t>ERP HR Pay Functional Lead</t>
        </is>
      </c>
      <c r="D486" s="306" t="inlineStr">
        <is>
          <t>Vacant</t>
        </is>
      </c>
      <c r="E486" s="220" t="inlineStr">
        <is>
          <t>Technology Manager P&amp;C Platforms</t>
        </is>
      </c>
      <c r="F486" s="220" t="inlineStr">
        <is>
          <t>TDD Group Functions</t>
        </is>
      </c>
      <c r="G486" s="323" t="inlineStr">
        <is>
          <t>P&amp;C, Finance &amp; Legal</t>
        </is>
      </c>
      <c r="H486" s="306" t="inlineStr">
        <is>
          <t>Tech, P&amp;C Platforms</t>
        </is>
      </c>
      <c r="I486" s="306" t="inlineStr">
        <is>
          <t>P&amp;C</t>
        </is>
      </c>
      <c r="J486" s="306" t="inlineStr">
        <is>
          <t>P&amp;C</t>
        </is>
      </c>
      <c r="K486" s="306" t="inlineStr">
        <is>
          <t>P&amp;C RTA</t>
        </is>
      </c>
      <c r="L486" s="306" t="n"/>
      <c r="M486" s="307" t="inlineStr">
        <is>
          <t>Australia</t>
        </is>
      </c>
      <c r="N486" s="310" t="inlineStr">
        <is>
          <t>NA</t>
        </is>
      </c>
      <c r="O486" s="308" t="n">
        <v>1</v>
      </c>
      <c r="P486" s="310" t="n"/>
      <c r="Q486" s="310" t="inlineStr">
        <is>
          <t>cxc</t>
        </is>
      </c>
      <c r="R486" s="319" t="inlineStr">
        <is>
          <t>Daily</t>
        </is>
      </c>
      <c r="S486" s="310" t="n">
        <v>1250</v>
      </c>
      <c r="T486" s="322" t="n">
        <v>0</v>
      </c>
      <c r="U486" s="322" t="n"/>
      <c r="V486" s="306" t="n"/>
      <c r="W486" s="306" t="n"/>
      <c r="X486" s="306" t="n"/>
      <c r="Y486" s="306" t="n"/>
      <c r="Z486" s="306" t="n"/>
      <c r="AA486" s="320">
        <f>S486*222</f>
        <v>277500.0</v>
      </c>
      <c r="AC486" t="inlineStr">
        <is>
          <t>P&amp;C</t>
        </is>
      </c>
      <c r="AD486" t="inlineStr">
        <is>
          <t>P&amp;C</t>
        </is>
      </c>
      <c r="AE486" t="inlineStr">
        <is>
          <t>P&amp;C - RTA</t>
        </is>
      </c>
      <c r="AF486" t="inlineStr">
        <is>
          <t>Squad</t>
        </is>
      </c>
      <c r="AG486" t="inlineStr">
        <is>
          <t>Filled</t>
        </is>
      </c>
    </row>
    <row r="487" hidden="1" ht="18" customHeight="1" s="849">
      <c r="A487" s="250" t="n">
        <v>99999170438</v>
      </c>
      <c r="B487" s="355" t="inlineStr">
        <is>
          <t>Leilanie Avilla</t>
        </is>
      </c>
      <c r="C487" s="391" t="inlineStr">
        <is>
          <t>JDE Systems Specialist</t>
        </is>
      </c>
      <c r="D487" s="306" t="inlineStr">
        <is>
          <t>Lydia Pritchard</t>
        </is>
      </c>
      <c r="E487" s="323" t="inlineStr">
        <is>
          <t>Lead JDE System Specialist</t>
        </is>
      </c>
      <c r="F487" s="220" t="inlineStr">
        <is>
          <t>TDD Group Functions</t>
        </is>
      </c>
      <c r="G487" s="323" t="inlineStr">
        <is>
          <t>P&amp;C, Finance &amp; Legal</t>
        </is>
      </c>
      <c r="H487" s="306" t="inlineStr">
        <is>
          <t>Tech, Finance Platforms</t>
        </is>
      </c>
      <c r="I487" s="306" t="inlineStr">
        <is>
          <t>Finance</t>
        </is>
      </c>
      <c r="J487" s="306" t="inlineStr">
        <is>
          <t>NZ Finance</t>
        </is>
      </c>
      <c r="K487" s="306" t="inlineStr">
        <is>
          <t>NZ Finance</t>
        </is>
      </c>
      <c r="L487" s="306" t="n"/>
      <c r="M487" s="307" t="inlineStr">
        <is>
          <t>NZ</t>
        </is>
      </c>
      <c r="N487" s="308" t="inlineStr">
        <is>
          <t>CDB</t>
        </is>
      </c>
      <c r="O487" s="309" t="n">
        <v>1</v>
      </c>
      <c r="P487" s="308" t="n"/>
      <c r="Q487" s="309" t="inlineStr">
        <is>
          <t>Permanent - Full Time</t>
        </is>
      </c>
      <c r="R487" s="310" t="n"/>
      <c r="S487" s="310" t="n"/>
      <c r="T487" s="322" t="n">
        <v>96270</v>
      </c>
      <c r="U487" s="321" t="n">
        <v>88568.40000000001</v>
      </c>
      <c r="V487" s="312" t="n">
        <v>0.1</v>
      </c>
      <c r="W487" s="310" t="n"/>
      <c r="X487" s="313" t="n">
        <v>0.05</v>
      </c>
      <c r="Y487" s="951" t="n">
        <v>2910</v>
      </c>
      <c r="Z487" s="313" t="n">
        <v>0.03</v>
      </c>
      <c r="AA487" s="952">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849">
      <c r="A488" s="250" t="n">
        <v>99999101879</v>
      </c>
      <c r="B488" s="323" t="inlineStr">
        <is>
          <t>Lisa Rademakers</t>
        </is>
      </c>
      <c r="C488" s="391" t="inlineStr">
        <is>
          <t>Delivery Lead (Integrations)</t>
        </is>
      </c>
      <c r="D488" s="220" t="inlineStr">
        <is>
          <t>Vacant</t>
        </is>
      </c>
      <c r="E488" s="220" t="inlineStr">
        <is>
          <t>Delivery Manager</t>
        </is>
      </c>
      <c r="F488" s="220" t="inlineStr">
        <is>
          <t>TDD Group Functions</t>
        </is>
      </c>
      <c r="G488" s="306" t="inlineStr">
        <is>
          <t xml:space="preserve">TDD &amp; Engineering </t>
        </is>
      </c>
      <c r="H488" s="220" t="inlineStr">
        <is>
          <t>Delivery, TDD &amp; Engineering</t>
        </is>
      </c>
      <c r="I488" s="220" t="inlineStr">
        <is>
          <t>TDD</t>
        </is>
      </c>
      <c r="J488" s="306" t="inlineStr">
        <is>
          <t>TDD</t>
        </is>
      </c>
      <c r="K488" s="306" t="inlineStr">
        <is>
          <t>Integration &amp; Process Automation</t>
        </is>
      </c>
      <c r="L488" s="306" t="n"/>
      <c r="M488" s="307" t="inlineStr">
        <is>
          <t>NZ</t>
        </is>
      </c>
      <c r="N488" s="308" t="inlineStr">
        <is>
          <t>CIC</t>
        </is>
      </c>
      <c r="O488" s="309" t="n">
        <v>1</v>
      </c>
      <c r="P488" s="308" t="n"/>
      <c r="Q488" s="309" t="inlineStr">
        <is>
          <t>Permanent - Full Time</t>
        </is>
      </c>
      <c r="R488" s="310" t="n"/>
      <c r="S488" s="310" t="n"/>
      <c r="T488" s="322" t="n">
        <v>176220</v>
      </c>
      <c r="U488" s="321" t="n">
        <v>162122.4</v>
      </c>
      <c r="V488" s="312" t="n">
        <v>0.15</v>
      </c>
      <c r="W488" s="310" t="n"/>
      <c r="X488" s="313" t="n">
        <v>0.05</v>
      </c>
      <c r="Y488" s="951" t="n">
        <v>2910</v>
      </c>
      <c r="Z488" s="313" t="n">
        <v>0.03</v>
      </c>
      <c r="AA488" s="952">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849">
      <c r="A489" s="250" t="n">
        <v>116057</v>
      </c>
      <c r="B489" s="323" t="inlineStr">
        <is>
          <t>Lucas Wang</t>
        </is>
      </c>
      <c r="C489" s="391" t="inlineStr">
        <is>
          <t>Senior Engineer (Automation Test)</t>
        </is>
      </c>
      <c r="D489" s="355" t="inlineStr">
        <is>
          <t>Shobhit Mittal</t>
        </is>
      </c>
      <c r="E489" s="323" t="inlineStr">
        <is>
          <t>Lead Engineer (Automation Test)</t>
        </is>
      </c>
      <c r="F489" s="306" t="inlineStr">
        <is>
          <t>TDD Group Functions</t>
        </is>
      </c>
      <c r="G489" s="306" t="inlineStr">
        <is>
          <t>TDD &amp; Engineering</t>
        </is>
      </c>
      <c r="H489" s="306" t="inlineStr">
        <is>
          <t>DevOps &amp; QE</t>
        </is>
      </c>
      <c r="I489" s="220" t="inlineStr">
        <is>
          <t>TDD</t>
        </is>
      </c>
      <c r="J489" s="306" t="inlineStr">
        <is>
          <t>TDD</t>
        </is>
      </c>
      <c r="K489" s="306" t="inlineStr">
        <is>
          <t>DevOps &amp; QE</t>
        </is>
      </c>
      <c r="L489" s="306" t="n"/>
      <c r="M489" s="307" t="inlineStr">
        <is>
          <t>Australia</t>
        </is>
      </c>
      <c r="N489" s="308" t="inlineStr">
        <is>
          <t>CIB</t>
        </is>
      </c>
      <c r="O489" s="308" t="n">
        <v>1</v>
      </c>
      <c r="P489" s="308" t="n"/>
      <c r="Q489" s="308" t="inlineStr">
        <is>
          <t>Permanent - Full Time</t>
        </is>
      </c>
      <c r="R489" s="310" t="n"/>
      <c r="S489" s="310" t="n"/>
      <c r="T489" s="322" t="n">
        <v>145710</v>
      </c>
      <c r="U489" s="321" t="n">
        <v>145710</v>
      </c>
      <c r="V489" s="313" t="n">
        <v>0.12</v>
      </c>
      <c r="W489" s="953" t="n">
        <v>0.055</v>
      </c>
      <c r="X489" s="953" t="n">
        <v>0.12</v>
      </c>
      <c r="Y489" s="954" t="n"/>
      <c r="Z489" s="953" t="n">
        <v>0.04</v>
      </c>
      <c r="AA489" s="952">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849">
      <c r="A490" s="250" t="n">
        <v>99999101441</v>
      </c>
      <c r="B490" s="220" t="inlineStr">
        <is>
          <t>Luke Hamer</t>
        </is>
      </c>
      <c r="C490" s="305" t="inlineStr">
        <is>
          <t>Lead Engineer - Devops</t>
        </is>
      </c>
      <c r="D490" s="355" t="inlineStr">
        <is>
          <t>Vacant</t>
        </is>
      </c>
      <c r="E490" s="323" t="inlineStr">
        <is>
          <t>Technology Manager – DevOps and Quality Engineering</t>
        </is>
      </c>
      <c r="F490" s="306" t="inlineStr">
        <is>
          <t>TDD Group Functions</t>
        </is>
      </c>
      <c r="G490" s="306" t="inlineStr">
        <is>
          <t>TDD &amp; Engineering</t>
        </is>
      </c>
      <c r="H490" s="306" t="inlineStr">
        <is>
          <t>DevOps &amp; QE</t>
        </is>
      </c>
      <c r="I490" s="220" t="inlineStr">
        <is>
          <t>TDD</t>
        </is>
      </c>
      <c r="J490" s="306" t="inlineStr">
        <is>
          <t>TDD</t>
        </is>
      </c>
      <c r="K490" s="306" t="inlineStr">
        <is>
          <t>DevOps &amp; QE</t>
        </is>
      </c>
      <c r="L490" s="306" t="n"/>
      <c r="M490" s="307" t="inlineStr">
        <is>
          <t>NZ</t>
        </is>
      </c>
      <c r="N490" s="308" t="inlineStr">
        <is>
          <t>CIC</t>
        </is>
      </c>
      <c r="O490" s="309" t="n">
        <v>1</v>
      </c>
      <c r="P490" s="308" t="n"/>
      <c r="Q490" s="309" t="inlineStr">
        <is>
          <t>Permanent - Full Time</t>
        </is>
      </c>
      <c r="R490" s="310" t="n"/>
      <c r="S490" s="310" t="n"/>
      <c r="T490" s="322" t="n">
        <v>159200</v>
      </c>
      <c r="U490" s="321" t="n">
        <v>146464</v>
      </c>
      <c r="V490" s="312" t="n">
        <v>0.15</v>
      </c>
      <c r="W490" s="310" t="n"/>
      <c r="X490" s="313" t="n">
        <v>0.05</v>
      </c>
      <c r="Y490" s="951" t="n">
        <v>2910</v>
      </c>
      <c r="Z490" s="313" t="n">
        <v>0.03</v>
      </c>
      <c r="AA490" s="952">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849">
      <c r="A491" s="250" t="n">
        <v>99999100336</v>
      </c>
      <c r="B491" s="220" t="inlineStr">
        <is>
          <t>Lydia Pritchard</t>
        </is>
      </c>
      <c r="C491" s="305" t="inlineStr">
        <is>
          <t>Lead JDE Systems Specialist</t>
        </is>
      </c>
      <c r="D491" s="220" t="inlineStr">
        <is>
          <t>Shane Ker</t>
        </is>
      </c>
      <c r="E491" s="220" t="inlineStr">
        <is>
          <t>Technology Manager Finance Platforms</t>
        </is>
      </c>
      <c r="F491" s="220" t="inlineStr">
        <is>
          <t>TDD Group Functions</t>
        </is>
      </c>
      <c r="G491" s="323" t="inlineStr">
        <is>
          <t>P&amp;C, Finance &amp; Legal</t>
        </is>
      </c>
      <c r="H491" s="306" t="inlineStr">
        <is>
          <t>Tech, Finance Platforms</t>
        </is>
      </c>
      <c r="I491" s="306" t="inlineStr">
        <is>
          <t>Finance</t>
        </is>
      </c>
      <c r="J491" s="306" t="inlineStr">
        <is>
          <t>NZ Finance</t>
        </is>
      </c>
      <c r="K491" s="306" t="inlineStr">
        <is>
          <t>NZ Finance</t>
        </is>
      </c>
      <c r="L491" s="306" t="n"/>
      <c r="M491" s="307" t="inlineStr">
        <is>
          <t>NZ</t>
        </is>
      </c>
      <c r="N491" s="308" t="inlineStr">
        <is>
          <t>CIC</t>
        </is>
      </c>
      <c r="O491" s="309" t="n">
        <v>1</v>
      </c>
      <c r="P491" s="308" t="n"/>
      <c r="Q491" s="309" t="inlineStr">
        <is>
          <t>Permanent - Full Time</t>
        </is>
      </c>
      <c r="R491" s="310" t="n"/>
      <c r="S491" s="310" t="n"/>
      <c r="T491" s="322" t="n">
        <v>172490</v>
      </c>
      <c r="U491" s="321" t="n">
        <v>158690.8</v>
      </c>
      <c r="V491" s="312" t="n">
        <v>0.15</v>
      </c>
      <c r="W491" s="310" t="n"/>
      <c r="X491" s="313" t="n">
        <v>0.05</v>
      </c>
      <c r="Y491" s="951" t="n">
        <v>2910</v>
      </c>
      <c r="Z491" s="313" t="n">
        <v>0.03</v>
      </c>
      <c r="AA491" s="952">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849">
      <c r="A492" s="250" t="n">
        <v>108123</v>
      </c>
      <c r="B492" s="220" t="inlineStr">
        <is>
          <t>Maadhu Suresh</t>
        </is>
      </c>
      <c r="C492" s="305" t="inlineStr">
        <is>
          <t>Solution Architect</t>
        </is>
      </c>
      <c r="D492" s="306" t="inlineStr">
        <is>
          <t>Vacant</t>
        </is>
      </c>
      <c r="E492" s="220" t="inlineStr">
        <is>
          <t>Technology Manager P&amp;C Platforms</t>
        </is>
      </c>
      <c r="F492" s="220" t="inlineStr">
        <is>
          <t>TDD Group Functions</t>
        </is>
      </c>
      <c r="G492" s="323" t="inlineStr">
        <is>
          <t>P&amp;C, Finance &amp; Legal</t>
        </is>
      </c>
      <c r="H492" s="306" t="inlineStr">
        <is>
          <t>Tech, P&amp;C Platforms</t>
        </is>
      </c>
      <c r="I492" s="306" t="inlineStr">
        <is>
          <t>P&amp;C</t>
        </is>
      </c>
      <c r="J492" s="306" t="inlineStr">
        <is>
          <t>P&amp;C</t>
        </is>
      </c>
      <c r="K492" s="306" t="inlineStr">
        <is>
          <t>P&amp;C</t>
        </is>
      </c>
      <c r="L492" s="306" t="n"/>
      <c r="M492" s="307" t="inlineStr">
        <is>
          <t>Australia</t>
        </is>
      </c>
      <c r="N492" s="308" t="inlineStr">
        <is>
          <t>CIC</t>
        </is>
      </c>
      <c r="O492" s="308" t="n">
        <v>1</v>
      </c>
      <c r="P492" s="308" t="n"/>
      <c r="Q492" s="308" t="inlineStr">
        <is>
          <t>Permanent - Full Time</t>
        </is>
      </c>
      <c r="R492" s="310" t="n"/>
      <c r="S492" s="310" t="n"/>
      <c r="T492" s="322" t="n">
        <v>204000</v>
      </c>
      <c r="U492" s="321" t="n">
        <v>204000</v>
      </c>
      <c r="V492" s="313" t="n">
        <v>0.12</v>
      </c>
      <c r="W492" s="953" t="n">
        <v>0.055</v>
      </c>
      <c r="X492" s="953" t="n">
        <v>0.12</v>
      </c>
      <c r="Y492" s="954" t="n"/>
      <c r="Z492" s="953" t="n">
        <v>0.04</v>
      </c>
      <c r="AA492" s="952">
        <f>U492*(1+V492+W492+X492+Y492+Z492)</f>
        <v>272340.0</v>
      </c>
      <c r="AC492" t="inlineStr">
        <is>
          <t>P&amp;C</t>
        </is>
      </c>
      <c r="AD492" t="inlineStr">
        <is>
          <t>P&amp;C</t>
        </is>
      </c>
      <c r="AE492" t="inlineStr">
        <is>
          <t>P&amp;C</t>
        </is>
      </c>
      <c r="AF492" t="inlineStr">
        <is>
          <t>Squad</t>
        </is>
      </c>
      <c r="AG492" t="inlineStr">
        <is>
          <t>Filled</t>
        </is>
      </c>
    </row>
    <row r="493" hidden="1" ht="18" customHeight="1" s="849">
      <c r="A493" s="250" t="n">
        <v>4251</v>
      </c>
      <c r="B493" s="323" t="inlineStr">
        <is>
          <t>Maudud Chaudhury</t>
        </is>
      </c>
      <c r="C493" s="391" t="inlineStr">
        <is>
          <t>SAP ERP Application Lead</t>
        </is>
      </c>
      <c r="D493" s="306" t="inlineStr">
        <is>
          <t>Shane Ker</t>
        </is>
      </c>
      <c r="E493" s="323" t="inlineStr">
        <is>
          <t>Technology Manager Finance Platforms</t>
        </is>
      </c>
      <c r="F493" s="220" t="inlineStr">
        <is>
          <t>TDD Group Functions</t>
        </is>
      </c>
      <c r="G493" s="323" t="inlineStr">
        <is>
          <t>P&amp;C, Finance &amp; Legal</t>
        </is>
      </c>
      <c r="H493" s="306" t="inlineStr">
        <is>
          <t>Tech, Finance Platforms</t>
        </is>
      </c>
      <c r="I493" s="306" t="inlineStr">
        <is>
          <t>Finance</t>
        </is>
      </c>
      <c r="J493" s="306" t="inlineStr">
        <is>
          <t>AU Finance</t>
        </is>
      </c>
      <c r="K493" s="306" t="inlineStr">
        <is>
          <t>SAP ERP</t>
        </is>
      </c>
      <c r="L493" s="306" t="n"/>
      <c r="M493" s="307" t="inlineStr">
        <is>
          <t>Australia</t>
        </is>
      </c>
      <c r="N493" s="310" t="inlineStr">
        <is>
          <t>CIC</t>
        </is>
      </c>
      <c r="O493" s="310" t="n">
        <v>1</v>
      </c>
      <c r="P493" s="310" t="n"/>
      <c r="Q493" s="310" t="inlineStr">
        <is>
          <t>Permanent - Full Time</t>
        </is>
      </c>
      <c r="R493" s="310" t="n"/>
      <c r="S493" s="310" t="n"/>
      <c r="T493" s="322" t="n">
        <v>160370</v>
      </c>
      <c r="U493" s="321" t="n">
        <v>160370</v>
      </c>
      <c r="V493" s="313" t="n">
        <v>0.12</v>
      </c>
      <c r="W493" s="953" t="n">
        <v>0.055</v>
      </c>
      <c r="X493" s="953" t="n">
        <v>0.12</v>
      </c>
      <c r="Y493" s="954" t="n"/>
      <c r="Z493" s="953" t="n">
        <v>0.04</v>
      </c>
      <c r="AA493" s="952">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849">
      <c r="A494" s="250" t="n">
        <v>99999101403</v>
      </c>
      <c r="B494" s="220" t="inlineStr">
        <is>
          <t>Michael Pollock</t>
        </is>
      </c>
      <c r="C494" s="305" t="inlineStr">
        <is>
          <t>Lead Business Analyst</t>
        </is>
      </c>
      <c r="D494" s="306" t="inlineStr">
        <is>
          <t>Vacant</t>
        </is>
      </c>
      <c r="E494" s="323" t="inlineStr">
        <is>
          <t>Delivery Manager, P&amp;C, Finance &amp; Legal</t>
        </is>
      </c>
      <c r="F494" s="220" t="inlineStr">
        <is>
          <t>TDD Group Functions</t>
        </is>
      </c>
      <c r="G494" s="323" t="inlineStr">
        <is>
          <t>P&amp;C, Finance &amp; Legal</t>
        </is>
      </c>
      <c r="H494" s="306" t="inlineStr">
        <is>
          <t>Delivery, P&amp;C, Finance &amp; Legal</t>
        </is>
      </c>
      <c r="I494" s="306" t="inlineStr">
        <is>
          <t>P&amp;C</t>
        </is>
      </c>
      <c r="J494" s="306" t="inlineStr">
        <is>
          <t>P&amp;C</t>
        </is>
      </c>
      <c r="K494" s="306" t="inlineStr">
        <is>
          <t>P&amp;C</t>
        </is>
      </c>
      <c r="L494" s="306" t="n"/>
      <c r="M494" s="307" t="inlineStr">
        <is>
          <t>NZ</t>
        </is>
      </c>
      <c r="N494" s="308" t="inlineStr">
        <is>
          <t>CIC</t>
        </is>
      </c>
      <c r="O494" s="309" t="n">
        <v>1</v>
      </c>
      <c r="P494" s="308" t="n"/>
      <c r="Q494" s="309" t="inlineStr">
        <is>
          <t>Permanent - Full Time</t>
        </is>
      </c>
      <c r="R494" s="310" t="n"/>
      <c r="S494" s="310" t="n"/>
      <c r="T494" s="322" t="n">
        <v>168300</v>
      </c>
      <c r="U494" s="321" t="n">
        <v>154836</v>
      </c>
      <c r="V494" s="312" t="n">
        <v>0.15</v>
      </c>
      <c r="W494" s="310" t="n"/>
      <c r="X494" s="313" t="n">
        <v>0.05</v>
      </c>
      <c r="Y494" s="951" t="n">
        <v>2910</v>
      </c>
      <c r="Z494" s="313" t="n">
        <v>0.03</v>
      </c>
      <c r="AA494" s="952">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849">
      <c r="A495" s="250" t="n">
        <v>99999101273</v>
      </c>
      <c r="B495" s="220" t="inlineStr">
        <is>
          <t>Michael Weng</t>
        </is>
      </c>
      <c r="C495" s="305" t="inlineStr">
        <is>
          <t>Solution Architect</t>
        </is>
      </c>
      <c r="D495" s="220" t="inlineStr">
        <is>
          <t>Mike Seales</t>
        </is>
      </c>
      <c r="E495" s="220" t="inlineStr">
        <is>
          <t>Technology Manager Integration &amp; Process Managemetn</t>
        </is>
      </c>
      <c r="F495" s="220" t="inlineStr">
        <is>
          <t>TDD Group Functions</t>
        </is>
      </c>
      <c r="G495" s="306" t="inlineStr">
        <is>
          <t xml:space="preserve">TDD &amp; Engineering </t>
        </is>
      </c>
      <c r="H495" s="220" t="inlineStr">
        <is>
          <t>Integration &amp; Process Management</t>
        </is>
      </c>
      <c r="I495" s="220" t="inlineStr">
        <is>
          <t>TDD</t>
        </is>
      </c>
      <c r="J495" s="306" t="inlineStr">
        <is>
          <t>TDD</t>
        </is>
      </c>
      <c r="K495" s="306" t="inlineStr">
        <is>
          <t>Integration &amp; Process automation</t>
        </is>
      </c>
      <c r="L495" s="306" t="n"/>
      <c r="M495" s="307" t="inlineStr">
        <is>
          <t>NZ</t>
        </is>
      </c>
      <c r="N495" s="308" t="inlineStr">
        <is>
          <t>CIC</t>
        </is>
      </c>
      <c r="O495" s="309" t="n">
        <v>1</v>
      </c>
      <c r="P495" s="308" t="n"/>
      <c r="Q495" s="309" t="inlineStr">
        <is>
          <t>Permanent - Full Time</t>
        </is>
      </c>
      <c r="R495" s="310" t="n"/>
      <c r="S495" s="310" t="n"/>
      <c r="T495" s="322" t="n">
        <v>188510</v>
      </c>
      <c r="U495" s="321" t="n">
        <v>173429.2</v>
      </c>
      <c r="V495" s="312" t="n">
        <v>0.15</v>
      </c>
      <c r="W495" s="310" t="n"/>
      <c r="X495" s="313" t="n">
        <v>0.05</v>
      </c>
      <c r="Y495" s="951" t="n">
        <v>2910</v>
      </c>
      <c r="Z495" s="313" t="n">
        <v>0.03</v>
      </c>
      <c r="AA495" s="952">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849">
      <c r="A496" s="250" t="n">
        <v>99999101958</v>
      </c>
      <c r="B496" s="220" t="inlineStr">
        <is>
          <t>Mike Lealamanu</t>
        </is>
      </c>
      <c r="C496" s="305" t="inlineStr">
        <is>
          <t>Quality Assurance</t>
        </is>
      </c>
      <c r="D496" s="355" t="inlineStr">
        <is>
          <t>Vacant</t>
        </is>
      </c>
      <c r="E496" s="323" t="inlineStr">
        <is>
          <t>Technology Manager – DevOps and Quality Engineering</t>
        </is>
      </c>
      <c r="F496" s="306" t="inlineStr">
        <is>
          <t>TDD Group Functions</t>
        </is>
      </c>
      <c r="G496" s="306" t="inlineStr">
        <is>
          <t>TDD &amp; Engineering</t>
        </is>
      </c>
      <c r="H496" s="306" t="inlineStr">
        <is>
          <t>DevOps &amp; QE</t>
        </is>
      </c>
      <c r="I496" s="220" t="inlineStr">
        <is>
          <t>TDD</t>
        </is>
      </c>
      <c r="J496" s="306" t="inlineStr">
        <is>
          <t>TDD</t>
        </is>
      </c>
      <c r="K496" s="306" t="inlineStr">
        <is>
          <t>DevOps &amp; QE</t>
        </is>
      </c>
      <c r="L496" s="306" t="n"/>
      <c r="M496" s="307" t="inlineStr">
        <is>
          <t>NZ</t>
        </is>
      </c>
      <c r="N496" s="308" t="inlineStr">
        <is>
          <t>CIA</t>
        </is>
      </c>
      <c r="O496" s="309" t="n">
        <v>1</v>
      </c>
      <c r="P496" s="308" t="n"/>
      <c r="Q496" s="309" t="inlineStr">
        <is>
          <t>Permanent - Full Time</t>
        </is>
      </c>
      <c r="R496" s="310" t="n"/>
      <c r="S496" s="310" t="n"/>
      <c r="T496" s="322" t="n">
        <v>115830</v>
      </c>
      <c r="U496" s="321" t="n">
        <v>106563.6</v>
      </c>
      <c r="V496" s="312" t="n">
        <v>0.15</v>
      </c>
      <c r="W496" s="310" t="n"/>
      <c r="X496" s="313" t="n">
        <v>0.05</v>
      </c>
      <c r="Y496" s="951" t="n">
        <v>2910</v>
      </c>
      <c r="Z496" s="313" t="n">
        <v>0.03</v>
      </c>
      <c r="AA496" s="952">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849">
      <c r="A497" s="250" t="n">
        <v>99999101058</v>
      </c>
      <c r="B497" s="220" t="inlineStr">
        <is>
          <t>Mike Seales</t>
        </is>
      </c>
      <c r="C497" s="305" t="inlineStr">
        <is>
          <t>Technology Manager, Integration &amp; Process Automation</t>
        </is>
      </c>
      <c r="D497" s="306" t="inlineStr">
        <is>
          <t>Vacant</t>
        </is>
      </c>
      <c r="E497" s="220" t="inlineStr">
        <is>
          <t>Head of Technology - TDD &amp; Engineering Capability Lead</t>
        </is>
      </c>
      <c r="F497" s="220" t="inlineStr">
        <is>
          <t>TDD Group Functions</t>
        </is>
      </c>
      <c r="G497" s="306" t="inlineStr">
        <is>
          <t xml:space="preserve">TDD &amp; Engineering </t>
        </is>
      </c>
      <c r="H497" s="220" t="inlineStr">
        <is>
          <t>Integration &amp; Process Management</t>
        </is>
      </c>
      <c r="I497" s="220" t="inlineStr">
        <is>
          <t>TDD</t>
        </is>
      </c>
      <c r="J497" s="306" t="inlineStr">
        <is>
          <t>TDD</t>
        </is>
      </c>
      <c r="K497" s="306" t="inlineStr">
        <is>
          <t>Integration &amp; Process automation</t>
        </is>
      </c>
      <c r="L497" s="306" t="n"/>
      <c r="M497" s="307" t="inlineStr">
        <is>
          <t>NZ</t>
        </is>
      </c>
      <c r="N497" s="308" t="inlineStr">
        <is>
          <t>CSB</t>
        </is>
      </c>
      <c r="O497" s="309" t="n">
        <v>1</v>
      </c>
      <c r="P497" s="308" t="n"/>
      <c r="Q497" s="309" t="inlineStr">
        <is>
          <t>Permanent - Full Time</t>
        </is>
      </c>
      <c r="R497" s="310" t="n"/>
      <c r="S497" s="310" t="n"/>
      <c r="T497" s="322" t="n">
        <v>200000</v>
      </c>
      <c r="U497" s="321" t="n">
        <v>184000</v>
      </c>
      <c r="V497" s="312" t="n">
        <v>0.15</v>
      </c>
      <c r="W497" s="310" t="n"/>
      <c r="X497" s="313" t="n">
        <v>0.05</v>
      </c>
      <c r="Y497" s="951" t="n">
        <v>2910</v>
      </c>
      <c r="Z497" s="313" t="n">
        <v>0.03</v>
      </c>
      <c r="AA497" s="952">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849">
      <c r="A498" s="250" t="n">
        <v>106117</v>
      </c>
      <c r="B498" s="220" t="inlineStr">
        <is>
          <t>Muhammad Abubaker</t>
        </is>
      </c>
      <c r="C498" s="305" t="inlineStr">
        <is>
          <t>Network Operations Engineer</t>
        </is>
      </c>
      <c r="D498" s="306" t="inlineStr">
        <is>
          <t>John McCormack</t>
        </is>
      </c>
      <c r="E498" s="384" t="inlineStr">
        <is>
          <t>Manager - Infrastructure Operations</t>
        </is>
      </c>
      <c r="F498" s="220" t="inlineStr">
        <is>
          <t>TDD Group Functions</t>
        </is>
      </c>
      <c r="G498" s="306" t="inlineStr">
        <is>
          <t>TDD &amp; Engineering</t>
        </is>
      </c>
      <c r="H498" s="306" t="inlineStr">
        <is>
          <t>Cloud, Network &amp; Infra</t>
        </is>
      </c>
      <c r="I498" s="220" t="inlineStr">
        <is>
          <t>TDD</t>
        </is>
      </c>
      <c r="J498" s="306" t="inlineStr">
        <is>
          <t>TDD</t>
        </is>
      </c>
      <c r="K498" s="306" t="inlineStr">
        <is>
          <t>Cloud, Network &amp; Infra Ops</t>
        </is>
      </c>
      <c r="L498" s="306" t="n"/>
      <c r="M498" s="307" t="inlineStr">
        <is>
          <t>Australia</t>
        </is>
      </c>
      <c r="N498" s="308" t="inlineStr">
        <is>
          <t>CIB</t>
        </is>
      </c>
      <c r="O498" s="308" t="n">
        <v>1</v>
      </c>
      <c r="P498" s="308" t="n"/>
      <c r="Q498" s="308" t="inlineStr">
        <is>
          <t>Permanent - Full Time</t>
        </is>
      </c>
      <c r="R498" s="310" t="n"/>
      <c r="S498" s="310" t="n"/>
      <c r="T498" s="322" t="n">
        <v>163040</v>
      </c>
      <c r="U498" s="321" t="n">
        <v>163040</v>
      </c>
      <c r="V498" s="313" t="n">
        <v>0.12</v>
      </c>
      <c r="W498" s="953" t="n">
        <v>0.055</v>
      </c>
      <c r="X498" s="953" t="n">
        <v>0.12</v>
      </c>
      <c r="Y498" s="954" t="n"/>
      <c r="Z498" s="953" t="n">
        <v>0.04</v>
      </c>
      <c r="AA498" s="952">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849">
      <c r="A499" s="250" t="n">
        <v>106024</v>
      </c>
      <c r="B499" s="220" t="inlineStr">
        <is>
          <t>Nicholas McKay</t>
        </is>
      </c>
      <c r="C499" s="305" t="inlineStr">
        <is>
          <t>Workplace Tooling Specialist</t>
        </is>
      </c>
      <c r="D499" s="306" t="inlineStr">
        <is>
          <t>Vacant</t>
        </is>
      </c>
      <c r="E499" s="220" t="inlineStr">
        <is>
          <t>Technology Manager, Enterprise Tooling</t>
        </is>
      </c>
      <c r="F499" s="220" t="inlineStr">
        <is>
          <t>TDD Group Functions</t>
        </is>
      </c>
      <c r="G499" s="306" t="inlineStr">
        <is>
          <t xml:space="preserve">TDD &amp; Engineering </t>
        </is>
      </c>
      <c r="H499" s="220" t="inlineStr">
        <is>
          <t>Workplace &amp; Enterprise Tooling</t>
        </is>
      </c>
      <c r="I499" s="220" t="inlineStr">
        <is>
          <t>TDD</t>
        </is>
      </c>
      <c r="J499" s="306" t="inlineStr">
        <is>
          <t>TDD</t>
        </is>
      </c>
      <c r="K499" s="306" t="inlineStr">
        <is>
          <t>Workplace &amp; Enterprise Tooling</t>
        </is>
      </c>
      <c r="L499" s="306" t="n"/>
      <c r="M499" s="307" t="inlineStr">
        <is>
          <t>Australia</t>
        </is>
      </c>
      <c r="N499" s="308" t="inlineStr">
        <is>
          <t>CIB</t>
        </is>
      </c>
      <c r="O499" s="308" t="n">
        <v>1</v>
      </c>
      <c r="P499" s="308" t="n"/>
      <c r="Q499" s="308" t="inlineStr">
        <is>
          <t>Permanent - Full Time</t>
        </is>
      </c>
      <c r="R499" s="310" t="n"/>
      <c r="S499" s="310" t="n"/>
      <c r="T499" s="322" t="n">
        <v>159130</v>
      </c>
      <c r="U499" s="321" t="n">
        <v>159130</v>
      </c>
      <c r="V499" s="313" t="n">
        <v>0.12</v>
      </c>
      <c r="W499" s="953" t="n">
        <v>0.055</v>
      </c>
      <c r="X499" s="953" t="n">
        <v>0.12</v>
      </c>
      <c r="Y499" s="954" t="n"/>
      <c r="Z499" s="953" t="n">
        <v>0.04</v>
      </c>
      <c r="AA499" s="952">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849">
      <c r="A500" s="250" t="n">
        <v>99999101069</v>
      </c>
      <c r="B500" s="323" t="inlineStr">
        <is>
          <t>Noel Morris</t>
        </is>
      </c>
      <c r="C500" s="391" t="inlineStr">
        <is>
          <t>Snr Engineer</t>
        </is>
      </c>
      <c r="D500" s="306" t="inlineStr">
        <is>
          <t>Vacant</t>
        </is>
      </c>
      <c r="E500" s="323" t="inlineStr">
        <is>
          <t>RPA Lead</t>
        </is>
      </c>
      <c r="F500" s="220" t="inlineStr">
        <is>
          <t>TDD Group Functions</t>
        </is>
      </c>
      <c r="G500" s="306" t="inlineStr">
        <is>
          <t xml:space="preserve">TDD &amp; Engineering </t>
        </is>
      </c>
      <c r="H500" s="306" t="inlineStr">
        <is>
          <t>Integration &amp; Process automation</t>
        </is>
      </c>
      <c r="I500" s="220" t="inlineStr">
        <is>
          <t>TDD</t>
        </is>
      </c>
      <c r="J500" s="306" t="inlineStr">
        <is>
          <t>TDD</t>
        </is>
      </c>
      <c r="K500" s="306" t="inlineStr">
        <is>
          <t>Integration &amp; Process automation</t>
        </is>
      </c>
      <c r="L500" s="306" t="n"/>
      <c r="M500" s="307" t="inlineStr">
        <is>
          <t>NZ</t>
        </is>
      </c>
      <c r="N500" s="308" t="inlineStr">
        <is>
          <t>CIA</t>
        </is>
      </c>
      <c r="O500" s="309" t="n">
        <v>1</v>
      </c>
      <c r="P500" s="308" t="n"/>
      <c r="Q500" s="309" t="inlineStr">
        <is>
          <t>Permanent - Full Time</t>
        </is>
      </c>
      <c r="R500" s="310" t="n"/>
      <c r="S500" s="310" t="n"/>
      <c r="T500" s="322" t="n">
        <v>120800</v>
      </c>
      <c r="U500" s="311" t="n">
        <v>111136</v>
      </c>
      <c r="V500" s="312" t="n">
        <v>0.15</v>
      </c>
      <c r="W500" s="310" t="n"/>
      <c r="X500" s="313" t="n">
        <v>0.05</v>
      </c>
      <c r="Y500" s="951" t="n">
        <v>2910</v>
      </c>
      <c r="Z500" s="313" t="n">
        <v>0.03</v>
      </c>
      <c r="AA500" s="952">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849">
      <c r="A501" s="250" t="n">
        <v>93476</v>
      </c>
      <c r="B501" s="220" t="inlineStr">
        <is>
          <t>Prerna Sharma</t>
        </is>
      </c>
      <c r="C501" s="305" t="inlineStr">
        <is>
          <t>SAP HR Specialist</t>
        </is>
      </c>
      <c r="D501" s="306" t="inlineStr">
        <is>
          <t>Vacant</t>
        </is>
      </c>
      <c r="E501" t="inlineStr">
        <is>
          <t>Technology Manager P&amp;C Platforms</t>
        </is>
      </c>
      <c r="F501" s="220" t="inlineStr">
        <is>
          <t>TDD Group Functions</t>
        </is>
      </c>
      <c r="G501" s="323" t="inlineStr">
        <is>
          <t>P&amp;C, Finance &amp; Legal</t>
        </is>
      </c>
      <c r="H501" s="306" t="inlineStr">
        <is>
          <t>Tech, P&amp;C Platforms</t>
        </is>
      </c>
      <c r="I501" s="306" t="inlineStr">
        <is>
          <t>P&amp;C</t>
        </is>
      </c>
      <c r="J501" s="306" t="inlineStr">
        <is>
          <t>P&amp;C</t>
        </is>
      </c>
      <c r="K501" s="306" t="inlineStr">
        <is>
          <t>P&amp;C</t>
        </is>
      </c>
      <c r="L501" s="306" t="n"/>
      <c r="M501" s="307" t="inlineStr">
        <is>
          <t>Australia</t>
        </is>
      </c>
      <c r="N501" s="308" t="inlineStr">
        <is>
          <t>CIC</t>
        </is>
      </c>
      <c r="O501" s="308" t="n">
        <v>1</v>
      </c>
      <c r="P501" s="308" t="n"/>
      <c r="Q501" s="308" t="inlineStr">
        <is>
          <t>Permanent - Full Time</t>
        </is>
      </c>
      <c r="R501" s="310" t="n"/>
      <c r="S501" s="310" t="n"/>
      <c r="T501" s="322" t="n">
        <v>175410</v>
      </c>
      <c r="U501" s="311" t="n">
        <v>175410</v>
      </c>
      <c r="V501" s="313" t="n">
        <v>0.12</v>
      </c>
      <c r="W501" s="953" t="n">
        <v>0.055</v>
      </c>
      <c r="X501" s="953" t="n">
        <v>0.12</v>
      </c>
      <c r="Y501" s="954" t="n"/>
      <c r="Z501" s="953" t="n">
        <v>0.04</v>
      </c>
      <c r="AA501" s="952">
        <f>U501*(1+V501+W501+X501+Y501+Z501)</f>
        <v>234172.35</v>
      </c>
      <c r="AC501" t="inlineStr">
        <is>
          <t>P&amp;C</t>
        </is>
      </c>
      <c r="AD501" t="inlineStr">
        <is>
          <t>P&amp;C</t>
        </is>
      </c>
      <c r="AE501" t="inlineStr">
        <is>
          <t>P&amp;C</t>
        </is>
      </c>
      <c r="AF501" t="inlineStr">
        <is>
          <t>Squad</t>
        </is>
      </c>
      <c r="AG501" t="inlineStr">
        <is>
          <t>Filled</t>
        </is>
      </c>
    </row>
    <row r="502" hidden="1" ht="18" customHeight="1" s="849">
      <c r="A502" s="250" t="n"/>
      <c r="B502" s="355" t="inlineStr">
        <is>
          <t>Ring fenced</t>
        </is>
      </c>
      <c r="C502" s="391" t="inlineStr">
        <is>
          <t>JDE Senior Systems Specialist</t>
        </is>
      </c>
      <c r="D502" s="306" t="inlineStr">
        <is>
          <t>Lydia Pritchard</t>
        </is>
      </c>
      <c r="E502" s="323" t="inlineStr">
        <is>
          <t>Lead JDE System Specialist</t>
        </is>
      </c>
      <c r="F502" s="220" t="inlineStr">
        <is>
          <t>TDD Group Functions</t>
        </is>
      </c>
      <c r="G502" s="323" t="inlineStr">
        <is>
          <t>P&amp;C, Finance &amp; Legal</t>
        </is>
      </c>
      <c r="H502" s="306" t="inlineStr">
        <is>
          <t>Tech, Finance Platforms</t>
        </is>
      </c>
      <c r="I502" s="306" t="inlineStr">
        <is>
          <t>Finance</t>
        </is>
      </c>
      <c r="J502" s="306" t="inlineStr">
        <is>
          <t>NZ Finance</t>
        </is>
      </c>
      <c r="K502" s="306" t="inlineStr">
        <is>
          <t>NZ Finance</t>
        </is>
      </c>
      <c r="L502" s="306" t="n"/>
      <c r="M502" s="307" t="inlineStr">
        <is>
          <t>NZ</t>
        </is>
      </c>
      <c r="N502" s="308" t="inlineStr">
        <is>
          <t>CIC</t>
        </is>
      </c>
      <c r="O502" s="308" t="n">
        <v>1</v>
      </c>
      <c r="P502" s="308" t="n"/>
      <c r="Q502" s="308" t="inlineStr">
        <is>
          <t>v</t>
        </is>
      </c>
      <c r="R502" s="319" t="n"/>
      <c r="S502" s="310" t="n"/>
      <c r="T502" s="322" t="n">
        <v>160000</v>
      </c>
      <c r="U502" s="311" t="n">
        <v>147200</v>
      </c>
      <c r="V502" s="313" t="n">
        <v>0.15</v>
      </c>
      <c r="W502" s="310" t="n"/>
      <c r="X502" s="313" t="n">
        <v>0.05</v>
      </c>
      <c r="Y502" s="951" t="n">
        <v>2910</v>
      </c>
      <c r="Z502" s="313" t="n">
        <v>0.03</v>
      </c>
      <c r="AA502" s="952">
        <f>U502*(1+V502+X502+Z502)+Y502</f>
        <v>183966.0</v>
      </c>
      <c r="AC502" t="inlineStr">
        <is>
          <t>Finance</t>
        </is>
      </c>
      <c r="AD502" t="inlineStr">
        <is>
          <t>NZ Finance</t>
        </is>
      </c>
      <c r="AE502" t="inlineStr">
        <is>
          <t>NZ Finance</t>
        </is>
      </c>
      <c r="AF502" t="inlineStr">
        <is>
          <t>Squad</t>
        </is>
      </c>
      <c r="AG502" t="inlineStr">
        <is>
          <t>Filled</t>
        </is>
      </c>
    </row>
    <row r="503" hidden="1" ht="18" customHeight="1" s="849">
      <c r="A503" s="250" t="n"/>
      <c r="B503" s="355" t="inlineStr">
        <is>
          <t>Ring fenced</t>
        </is>
      </c>
      <c r="C503" s="391" t="inlineStr">
        <is>
          <t>JDE Senior Systems Specialist</t>
        </is>
      </c>
      <c r="D503" s="306" t="inlineStr">
        <is>
          <t>Lydia Pritchard</t>
        </is>
      </c>
      <c r="E503" s="323" t="inlineStr">
        <is>
          <t>Lead JDE System Specialist</t>
        </is>
      </c>
      <c r="F503" s="220" t="inlineStr">
        <is>
          <t>TDD Group Functions</t>
        </is>
      </c>
      <c r="G503" s="323" t="inlineStr">
        <is>
          <t>P&amp;C, Finance &amp; Legal</t>
        </is>
      </c>
      <c r="H503" s="306" t="inlineStr">
        <is>
          <t>Tech, Finance Platforms</t>
        </is>
      </c>
      <c r="I503" s="306" t="inlineStr">
        <is>
          <t>Finance</t>
        </is>
      </c>
      <c r="J503" s="306" t="inlineStr">
        <is>
          <t>NZ Finance</t>
        </is>
      </c>
      <c r="K503" s="306" t="inlineStr">
        <is>
          <t>NZ Finance</t>
        </is>
      </c>
      <c r="L503" s="306" t="n"/>
      <c r="M503" s="307" t="inlineStr">
        <is>
          <t>NZ</t>
        </is>
      </c>
      <c r="N503" s="308" t="inlineStr">
        <is>
          <t>CIC</t>
        </is>
      </c>
      <c r="O503" s="308" t="n">
        <v>1</v>
      </c>
      <c r="P503" s="308" t="n"/>
      <c r="Q503" s="308" t="inlineStr">
        <is>
          <t>v</t>
        </is>
      </c>
      <c r="R503" s="319" t="n"/>
      <c r="S503" s="310" t="n"/>
      <c r="T503" s="322" t="n">
        <v>160000</v>
      </c>
      <c r="U503" s="311" t="n">
        <v>147200</v>
      </c>
      <c r="V503" s="312" t="n">
        <v>0.15</v>
      </c>
      <c r="W503" s="310" t="n"/>
      <c r="X503" s="313" t="n">
        <v>0.05</v>
      </c>
      <c r="Y503" s="951" t="n">
        <v>2910</v>
      </c>
      <c r="Z503" s="313" t="n">
        <v>0.03</v>
      </c>
      <c r="AA503" s="952">
        <f>U503*(1+V503+X503+Z503)+Y503</f>
        <v>183966.0</v>
      </c>
      <c r="AC503" t="inlineStr">
        <is>
          <t>Finance</t>
        </is>
      </c>
      <c r="AD503" t="inlineStr">
        <is>
          <t>NZ Finance</t>
        </is>
      </c>
      <c r="AE503" t="inlineStr">
        <is>
          <t>NZ Finance</t>
        </is>
      </c>
      <c r="AF503" t="inlineStr">
        <is>
          <t>Squad</t>
        </is>
      </c>
      <c r="AG503" t="inlineStr">
        <is>
          <t>Filled</t>
        </is>
      </c>
    </row>
    <row r="504" hidden="1" ht="18" customHeight="1" s="849">
      <c r="A504" s="250" t="n"/>
      <c r="B504" s="355" t="inlineStr">
        <is>
          <t>Ring fenced selection</t>
        </is>
      </c>
      <c r="C504" s="391" t="inlineStr">
        <is>
          <t>Cloud Solutions Architect</t>
        </is>
      </c>
      <c r="D504" s="306" t="inlineStr">
        <is>
          <t>Vacant</t>
        </is>
      </c>
      <c r="E504" s="323" t="inlineStr">
        <is>
          <t>Technology Manager - Cloud, Network &amp; Infrastructure Operations</t>
        </is>
      </c>
      <c r="F504" s="220" t="inlineStr">
        <is>
          <t>TDD Group Functions</t>
        </is>
      </c>
      <c r="G504" s="306" t="inlineStr">
        <is>
          <t>TDD &amp; Engineering</t>
        </is>
      </c>
      <c r="H504" s="306" t="inlineStr">
        <is>
          <t>Cloud, Network &amp; Infra</t>
        </is>
      </c>
      <c r="I504" s="220" t="inlineStr">
        <is>
          <t>TDD</t>
        </is>
      </c>
      <c r="J504" s="306" t="inlineStr">
        <is>
          <t>TDD</t>
        </is>
      </c>
      <c r="K504" s="306" t="inlineStr">
        <is>
          <t>Cloud, Network &amp; Infra Ops</t>
        </is>
      </c>
      <c r="L504" s="306" t="n"/>
      <c r="M504" s="307" t="inlineStr">
        <is>
          <t>Australia</t>
        </is>
      </c>
      <c r="N504" s="308" t="inlineStr">
        <is>
          <t>CIC</t>
        </is>
      </c>
      <c r="O504" s="308" t="n">
        <v>1</v>
      </c>
      <c r="P504" s="308" t="n"/>
      <c r="Q504" s="308" t="inlineStr">
        <is>
          <t>v</t>
        </is>
      </c>
      <c r="R504" s="319" t="n"/>
      <c r="S504" s="310" t="n"/>
      <c r="T504" s="322" t="n">
        <v>200000</v>
      </c>
      <c r="U504" s="311" t="n">
        <v>200000</v>
      </c>
      <c r="V504" s="313" t="n">
        <v>0.12</v>
      </c>
      <c r="W504" s="953" t="n">
        <v>0.055</v>
      </c>
      <c r="X504" s="953" t="n">
        <v>0.12</v>
      </c>
      <c r="Y504" s="954" t="n"/>
      <c r="Z504" s="953" t="n">
        <v>0.04</v>
      </c>
      <c r="AA504" s="952">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849">
      <c r="A505" s="250" t="n"/>
      <c r="B505" s="355" t="inlineStr">
        <is>
          <t>Ring fenced selection</t>
        </is>
      </c>
      <c r="C505" s="391" t="inlineStr">
        <is>
          <t>Cloud Solutions Architect</t>
        </is>
      </c>
      <c r="D505" s="306" t="inlineStr">
        <is>
          <t>Vacant</t>
        </is>
      </c>
      <c r="E505" s="323" t="inlineStr">
        <is>
          <t>Technology Manager - Cloud, Network &amp; Infrastructure Operations</t>
        </is>
      </c>
      <c r="F505" s="220" t="inlineStr">
        <is>
          <t>TDD Group Functions</t>
        </is>
      </c>
      <c r="G505" s="306" t="inlineStr">
        <is>
          <t>TDD &amp; Engineering</t>
        </is>
      </c>
      <c r="H505" s="306" t="inlineStr">
        <is>
          <t>Cloud, Network &amp; Infra</t>
        </is>
      </c>
      <c r="I505" s="220" t="inlineStr">
        <is>
          <t>TDD</t>
        </is>
      </c>
      <c r="J505" s="306" t="inlineStr">
        <is>
          <t>TDD</t>
        </is>
      </c>
      <c r="K505" s="306" t="inlineStr">
        <is>
          <t>Cloud, Network &amp; Infra Ops</t>
        </is>
      </c>
      <c r="L505" s="306" t="n"/>
      <c r="M505" s="307" t="inlineStr">
        <is>
          <t>Australia</t>
        </is>
      </c>
      <c r="N505" s="308" t="inlineStr">
        <is>
          <t>CIC</t>
        </is>
      </c>
      <c r="O505" s="308" t="n">
        <v>1</v>
      </c>
      <c r="P505" s="308" t="n"/>
      <c r="Q505" s="308" t="inlineStr">
        <is>
          <t>v</t>
        </is>
      </c>
      <c r="R505" s="319" t="n"/>
      <c r="S505" s="310" t="n"/>
      <c r="T505" s="322" t="n">
        <v>200000</v>
      </c>
      <c r="U505" s="311" t="n">
        <v>200000</v>
      </c>
      <c r="V505" s="313" t="n">
        <v>0.12</v>
      </c>
      <c r="W505" s="953" t="n">
        <v>0.055</v>
      </c>
      <c r="X505" s="953" t="n">
        <v>0.12</v>
      </c>
      <c r="Y505" s="954" t="n"/>
      <c r="Z505" s="953" t="n">
        <v>0.04</v>
      </c>
      <c r="AA505" s="952">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849">
      <c r="A506" s="250" t="n"/>
      <c r="B506" s="355" t="inlineStr">
        <is>
          <t>Ring fenced selection</t>
        </is>
      </c>
      <c r="C506" s="391" t="inlineStr">
        <is>
          <t>Cloud Solutions Architect</t>
        </is>
      </c>
      <c r="D506" s="306" t="inlineStr">
        <is>
          <t>Vacant</t>
        </is>
      </c>
      <c r="E506" s="384" t="inlineStr">
        <is>
          <t>Technology Manager - Cloud, Network &amp; Infrastructure Operations</t>
        </is>
      </c>
      <c r="F506" s="220" t="inlineStr">
        <is>
          <t>TDD Group Functions</t>
        </is>
      </c>
      <c r="G506" s="306" t="inlineStr">
        <is>
          <t>TDD &amp; Engineering</t>
        </is>
      </c>
      <c r="H506" s="306" t="inlineStr">
        <is>
          <t>Cloud, Network &amp; Infra</t>
        </is>
      </c>
      <c r="I506" s="220" t="inlineStr">
        <is>
          <t>TDD</t>
        </is>
      </c>
      <c r="J506" s="306" t="inlineStr">
        <is>
          <t>TDD</t>
        </is>
      </c>
      <c r="K506" s="306" t="inlineStr">
        <is>
          <t>Cloud, Network &amp; Infra Ops</t>
        </is>
      </c>
      <c r="L506" s="306" t="n"/>
      <c r="M506" s="307" t="inlineStr">
        <is>
          <t>Australia</t>
        </is>
      </c>
      <c r="N506" s="308" t="inlineStr">
        <is>
          <t>CIC</t>
        </is>
      </c>
      <c r="O506" s="308" t="n">
        <v>1</v>
      </c>
      <c r="P506" s="308" t="n"/>
      <c r="Q506" s="308" t="inlineStr">
        <is>
          <t>v</t>
        </is>
      </c>
      <c r="R506" s="319" t="n"/>
      <c r="S506" s="310" t="n"/>
      <c r="T506" s="322" t="n">
        <v>200000</v>
      </c>
      <c r="U506" s="321" t="n">
        <v>200000</v>
      </c>
      <c r="V506" s="313" t="n">
        <v>0.12</v>
      </c>
      <c r="W506" s="953" t="n">
        <v>0.055</v>
      </c>
      <c r="X506" s="953" t="n">
        <v>0.12</v>
      </c>
      <c r="Y506" s="954" t="n"/>
      <c r="Z506" s="953" t="n">
        <v>0.04</v>
      </c>
      <c r="AA506" s="952">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849">
      <c r="A507" s="250" t="n"/>
      <c r="B507" s="355" t="inlineStr">
        <is>
          <t>Ring fenced selection</t>
        </is>
      </c>
      <c r="C507" s="391" t="inlineStr">
        <is>
          <t>Cloud Solutions Architect</t>
        </is>
      </c>
      <c r="D507" s="306" t="inlineStr">
        <is>
          <t>Vacant</t>
        </is>
      </c>
      <c r="E507" s="323" t="inlineStr">
        <is>
          <t>Technology Manager - Cloud, Network &amp; Infrastructure Operations</t>
        </is>
      </c>
      <c r="F507" s="220" t="inlineStr">
        <is>
          <t>TDD Group Functions</t>
        </is>
      </c>
      <c r="G507" s="306" t="inlineStr">
        <is>
          <t>TDD &amp; Engineering</t>
        </is>
      </c>
      <c r="H507" s="306" t="inlineStr">
        <is>
          <t>Cloud, Network &amp; Infra</t>
        </is>
      </c>
      <c r="I507" s="220" t="inlineStr">
        <is>
          <t>TDD</t>
        </is>
      </c>
      <c r="J507" s="306" t="inlineStr">
        <is>
          <t>TDD</t>
        </is>
      </c>
      <c r="K507" s="306" t="inlineStr">
        <is>
          <t>Cloud, Network &amp; Infra Ops</t>
        </is>
      </c>
      <c r="L507" s="306" t="n"/>
      <c r="M507" s="307" t="inlineStr">
        <is>
          <t>Australia</t>
        </is>
      </c>
      <c r="N507" s="308" t="inlineStr">
        <is>
          <t>CIC</t>
        </is>
      </c>
      <c r="O507" s="308" t="n">
        <v>1</v>
      </c>
      <c r="P507" s="308" t="n"/>
      <c r="Q507" s="308" t="inlineStr">
        <is>
          <t>v</t>
        </is>
      </c>
      <c r="R507" s="319" t="n"/>
      <c r="S507" s="310" t="n"/>
      <c r="T507" s="322" t="n">
        <v>200000</v>
      </c>
      <c r="U507" s="321" t="n">
        <v>200000</v>
      </c>
      <c r="V507" s="313" t="n">
        <v>0.12</v>
      </c>
      <c r="W507" s="953" t="n">
        <v>0.055</v>
      </c>
      <c r="X507" s="953" t="n">
        <v>0.12</v>
      </c>
      <c r="Y507" s="954" t="n"/>
      <c r="Z507" s="953" t="n">
        <v>0.04</v>
      </c>
      <c r="AA507" s="952">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849">
      <c r="A508" s="250" t="n">
        <v>99999101446</v>
      </c>
      <c r="B508" s="220" t="inlineStr">
        <is>
          <t>Rob Struthers</t>
        </is>
      </c>
      <c r="C508" s="305" t="inlineStr">
        <is>
          <t>Engineer - Modern Workplaces</t>
        </is>
      </c>
      <c r="D508" s="306" t="inlineStr">
        <is>
          <t>Vacant</t>
        </is>
      </c>
      <c r="E508" s="220" t="inlineStr">
        <is>
          <t>Technology Manager, Enterprise Tooling</t>
        </is>
      </c>
      <c r="F508" s="220" t="inlineStr">
        <is>
          <t>TDD Group Functions</t>
        </is>
      </c>
      <c r="G508" s="306" t="inlineStr">
        <is>
          <t xml:space="preserve">TDD &amp; Engineering </t>
        </is>
      </c>
      <c r="H508" s="220" t="inlineStr">
        <is>
          <t>Workplace &amp; Enterprise Tooling</t>
        </is>
      </c>
      <c r="I508" s="220" t="inlineStr">
        <is>
          <t>TDD</t>
        </is>
      </c>
      <c r="J508" s="306" t="inlineStr">
        <is>
          <t>TDD</t>
        </is>
      </c>
      <c r="K508" s="306" t="inlineStr">
        <is>
          <t>Workplace &amp; Enterprise Tooling</t>
        </is>
      </c>
      <c r="L508" s="306" t="n"/>
      <c r="M508" s="307" t="inlineStr">
        <is>
          <t>NZ</t>
        </is>
      </c>
      <c r="N508" s="308" t="inlineStr">
        <is>
          <t>CIA</t>
        </is>
      </c>
      <c r="O508" s="309" t="n">
        <v>1</v>
      </c>
      <c r="P508" s="308" t="n"/>
      <c r="Q508" s="309" t="inlineStr">
        <is>
          <t>Permanent - Full Time</t>
        </is>
      </c>
      <c r="R508" s="310" t="n"/>
      <c r="S508" s="310" t="n"/>
      <c r="T508" s="322" t="n">
        <v>124390</v>
      </c>
      <c r="U508" s="321" t="n">
        <v>114438.8</v>
      </c>
      <c r="V508" s="312" t="n">
        <v>0.15</v>
      </c>
      <c r="W508" s="310" t="n"/>
      <c r="X508" s="313" t="n">
        <v>0.05</v>
      </c>
      <c r="Y508" s="951" t="n">
        <v>2910</v>
      </c>
      <c r="Z508" s="313" t="n">
        <v>0.03</v>
      </c>
      <c r="AA508" s="952">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849">
      <c r="A509" s="250" t="n">
        <v>97625</v>
      </c>
      <c r="B509" s="220" t="inlineStr">
        <is>
          <t>Satish Chowdhary</t>
        </is>
      </c>
      <c r="C509" s="305" t="inlineStr">
        <is>
          <t>Nework Architect</t>
        </is>
      </c>
      <c r="D509" s="306" t="inlineStr">
        <is>
          <t>Vacant</t>
        </is>
      </c>
      <c r="E509" s="323" t="inlineStr">
        <is>
          <t>Technology Manager - Cloud, Network &amp; Infrastructure Operations</t>
        </is>
      </c>
      <c r="F509" s="220" t="inlineStr">
        <is>
          <t>TDD Group Functions</t>
        </is>
      </c>
      <c r="G509" s="306" t="inlineStr">
        <is>
          <t>TDD &amp; Engineering</t>
        </is>
      </c>
      <c r="H509" s="306" t="inlineStr">
        <is>
          <t>Cloud, Network &amp; Infra</t>
        </is>
      </c>
      <c r="I509" s="220" t="inlineStr">
        <is>
          <t>TDD</t>
        </is>
      </c>
      <c r="J509" s="306" t="inlineStr">
        <is>
          <t>TDD</t>
        </is>
      </c>
      <c r="K509" s="306" t="inlineStr">
        <is>
          <t>Cloud, Network &amp; Infra Ops</t>
        </is>
      </c>
      <c r="L509" s="306" t="n"/>
      <c r="M509" s="307" t="inlineStr">
        <is>
          <t>Australia</t>
        </is>
      </c>
      <c r="N509" s="308" t="inlineStr">
        <is>
          <t>CIC</t>
        </is>
      </c>
      <c r="O509" s="308" t="n">
        <v>1</v>
      </c>
      <c r="P509" s="308" t="n"/>
      <c r="Q509" s="308" t="inlineStr">
        <is>
          <t>Permanent - Full Time</t>
        </is>
      </c>
      <c r="R509" s="310" t="n"/>
      <c r="S509" s="310" t="n"/>
      <c r="T509" s="322" t="n">
        <v>194100</v>
      </c>
      <c r="U509" s="321" t="n">
        <v>194100</v>
      </c>
      <c r="V509" s="313" t="n">
        <v>0.12</v>
      </c>
      <c r="W509" s="953" t="n">
        <v>0.055</v>
      </c>
      <c r="X509" s="953" t="n">
        <v>0.12</v>
      </c>
      <c r="Y509" s="954" t="n"/>
      <c r="Z509" s="953" t="n">
        <v>0.04</v>
      </c>
      <c r="AA509" s="952">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849">
      <c r="A510" s="250" t="n">
        <v>109863</v>
      </c>
      <c r="B510" s="220" t="inlineStr">
        <is>
          <t>Shane Ker</t>
        </is>
      </c>
      <c r="C510" s="305" t="inlineStr">
        <is>
          <t>Technology Manger - Finance Platfoms</t>
        </is>
      </c>
      <c r="D510" s="220" t="inlineStr">
        <is>
          <t>Vaso Vukovic</t>
        </is>
      </c>
      <c r="E510" t="inlineStr">
        <is>
          <t>Head of Technology - P&amp;C, Finance &amp; Legal</t>
        </is>
      </c>
      <c r="F510" s="220" t="inlineStr">
        <is>
          <t>TDD Group Functions</t>
        </is>
      </c>
      <c r="G510" s="323" t="inlineStr">
        <is>
          <t>P&amp;C, Finance &amp; Legal</t>
        </is>
      </c>
      <c r="H510" s="306" t="inlineStr">
        <is>
          <t>Tech, Finance Platforms</t>
        </is>
      </c>
      <c r="I510" s="306" t="inlineStr">
        <is>
          <t>Finance</t>
        </is>
      </c>
      <c r="J510" s="306" t="inlineStr">
        <is>
          <t>Finance</t>
        </is>
      </c>
      <c r="K510" s="306" t="inlineStr">
        <is>
          <t>Leadership</t>
        </is>
      </c>
      <c r="L510" s="306" t="n"/>
      <c r="M510" s="307" t="inlineStr">
        <is>
          <t>Australia</t>
        </is>
      </c>
      <c r="N510" s="308" t="inlineStr">
        <is>
          <t>CSB</t>
        </is>
      </c>
      <c r="O510" s="308" t="n">
        <v>1</v>
      </c>
      <c r="P510" s="308" t="n"/>
      <c r="Q510" s="308" t="inlineStr">
        <is>
          <t>Permanent - Full Time</t>
        </is>
      </c>
      <c r="R510" s="310" t="n"/>
      <c r="S510" s="310" t="n"/>
      <c r="T510" s="322" t="n">
        <v>238790</v>
      </c>
      <c r="U510" s="321" t="n">
        <v>238790</v>
      </c>
      <c r="V510" s="313" t="n">
        <v>0.14</v>
      </c>
      <c r="W510" s="953" t="n">
        <v>0.055</v>
      </c>
      <c r="X510" s="953" t="n">
        <v>0.12</v>
      </c>
      <c r="Y510" s="954" t="n"/>
      <c r="Z510" s="953" t="n">
        <v>0.04</v>
      </c>
      <c r="AA510" s="952">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849">
      <c r="A511" s="250" t="n">
        <v>99999101466</v>
      </c>
      <c r="B511" s="220" t="inlineStr">
        <is>
          <t>Shobhit Mittal</t>
        </is>
      </c>
      <c r="C511" s="305" t="inlineStr">
        <is>
          <t>Lead Engineer - Automation Test</t>
        </is>
      </c>
      <c r="D511" s="355" t="inlineStr">
        <is>
          <t>Vacant</t>
        </is>
      </c>
      <c r="E511" s="323" t="inlineStr">
        <is>
          <t>Technology Manager – DevOps and Quality Engineering</t>
        </is>
      </c>
      <c r="F511" s="306" t="inlineStr">
        <is>
          <t>TDD Group Functions</t>
        </is>
      </c>
      <c r="G511" s="306" t="inlineStr">
        <is>
          <t>TDD &amp; Engineering</t>
        </is>
      </c>
      <c r="H511" s="306" t="inlineStr">
        <is>
          <t>Dev Ops  &amp; QE</t>
        </is>
      </c>
      <c r="I511" s="306" t="inlineStr">
        <is>
          <t>EGI</t>
        </is>
      </c>
      <c r="J511" s="306" t="inlineStr">
        <is>
          <t>EGI</t>
        </is>
      </c>
      <c r="K511" s="306" t="inlineStr">
        <is>
          <t>EGI TDD</t>
        </is>
      </c>
      <c r="L511" s="306" t="n"/>
      <c r="M511" s="307" t="inlineStr">
        <is>
          <t>NZ</t>
        </is>
      </c>
      <c r="N511" s="308" t="inlineStr">
        <is>
          <t>CIC</t>
        </is>
      </c>
      <c r="O511" s="309" t="n">
        <v>1</v>
      </c>
      <c r="P511" s="308" t="n"/>
      <c r="Q511" s="309" t="inlineStr">
        <is>
          <t>Permanent - Full Time</t>
        </is>
      </c>
      <c r="R511" s="310" t="n"/>
      <c r="S511" s="310" t="n"/>
      <c r="T511" s="322" t="n">
        <v>173600</v>
      </c>
      <c r="U511" s="321" t="n">
        <v>159712</v>
      </c>
      <c r="V511" s="312" t="n">
        <v>0.15</v>
      </c>
      <c r="W511" s="310" t="n"/>
      <c r="X511" s="313" t="n">
        <v>0.05</v>
      </c>
      <c r="Y511" s="951" t="n">
        <v>2910</v>
      </c>
      <c r="Z511" s="313" t="n">
        <v>0.03</v>
      </c>
      <c r="AA511" s="952">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849">
      <c r="A512" s="250" t="n">
        <v>6591</v>
      </c>
      <c r="B512" s="220" t="inlineStr">
        <is>
          <t>Steven Yong</t>
        </is>
      </c>
      <c r="C512" s="305" t="inlineStr">
        <is>
          <t>Nework Architect</t>
        </is>
      </c>
      <c r="D512" s="306" t="inlineStr">
        <is>
          <t>Vacant</t>
        </is>
      </c>
      <c r="E512" s="323" t="inlineStr">
        <is>
          <t>Technology Manager - Cloud, Network &amp; Infrastructure Operations</t>
        </is>
      </c>
      <c r="F512" s="220" t="inlineStr">
        <is>
          <t>TDD Group Functions</t>
        </is>
      </c>
      <c r="G512" s="306" t="inlineStr">
        <is>
          <t>TDD &amp; Engineering</t>
        </is>
      </c>
      <c r="H512" s="306" t="inlineStr">
        <is>
          <t>Cloud, Network &amp; Infra</t>
        </is>
      </c>
      <c r="I512" s="220" t="inlineStr">
        <is>
          <t>TDD</t>
        </is>
      </c>
      <c r="J512" s="306" t="inlineStr">
        <is>
          <t>TDD</t>
        </is>
      </c>
      <c r="K512" s="306" t="inlineStr">
        <is>
          <t>Cloud, Network &amp; Infra Ops</t>
        </is>
      </c>
      <c r="L512" s="306" t="n"/>
      <c r="M512" s="307" t="inlineStr">
        <is>
          <t>Australia</t>
        </is>
      </c>
      <c r="N512" s="310" t="inlineStr">
        <is>
          <t>CIC</t>
        </is>
      </c>
      <c r="O512" s="310" t="n">
        <v>1</v>
      </c>
      <c r="P512" s="310" t="n"/>
      <c r="Q512" s="310" t="inlineStr">
        <is>
          <t>Permanent - Full Time</t>
        </is>
      </c>
      <c r="R512" s="310" t="n"/>
      <c r="S512" s="310" t="n"/>
      <c r="T512" s="322" t="n">
        <v>182340</v>
      </c>
      <c r="U512" s="321" t="n">
        <v>182340</v>
      </c>
      <c r="V512" s="313" t="n">
        <v>0.12</v>
      </c>
      <c r="W512" s="953" t="n">
        <v>0.055</v>
      </c>
      <c r="X512" s="953" t="n">
        <v>0.12</v>
      </c>
      <c r="Y512" s="954" t="n"/>
      <c r="Z512" s="953" t="n">
        <v>0.04</v>
      </c>
      <c r="AA512" s="952">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849">
      <c r="A513" s="250" t="n">
        <v>99999102120</v>
      </c>
      <c r="B513" s="220" t="inlineStr">
        <is>
          <t>Sunny Arya</t>
        </is>
      </c>
      <c r="C513" s="305" t="inlineStr">
        <is>
          <t>Lead Engineer, Devops</t>
        </is>
      </c>
      <c r="D513" s="355" t="inlineStr">
        <is>
          <t>Vacant</t>
        </is>
      </c>
      <c r="E513" s="323" t="inlineStr">
        <is>
          <t>Technology Manager – DevOps and Quality Engineering</t>
        </is>
      </c>
      <c r="F513" s="306" t="inlineStr">
        <is>
          <t>TDD Group Functions</t>
        </is>
      </c>
      <c r="G513" s="306" t="inlineStr">
        <is>
          <t>TDD &amp; Engineering</t>
        </is>
      </c>
      <c r="H513" s="306" t="inlineStr">
        <is>
          <t>DevOps &amp; QE</t>
        </is>
      </c>
      <c r="I513" s="220" t="inlineStr">
        <is>
          <t>TDD</t>
        </is>
      </c>
      <c r="J513" s="306" t="inlineStr">
        <is>
          <t>TDD</t>
        </is>
      </c>
      <c r="K513" s="306" t="inlineStr">
        <is>
          <t>DevOps &amp; QE</t>
        </is>
      </c>
      <c r="L513" s="306" t="n"/>
      <c r="M513" s="307" t="inlineStr">
        <is>
          <t>NZ</t>
        </is>
      </c>
      <c r="N513" s="308" t="inlineStr">
        <is>
          <t>CIC</t>
        </is>
      </c>
      <c r="O513" s="309" t="n">
        <v>1</v>
      </c>
      <c r="P513" s="308" t="n"/>
      <c r="Q513" s="309" t="inlineStr">
        <is>
          <t>Permanent - Full Time</t>
        </is>
      </c>
      <c r="R513" s="310" t="n"/>
      <c r="S513" s="310" t="n"/>
      <c r="T513" s="322" t="n">
        <v>175000</v>
      </c>
      <c r="U513" s="321" t="n">
        <v>161000</v>
      </c>
      <c r="V513" s="312" t="n">
        <v>0.15</v>
      </c>
      <c r="W513" s="310" t="n"/>
      <c r="X513" s="313" t="n">
        <v>0.05</v>
      </c>
      <c r="Y513" s="951" t="n">
        <v>2910</v>
      </c>
      <c r="Z513" s="313" t="n">
        <v>0.03</v>
      </c>
      <c r="AA513" s="952">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849">
      <c r="A514" s="250" t="n">
        <v>99876</v>
      </c>
      <c r="B514" s="323" t="inlineStr">
        <is>
          <t>Thai Pung</t>
        </is>
      </c>
      <c r="C514" s="391" t="inlineStr">
        <is>
          <t>Delivery Lead - (P&amp;C)</t>
        </is>
      </c>
      <c r="D514" s="323" t="inlineStr">
        <is>
          <t>Vacant</t>
        </is>
      </c>
      <c r="E514" s="323" t="inlineStr">
        <is>
          <t>Delivery Manager, P&amp;C, Finance &amp; Legal</t>
        </is>
      </c>
      <c r="F514" s="220" t="inlineStr">
        <is>
          <t>TDD Group Functions</t>
        </is>
      </c>
      <c r="G514" s="323" t="inlineStr">
        <is>
          <t>P&amp;C, Finance &amp; Legal</t>
        </is>
      </c>
      <c r="H514" s="306" t="inlineStr">
        <is>
          <t>Delivery, P&amp;C, Finance &amp; Legal</t>
        </is>
      </c>
      <c r="I514" s="306" t="inlineStr">
        <is>
          <t>P&amp;C</t>
        </is>
      </c>
      <c r="J514" s="306" t="inlineStr">
        <is>
          <t>P&amp;C</t>
        </is>
      </c>
      <c r="K514" s="306" t="inlineStr">
        <is>
          <t>P&amp;C</t>
        </is>
      </c>
      <c r="L514" s="306" t="n"/>
      <c r="M514" s="307" t="inlineStr">
        <is>
          <t>Australia</t>
        </is>
      </c>
      <c r="N514" s="308" t="inlineStr">
        <is>
          <t>CIC</t>
        </is>
      </c>
      <c r="O514" s="308" t="n">
        <v>1</v>
      </c>
      <c r="P514" s="308" t="n"/>
      <c r="Q514" s="308" t="inlineStr">
        <is>
          <t>Permanent - Full Time</t>
        </is>
      </c>
      <c r="R514" s="310" t="n"/>
      <c r="S514" s="310" t="n"/>
      <c r="T514" s="322" t="n">
        <v>188380</v>
      </c>
      <c r="U514" s="321" t="n">
        <v>188380</v>
      </c>
      <c r="V514" s="313" t="n">
        <v>0.12</v>
      </c>
      <c r="W514" s="953" t="n">
        <v>0.055</v>
      </c>
      <c r="X514" s="953" t="n">
        <v>0.12</v>
      </c>
      <c r="Y514" s="954" t="n"/>
      <c r="Z514" s="953" t="n">
        <v>0.04</v>
      </c>
      <c r="AA514" s="952">
        <f>U514*(1+V514+W514+X514+Y514+Z514)</f>
        <v>251487.3</v>
      </c>
      <c r="AC514" t="inlineStr">
        <is>
          <t>P&amp;C</t>
        </is>
      </c>
      <c r="AD514" t="inlineStr">
        <is>
          <t>P&amp;C</t>
        </is>
      </c>
      <c r="AE514" t="inlineStr">
        <is>
          <t>P&amp;C</t>
        </is>
      </c>
      <c r="AF514" t="inlineStr">
        <is>
          <t>Squad</t>
        </is>
      </c>
      <c r="AG514" t="inlineStr">
        <is>
          <t>Filled</t>
        </is>
      </c>
    </row>
    <row r="515" hidden="1" ht="18" customHeight="1" s="849">
      <c r="A515" s="250" t="n">
        <v>114367</v>
      </c>
      <c r="B515" s="323" t="inlineStr">
        <is>
          <t>Thandava Krishna Kakarala</t>
        </is>
      </c>
      <c r="C515" s="391" t="inlineStr">
        <is>
          <t>Snr Engineer - Boomi</t>
        </is>
      </c>
      <c r="D515" s="220" t="inlineStr">
        <is>
          <t>Mike Seales</t>
        </is>
      </c>
      <c r="E515" s="220" t="inlineStr">
        <is>
          <t>Technology Manager Integration &amp; Process Managemetn</t>
        </is>
      </c>
      <c r="F515" s="220" t="inlineStr">
        <is>
          <t>TDD Group Functions</t>
        </is>
      </c>
      <c r="G515" s="306" t="inlineStr">
        <is>
          <t xml:space="preserve">TDD &amp; Engineering </t>
        </is>
      </c>
      <c r="H515" s="220" t="inlineStr">
        <is>
          <t>Integration &amp; Process Management</t>
        </is>
      </c>
      <c r="I515" t="inlineStr">
        <is>
          <t>TDD</t>
        </is>
      </c>
      <c r="J515" s="306" t="inlineStr">
        <is>
          <t>TDD</t>
        </is>
      </c>
      <c r="K515" s="306" t="inlineStr">
        <is>
          <t>Integration &amp; Process automation</t>
        </is>
      </c>
      <c r="L515" s="306" t="n"/>
      <c r="M515" s="307" t="inlineStr">
        <is>
          <t>Australia</t>
        </is>
      </c>
      <c r="N515" s="308" t="inlineStr">
        <is>
          <t>CIB</t>
        </is>
      </c>
      <c r="O515" s="308" t="n">
        <v>1</v>
      </c>
      <c r="P515" s="308" t="n"/>
      <c r="Q515" s="308" t="inlineStr">
        <is>
          <t>Permanent - Full Time</t>
        </is>
      </c>
      <c r="R515" s="310" t="n"/>
      <c r="S515" s="310" t="n"/>
      <c r="T515" s="322" t="n">
        <v>140000</v>
      </c>
      <c r="U515" s="321" t="n">
        <v>140000</v>
      </c>
      <c r="V515" s="313" t="n">
        <v>0.12</v>
      </c>
      <c r="W515" s="953" t="n">
        <v>0.055</v>
      </c>
      <c r="X515" s="953" t="n">
        <v>0.12</v>
      </c>
      <c r="Y515" s="954" t="n"/>
      <c r="Z515" s="953" t="n">
        <v>0.04</v>
      </c>
      <c r="AA515" s="952">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849">
      <c r="A516" s="250" t="inlineStr">
        <is>
          <t>V</t>
        </is>
      </c>
      <c r="B516" s="355" t="inlineStr">
        <is>
          <t>Vacant</t>
        </is>
      </c>
      <c r="C516" s="391" t="inlineStr">
        <is>
          <t>SAP Functional Specialist</t>
        </is>
      </c>
      <c r="D516" s="306" t="inlineStr">
        <is>
          <t>EE Lynn Yap</t>
        </is>
      </c>
      <c r="E516" s="323" t="inlineStr">
        <is>
          <t>SAP ERP Application Lead</t>
        </is>
      </c>
      <c r="F516" s="220" t="inlineStr">
        <is>
          <t>TDD Group Functions</t>
        </is>
      </c>
      <c r="G516" s="323" t="inlineStr">
        <is>
          <t>P&amp;C, Finance &amp; Legal</t>
        </is>
      </c>
      <c r="H516" s="306" t="inlineStr">
        <is>
          <t>Tech, Finance Platforms</t>
        </is>
      </c>
      <c r="I516" s="306" t="inlineStr">
        <is>
          <t>Finance</t>
        </is>
      </c>
      <c r="J516" s="306" t="inlineStr">
        <is>
          <t>AU Finance</t>
        </is>
      </c>
      <c r="K516" s="306" t="inlineStr">
        <is>
          <t>SAP ERP</t>
        </is>
      </c>
      <c r="L516" s="306" t="n"/>
      <c r="M516" s="307" t="inlineStr">
        <is>
          <t>Australia</t>
        </is>
      </c>
      <c r="N516" s="310" t="inlineStr">
        <is>
          <t>CIC</t>
        </is>
      </c>
      <c r="O516" s="308" t="n">
        <v>1</v>
      </c>
      <c r="P516" s="308" t="n"/>
      <c r="Q516" s="308" t="inlineStr">
        <is>
          <t>v</t>
        </is>
      </c>
      <c r="R516" s="310" t="n"/>
      <c r="S516" s="310" t="n"/>
      <c r="T516" s="322" t="n">
        <v>173550</v>
      </c>
      <c r="U516" s="321" t="n">
        <v>173550</v>
      </c>
      <c r="V516" s="313" t="n">
        <v>0.12</v>
      </c>
      <c r="W516" s="953" t="n">
        <v>0.055</v>
      </c>
      <c r="X516" s="953" t="n">
        <v>0.12</v>
      </c>
      <c r="Y516" s="954" t="n"/>
      <c r="Z516" s="953" t="n">
        <v>0.04</v>
      </c>
      <c r="AA516" s="952">
        <f>U516*(1+V516+W516+X516+Y516+Z516)</f>
        <v>231689.25</v>
      </c>
      <c r="AC516" t="inlineStr">
        <is>
          <t>Finance</t>
        </is>
      </c>
      <c r="AD516" t="inlineStr">
        <is>
          <t>AU Finance</t>
        </is>
      </c>
      <c r="AE516" t="inlineStr">
        <is>
          <t>AU Finance</t>
        </is>
      </c>
      <c r="AF516" t="inlineStr">
        <is>
          <t>Squad</t>
        </is>
      </c>
      <c r="AG516" t="inlineStr">
        <is>
          <t>Vacant</t>
        </is>
      </c>
    </row>
    <row r="517" hidden="1" ht="18" customHeight="1" s="849">
      <c r="A517" s="250" t="inlineStr">
        <is>
          <t>V</t>
        </is>
      </c>
      <c r="B517" s="355" t="inlineStr">
        <is>
          <t>Vacant</t>
        </is>
      </c>
      <c r="C517" s="391" t="inlineStr">
        <is>
          <t>SAP Functional Specialist</t>
        </is>
      </c>
      <c r="D517" s="306" t="inlineStr">
        <is>
          <t>Julma Bhagwani</t>
        </is>
      </c>
      <c r="E517" s="323" t="inlineStr">
        <is>
          <t>SAP ERP Application Lead</t>
        </is>
      </c>
      <c r="F517" s="220" t="inlineStr">
        <is>
          <t>TDD Group Functions</t>
        </is>
      </c>
      <c r="G517" s="323" t="inlineStr">
        <is>
          <t>P&amp;C, Finance &amp; Legal</t>
        </is>
      </c>
      <c r="H517" s="306" t="inlineStr">
        <is>
          <t>Tech, Finance Platforms</t>
        </is>
      </c>
      <c r="I517" s="306" t="inlineStr">
        <is>
          <t>Finance</t>
        </is>
      </c>
      <c r="J517" s="306" t="inlineStr">
        <is>
          <t>AU Finance</t>
        </is>
      </c>
      <c r="K517" s="306" t="inlineStr">
        <is>
          <t>SAP ERP</t>
        </is>
      </c>
      <c r="L517" s="306" t="n"/>
      <c r="M517" s="307" t="inlineStr">
        <is>
          <t>Australia</t>
        </is>
      </c>
      <c r="N517" s="310" t="inlineStr">
        <is>
          <t>CIC</t>
        </is>
      </c>
      <c r="O517" s="308" t="n">
        <v>1</v>
      </c>
      <c r="P517" s="308" t="n"/>
      <c r="Q517" s="308" t="inlineStr">
        <is>
          <t>v</t>
        </is>
      </c>
      <c r="R517" s="310" t="n"/>
      <c r="S517" s="310" t="n"/>
      <c r="T517" s="322" t="n">
        <v>173550</v>
      </c>
      <c r="U517" s="321" t="n">
        <v>173550</v>
      </c>
      <c r="V517" s="313" t="n">
        <v>0.12</v>
      </c>
      <c r="W517" s="953" t="n">
        <v>0.055</v>
      </c>
      <c r="X517" s="953" t="n">
        <v>0.12</v>
      </c>
      <c r="Y517" s="954" t="n"/>
      <c r="Z517" s="953" t="n">
        <v>0.04</v>
      </c>
      <c r="AA517" s="952">
        <f>U517*(1+V517+W517+X517+Y517+Z517)</f>
        <v>231689.25</v>
      </c>
      <c r="AC517" t="inlineStr">
        <is>
          <t>Finance</t>
        </is>
      </c>
      <c r="AD517" t="inlineStr">
        <is>
          <t>AU Finance</t>
        </is>
      </c>
      <c r="AE517" t="inlineStr">
        <is>
          <t>AU Finance</t>
        </is>
      </c>
      <c r="AF517" t="inlineStr">
        <is>
          <t>Squad</t>
        </is>
      </c>
      <c r="AG517" t="inlineStr">
        <is>
          <t>Vacant</t>
        </is>
      </c>
    </row>
    <row r="518" hidden="1" ht="18" customHeight="1" s="849">
      <c r="A518" s="250" t="inlineStr">
        <is>
          <t>V</t>
        </is>
      </c>
      <c r="B518" s="355" t="inlineStr">
        <is>
          <t>Vacant</t>
        </is>
      </c>
      <c r="C518" s="391" t="inlineStr">
        <is>
          <t>SAP Functional Specialist</t>
        </is>
      </c>
      <c r="D518" s="306" t="inlineStr">
        <is>
          <t>Maudud Chaudhury</t>
        </is>
      </c>
      <c r="E518" s="323" t="inlineStr">
        <is>
          <t>SAP ERP Application Lead</t>
        </is>
      </c>
      <c r="F518" s="220" t="inlineStr">
        <is>
          <t>TDD Group Functions</t>
        </is>
      </c>
      <c r="G518" s="323" t="inlineStr">
        <is>
          <t>P&amp;C, Finance &amp; Legal</t>
        </is>
      </c>
      <c r="H518" s="306" t="inlineStr">
        <is>
          <t>Tech, Finance Platforms</t>
        </is>
      </c>
      <c r="I518" s="306" t="inlineStr">
        <is>
          <t>Finance</t>
        </is>
      </c>
      <c r="J518" s="306" t="inlineStr">
        <is>
          <t>AU Finance</t>
        </is>
      </c>
      <c r="K518" s="306" t="inlineStr">
        <is>
          <t>SAP ERP</t>
        </is>
      </c>
      <c r="L518" s="306" t="n"/>
      <c r="M518" s="307" t="inlineStr">
        <is>
          <t>Australia</t>
        </is>
      </c>
      <c r="N518" s="310" t="inlineStr">
        <is>
          <t>CIC</t>
        </is>
      </c>
      <c r="O518" s="308" t="n">
        <v>1</v>
      </c>
      <c r="P518" s="308" t="n"/>
      <c r="Q518" s="308" t="inlineStr">
        <is>
          <t>v</t>
        </is>
      </c>
      <c r="R518" s="310" t="n"/>
      <c r="S518" s="310" t="n"/>
      <c r="T518" s="322" t="n">
        <v>173550</v>
      </c>
      <c r="U518" s="321" t="n">
        <v>173550</v>
      </c>
      <c r="V518" s="313" t="n">
        <v>0.12</v>
      </c>
      <c r="W518" s="953" t="n">
        <v>0.055</v>
      </c>
      <c r="X518" s="953" t="n">
        <v>0.12</v>
      </c>
      <c r="Y518" s="954" t="n"/>
      <c r="Z518" s="953" t="n">
        <v>0.04</v>
      </c>
      <c r="AA518" s="952">
        <f>U518*(1+V518+W518+X518+Y518+Z518)</f>
        <v>231689.25</v>
      </c>
      <c r="AC518" t="inlineStr">
        <is>
          <t>Finance</t>
        </is>
      </c>
      <c r="AD518" t="inlineStr">
        <is>
          <t>AU Finance</t>
        </is>
      </c>
      <c r="AE518" t="inlineStr">
        <is>
          <t>AU Finance</t>
        </is>
      </c>
      <c r="AF518" t="inlineStr">
        <is>
          <t>Squad</t>
        </is>
      </c>
      <c r="AG518" t="inlineStr">
        <is>
          <t>Vacant</t>
        </is>
      </c>
    </row>
    <row r="519" hidden="1" ht="18" customHeight="1" s="849">
      <c r="A519" s="250" t="inlineStr">
        <is>
          <t>V</t>
        </is>
      </c>
      <c r="B519" s="355" t="inlineStr">
        <is>
          <t>Vacant</t>
        </is>
      </c>
      <c r="C519" s="391" t="inlineStr">
        <is>
          <t>SAP Functional Specialist</t>
        </is>
      </c>
      <c r="D519" s="306" t="inlineStr">
        <is>
          <t>Shane Ker</t>
        </is>
      </c>
      <c r="E519" s="323" t="inlineStr">
        <is>
          <t>Technology Manager Finance Platforms</t>
        </is>
      </c>
      <c r="F519" s="220" t="inlineStr">
        <is>
          <t>TDD Group Functions</t>
        </is>
      </c>
      <c r="G519" s="323" t="inlineStr">
        <is>
          <t>P&amp;C, Finance &amp; Legal</t>
        </is>
      </c>
      <c r="H519" s="306" t="inlineStr">
        <is>
          <t>Tech, Finance Platforms</t>
        </is>
      </c>
      <c r="I519" s="306" t="inlineStr">
        <is>
          <t>Finance</t>
        </is>
      </c>
      <c r="J519" s="306" t="inlineStr">
        <is>
          <t>AU Finance</t>
        </is>
      </c>
      <c r="K519" s="306" t="inlineStr">
        <is>
          <t>SAP ERP</t>
        </is>
      </c>
      <c r="L519" s="306" t="n"/>
      <c r="M519" s="307" t="inlineStr">
        <is>
          <t>Australia</t>
        </is>
      </c>
      <c r="N519" s="310" t="inlineStr">
        <is>
          <t>CIC</t>
        </is>
      </c>
      <c r="O519" s="308" t="n">
        <v>1</v>
      </c>
      <c r="P519" s="308" t="n"/>
      <c r="Q519" s="308" t="inlineStr">
        <is>
          <t>v</t>
        </is>
      </c>
      <c r="R519" s="310" t="n"/>
      <c r="S519" s="310" t="n"/>
      <c r="T519" s="322" t="n">
        <v>173550</v>
      </c>
      <c r="U519" s="321" t="n">
        <v>173550</v>
      </c>
      <c r="V519" s="313" t="n">
        <v>0.12</v>
      </c>
      <c r="W519" s="953" t="n">
        <v>0.055</v>
      </c>
      <c r="X519" s="953" t="n">
        <v>0.12</v>
      </c>
      <c r="Y519" s="954" t="n"/>
      <c r="Z519" s="953" t="n">
        <v>0.04</v>
      </c>
      <c r="AA519" s="952">
        <f>U519*(1+V519+W519+X519+Y519+Z519)</f>
        <v>231689.25</v>
      </c>
      <c r="AC519" t="inlineStr">
        <is>
          <t>Finance</t>
        </is>
      </c>
      <c r="AD519" t="inlineStr">
        <is>
          <t>AU Finance</t>
        </is>
      </c>
      <c r="AE519" t="inlineStr">
        <is>
          <t>AU Finance</t>
        </is>
      </c>
      <c r="AF519" t="inlineStr">
        <is>
          <t>Squad</t>
        </is>
      </c>
      <c r="AG519" t="inlineStr">
        <is>
          <t>Vacant</t>
        </is>
      </c>
    </row>
    <row r="520" hidden="1" ht="18" customHeight="1" s="849">
      <c r="A520" s="250" t="inlineStr">
        <is>
          <t>V</t>
        </is>
      </c>
      <c r="B520" s="355" t="inlineStr">
        <is>
          <t>Vacant</t>
        </is>
      </c>
      <c r="C520" s="391" t="inlineStr">
        <is>
          <t>Solution Architect - Finance</t>
        </is>
      </c>
      <c r="D520" s="306" t="inlineStr">
        <is>
          <t>Shane Ker</t>
        </is>
      </c>
      <c r="E520" s="323" t="inlineStr">
        <is>
          <t>Technology Manager Finance Platforms</t>
        </is>
      </c>
      <c r="F520" s="220" t="inlineStr">
        <is>
          <t>TDD Group Functions</t>
        </is>
      </c>
      <c r="G520" s="323" t="inlineStr">
        <is>
          <t>P&amp;C, Finance &amp; Legal</t>
        </is>
      </c>
      <c r="H520" s="306" t="inlineStr">
        <is>
          <t>Tech, Finance Platforms</t>
        </is>
      </c>
      <c r="I520" s="306" t="inlineStr">
        <is>
          <t>Finance</t>
        </is>
      </c>
      <c r="J520" s="306" t="inlineStr">
        <is>
          <t>AU Finance</t>
        </is>
      </c>
      <c r="K520" s="306" t="inlineStr">
        <is>
          <t>SAP ERP</t>
        </is>
      </c>
      <c r="L520" s="306" t="n"/>
      <c r="M520" s="307" t="inlineStr">
        <is>
          <t>australia</t>
        </is>
      </c>
      <c r="N520" s="308" t="inlineStr">
        <is>
          <t>CIC</t>
        </is>
      </c>
      <c r="O520" s="308" t="n">
        <v>1</v>
      </c>
      <c r="P520" s="308" t="n"/>
      <c r="Q520" s="308" t="inlineStr">
        <is>
          <t>v</t>
        </is>
      </c>
      <c r="R520" s="310" t="n"/>
      <c r="S520" s="310" t="n"/>
      <c r="T520" s="322" t="n">
        <v>173550</v>
      </c>
      <c r="U520" s="321" t="n">
        <v>173550</v>
      </c>
      <c r="V520" s="313" t="n">
        <v>0.12</v>
      </c>
      <c r="W520" s="953" t="n">
        <v>0.055</v>
      </c>
      <c r="X520" s="953" t="n">
        <v>0.12</v>
      </c>
      <c r="Y520" s="954" t="n"/>
      <c r="Z520" s="953" t="n">
        <v>0.04</v>
      </c>
      <c r="AA520" s="952">
        <f>U520*(1+V520+W520+X520+Y520+Z520)</f>
        <v>231689.25</v>
      </c>
      <c r="AC520" t="inlineStr">
        <is>
          <t>Finance</t>
        </is>
      </c>
      <c r="AD520" t="inlineStr">
        <is>
          <t>AU Finance</t>
        </is>
      </c>
      <c r="AE520" t="inlineStr">
        <is>
          <t>AU Finance</t>
        </is>
      </c>
      <c r="AF520" t="inlineStr">
        <is>
          <t>Squad</t>
        </is>
      </c>
      <c r="AG520" t="inlineStr">
        <is>
          <t>Vacant</t>
        </is>
      </c>
    </row>
    <row r="521" hidden="1" ht="18" customHeight="1" s="849">
      <c r="A521" s="250" t="inlineStr">
        <is>
          <t>V</t>
        </is>
      </c>
      <c r="B521" s="355" t="inlineStr">
        <is>
          <t>Vacant</t>
        </is>
      </c>
      <c r="C521" s="391" t="inlineStr">
        <is>
          <t>Delivery Lead (JDE)</t>
        </is>
      </c>
      <c r="D521" s="306" t="inlineStr">
        <is>
          <t>Vacant</t>
        </is>
      </c>
      <c r="E521" s="323" t="inlineStr">
        <is>
          <t>Delivery Manager, P&amp;C, Finance &amp; Legal</t>
        </is>
      </c>
      <c r="F521" s="220" t="inlineStr">
        <is>
          <t>TDD Group Functions</t>
        </is>
      </c>
      <c r="G521" s="323" t="inlineStr">
        <is>
          <t>P&amp;C, Finance &amp; Legal</t>
        </is>
      </c>
      <c r="H521" s="306" t="inlineStr">
        <is>
          <t>Delivery, P&amp;C, Finance &amp; Legal</t>
        </is>
      </c>
      <c r="I521" s="306" t="inlineStr">
        <is>
          <t>Finance</t>
        </is>
      </c>
      <c r="J521" s="306" t="inlineStr">
        <is>
          <t>NZ Finance</t>
        </is>
      </c>
      <c r="K521" s="306" t="inlineStr">
        <is>
          <t>NZ Finance</t>
        </is>
      </c>
      <c r="L521" s="306" t="n"/>
      <c r="M521" s="307" t="inlineStr">
        <is>
          <t>Australia</t>
        </is>
      </c>
      <c r="N521" s="308" t="inlineStr">
        <is>
          <t>CIC</t>
        </is>
      </c>
      <c r="O521" s="308" t="n">
        <v>1</v>
      </c>
      <c r="P521" s="308" t="n"/>
      <c r="Q521" s="308" t="inlineStr">
        <is>
          <t>V</t>
        </is>
      </c>
      <c r="R521" s="310" t="n"/>
      <c r="S521" s="310" t="n"/>
      <c r="T521" s="322" t="n">
        <v>173550</v>
      </c>
      <c r="U521" s="321" t="n">
        <v>173550</v>
      </c>
      <c r="V521" s="313" t="n">
        <v>0.12</v>
      </c>
      <c r="W521" s="953" t="n">
        <v>0.055</v>
      </c>
      <c r="X521" s="953" t="n">
        <v>0.12</v>
      </c>
      <c r="Y521" s="954" t="n"/>
      <c r="Z521" s="953" t="n">
        <v>0.04</v>
      </c>
      <c r="AA521" s="952">
        <f>U521*(1+V521+W521+X521+Y521+Z521)</f>
        <v>231689.25</v>
      </c>
      <c r="AC521" t="inlineStr">
        <is>
          <t>Finance</t>
        </is>
      </c>
      <c r="AD521" t="inlineStr">
        <is>
          <t>NZ Finance</t>
        </is>
      </c>
      <c r="AE521" t="inlineStr">
        <is>
          <t>NZ Finance</t>
        </is>
      </c>
      <c r="AF521" t="inlineStr">
        <is>
          <t>Squad</t>
        </is>
      </c>
      <c r="AG521" t="inlineStr">
        <is>
          <t>Vacant</t>
        </is>
      </c>
    </row>
    <row r="522" hidden="1" ht="18" customHeight="1" s="849">
      <c r="A522" s="250" t="inlineStr">
        <is>
          <t>V</t>
        </is>
      </c>
      <c r="B522" s="355" t="inlineStr">
        <is>
          <t>Vacant</t>
        </is>
      </c>
      <c r="C522" s="391" t="inlineStr">
        <is>
          <t>Delivery Lead (SAP)</t>
        </is>
      </c>
      <c r="D522" s="306" t="inlineStr">
        <is>
          <t>Vacant</t>
        </is>
      </c>
      <c r="E522" s="323" t="inlineStr">
        <is>
          <t>Delivery Manager, P&amp;C, Finance &amp; Legal</t>
        </is>
      </c>
      <c r="F522" s="220" t="inlineStr">
        <is>
          <t>TDD Group Functions</t>
        </is>
      </c>
      <c r="G522" s="323" t="inlineStr">
        <is>
          <t>P&amp;C, Finance &amp; Legal</t>
        </is>
      </c>
      <c r="H522" s="306" t="inlineStr">
        <is>
          <t>Delivery, P&amp;C, Finance &amp; Legal</t>
        </is>
      </c>
      <c r="I522" s="306" t="inlineStr">
        <is>
          <t>Finance</t>
        </is>
      </c>
      <c r="J522" s="306" t="inlineStr">
        <is>
          <t>AU Finance</t>
        </is>
      </c>
      <c r="K522" s="306" t="inlineStr">
        <is>
          <t>SAP ERP</t>
        </is>
      </c>
      <c r="L522" s="306" t="n"/>
      <c r="M522" s="307" t="inlineStr">
        <is>
          <t>Australia</t>
        </is>
      </c>
      <c r="N522" s="308" t="inlineStr">
        <is>
          <t>CIC</t>
        </is>
      </c>
      <c r="O522" s="308" t="n">
        <v>1</v>
      </c>
      <c r="P522" s="308" t="n"/>
      <c r="Q522" s="308" t="inlineStr">
        <is>
          <t>V</t>
        </is>
      </c>
      <c r="R522" s="310" t="n"/>
      <c r="S522" s="310" t="n"/>
      <c r="T522" s="322" t="n">
        <v>173550</v>
      </c>
      <c r="U522" s="321" t="n">
        <v>173550</v>
      </c>
      <c r="V522" s="313" t="n">
        <v>0.12</v>
      </c>
      <c r="W522" s="953" t="n">
        <v>0.055</v>
      </c>
      <c r="X522" s="953" t="n">
        <v>0.12</v>
      </c>
      <c r="Y522" s="954" t="n"/>
      <c r="Z522" s="953" t="n">
        <v>0.04</v>
      </c>
      <c r="AA522" s="952">
        <f>U522*(1+V522+W522+X522+Y522+Z522)</f>
        <v>231689.25</v>
      </c>
      <c r="AC522" t="inlineStr">
        <is>
          <t>Finance</t>
        </is>
      </c>
      <c r="AD522" t="inlineStr">
        <is>
          <t>AU Finance</t>
        </is>
      </c>
      <c r="AE522" t="inlineStr">
        <is>
          <t>AU Finance</t>
        </is>
      </c>
      <c r="AF522" t="inlineStr">
        <is>
          <t>Squad</t>
        </is>
      </c>
      <c r="AG522" t="inlineStr">
        <is>
          <t>Vacant</t>
        </is>
      </c>
    </row>
    <row r="523" hidden="1" ht="18" customHeight="1" s="849">
      <c r="A523" s="250" t="inlineStr">
        <is>
          <t>V</t>
        </is>
      </c>
      <c r="B523" s="355" t="inlineStr">
        <is>
          <t>Vacant</t>
        </is>
      </c>
      <c r="C523" s="391" t="inlineStr">
        <is>
          <t>Business Analyst (P&amp;C RTA)</t>
        </is>
      </c>
      <c r="D523" s="306" t="inlineStr">
        <is>
          <t>Vacant</t>
        </is>
      </c>
      <c r="E523" s="323" t="inlineStr">
        <is>
          <t>Delivery Manager, P&amp;C, Finance &amp; Legal</t>
        </is>
      </c>
      <c r="F523" s="220" t="inlineStr">
        <is>
          <t>TDD Group Functions</t>
        </is>
      </c>
      <c r="G523" s="323" t="inlineStr">
        <is>
          <t>P&amp;C, Finance &amp; Legal</t>
        </is>
      </c>
      <c r="H523" s="306" t="inlineStr">
        <is>
          <t>Delivery, P&amp;C, Finance &amp; Legal</t>
        </is>
      </c>
      <c r="I523" s="306" t="inlineStr">
        <is>
          <t>P&amp;C</t>
        </is>
      </c>
      <c r="J523" s="306" t="inlineStr">
        <is>
          <t>P&amp;C</t>
        </is>
      </c>
      <c r="K523" s="306" t="inlineStr">
        <is>
          <t>P&amp;C RTA</t>
        </is>
      </c>
      <c r="L523" s="306" t="n"/>
      <c r="M523" s="307" t="inlineStr">
        <is>
          <t>Australia</t>
        </is>
      </c>
      <c r="N523" s="308" t="inlineStr">
        <is>
          <t>CIB</t>
        </is>
      </c>
      <c r="O523" s="308" t="n">
        <v>1</v>
      </c>
      <c r="P523" s="308" t="n"/>
      <c r="Q523" s="308" t="inlineStr">
        <is>
          <t>V</t>
        </is>
      </c>
      <c r="R523" s="310" t="n"/>
      <c r="S523" s="310" t="n"/>
      <c r="T523" s="322" t="n">
        <v>151000</v>
      </c>
      <c r="U523" s="321" t="n">
        <v>151000</v>
      </c>
      <c r="V523" s="313" t="n">
        <v>0.12</v>
      </c>
      <c r="W523" s="953" t="n">
        <v>0.055</v>
      </c>
      <c r="X523" s="953" t="n">
        <v>0.12</v>
      </c>
      <c r="Y523" s="954" t="n"/>
      <c r="Z523" s="953" t="n">
        <v>0.04</v>
      </c>
      <c r="AA523" s="952">
        <f>U523*(1+V523+W523+X523+Y523+Z523)</f>
        <v>201585.0</v>
      </c>
      <c r="AC523" t="inlineStr">
        <is>
          <t>P&amp;C</t>
        </is>
      </c>
      <c r="AD523" t="inlineStr">
        <is>
          <t>P&amp;C</t>
        </is>
      </c>
      <c r="AE523" t="inlineStr">
        <is>
          <t>P&amp;C - RTA</t>
        </is>
      </c>
      <c r="AF523" t="inlineStr">
        <is>
          <t>Squad</t>
        </is>
      </c>
      <c r="AG523" t="inlineStr">
        <is>
          <t>Vacant</t>
        </is>
      </c>
    </row>
    <row r="524" hidden="1" ht="18" customHeight="1" s="849">
      <c r="A524" s="250" t="inlineStr">
        <is>
          <t>V</t>
        </is>
      </c>
      <c r="B524" s="355" t="inlineStr">
        <is>
          <t>Vacant</t>
        </is>
      </c>
      <c r="C524" s="391" t="inlineStr">
        <is>
          <t>Delivery Lead (RTA)</t>
        </is>
      </c>
      <c r="D524" s="306" t="inlineStr">
        <is>
          <t>Vacant</t>
        </is>
      </c>
      <c r="E524" s="323" t="inlineStr">
        <is>
          <t>Delivery Manager, P&amp;C, Finance &amp; Legal</t>
        </is>
      </c>
      <c r="F524" s="220" t="inlineStr">
        <is>
          <t>TDD Group Functions</t>
        </is>
      </c>
      <c r="G524" s="323" t="inlineStr">
        <is>
          <t>P&amp;C, Finance &amp; Legal</t>
        </is>
      </c>
      <c r="H524" s="306" t="inlineStr">
        <is>
          <t>Delivery, P&amp;C, Finance &amp; Legal</t>
        </is>
      </c>
      <c r="I524" s="306" t="inlineStr">
        <is>
          <t>P&amp;C</t>
        </is>
      </c>
      <c r="J524" s="316" t="inlineStr">
        <is>
          <t>P&amp;C</t>
        </is>
      </c>
      <c r="K524" s="306" t="inlineStr">
        <is>
          <t>P&amp;C RTA</t>
        </is>
      </c>
      <c r="L524" s="306" t="n"/>
      <c r="M524" s="307" t="inlineStr">
        <is>
          <t>Australia</t>
        </is>
      </c>
      <c r="N524" s="308" t="inlineStr">
        <is>
          <t>CIC</t>
        </is>
      </c>
      <c r="O524" s="308" t="n">
        <v>1</v>
      </c>
      <c r="P524" s="308" t="n"/>
      <c r="Q524" s="308" t="inlineStr">
        <is>
          <t>V</t>
        </is>
      </c>
      <c r="R524" s="310" t="n"/>
      <c r="S524" s="310" t="n"/>
      <c r="T524" s="322" t="n">
        <v>173550</v>
      </c>
      <c r="U524" s="321" t="n">
        <v>173550</v>
      </c>
      <c r="V524" s="313" t="n">
        <v>0.12</v>
      </c>
      <c r="W524" s="953" t="n">
        <v>0.055</v>
      </c>
      <c r="X524" s="953" t="n">
        <v>0.12</v>
      </c>
      <c r="Y524" s="954" t="n"/>
      <c r="Z524" s="953" t="n">
        <v>0.04</v>
      </c>
      <c r="AA524" s="952">
        <f>U524*(1+V524+W524+X524+Y524+Z524)</f>
        <v>231689.25</v>
      </c>
      <c r="AC524" t="inlineStr">
        <is>
          <t>P&amp;C</t>
        </is>
      </c>
      <c r="AD524" t="inlineStr">
        <is>
          <t>P&amp;C</t>
        </is>
      </c>
      <c r="AE524" t="inlineStr">
        <is>
          <t>P&amp;C - RTA</t>
        </is>
      </c>
      <c r="AF524" t="inlineStr">
        <is>
          <t>Squad</t>
        </is>
      </c>
      <c r="AG524" t="inlineStr">
        <is>
          <t>Vacant</t>
        </is>
      </c>
    </row>
    <row r="525" hidden="1" ht="18" customHeight="1" s="849">
      <c r="A525" s="250" t="inlineStr">
        <is>
          <t>V</t>
        </is>
      </c>
      <c r="B525" s="355" t="inlineStr">
        <is>
          <t>Vacant</t>
        </is>
      </c>
      <c r="C525" s="391" t="inlineStr">
        <is>
          <t>Engineer</t>
        </is>
      </c>
      <c r="D525" s="306" t="inlineStr">
        <is>
          <t>Vacant</t>
        </is>
      </c>
      <c r="E525" s="220" t="inlineStr">
        <is>
          <t>Technology Manager P&amp;C Platforms</t>
        </is>
      </c>
      <c r="F525" s="220" t="inlineStr">
        <is>
          <t>TDD Group Functions</t>
        </is>
      </c>
      <c r="G525" s="323" t="inlineStr">
        <is>
          <t>P&amp;C, Finance &amp; Legal</t>
        </is>
      </c>
      <c r="H525" s="306" t="inlineStr">
        <is>
          <t>Tech, P&amp;C Platforms</t>
        </is>
      </c>
      <c r="I525" s="306" t="inlineStr">
        <is>
          <t>P&amp;C</t>
        </is>
      </c>
      <c r="J525" s="306" t="inlineStr">
        <is>
          <t>P&amp;C</t>
        </is>
      </c>
      <c r="K525" s="306" t="inlineStr">
        <is>
          <t>P&amp;C</t>
        </is>
      </c>
      <c r="L525" s="306" t="n"/>
      <c r="M525" s="307" t="inlineStr">
        <is>
          <t>Australia</t>
        </is>
      </c>
      <c r="N525" s="310" t="inlineStr">
        <is>
          <t>cib</t>
        </is>
      </c>
      <c r="O525" s="308" t="n">
        <v>1</v>
      </c>
      <c r="P525" s="308" t="n"/>
      <c r="Q525" s="308" t="inlineStr">
        <is>
          <t>V</t>
        </is>
      </c>
      <c r="R525" s="310" t="n"/>
      <c r="S525" s="310" t="n"/>
      <c r="T525" s="322" t="n">
        <v>151950</v>
      </c>
      <c r="U525" s="321" t="n">
        <v>151950</v>
      </c>
      <c r="V525" s="313" t="n">
        <v>0.12</v>
      </c>
      <c r="W525" s="953" t="n">
        <v>0.055</v>
      </c>
      <c r="X525" s="953" t="n">
        <v>0.12</v>
      </c>
      <c r="Y525" s="954" t="n"/>
      <c r="Z525" s="953" t="n">
        <v>0.04</v>
      </c>
      <c r="AA525" s="952">
        <f>U525*(1+V525+W525+X525+Y525+Z525)</f>
        <v>202853.25</v>
      </c>
      <c r="AC525" t="inlineStr">
        <is>
          <t>P&amp;C</t>
        </is>
      </c>
      <c r="AD525" t="inlineStr">
        <is>
          <t>P&amp;C</t>
        </is>
      </c>
      <c r="AE525" t="inlineStr">
        <is>
          <t>P&amp;C</t>
        </is>
      </c>
      <c r="AF525" t="inlineStr">
        <is>
          <t>Squad</t>
        </is>
      </c>
      <c r="AG525" t="inlineStr">
        <is>
          <t>Vacant</t>
        </is>
      </c>
    </row>
    <row r="526" hidden="1" ht="18" customHeight="1" s="849">
      <c r="A526" s="250" t="inlineStr">
        <is>
          <t>V</t>
        </is>
      </c>
      <c r="B526" s="355" t="inlineStr">
        <is>
          <t>Vacant</t>
        </is>
      </c>
      <c r="C526" s="391" t="inlineStr">
        <is>
          <t>Engineer</t>
        </is>
      </c>
      <c r="D526" s="306" t="inlineStr">
        <is>
          <t>Vacant</t>
        </is>
      </c>
      <c r="E526" s="220" t="inlineStr">
        <is>
          <t>Technology Manager P&amp;C Platforms</t>
        </is>
      </c>
      <c r="F526" s="220" t="inlineStr">
        <is>
          <t>TDD Group Functions</t>
        </is>
      </c>
      <c r="G526" s="323" t="inlineStr">
        <is>
          <t>P&amp;C, Finance &amp; Legal</t>
        </is>
      </c>
      <c r="H526" s="306" t="inlineStr">
        <is>
          <t>Tech, P&amp;C Platforms</t>
        </is>
      </c>
      <c r="I526" s="306" t="inlineStr">
        <is>
          <t>P&amp;C</t>
        </is>
      </c>
      <c r="J526" s="306" t="inlineStr">
        <is>
          <t>P&amp;C</t>
        </is>
      </c>
      <c r="K526" s="306" t="inlineStr">
        <is>
          <t>P&amp;C</t>
        </is>
      </c>
      <c r="L526" s="306" t="n"/>
      <c r="M526" s="307" t="inlineStr">
        <is>
          <t>Australia</t>
        </is>
      </c>
      <c r="N526" s="310" t="inlineStr">
        <is>
          <t>cib</t>
        </is>
      </c>
      <c r="O526" s="308" t="n">
        <v>1</v>
      </c>
      <c r="P526" s="308" t="n"/>
      <c r="Q526" s="308" t="inlineStr">
        <is>
          <t>V</t>
        </is>
      </c>
      <c r="R526" s="310" t="n"/>
      <c r="S526" s="310" t="n"/>
      <c r="T526" s="322" t="n">
        <v>151950</v>
      </c>
      <c r="U526" s="321" t="n">
        <v>151950</v>
      </c>
      <c r="V526" s="313" t="n">
        <v>0.12</v>
      </c>
      <c r="W526" s="953" t="n">
        <v>0.055</v>
      </c>
      <c r="X526" s="953" t="n">
        <v>0.12</v>
      </c>
      <c r="Y526" s="954" t="n"/>
      <c r="Z526" s="953" t="n">
        <v>0.04</v>
      </c>
      <c r="AA526" s="952">
        <f>U526*(1+V526+W526+X526+Y526+Z526)</f>
        <v>202853.25</v>
      </c>
      <c r="AC526" t="inlineStr">
        <is>
          <t>P&amp;C</t>
        </is>
      </c>
      <c r="AD526" t="inlineStr">
        <is>
          <t>P&amp;C</t>
        </is>
      </c>
      <c r="AE526" t="inlineStr">
        <is>
          <t>P&amp;C</t>
        </is>
      </c>
      <c r="AF526" t="inlineStr">
        <is>
          <t>Squad</t>
        </is>
      </c>
      <c r="AG526" t="inlineStr">
        <is>
          <t>Vacant</t>
        </is>
      </c>
    </row>
    <row r="527" hidden="1" ht="18" customHeight="1" s="849">
      <c r="A527" s="250" t="inlineStr">
        <is>
          <t>V</t>
        </is>
      </c>
      <c r="B527" s="355" t="inlineStr">
        <is>
          <t>Vacant</t>
        </is>
      </c>
      <c r="C527" s="391" t="inlineStr">
        <is>
          <t>Engineer</t>
        </is>
      </c>
      <c r="D527" s="306" t="inlineStr">
        <is>
          <t>Vacant</t>
        </is>
      </c>
      <c r="E527" s="220" t="inlineStr">
        <is>
          <t>Technology Manager P&amp;C Platforms</t>
        </is>
      </c>
      <c r="F527" s="220" t="inlineStr">
        <is>
          <t>TDD Group Functions</t>
        </is>
      </c>
      <c r="G527" s="323" t="inlineStr">
        <is>
          <t>P&amp;C, Finance &amp; Legal</t>
        </is>
      </c>
      <c r="H527" s="306" t="inlineStr">
        <is>
          <t>Tech, P&amp;C Platforms</t>
        </is>
      </c>
      <c r="I527" s="306" t="inlineStr">
        <is>
          <t>P&amp;C</t>
        </is>
      </c>
      <c r="J527" s="306" t="inlineStr">
        <is>
          <t>P&amp;C</t>
        </is>
      </c>
      <c r="K527" s="306" t="inlineStr">
        <is>
          <t>P&amp;C RTA</t>
        </is>
      </c>
      <c r="L527" s="306" t="n"/>
      <c r="M527" s="307" t="inlineStr">
        <is>
          <t>Australia</t>
        </is>
      </c>
      <c r="N527" s="310" t="inlineStr">
        <is>
          <t>cib</t>
        </is>
      </c>
      <c r="O527" s="308" t="n">
        <v>1</v>
      </c>
      <c r="P527" s="308" t="n"/>
      <c r="Q527" s="308" t="inlineStr">
        <is>
          <t>V</t>
        </is>
      </c>
      <c r="R527" s="310" t="n"/>
      <c r="S527" s="310" t="n"/>
      <c r="T527" s="322" t="n">
        <v>151950</v>
      </c>
      <c r="U527" s="321" t="n">
        <v>151950</v>
      </c>
      <c r="V527" s="313" t="n">
        <v>0.12</v>
      </c>
      <c r="W527" s="953" t="n">
        <v>0.055</v>
      </c>
      <c r="X527" s="953" t="n">
        <v>0.12</v>
      </c>
      <c r="Y527" s="954" t="n"/>
      <c r="Z527" s="953" t="n">
        <v>0.04</v>
      </c>
      <c r="AA527" s="952">
        <f>U527*(1+V527+W527+X527+Y527+Z527)</f>
        <v>202853.25</v>
      </c>
      <c r="AC527" t="inlineStr">
        <is>
          <t>P&amp;C</t>
        </is>
      </c>
      <c r="AD527" t="inlineStr">
        <is>
          <t>P&amp;C</t>
        </is>
      </c>
      <c r="AE527" t="inlineStr">
        <is>
          <t>P&amp;C - RTA</t>
        </is>
      </c>
      <c r="AF527" t="inlineStr">
        <is>
          <t>Squad</t>
        </is>
      </c>
      <c r="AG527" t="inlineStr">
        <is>
          <t>Vacant</t>
        </is>
      </c>
    </row>
    <row r="528" hidden="1" ht="18" customHeight="1" s="849">
      <c r="A528" s="250" t="inlineStr">
        <is>
          <t>V</t>
        </is>
      </c>
      <c r="B528" s="355" t="inlineStr">
        <is>
          <t>Vacant</t>
        </is>
      </c>
      <c r="C528" s="391" t="inlineStr">
        <is>
          <t>Quality Assurance</t>
        </is>
      </c>
      <c r="D528" s="306" t="inlineStr">
        <is>
          <t>Vacant</t>
        </is>
      </c>
      <c r="E528" s="220" t="inlineStr">
        <is>
          <t>Technology Manager P&amp;C Platforms</t>
        </is>
      </c>
      <c r="F528" s="220" t="inlineStr">
        <is>
          <t>TDD Group Functions</t>
        </is>
      </c>
      <c r="G528" s="323" t="inlineStr">
        <is>
          <t>P&amp;C, Finance &amp; Legal</t>
        </is>
      </c>
      <c r="H528" s="306" t="inlineStr">
        <is>
          <t>Tech, P&amp;C Platforms</t>
        </is>
      </c>
      <c r="I528" s="306" t="inlineStr">
        <is>
          <t>P&amp;C</t>
        </is>
      </c>
      <c r="J528" s="306" t="inlineStr">
        <is>
          <t>P&amp;C</t>
        </is>
      </c>
      <c r="K528" s="306" t="inlineStr">
        <is>
          <t>P&amp;C</t>
        </is>
      </c>
      <c r="L528" s="306" t="n"/>
      <c r="M528" s="307" t="inlineStr">
        <is>
          <t>Australia</t>
        </is>
      </c>
      <c r="N528" s="308" t="inlineStr">
        <is>
          <t>CIA</t>
        </is>
      </c>
      <c r="O528" s="308" t="n">
        <v>1</v>
      </c>
      <c r="P528" s="308" t="n"/>
      <c r="Q528" s="308" t="inlineStr">
        <is>
          <t>v</t>
        </is>
      </c>
      <c r="R528" s="310" t="n"/>
      <c r="S528" s="310" t="n"/>
      <c r="T528" s="322" t="n">
        <v>129650</v>
      </c>
      <c r="U528" s="321" t="n">
        <v>129650</v>
      </c>
      <c r="V528" s="313" t="n">
        <v>0.1</v>
      </c>
      <c r="W528" s="953" t="n">
        <v>0.055</v>
      </c>
      <c r="X528" s="953" t="n">
        <v>0.12</v>
      </c>
      <c r="Y528" s="954" t="n"/>
      <c r="Z528" s="953" t="n">
        <v>0.04</v>
      </c>
      <c r="AA528" s="952">
        <f>U528*(1+V528+W528+X528+Y528+Z528)</f>
        <v>170489.75</v>
      </c>
      <c r="AC528" t="inlineStr">
        <is>
          <t>P&amp;C</t>
        </is>
      </c>
      <c r="AD528" t="inlineStr">
        <is>
          <t>P&amp;C</t>
        </is>
      </c>
      <c r="AE528" t="inlineStr">
        <is>
          <t>P&amp;C</t>
        </is>
      </c>
      <c r="AF528" t="inlineStr">
        <is>
          <t>Squad</t>
        </is>
      </c>
      <c r="AG528" t="inlineStr">
        <is>
          <t>Vacant</t>
        </is>
      </c>
    </row>
    <row r="529" hidden="1" ht="18" customHeight="1" s="849">
      <c r="A529" s="250" t="inlineStr">
        <is>
          <t>V</t>
        </is>
      </c>
      <c r="B529" s="355" t="inlineStr">
        <is>
          <t>Vacant</t>
        </is>
      </c>
      <c r="C529" s="391" t="inlineStr">
        <is>
          <t>Quality Assurance</t>
        </is>
      </c>
      <c r="D529" s="306" t="inlineStr">
        <is>
          <t>Vacant</t>
        </is>
      </c>
      <c r="E529" s="220" t="inlineStr">
        <is>
          <t>Technology Manager P&amp;C Platforms</t>
        </is>
      </c>
      <c r="F529" s="220" t="inlineStr">
        <is>
          <t>TDD Group Functions</t>
        </is>
      </c>
      <c r="G529" s="323" t="inlineStr">
        <is>
          <t>P&amp;C, Finance &amp; Legal</t>
        </is>
      </c>
      <c r="H529" s="306" t="inlineStr">
        <is>
          <t>Tech, P&amp;C Platforms</t>
        </is>
      </c>
      <c r="I529" s="306" t="inlineStr">
        <is>
          <t>P&amp;C</t>
        </is>
      </c>
      <c r="J529" s="306" t="inlineStr">
        <is>
          <t>P&amp;C</t>
        </is>
      </c>
      <c r="K529" s="306" t="inlineStr">
        <is>
          <t>P&amp;C RTA</t>
        </is>
      </c>
      <c r="L529" s="306" t="n"/>
      <c r="M529" s="307" t="inlineStr">
        <is>
          <t>Australia</t>
        </is>
      </c>
      <c r="N529" s="308" t="inlineStr">
        <is>
          <t>CIA</t>
        </is>
      </c>
      <c r="O529" s="308" t="n">
        <v>1</v>
      </c>
      <c r="P529" s="308" t="n"/>
      <c r="Q529" s="308" t="inlineStr">
        <is>
          <t>v</t>
        </is>
      </c>
      <c r="R529" s="310" t="n"/>
      <c r="S529" s="310" t="n"/>
      <c r="T529" s="322" t="n">
        <v>129650</v>
      </c>
      <c r="U529" s="321" t="n">
        <v>129650</v>
      </c>
      <c r="V529" s="313" t="n">
        <v>0.1</v>
      </c>
      <c r="W529" s="953" t="n">
        <v>0.055</v>
      </c>
      <c r="X529" s="953" t="n">
        <v>0.12</v>
      </c>
      <c r="Y529" s="954" t="n"/>
      <c r="Z529" s="953" t="n">
        <v>0.04</v>
      </c>
      <c r="AA529" s="952">
        <f>U529*(1+V529+W529+X529+Y529+Z529)</f>
        <v>170489.75</v>
      </c>
      <c r="AC529" t="inlineStr">
        <is>
          <t>P&amp;C</t>
        </is>
      </c>
      <c r="AD529" t="inlineStr">
        <is>
          <t>P&amp;C</t>
        </is>
      </c>
      <c r="AE529" t="inlineStr">
        <is>
          <t>P&amp;C - RTA</t>
        </is>
      </c>
      <c r="AF529" t="inlineStr">
        <is>
          <t>Squad</t>
        </is>
      </c>
      <c r="AG529" t="inlineStr">
        <is>
          <t>Vacant</t>
        </is>
      </c>
    </row>
    <row r="530" hidden="1" ht="18" customHeight="1" s="849">
      <c r="A530" s="250" t="inlineStr">
        <is>
          <t>V</t>
        </is>
      </c>
      <c r="B530" s="355" t="inlineStr">
        <is>
          <t>Vacant</t>
        </is>
      </c>
      <c r="C530" s="391" t="inlineStr">
        <is>
          <t>Systems Specialist</t>
        </is>
      </c>
      <c r="D530" s="306" t="inlineStr">
        <is>
          <t>Vacant</t>
        </is>
      </c>
      <c r="E530" s="220" t="inlineStr">
        <is>
          <t>Technology Manager P&amp;C Platforms</t>
        </is>
      </c>
      <c r="F530" s="220" t="inlineStr">
        <is>
          <t>TDD Group Functions</t>
        </is>
      </c>
      <c r="G530" s="323" t="inlineStr">
        <is>
          <t>P&amp;C, Finance &amp; Legal</t>
        </is>
      </c>
      <c r="H530" s="306" t="inlineStr">
        <is>
          <t>Tech, P&amp;C Platforms</t>
        </is>
      </c>
      <c r="I530" s="316" t="inlineStr">
        <is>
          <t>P&amp;C</t>
        </is>
      </c>
      <c r="J530" s="306" t="inlineStr">
        <is>
          <t>P&amp;C</t>
        </is>
      </c>
      <c r="K530" s="306" t="inlineStr">
        <is>
          <t>P&amp;C RTA</t>
        </is>
      </c>
      <c r="L530" s="306" t="n"/>
      <c r="M530" s="307" t="inlineStr">
        <is>
          <t>Australia</t>
        </is>
      </c>
      <c r="N530" s="310" t="inlineStr">
        <is>
          <t>CIA</t>
        </is>
      </c>
      <c r="O530" s="310" t="n">
        <v>1</v>
      </c>
      <c r="P530" s="310" t="n"/>
      <c r="Q530" s="310" t="inlineStr">
        <is>
          <t>v</t>
        </is>
      </c>
      <c r="R530" s="310" t="n"/>
      <c r="S530" s="310" t="n"/>
      <c r="T530" s="322" t="n">
        <v>136860</v>
      </c>
      <c r="U530" s="321" t="n">
        <v>136860</v>
      </c>
      <c r="V530" s="313" t="n">
        <v>0.1</v>
      </c>
      <c r="W530" s="953" t="n">
        <v>0.055</v>
      </c>
      <c r="X530" s="953" t="n">
        <v>0.12</v>
      </c>
      <c r="Y530" s="954" t="n"/>
      <c r="Z530" s="953" t="n">
        <v>0.04</v>
      </c>
      <c r="AA530" s="952">
        <f>U530*(1+V530+W530+X530+Y530+Z530)</f>
        <v>179970.9</v>
      </c>
      <c r="AC530" t="inlineStr">
        <is>
          <t>P&amp;C</t>
        </is>
      </c>
      <c r="AD530" t="inlineStr">
        <is>
          <t>P&amp;C</t>
        </is>
      </c>
      <c r="AE530" t="inlineStr">
        <is>
          <t>P&amp;C - RTA</t>
        </is>
      </c>
      <c r="AF530" t="inlineStr">
        <is>
          <t>Squad</t>
        </is>
      </c>
      <c r="AG530" t="inlineStr">
        <is>
          <t>Vacant</t>
        </is>
      </c>
    </row>
    <row r="531" hidden="1" ht="18" customHeight="1" s="849">
      <c r="A531" s="250" t="inlineStr">
        <is>
          <t>V</t>
        </is>
      </c>
      <c r="B531" s="355" t="inlineStr">
        <is>
          <t>Vacant</t>
        </is>
      </c>
      <c r="C531" s="391" t="inlineStr">
        <is>
          <t>Technology Manager – P&amp;C Platforms</t>
        </is>
      </c>
      <c r="D531" s="306" t="inlineStr">
        <is>
          <t>Vaso Vukovic</t>
        </is>
      </c>
      <c r="E531" s="323" t="inlineStr">
        <is>
          <t>Head of Technology - P&amp;C, Finance &amp; Legal</t>
        </is>
      </c>
      <c r="F531" s="220" t="inlineStr">
        <is>
          <t>TDD Group Functions</t>
        </is>
      </c>
      <c r="G531" s="323" t="inlineStr">
        <is>
          <t>P&amp;C, Finance &amp; Legal</t>
        </is>
      </c>
      <c r="H531" s="316" t="inlineStr">
        <is>
          <t>Tech, P&amp;C Platforms</t>
        </is>
      </c>
      <c r="I531" s="306" t="inlineStr">
        <is>
          <t>P&amp;C</t>
        </is>
      </c>
      <c r="J531" s="306" t="inlineStr">
        <is>
          <t>P&amp;C</t>
        </is>
      </c>
      <c r="K531" s="316" t="inlineStr">
        <is>
          <t>Leadership</t>
        </is>
      </c>
      <c r="L531" s="306" t="n"/>
      <c r="M531" s="307" t="inlineStr">
        <is>
          <t>Australia</t>
        </is>
      </c>
      <c r="N531" s="308" t="inlineStr">
        <is>
          <t>CSB</t>
        </is>
      </c>
      <c r="O531" s="308" t="n">
        <v>1</v>
      </c>
      <c r="P531" s="308" t="n"/>
      <c r="Q531" s="308" t="inlineStr">
        <is>
          <t>v</t>
        </is>
      </c>
      <c r="R531" s="310" t="n"/>
      <c r="S531" s="310" t="n"/>
      <c r="T531" s="322" t="n">
        <v>203550</v>
      </c>
      <c r="U531" s="321" t="n">
        <v>203550</v>
      </c>
      <c r="V531" s="313" t="n">
        <v>0.14</v>
      </c>
      <c r="W531" s="953" t="n">
        <v>0.055</v>
      </c>
      <c r="X531" s="953" t="n">
        <v>0.12</v>
      </c>
      <c r="Y531" s="954" t="n"/>
      <c r="Z531" s="953" t="n">
        <v>0.04</v>
      </c>
      <c r="AA531" s="952">
        <f>U531*(1+V531+W531+X531+Y531+Z531)</f>
        <v>275810.25</v>
      </c>
      <c r="AC531" t="inlineStr">
        <is>
          <t>P&amp;C</t>
        </is>
      </c>
      <c r="AD531" t="inlineStr">
        <is>
          <t>Leadership</t>
        </is>
      </c>
      <c r="AE531" t="inlineStr">
        <is>
          <t>Leadership</t>
        </is>
      </c>
      <c r="AF531" t="inlineStr">
        <is>
          <t>Leadership</t>
        </is>
      </c>
      <c r="AG531" t="inlineStr">
        <is>
          <t>Vacant</t>
        </is>
      </c>
    </row>
    <row r="532" hidden="1" ht="18" customHeight="1" s="849">
      <c r="A532" s="250" t="inlineStr">
        <is>
          <t>V</t>
        </is>
      </c>
      <c r="B532" s="355" t="inlineStr">
        <is>
          <t>Vacant</t>
        </is>
      </c>
      <c r="C532" s="391" t="inlineStr">
        <is>
          <t>Delivery Manager</t>
        </is>
      </c>
      <c r="D532" s="306" t="inlineStr">
        <is>
          <t>Vaso Vukovic</t>
        </is>
      </c>
      <c r="E532" s="323" t="inlineStr">
        <is>
          <t>Head of Technology - P&amp;C, Finance &amp; Legal</t>
        </is>
      </c>
      <c r="F532" s="220" t="inlineStr">
        <is>
          <t>TDD Group Functions</t>
        </is>
      </c>
      <c r="G532" s="323" t="inlineStr">
        <is>
          <t>P&amp;C, Finance &amp; Legal</t>
        </is>
      </c>
      <c r="H532" s="306" t="inlineStr">
        <is>
          <t>Delivery, P&amp;C, Finance &amp; Legal</t>
        </is>
      </c>
      <c r="I532" s="306" t="inlineStr">
        <is>
          <t>P&amp;C, Finance &amp; Legal</t>
        </is>
      </c>
      <c r="J532" s="306" t="inlineStr">
        <is>
          <t>P&amp;C, Finance &amp; Legal</t>
        </is>
      </c>
      <c r="K532" s="306" t="inlineStr">
        <is>
          <t>Leadership</t>
        </is>
      </c>
      <c r="L532" s="306" t="n"/>
      <c r="M532" s="307" t="inlineStr">
        <is>
          <t>Australia</t>
        </is>
      </c>
      <c r="N532" s="308" t="inlineStr">
        <is>
          <t>CSB</t>
        </is>
      </c>
      <c r="O532" s="308" t="n">
        <v>1</v>
      </c>
      <c r="P532" s="308" t="n"/>
      <c r="Q532" s="308" t="inlineStr">
        <is>
          <t>V</t>
        </is>
      </c>
      <c r="R532" s="310" t="n"/>
      <c r="S532" s="310" t="n"/>
      <c r="T532" s="322" t="n">
        <v>203550</v>
      </c>
      <c r="U532" s="321" t="n">
        <v>203550</v>
      </c>
      <c r="V532" s="313" t="n">
        <v>0.14</v>
      </c>
      <c r="W532" s="953" t="n">
        <v>0.055</v>
      </c>
      <c r="X532" s="953" t="n">
        <v>0.12</v>
      </c>
      <c r="Y532" s="954" t="n"/>
      <c r="Z532" s="953" t="n">
        <v>0.04</v>
      </c>
      <c r="AA532" s="952">
        <f>U532*(1+V532+W532+X532+Y532+Z532)</f>
        <v>275810.25</v>
      </c>
      <c r="AC532" t="inlineStr">
        <is>
          <t>P&amp;C</t>
        </is>
      </c>
      <c r="AD532" t="inlineStr">
        <is>
          <t>Leadership</t>
        </is>
      </c>
      <c r="AE532" t="inlineStr">
        <is>
          <t>Leadership</t>
        </is>
      </c>
      <c r="AF532" t="inlineStr">
        <is>
          <t>Leadership</t>
        </is>
      </c>
      <c r="AG532" t="inlineStr">
        <is>
          <t>Vacant</t>
        </is>
      </c>
    </row>
    <row r="533" hidden="1" ht="18" customHeight="1" s="849">
      <c r="A533" s="250" t="inlineStr">
        <is>
          <t>V</t>
        </is>
      </c>
      <c r="B533" s="220" t="inlineStr">
        <is>
          <t>Vacant</t>
        </is>
      </c>
      <c r="C533" s="305" t="inlineStr">
        <is>
          <t>Head of Technology - TDD &amp; Engineering Capability Lead</t>
        </is>
      </c>
      <c r="D533" s="323" t="inlineStr">
        <is>
          <t>Emily Mogic</t>
        </is>
      </c>
      <c r="E533" s="220" t="inlineStr">
        <is>
          <t>GM TDD, Group Function</t>
        </is>
      </c>
      <c r="F533" s="220" t="inlineStr">
        <is>
          <t>TDD Group Functions</t>
        </is>
      </c>
      <c r="G533" s="306" t="inlineStr">
        <is>
          <t xml:space="preserve">TDD &amp; Engineering </t>
        </is>
      </c>
      <c r="H533" s="306" t="inlineStr">
        <is>
          <t>na</t>
        </is>
      </c>
      <c r="I533" s="306" t="inlineStr">
        <is>
          <t>TDD</t>
        </is>
      </c>
      <c r="J533" s="306" t="inlineStr">
        <is>
          <t>TDD</t>
        </is>
      </c>
      <c r="K533" s="306" t="inlineStr">
        <is>
          <t>Leadership</t>
        </is>
      </c>
      <c r="L533" s="306" t="n"/>
      <c r="M533" s="307" t="inlineStr">
        <is>
          <t>Australia</t>
        </is>
      </c>
      <c r="N533" s="308" t="inlineStr">
        <is>
          <t>CSC</t>
        </is>
      </c>
      <c r="O533" s="308" t="n">
        <v>1</v>
      </c>
      <c r="P533" s="308" t="n"/>
      <c r="Q533" s="308" t="inlineStr">
        <is>
          <t>v</t>
        </is>
      </c>
      <c r="R533" s="310" t="n"/>
      <c r="S533" s="310" t="n"/>
      <c r="T533" s="322" t="n">
        <v>235350</v>
      </c>
      <c r="U533" s="321" t="n">
        <v>235350</v>
      </c>
      <c r="V533" s="313" t="n">
        <v>0.2</v>
      </c>
      <c r="W533" s="953" t="n">
        <v>0.055</v>
      </c>
      <c r="X533" s="953" t="n">
        <v>0.12</v>
      </c>
      <c r="Y533" s="954" t="n"/>
      <c r="Z533" s="953" t="n">
        <v>0.04</v>
      </c>
      <c r="AA533" s="952">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849">
      <c r="A534" s="250" t="inlineStr">
        <is>
          <t>V</t>
        </is>
      </c>
      <c r="B534" s="355" t="inlineStr">
        <is>
          <t>Vacant</t>
        </is>
      </c>
      <c r="C534" s="391" t="inlineStr">
        <is>
          <t>Infrastructure Operations Lead</t>
        </is>
      </c>
      <c r="D534" s="306" t="inlineStr">
        <is>
          <t>John McCormack</t>
        </is>
      </c>
      <c r="E534" s="323" t="inlineStr">
        <is>
          <t>Manager - Infrastructure Operations</t>
        </is>
      </c>
      <c r="F534" s="220" t="inlineStr">
        <is>
          <t>TDD Group Functions</t>
        </is>
      </c>
      <c r="G534" s="306" t="inlineStr">
        <is>
          <t>TDD &amp; Engineering</t>
        </is>
      </c>
      <c r="H534" s="306" t="inlineStr">
        <is>
          <t>Cloud, Network &amp; Infra</t>
        </is>
      </c>
      <c r="I534" s="220" t="inlineStr">
        <is>
          <t>TDD</t>
        </is>
      </c>
      <c r="J534" s="306" t="inlineStr">
        <is>
          <t>TDD</t>
        </is>
      </c>
      <c r="K534" s="306" t="inlineStr">
        <is>
          <t>Cloud, Network &amp; Infra Ops</t>
        </is>
      </c>
      <c r="L534" s="306" t="n"/>
      <c r="M534" s="307" t="inlineStr">
        <is>
          <t>Australia</t>
        </is>
      </c>
      <c r="N534" s="308" t="inlineStr">
        <is>
          <t>CIB</t>
        </is>
      </c>
      <c r="O534" s="308" t="n">
        <v>1</v>
      </c>
      <c r="P534" s="308" t="n"/>
      <c r="Q534" s="308" t="inlineStr">
        <is>
          <t>v</t>
        </is>
      </c>
      <c r="R534" s="310" t="n"/>
      <c r="S534" s="310" t="n"/>
      <c r="T534" s="322" t="n">
        <v>151950</v>
      </c>
      <c r="U534" s="321" t="n">
        <v>151950</v>
      </c>
      <c r="V534" s="313" t="n">
        <v>0.12</v>
      </c>
      <c r="W534" s="953" t="n">
        <v>0.055</v>
      </c>
      <c r="X534" s="953" t="n">
        <v>0.12</v>
      </c>
      <c r="Y534" s="954" t="n"/>
      <c r="Z534" s="953" t="n">
        <v>0.04</v>
      </c>
      <c r="AA534" s="952">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849">
      <c r="A535" s="250" t="inlineStr">
        <is>
          <t>V</t>
        </is>
      </c>
      <c r="B535" s="355" t="inlineStr">
        <is>
          <t>Vacant</t>
        </is>
      </c>
      <c r="C535" s="391" t="inlineStr">
        <is>
          <t>RPA Lead</t>
        </is>
      </c>
      <c r="D535" s="220" t="inlineStr">
        <is>
          <t>Mike Seales</t>
        </is>
      </c>
      <c r="E535" s="220" t="inlineStr">
        <is>
          <t>Technology Manager Integration &amp; Process Managemetn</t>
        </is>
      </c>
      <c r="F535" s="220" t="inlineStr">
        <is>
          <t>TDD Group Functions</t>
        </is>
      </c>
      <c r="G535" s="306" t="inlineStr">
        <is>
          <t xml:space="preserve">TDD &amp; Engineering </t>
        </is>
      </c>
      <c r="H535" s="220" t="inlineStr">
        <is>
          <t>Integration &amp; Process Management</t>
        </is>
      </c>
      <c r="I535" s="220" t="inlineStr">
        <is>
          <t>TDD</t>
        </is>
      </c>
      <c r="J535" s="306" t="inlineStr">
        <is>
          <t>TDD</t>
        </is>
      </c>
      <c r="K535" s="306" t="inlineStr">
        <is>
          <t>Integration &amp; Process automation</t>
        </is>
      </c>
      <c r="L535" s="306" t="n"/>
      <c r="M535" s="307" t="inlineStr">
        <is>
          <t>Australia</t>
        </is>
      </c>
      <c r="N535" s="308" t="inlineStr">
        <is>
          <t>CIC</t>
        </is>
      </c>
      <c r="O535" s="308" t="n">
        <v>1</v>
      </c>
      <c r="P535" s="308" t="n"/>
      <c r="Q535" s="308" t="inlineStr">
        <is>
          <t>v</t>
        </is>
      </c>
      <c r="R535" s="310" t="n"/>
      <c r="S535" s="310" t="n"/>
      <c r="T535" s="322" t="n">
        <v>173550</v>
      </c>
      <c r="U535" s="321" t="n">
        <v>173550</v>
      </c>
      <c r="V535" s="313" t="n">
        <v>0.12</v>
      </c>
      <c r="W535" s="953" t="n">
        <v>0.055</v>
      </c>
      <c r="X535" s="953" t="n">
        <v>0.12</v>
      </c>
      <c r="Y535" s="954" t="n"/>
      <c r="Z535" s="953" t="n">
        <v>0.04</v>
      </c>
      <c r="AA535" s="952">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849">
      <c r="A536" s="250" t="inlineStr">
        <is>
          <t>V</t>
        </is>
      </c>
      <c r="B536" s="355" t="inlineStr">
        <is>
          <t>Vacant</t>
        </is>
      </c>
      <c r="C536" s="391" t="inlineStr">
        <is>
          <t>Senior Engineer (Automation Test)</t>
        </is>
      </c>
      <c r="D536" s="355" t="inlineStr">
        <is>
          <t>Shobhit Mittal</t>
        </is>
      </c>
      <c r="E536" s="323" t="inlineStr">
        <is>
          <t>Lead Engineer (Automation Test)</t>
        </is>
      </c>
      <c r="F536" s="306" t="inlineStr">
        <is>
          <t>TDD Group Functions</t>
        </is>
      </c>
      <c r="G536" s="306" t="inlineStr">
        <is>
          <t>TDD &amp; Engineering</t>
        </is>
      </c>
      <c r="H536" s="306" t="inlineStr">
        <is>
          <t>DevOps &amp; QE</t>
        </is>
      </c>
      <c r="I536" s="220" t="inlineStr">
        <is>
          <t>TDD</t>
        </is>
      </c>
      <c r="J536" s="306" t="inlineStr">
        <is>
          <t>TDD</t>
        </is>
      </c>
      <c r="K536" s="306" t="inlineStr">
        <is>
          <t>DevOps &amp; QE</t>
        </is>
      </c>
      <c r="L536" s="306" t="n"/>
      <c r="M536" s="307" t="inlineStr">
        <is>
          <t>Australia</t>
        </is>
      </c>
      <c r="N536" s="308" t="inlineStr">
        <is>
          <t>CIB</t>
        </is>
      </c>
      <c r="O536" s="308" t="n">
        <v>1</v>
      </c>
      <c r="P536" s="308" t="n"/>
      <c r="Q536" s="308" t="inlineStr">
        <is>
          <t>v</t>
        </is>
      </c>
      <c r="R536" s="310" t="n"/>
      <c r="S536" s="310" t="n"/>
      <c r="T536" s="322" t="n">
        <v>151950</v>
      </c>
      <c r="U536" s="321" t="n">
        <v>151950</v>
      </c>
      <c r="V536" s="313" t="n">
        <v>0.12</v>
      </c>
      <c r="W536" s="953" t="n">
        <v>0.055</v>
      </c>
      <c r="X536" s="953" t="n">
        <v>0.12</v>
      </c>
      <c r="Y536" s="954" t="n"/>
      <c r="Z536" s="953" t="n">
        <v>0.04</v>
      </c>
      <c r="AA536" s="952">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849">
      <c r="A537" s="250" t="inlineStr">
        <is>
          <t>V</t>
        </is>
      </c>
      <c r="B537" s="355" t="inlineStr">
        <is>
          <t>Vacant</t>
        </is>
      </c>
      <c r="C537" s="391" t="inlineStr">
        <is>
          <t>Business Analyst (Integrations)</t>
        </is>
      </c>
      <c r="D537" s="220" t="inlineStr">
        <is>
          <t>Vacant</t>
        </is>
      </c>
      <c r="E537" s="220" t="inlineStr">
        <is>
          <t>Delivery Manager</t>
        </is>
      </c>
      <c r="F537" s="220" t="inlineStr">
        <is>
          <t>TDD Group Functions</t>
        </is>
      </c>
      <c r="G537" s="306" t="inlineStr">
        <is>
          <t xml:space="preserve">TDD &amp; Engineering </t>
        </is>
      </c>
      <c r="H537" s="220" t="inlineStr">
        <is>
          <t>Delivery, TDD &amp; Engineering</t>
        </is>
      </c>
      <c r="I537" s="220" t="inlineStr">
        <is>
          <t>TDD</t>
        </is>
      </c>
      <c r="J537" s="306" t="inlineStr">
        <is>
          <t>TDD</t>
        </is>
      </c>
      <c r="K537" s="306" t="inlineStr">
        <is>
          <t>Integration &amp; Process Automation</t>
        </is>
      </c>
      <c r="L537" s="306" t="n"/>
      <c r="M537" s="307" t="inlineStr">
        <is>
          <t>Australia</t>
        </is>
      </c>
      <c r="N537" s="308" t="inlineStr">
        <is>
          <t>CIB</t>
        </is>
      </c>
      <c r="O537" s="308" t="n">
        <v>1</v>
      </c>
      <c r="P537" s="308" t="n"/>
      <c r="Q537" s="308" t="inlineStr">
        <is>
          <t>V</t>
        </is>
      </c>
      <c r="R537" s="310" t="n"/>
      <c r="S537" s="310" t="n"/>
      <c r="T537" s="322" t="n">
        <v>151000</v>
      </c>
      <c r="U537" s="321" t="n">
        <v>151000</v>
      </c>
      <c r="V537" s="313" t="n">
        <v>0.12</v>
      </c>
      <c r="W537" s="953" t="n">
        <v>0.055</v>
      </c>
      <c r="X537" s="953" t="n">
        <v>0.12</v>
      </c>
      <c r="Y537" s="954" t="n"/>
      <c r="Z537" s="953" t="n">
        <v>0.04</v>
      </c>
      <c r="AA537" s="952">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849">
      <c r="A538" s="250" t="inlineStr">
        <is>
          <t>V</t>
        </is>
      </c>
      <c r="B538" s="355" t="inlineStr">
        <is>
          <t>Vacant</t>
        </is>
      </c>
      <c r="C538" s="391" t="inlineStr">
        <is>
          <t>Business Analyst (Workplace &amp; Enterprise Tooling)</t>
        </is>
      </c>
      <c r="D538" s="306" t="inlineStr">
        <is>
          <t>Vacant</t>
        </is>
      </c>
      <c r="E538" s="323" t="inlineStr">
        <is>
          <t xml:space="preserve">Delivery Manager </t>
        </is>
      </c>
      <c r="F538" s="220" t="inlineStr">
        <is>
          <t>TDD Group Functions</t>
        </is>
      </c>
      <c r="G538" s="306" t="inlineStr">
        <is>
          <t>TDD &amp; Engineering</t>
        </is>
      </c>
      <c r="H538" s="220" t="inlineStr">
        <is>
          <t>Delivery, TDD &amp; Engineering</t>
        </is>
      </c>
      <c r="I538" s="220" t="inlineStr">
        <is>
          <t>TDD</t>
        </is>
      </c>
      <c r="J538" s="306" t="inlineStr">
        <is>
          <t>TDD</t>
        </is>
      </c>
      <c r="K538" s="306" t="inlineStr">
        <is>
          <t>Workplace &amp; Enterprise Tooling</t>
        </is>
      </c>
      <c r="L538" s="306" t="n"/>
      <c r="M538" s="307" t="inlineStr">
        <is>
          <t>Australia</t>
        </is>
      </c>
      <c r="N538" s="308" t="inlineStr">
        <is>
          <t>CIB</t>
        </is>
      </c>
      <c r="O538" s="308" t="n">
        <v>1</v>
      </c>
      <c r="P538" s="308" t="n"/>
      <c r="Q538" s="308" t="inlineStr">
        <is>
          <t>V</t>
        </is>
      </c>
      <c r="R538" s="310" t="n"/>
      <c r="S538" s="310" t="n"/>
      <c r="T538" s="322" t="n">
        <v>151000</v>
      </c>
      <c r="U538" s="321" t="n">
        <v>151000</v>
      </c>
      <c r="V538" s="313" t="n">
        <v>0.12</v>
      </c>
      <c r="W538" s="953" t="n">
        <v>0.055</v>
      </c>
      <c r="X538" s="953" t="n">
        <v>0.12</v>
      </c>
      <c r="Y538" s="954" t="n"/>
      <c r="Z538" s="953" t="n">
        <v>0.04</v>
      </c>
      <c r="AA538" s="952">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849">
      <c r="A539" s="250" t="inlineStr">
        <is>
          <t>V</t>
        </is>
      </c>
      <c r="B539" s="355" t="inlineStr">
        <is>
          <t>Vacant</t>
        </is>
      </c>
      <c r="C539" s="391" t="inlineStr">
        <is>
          <t>Delivery Manager</t>
        </is>
      </c>
      <c r="D539" s="306" t="inlineStr">
        <is>
          <t>Vacant</t>
        </is>
      </c>
      <c r="E539" s="323" t="inlineStr">
        <is>
          <t>Head of Technology - TDD &amp; Engineering Capability Lead</t>
        </is>
      </c>
      <c r="F539" s="220" t="inlineStr">
        <is>
          <t>TDD Group Functions</t>
        </is>
      </c>
      <c r="G539" s="306" t="inlineStr">
        <is>
          <t xml:space="preserve">TDD &amp; Engineering </t>
        </is>
      </c>
      <c r="H539" s="306" t="n"/>
      <c r="I539" s="306" t="inlineStr">
        <is>
          <t>TDD</t>
        </is>
      </c>
      <c r="J539" s="306" t="inlineStr">
        <is>
          <t>TDD</t>
        </is>
      </c>
      <c r="K539" s="306" t="inlineStr">
        <is>
          <t>Leadership</t>
        </is>
      </c>
      <c r="L539" s="306" t="n"/>
      <c r="M539" s="307" t="inlineStr">
        <is>
          <t>Australia</t>
        </is>
      </c>
      <c r="N539" s="308" t="inlineStr">
        <is>
          <t>CSB</t>
        </is>
      </c>
      <c r="O539" s="308" t="n">
        <v>1</v>
      </c>
      <c r="P539" s="308" t="n"/>
      <c r="Q539" s="308" t="inlineStr">
        <is>
          <t>V</t>
        </is>
      </c>
      <c r="R539" s="310" t="n"/>
      <c r="S539" s="310" t="n"/>
      <c r="T539" s="322" t="n">
        <v>203550</v>
      </c>
      <c r="U539" s="321" t="n">
        <v>203550</v>
      </c>
      <c r="V539" s="313" t="n">
        <v>0.14</v>
      </c>
      <c r="W539" s="953" t="n">
        <v>0.055</v>
      </c>
      <c r="X539" s="953" t="n">
        <v>0.12</v>
      </c>
      <c r="Y539" s="954" t="n"/>
      <c r="Z539" s="953" t="n">
        <v>0.04</v>
      </c>
      <c r="AA539" s="952">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849">
      <c r="A540" s="250" t="inlineStr">
        <is>
          <t>V</t>
        </is>
      </c>
      <c r="B540" s="355" t="inlineStr">
        <is>
          <t>Vacant</t>
        </is>
      </c>
      <c r="C540" s="391" t="inlineStr">
        <is>
          <t>Enterprise Systems Specialist</t>
        </is>
      </c>
      <c r="D540" s="306" t="inlineStr">
        <is>
          <t>Vacant</t>
        </is>
      </c>
      <c r="E540" s="220" t="inlineStr">
        <is>
          <t>Technology Manager, Enterprise Tooling</t>
        </is>
      </c>
      <c r="F540" s="220" t="inlineStr">
        <is>
          <t>TDD Group Functions</t>
        </is>
      </c>
      <c r="G540" s="306" t="inlineStr">
        <is>
          <t xml:space="preserve">TDD &amp; Engineering </t>
        </is>
      </c>
      <c r="H540" s="220" t="inlineStr">
        <is>
          <t>Workplace &amp; Enterprise Tooling</t>
        </is>
      </c>
      <c r="I540" s="220" t="inlineStr">
        <is>
          <t>TDD</t>
        </is>
      </c>
      <c r="J540" s="306" t="inlineStr">
        <is>
          <t>TDD</t>
        </is>
      </c>
      <c r="K540" s="306" t="inlineStr">
        <is>
          <t>Workplace &amp; Enterprise Tooling</t>
        </is>
      </c>
      <c r="L540" s="306" t="n"/>
      <c r="M540" s="307" t="inlineStr">
        <is>
          <t>Australia</t>
        </is>
      </c>
      <c r="N540" s="308" t="inlineStr">
        <is>
          <t>CIB</t>
        </is>
      </c>
      <c r="O540" s="308" t="n">
        <v>1</v>
      </c>
      <c r="P540" s="308" t="n"/>
      <c r="Q540" s="308" t="inlineStr">
        <is>
          <t>V</t>
        </is>
      </c>
      <c r="R540" s="310" t="n"/>
      <c r="S540" s="310" t="n"/>
      <c r="T540" s="322" t="n">
        <v>151950</v>
      </c>
      <c r="U540" s="321" t="n">
        <v>151950</v>
      </c>
      <c r="V540" s="313" t="n">
        <v>0.12</v>
      </c>
      <c r="W540" s="953" t="n">
        <v>0.055</v>
      </c>
      <c r="X540" s="953" t="n">
        <v>0.12</v>
      </c>
      <c r="Y540" s="954" t="n"/>
      <c r="Z540" s="953" t="n">
        <v>0.04</v>
      </c>
      <c r="AA540" s="952">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849">
      <c r="A541" s="250" t="inlineStr">
        <is>
          <t>V</t>
        </is>
      </c>
      <c r="B541" s="355" t="inlineStr">
        <is>
          <t>vacant</t>
        </is>
      </c>
      <c r="C541" s="391" t="inlineStr">
        <is>
          <t>Environments and Test Data Manager</t>
        </is>
      </c>
      <c r="D541" s="355" t="inlineStr">
        <is>
          <t>Vacant</t>
        </is>
      </c>
      <c r="E541" s="323" t="inlineStr">
        <is>
          <t>Technology Manager – DevOps and Quality Engineering</t>
        </is>
      </c>
      <c r="F541" s="306" t="inlineStr">
        <is>
          <t>TDD Group Functions</t>
        </is>
      </c>
      <c r="G541" s="306" t="inlineStr">
        <is>
          <t>TDD &amp; Engineering</t>
        </is>
      </c>
      <c r="H541" s="306" t="inlineStr">
        <is>
          <t>DevOps &amp; QE</t>
        </is>
      </c>
      <c r="I541" s="220" t="inlineStr">
        <is>
          <t>TDD</t>
        </is>
      </c>
      <c r="J541" s="306" t="inlineStr">
        <is>
          <t>TDD</t>
        </is>
      </c>
      <c r="K541" s="306" t="inlineStr">
        <is>
          <t>DevOps &amp; QE</t>
        </is>
      </c>
      <c r="L541" s="306" t="n"/>
      <c r="M541" s="307" t="inlineStr">
        <is>
          <t>Australia</t>
        </is>
      </c>
      <c r="N541" s="308" t="inlineStr">
        <is>
          <t>CIB</t>
        </is>
      </c>
      <c r="O541" s="308" t="n">
        <v>1</v>
      </c>
      <c r="P541" s="308" t="n"/>
      <c r="Q541" s="308" t="inlineStr">
        <is>
          <t>V</t>
        </is>
      </c>
      <c r="R541" s="310" t="n"/>
      <c r="S541" s="310" t="n"/>
      <c r="T541" s="322" t="n">
        <v>151950</v>
      </c>
      <c r="U541" s="321" t="n">
        <v>151950</v>
      </c>
      <c r="V541" s="313" t="n">
        <v>0.12</v>
      </c>
      <c r="W541" s="953" t="n">
        <v>0.055</v>
      </c>
      <c r="X541" s="953" t="n">
        <v>0.12</v>
      </c>
      <c r="Y541" s="954" t="n"/>
      <c r="Z541" s="953" t="n">
        <v>0.04</v>
      </c>
      <c r="AA541" s="952">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849">
      <c r="A542" s="250" t="inlineStr">
        <is>
          <t>V</t>
        </is>
      </c>
      <c r="B542" s="355" t="inlineStr">
        <is>
          <t>Vacant</t>
        </is>
      </c>
      <c r="C542" s="391" t="inlineStr">
        <is>
          <t>Lead Engineer (Automation Test)</t>
        </is>
      </c>
      <c r="D542" s="355" t="inlineStr">
        <is>
          <t>Vacant</t>
        </is>
      </c>
      <c r="E542" s="323" t="inlineStr">
        <is>
          <t>Technology Manager – DevOps and Quality Engineering</t>
        </is>
      </c>
      <c r="F542" s="306" t="inlineStr">
        <is>
          <t>TDD Group Functions</t>
        </is>
      </c>
      <c r="G542" s="306" t="inlineStr">
        <is>
          <t>TDD &amp; Engineering</t>
        </is>
      </c>
      <c r="H542" s="306" t="inlineStr">
        <is>
          <t>DevOps &amp; QE</t>
        </is>
      </c>
      <c r="I542" s="220" t="inlineStr">
        <is>
          <t>TDD</t>
        </is>
      </c>
      <c r="J542" s="306" t="inlineStr">
        <is>
          <t>TDD</t>
        </is>
      </c>
      <c r="K542" s="306" t="inlineStr">
        <is>
          <t>DevOps &amp; QE</t>
        </is>
      </c>
      <c r="L542" s="306" t="n"/>
      <c r="M542" s="307" t="inlineStr">
        <is>
          <t>Australia</t>
        </is>
      </c>
      <c r="N542" s="308" t="inlineStr">
        <is>
          <t>CIC</t>
        </is>
      </c>
      <c r="O542" s="308" t="n">
        <v>1</v>
      </c>
      <c r="P542" s="308" t="n"/>
      <c r="Q542" s="308" t="inlineStr">
        <is>
          <t>v</t>
        </is>
      </c>
      <c r="R542" s="310" t="n"/>
      <c r="S542" s="310" t="n"/>
      <c r="T542" s="322" t="n">
        <v>173550</v>
      </c>
      <c r="U542" s="321" t="n">
        <v>173550</v>
      </c>
      <c r="V542" s="313" t="n">
        <v>0.12</v>
      </c>
      <c r="W542" s="953" t="n">
        <v>0.055</v>
      </c>
      <c r="X542" s="953" t="n">
        <v>0.12</v>
      </c>
      <c r="Y542" s="954" t="n"/>
      <c r="Z542" s="953" t="n">
        <v>0.04</v>
      </c>
      <c r="AA542" s="952">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849">
      <c r="A543" s="250" t="inlineStr">
        <is>
          <t>V</t>
        </is>
      </c>
      <c r="B543" s="355" t="inlineStr">
        <is>
          <t>vacant</t>
        </is>
      </c>
      <c r="C543" s="391" t="inlineStr">
        <is>
          <t>Lead Engineer Software</t>
        </is>
      </c>
      <c r="D543" s="355" t="inlineStr">
        <is>
          <t>Vacant</t>
        </is>
      </c>
      <c r="E543" s="323" t="inlineStr">
        <is>
          <t>Technology Manager – DevOps and Quality Engineering</t>
        </is>
      </c>
      <c r="F543" s="306" t="inlineStr">
        <is>
          <t>TDD Group Functions</t>
        </is>
      </c>
      <c r="G543" s="306" t="inlineStr">
        <is>
          <t>TDD &amp; Engineering</t>
        </is>
      </c>
      <c r="H543" s="306" t="inlineStr">
        <is>
          <t>DevOps &amp; QE</t>
        </is>
      </c>
      <c r="I543" s="220" t="inlineStr">
        <is>
          <t>TDD</t>
        </is>
      </c>
      <c r="J543" s="306" t="inlineStr">
        <is>
          <t>TDD</t>
        </is>
      </c>
      <c r="K543" s="306" t="inlineStr">
        <is>
          <t>DevOps &amp; QE</t>
        </is>
      </c>
      <c r="L543" s="306" t="n"/>
      <c r="M543" s="307" t="inlineStr">
        <is>
          <t>Australia</t>
        </is>
      </c>
      <c r="N543" s="308" t="inlineStr">
        <is>
          <t>CIC</t>
        </is>
      </c>
      <c r="O543" s="308" t="n">
        <v>1</v>
      </c>
      <c r="P543" s="308" t="n"/>
      <c r="Q543" s="308" t="inlineStr">
        <is>
          <t>v</t>
        </is>
      </c>
      <c r="R543" s="310" t="n"/>
      <c r="S543" s="310" t="n"/>
      <c r="T543" s="322" t="n">
        <v>173550</v>
      </c>
      <c r="U543" s="321" t="n">
        <v>173550</v>
      </c>
      <c r="V543" s="313" t="n">
        <v>0.12</v>
      </c>
      <c r="W543" s="953" t="n">
        <v>0.055</v>
      </c>
      <c r="X543" s="953" t="n">
        <v>0.12</v>
      </c>
      <c r="Y543" s="954" t="n"/>
      <c r="Z543" s="953" t="n">
        <v>0.04</v>
      </c>
      <c r="AA543" s="952">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849">
      <c r="A544" s="250" t="inlineStr">
        <is>
          <t>V</t>
        </is>
      </c>
      <c r="B544" s="355" t="inlineStr">
        <is>
          <t>Vacant</t>
        </is>
      </c>
      <c r="C544" s="391" t="inlineStr">
        <is>
          <t>Technology Manager – Cloud, Network and Infrastructure Operations</t>
        </is>
      </c>
      <c r="D544" s="323" t="inlineStr">
        <is>
          <t>Vacant</t>
        </is>
      </c>
      <c r="E544" s="306" t="inlineStr">
        <is>
          <t>Head of Technology - TDD &amp; Engineering Capability Lead</t>
        </is>
      </c>
      <c r="F544" s="220" t="inlineStr">
        <is>
          <t>TDD Group Functions</t>
        </is>
      </c>
      <c r="G544" s="306" t="inlineStr">
        <is>
          <t>TDD &amp; Engineering</t>
        </is>
      </c>
      <c r="H544" s="306" t="inlineStr">
        <is>
          <t>Cloud Network &amp; Infra Ops</t>
        </is>
      </c>
      <c r="I544" s="306" t="inlineStr">
        <is>
          <t>TDD</t>
        </is>
      </c>
      <c r="J544" s="306" t="inlineStr">
        <is>
          <t>TDD</t>
        </is>
      </c>
      <c r="K544" s="306" t="inlineStr">
        <is>
          <t>Leadership</t>
        </is>
      </c>
      <c r="L544" s="306" t="n"/>
      <c r="M544" s="307" t="inlineStr">
        <is>
          <t>Australia</t>
        </is>
      </c>
      <c r="N544" s="308" t="inlineStr">
        <is>
          <t>CSB</t>
        </is>
      </c>
      <c r="O544" s="308" t="n">
        <v>1</v>
      </c>
      <c r="P544" s="308" t="n"/>
      <c r="Q544" s="308" t="inlineStr">
        <is>
          <t>v</t>
        </is>
      </c>
      <c r="R544" s="310" t="n"/>
      <c r="S544" s="310" t="n"/>
      <c r="T544" s="322" t="n">
        <v>203550</v>
      </c>
      <c r="U544" s="321" t="n">
        <v>203550</v>
      </c>
      <c r="V544" s="313" t="n">
        <v>0.14</v>
      </c>
      <c r="W544" s="953" t="n">
        <v>0.055</v>
      </c>
      <c r="X544" s="953" t="n">
        <v>0.12</v>
      </c>
      <c r="Y544" s="954" t="n"/>
      <c r="Z544" s="953" t="n">
        <v>0.04</v>
      </c>
      <c r="AA544" s="952">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849">
      <c r="A545" s="250" t="inlineStr">
        <is>
          <t>V</t>
        </is>
      </c>
      <c r="B545" s="355" t="inlineStr">
        <is>
          <t>Vacant</t>
        </is>
      </c>
      <c r="C545" s="391" t="inlineStr">
        <is>
          <t>Technology Manager – DevOps and Quality Engineering</t>
        </is>
      </c>
      <c r="D545" s="323" t="inlineStr">
        <is>
          <t>Vacant</t>
        </is>
      </c>
      <c r="E545" s="306" t="inlineStr">
        <is>
          <t>Head of Technology- TDD &amp; Engineering Capability</t>
        </is>
      </c>
      <c r="F545" s="220" t="inlineStr">
        <is>
          <t>TDD Group Functions</t>
        </is>
      </c>
      <c r="G545" s="306" t="inlineStr">
        <is>
          <t>TDD &amp; Engineering</t>
        </is>
      </c>
      <c r="H545" s="306" t="n"/>
      <c r="I545" s="306" t="inlineStr">
        <is>
          <t>TDD</t>
        </is>
      </c>
      <c r="J545" s="306" t="inlineStr">
        <is>
          <t>TDD</t>
        </is>
      </c>
      <c r="K545" s="306" t="inlineStr">
        <is>
          <t>Leadership</t>
        </is>
      </c>
      <c r="L545" s="306" t="n"/>
      <c r="M545" s="307" t="inlineStr">
        <is>
          <t>Australia</t>
        </is>
      </c>
      <c r="N545" s="308" t="inlineStr">
        <is>
          <t>CSB</t>
        </is>
      </c>
      <c r="O545" s="308" t="n">
        <v>1</v>
      </c>
      <c r="P545" s="308" t="n"/>
      <c r="Q545" s="308" t="inlineStr">
        <is>
          <t>v</t>
        </is>
      </c>
      <c r="R545" s="310" t="n"/>
      <c r="S545" s="310" t="n"/>
      <c r="T545" s="322" t="n">
        <v>203550</v>
      </c>
      <c r="U545" s="321" t="n">
        <v>203550</v>
      </c>
      <c r="V545" s="313" t="n">
        <v>0.14</v>
      </c>
      <c r="W545" s="953" t="n">
        <v>0.055</v>
      </c>
      <c r="X545" s="953" t="n">
        <v>0.12</v>
      </c>
      <c r="Y545" s="954" t="n"/>
      <c r="Z545" s="953" t="n">
        <v>0.04</v>
      </c>
      <c r="AA545" s="952">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849">
      <c r="A546" s="250" t="inlineStr">
        <is>
          <t>V</t>
        </is>
      </c>
      <c r="B546" s="355" t="inlineStr">
        <is>
          <t>Vacant</t>
        </is>
      </c>
      <c r="C546" s="391" t="inlineStr">
        <is>
          <t>Technology Manager, Enterprise Tooling</t>
        </is>
      </c>
      <c r="D546" s="306" t="inlineStr">
        <is>
          <t>Vacant</t>
        </is>
      </c>
      <c r="E546" s="323" t="inlineStr">
        <is>
          <t>Head of Technology - TDD &amp; Engineering Capability Lead</t>
        </is>
      </c>
      <c r="F546" s="220" t="inlineStr">
        <is>
          <t>TDD Group Functions</t>
        </is>
      </c>
      <c r="G546" s="306" t="inlineStr">
        <is>
          <t xml:space="preserve">TDD &amp; Engineering </t>
        </is>
      </c>
      <c r="H546" s="306" t="n"/>
      <c r="I546" s="306" t="inlineStr">
        <is>
          <t>TDD</t>
        </is>
      </c>
      <c r="J546" s="316" t="inlineStr">
        <is>
          <t>TDD</t>
        </is>
      </c>
      <c r="K546" s="306" t="inlineStr">
        <is>
          <t>Leadership</t>
        </is>
      </c>
      <c r="L546" s="306" t="n"/>
      <c r="M546" s="307" t="inlineStr">
        <is>
          <t>Australia</t>
        </is>
      </c>
      <c r="N546" s="308" t="inlineStr">
        <is>
          <t>CSB</t>
        </is>
      </c>
      <c r="O546" s="308" t="n">
        <v>1</v>
      </c>
      <c r="P546" s="308" t="n"/>
      <c r="Q546" s="308" t="inlineStr">
        <is>
          <t>v</t>
        </is>
      </c>
      <c r="R546" s="310" t="n"/>
      <c r="S546" s="310" t="n"/>
      <c r="T546" s="322" t="n">
        <v>203550</v>
      </c>
      <c r="U546" s="321" t="n">
        <v>203550</v>
      </c>
      <c r="V546" s="313" t="n">
        <v>0.14</v>
      </c>
      <c r="W546" s="953" t="n">
        <v>0.055</v>
      </c>
      <c r="X546" s="953" t="n">
        <v>0.12</v>
      </c>
      <c r="Y546" s="954" t="n"/>
      <c r="Z546" s="953" t="n">
        <v>0.04</v>
      </c>
      <c r="AA546" s="952">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849">
      <c r="A547" s="250" t="inlineStr">
        <is>
          <t>V</t>
        </is>
      </c>
      <c r="B547" s="355" t="inlineStr">
        <is>
          <t xml:space="preserve">Vacant </t>
        </is>
      </c>
      <c r="C547" s="391" t="inlineStr">
        <is>
          <t>Integration Specialist (ASAPIO CTRM)</t>
        </is>
      </c>
      <c r="D547" s="306" t="inlineStr">
        <is>
          <t>Shane Ker</t>
        </is>
      </c>
      <c r="E547" s="323" t="inlineStr">
        <is>
          <t>Technology Manager Finance Platforms</t>
        </is>
      </c>
      <c r="F547" s="220" t="inlineStr">
        <is>
          <t>TDD Group Functions</t>
        </is>
      </c>
      <c r="G547" s="323" t="inlineStr">
        <is>
          <t>P&amp;C, Finance &amp; Legal</t>
        </is>
      </c>
      <c r="H547" s="306" t="inlineStr">
        <is>
          <t>Tech, Finance Platforms</t>
        </is>
      </c>
      <c r="I547" s="306" t="inlineStr">
        <is>
          <t>Finance</t>
        </is>
      </c>
      <c r="J547" s="316" t="inlineStr">
        <is>
          <t>AU Finance</t>
        </is>
      </c>
      <c r="K547" s="306" t="inlineStr">
        <is>
          <t>SAP ERP</t>
        </is>
      </c>
      <c r="L547" s="306" t="n"/>
      <c r="M547" s="307" t="inlineStr">
        <is>
          <t>NZ</t>
        </is>
      </c>
      <c r="N547" s="308" t="inlineStr">
        <is>
          <t>CIB</t>
        </is>
      </c>
      <c r="O547" s="308" t="n">
        <v>1</v>
      </c>
      <c r="P547" s="308" t="n"/>
      <c r="Q547" s="308" t="inlineStr">
        <is>
          <t>v</t>
        </is>
      </c>
      <c r="R547" s="310" t="n"/>
      <c r="S547" s="310" t="n"/>
      <c r="T547" s="322" t="n">
        <v>151950</v>
      </c>
      <c r="U547" s="321" t="n">
        <v>139794</v>
      </c>
      <c r="V547" s="312" t="n">
        <v>0.15</v>
      </c>
      <c r="W547" s="310" t="n"/>
      <c r="X547" s="313" t="n">
        <v>0.05</v>
      </c>
      <c r="Y547" s="951" t="n">
        <v>2910</v>
      </c>
      <c r="Z547" s="313" t="n">
        <v>0.03</v>
      </c>
      <c r="AA547" s="952">
        <f>U547*(1+V547+X547+Z547)+Y547</f>
        <v>174856.62</v>
      </c>
      <c r="AC547" t="inlineStr">
        <is>
          <t>Finance</t>
        </is>
      </c>
      <c r="AD547" t="inlineStr">
        <is>
          <t>AU Finance</t>
        </is>
      </c>
      <c r="AE547" t="inlineStr">
        <is>
          <t>AU Finance</t>
        </is>
      </c>
      <c r="AF547" t="inlineStr">
        <is>
          <t>Squad</t>
        </is>
      </c>
      <c r="AG547" t="inlineStr">
        <is>
          <t>Vacant</t>
        </is>
      </c>
    </row>
    <row r="548" hidden="1" ht="18" customHeight="1" s="849">
      <c r="A548" s="250" t="n">
        <v>4818</v>
      </c>
      <c r="B548" s="220" t="inlineStr">
        <is>
          <t>Vaso Vukovic</t>
        </is>
      </c>
      <c r="C548" s="305" t="inlineStr">
        <is>
          <t>Head of Technology - P&amp;C, Finance &amp; Legal</t>
        </is>
      </c>
      <c r="D548" s="323" t="inlineStr">
        <is>
          <t>Emily Mogic</t>
        </is>
      </c>
      <c r="E548" s="220" t="inlineStr">
        <is>
          <t>GM TDD, Group Function</t>
        </is>
      </c>
      <c r="F548" s="220" t="inlineStr">
        <is>
          <t>TDD Group Functions</t>
        </is>
      </c>
      <c r="G548" s="323" t="inlineStr">
        <is>
          <t>P&amp;C, Finance &amp; Legal</t>
        </is>
      </c>
      <c r="H548" s="306" t="inlineStr">
        <is>
          <t>na</t>
        </is>
      </c>
      <c r="I548" s="306" t="inlineStr">
        <is>
          <t>P&amp;C, Finance &amp; Legal</t>
        </is>
      </c>
      <c r="J548" s="316" t="inlineStr">
        <is>
          <t>P&amp;C, Finance &amp; Legal</t>
        </is>
      </c>
      <c r="K548" s="306" t="inlineStr">
        <is>
          <t>Leadership</t>
        </is>
      </c>
      <c r="L548" s="306" t="n"/>
      <c r="M548" s="307" t="inlineStr">
        <is>
          <t>Australia</t>
        </is>
      </c>
      <c r="N548" s="308" t="inlineStr">
        <is>
          <t>CSC</t>
        </is>
      </c>
      <c r="O548" s="310" t="n">
        <v>1</v>
      </c>
      <c r="P548" s="310" t="n"/>
      <c r="Q548" s="310" t="inlineStr">
        <is>
          <t>Permanent - Full Time</t>
        </is>
      </c>
      <c r="R548" s="310" t="n"/>
      <c r="S548" s="310" t="n"/>
      <c r="T548" s="322" t="n">
        <v>257420</v>
      </c>
      <c r="U548" s="321" t="n">
        <v>257420</v>
      </c>
      <c r="V548" s="313" t="n">
        <v>0.2</v>
      </c>
      <c r="W548" s="953" t="n">
        <v>0.055</v>
      </c>
      <c r="X548" s="953" t="n">
        <v>0.12</v>
      </c>
      <c r="Y548" s="954" t="n"/>
      <c r="Z548" s="953" t="n">
        <v>0.04</v>
      </c>
      <c r="AA548" s="952">
        <f>U548*(1+V548+W548+X548+Y548+Z548)</f>
        <v>364249.3</v>
      </c>
      <c r="AC548" s="316" t="inlineStr">
        <is>
          <t>P&amp;C</t>
        </is>
      </c>
      <c r="AD548" t="inlineStr">
        <is>
          <t>Leadership</t>
        </is>
      </c>
      <c r="AE548" t="inlineStr">
        <is>
          <t>Leadership</t>
        </is>
      </c>
      <c r="AF548" t="inlineStr">
        <is>
          <t>Leadership</t>
        </is>
      </c>
      <c r="AG548" t="inlineStr">
        <is>
          <t>Filled</t>
        </is>
      </c>
    </row>
    <row r="549" hidden="1" ht="18" customHeight="1" s="849">
      <c r="A549" s="250" t="n">
        <v>113067</v>
      </c>
      <c r="B549" s="292" t="inlineStr">
        <is>
          <t>Vikram Chhahira</t>
        </is>
      </c>
      <c r="C549" s="391" t="inlineStr">
        <is>
          <t>Delivery Lead, EGI</t>
        </is>
      </c>
      <c r="D549" s="306" t="inlineStr">
        <is>
          <t>Vacant</t>
        </is>
      </c>
      <c r="E549" s="323" t="inlineStr">
        <is>
          <t>Delivery Manager, P&amp;C, Finance &amp; Legal</t>
        </is>
      </c>
      <c r="F549" s="220" t="inlineStr">
        <is>
          <t>TDD Group Functions</t>
        </is>
      </c>
      <c r="G549" s="306" t="inlineStr">
        <is>
          <t>EGI</t>
        </is>
      </c>
      <c r="H549" s="306" t="n"/>
      <c r="I549" s="306" t="inlineStr">
        <is>
          <t>EGI</t>
        </is>
      </c>
      <c r="J549" s="306" t="inlineStr">
        <is>
          <t>EGI</t>
        </is>
      </c>
      <c r="K549" s="306" t="inlineStr">
        <is>
          <t>EGI P&amp;C</t>
        </is>
      </c>
      <c r="L549" s="306" t="n"/>
      <c r="M549" s="307" t="inlineStr">
        <is>
          <t>Australia</t>
        </is>
      </c>
      <c r="N549" s="308" t="inlineStr">
        <is>
          <t>CIC</t>
        </is>
      </c>
      <c r="O549" s="308" t="n">
        <v>1</v>
      </c>
      <c r="P549" s="308" t="n"/>
      <c r="Q549" s="308" t="inlineStr">
        <is>
          <t>Permanent - Full Time</t>
        </is>
      </c>
      <c r="R549" s="310" t="n"/>
      <c r="S549" s="310" t="n"/>
      <c r="T549" s="322" t="n">
        <v>179000</v>
      </c>
      <c r="U549" s="321" t="n">
        <v>179000</v>
      </c>
      <c r="V549" s="313" t="n">
        <v>0.12</v>
      </c>
      <c r="W549" s="953" t="n">
        <v>0.055</v>
      </c>
      <c r="X549" s="953" t="n">
        <v>0.12</v>
      </c>
      <c r="Y549" s="954" t="n"/>
      <c r="Z549" s="953" t="n">
        <v>0.04</v>
      </c>
      <c r="AA549" s="952">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849">
      <c r="A550" s="250" t="n">
        <v>99999102124</v>
      </c>
      <c r="B550" s="220" t="n"/>
      <c r="C550" s="305" t="n"/>
      <c r="D550" s="220" t="n"/>
      <c r="E550" s="220" t="n"/>
      <c r="F550" s="220" t="n"/>
      <c r="G550" s="306" t="n"/>
      <c r="H550" s="220" t="n"/>
      <c r="I550" s="306" t="n"/>
      <c r="J550" s="220" t="n"/>
      <c r="K550" s="220" t="n"/>
      <c r="L550" s="306" t="n"/>
      <c r="M550" s="307" t="inlineStr">
        <is>
          <t>NZ</t>
        </is>
      </c>
      <c r="N550" s="308" t="inlineStr">
        <is>
          <t>CIA</t>
        </is>
      </c>
      <c r="O550" s="309" t="n">
        <v>1</v>
      </c>
      <c r="P550" s="308" t="n"/>
      <c r="Q550" s="309" t="inlineStr">
        <is>
          <t>Permanent - Full Time</t>
        </is>
      </c>
      <c r="R550" s="310" t="n"/>
      <c r="S550" s="310" t="n"/>
      <c r="T550" s="310" t="n">
        <v>120000</v>
      </c>
      <c r="U550" s="405" t="n">
        <v>110400</v>
      </c>
      <c r="V550" s="312" t="n">
        <v>0.15</v>
      </c>
      <c r="W550" s="310" t="n"/>
      <c r="X550" s="313" t="n">
        <v>0.05</v>
      </c>
      <c r="Y550" s="951" t="n">
        <v>2910</v>
      </c>
      <c r="Z550" s="313" t="n">
        <v>0.03</v>
      </c>
      <c r="AA550" s="952">
        <f>U550*(1+V550+X550+Z550)+Y550</f>
        <v>138702.0</v>
      </c>
      <c r="AB550" t="n">
        <v>114753</v>
      </c>
    </row>
    <row r="551" ht="18" customHeight="1" s="849">
      <c r="A551" s="325" t="n"/>
      <c r="C551" s="406" t="n"/>
      <c r="M551" s="407" t="n"/>
      <c r="N551" s="331" t="n"/>
      <c r="O551" s="333" t="n"/>
      <c r="P551" s="331" t="n"/>
      <c r="Q551" s="333" t="n"/>
      <c r="U551" s="405" t="n"/>
      <c r="V551" s="353" t="n"/>
      <c r="X551" s="349" t="n"/>
      <c r="Y551" s="958" t="n"/>
      <c r="Z551" s="349" t="n"/>
      <c r="AA551" s="316" t="n">
        <v>6400561.822000001</v>
      </c>
      <c r="AB551" s="957" t="n">
        <v>116452</v>
      </c>
    </row>
    <row r="552" ht="18" customHeight="1" s="849">
      <c r="AA552" s="410">
        <f t="array" ref="AA552">SUM(IFERROR(AA2:AA550,0))</f>
        <v/>
      </c>
    </row>
    <row r="553" ht="18" customHeight="1" s="849">
      <c r="AA553" s="411" t="n">
        <v>5100000</v>
      </c>
    </row>
    <row r="554" ht="18" customHeight="1" s="849">
      <c r="AA554" s="410">
        <f>SUM(AA552:AA553)</f>
        <v>125276881.9531</v>
      </c>
    </row>
    <row r="555" ht="14.5" customHeight="1" s="849"/>
    <row r="556" ht="18" customHeight="1" s="849">
      <c r="F556" s="316" t="n">
        <v>115</v>
      </c>
      <c r="I556" s="316" t="inlineStr">
        <is>
          <t>163 Vacancies</t>
        </is>
      </c>
      <c r="S556" s="412" t="inlineStr">
        <is>
          <t>estimated numbers</t>
        </is>
      </c>
      <c r="U556" s="413" t="n"/>
    </row>
    <row r="557" ht="18" customHeight="1" s="849">
      <c r="F557" s="316" t="inlineStr">
        <is>
          <t xml:space="preserve">48 FTE with no new roles in new structure </t>
        </is>
      </c>
    </row>
    <row r="558" ht="18" customHeight="1" s="849">
      <c r="F558" s="316" t="inlineStr">
        <is>
          <t>163 vacancies</t>
        </is>
      </c>
    </row>
    <row r="559" ht="14.5" customHeight="1" s="849"/>
    <row r="560" ht="14.5" customHeight="1" s="849"/>
    <row r="561" ht="18" customHeight="1" s="849">
      <c r="I561" s="414">
        <f>(550/173)/10</f>
        <v>0.3179190751445087</v>
      </c>
      <c r="M561" s="306" t="inlineStr">
        <is>
          <t xml:space="preserve">Squad </t>
        </is>
      </c>
      <c r="N561" s="310" t="inlineStr">
        <is>
          <t xml:space="preserve">Roles </t>
        </is>
      </c>
      <c r="O561" s="310" t="inlineStr">
        <is>
          <t>Filled</t>
        </is>
      </c>
      <c r="P561" s="310" t="inlineStr">
        <is>
          <t xml:space="preserve">Vacant </t>
        </is>
      </c>
    </row>
    <row r="562" ht="14.5" customHeight="1" s="849"/>
    <row r="563" ht="18" customHeight="1" s="849">
      <c r="E563" s="316" t="n">
        <v>376</v>
      </c>
    </row>
    <row r="564" ht="18" customHeight="1" s="849">
      <c r="E564" s="316" t="n">
        <v>550</v>
      </c>
      <c r="I564" s="316" t="inlineStr">
        <is>
          <t xml:space="preserve">How many squads with no vacancies/ how many full squads </t>
        </is>
      </c>
    </row>
    <row r="565" ht="18" customHeight="1" s="849">
      <c r="E565" s="316">
        <f>E563-E564</f>
        <v>-174.0</v>
      </c>
      <c r="I565" s="316" t="inlineStr">
        <is>
          <t xml:space="preserve">What is the makeup of vacancies across TDD </t>
        </is>
      </c>
    </row>
    <row r="566" ht="14.5" customHeight="1" s="849"/>
    <row r="567" ht="14.5" customHeight="1" s="849"/>
    <row r="568" ht="14.5" customHeight="1" s="849"/>
    <row r="569" ht="14.5" customHeight="1" s="849"/>
    <row r="570" ht="14.5" customHeight="1" s="849"/>
    <row r="571" ht="14.5" customHeight="1" s="849"/>
    <row r="572" ht="18" customHeight="1" s="849">
      <c r="I572" s="316"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8.xml><?xml version="1.0" encoding="utf-8"?>
<worksheet xmlns="http://schemas.openxmlformats.org/spreadsheetml/2006/main">
  <sheetPr>
    <tabColor rgb="FF375623"/>
    <outlinePr summaryBelow="1" summaryRight="1"/>
    <pageSetUpPr/>
  </sheetPr>
  <dimension ref="A1:AB153"/>
  <sheetViews>
    <sheetView topLeftCell="E138" zoomScale="80" zoomScaleNormal="80" workbookViewId="0">
      <selection activeCell="A1" sqref="A1"/>
    </sheetView>
  </sheetViews>
  <sheetFormatPr baseColWidth="8" defaultRowHeight="14.5"/>
  <cols>
    <col width="13.90625" bestFit="1" customWidth="1" style="499" min="1" max="1"/>
    <col width="25.26953125" bestFit="1" customWidth="1" style="499" min="2" max="2"/>
    <col width="51.6328125" bestFit="1" customWidth="1" style="499" min="3" max="3"/>
    <col width="32.54296875" bestFit="1" customWidth="1" style="499" min="4" max="4"/>
    <col width="58" bestFit="1" customWidth="1" style="499" min="5" max="5"/>
    <col width="25.1796875" bestFit="1" customWidth="1" style="499" min="6" max="6"/>
    <col width="30.54296875" bestFit="1" customWidth="1" style="499" min="7" max="8"/>
    <col width="13.81640625" bestFit="1" customWidth="1" style="499" min="9" max="9"/>
    <col width="40.26953125" bestFit="1" customWidth="1" style="499" min="10" max="10"/>
    <col width="26.453125" bestFit="1" customWidth="1" style="499" min="11" max="11"/>
    <col width="3" bestFit="1" customWidth="1" style="499" min="12" max="12"/>
    <col width="9.08984375" bestFit="1" customWidth="1" style="499" min="13" max="13"/>
    <col width="10" bestFit="1" customWidth="1" style="499" min="14" max="14"/>
    <col width="3.81640625" bestFit="1" customWidth="1" style="499" min="15" max="15"/>
    <col width="8.7265625" customWidth="1" style="499" min="16" max="16"/>
    <col width="19.6328125" bestFit="1" customWidth="1" style="499" min="17" max="17"/>
    <col width="10.36328125" bestFit="1" customWidth="1" style="499" min="18" max="18"/>
    <col width="13.7265625" bestFit="1" customWidth="1" style="499" min="19" max="19"/>
    <col width="16.36328125" bestFit="1" customWidth="1" style="499" min="20" max="20"/>
    <col width="15.1796875" bestFit="1" customWidth="1" style="499" min="21" max="21"/>
    <col width="9.1796875" bestFit="1" customWidth="1" style="499" min="22" max="22"/>
    <col width="13.26953125" bestFit="1" customWidth="1" style="499" min="23" max="23"/>
    <col width="14.453125" bestFit="1" customWidth="1" style="499" min="24" max="24"/>
    <col width="14.54296875" bestFit="1" customWidth="1" style="499" min="25" max="25"/>
    <col width="6.1796875" customWidth="1" style="499" min="26" max="26"/>
    <col width="14.90625" bestFit="1" customWidth="1" style="499" min="27" max="27"/>
    <col width="10.90625" bestFit="1" customWidth="1" style="499" min="28" max="28"/>
    <col width="8.7265625" customWidth="1" style="499" min="29" max="30"/>
    <col width="8.7265625" customWidth="1" style="499" min="31" max="16384"/>
  </cols>
  <sheetData>
    <row r="1" ht="29" customHeight="1" s="849">
      <c r="A1" s="242" t="inlineStr">
        <is>
          <t>EE Number</t>
        </is>
      </c>
      <c r="B1" s="243" t="inlineStr">
        <is>
          <t>Name</t>
        </is>
      </c>
      <c r="C1" s="243" t="inlineStr">
        <is>
          <t>Position Title</t>
        </is>
      </c>
      <c r="D1" s="243" t="inlineStr">
        <is>
          <t>Reports to name</t>
        </is>
      </c>
      <c r="E1" s="243" t="inlineStr">
        <is>
          <t>Reports to Position</t>
        </is>
      </c>
      <c r="F1" s="492" t="inlineStr">
        <is>
          <t>Division (GM)</t>
        </is>
      </c>
      <c r="G1" s="493" t="inlineStr">
        <is>
          <t>Department (GM-1)</t>
        </is>
      </c>
      <c r="H1" s="493" t="inlineStr">
        <is>
          <t>Team (GM-2)</t>
        </is>
      </c>
      <c r="I1" s="494" t="inlineStr">
        <is>
          <t>Portfolio</t>
        </is>
      </c>
      <c r="J1" s="247" t="inlineStr">
        <is>
          <t>Platform</t>
        </is>
      </c>
      <c r="K1" s="494" t="inlineStr">
        <is>
          <t>Squad</t>
        </is>
      </c>
      <c r="L1" s="494" t="inlineStr">
        <is>
          <t>CC</t>
        </is>
      </c>
      <c r="M1" s="495" t="inlineStr">
        <is>
          <t>Country</t>
        </is>
      </c>
      <c r="N1" s="496" t="inlineStr">
        <is>
          <t>Job Level</t>
        </is>
      </c>
      <c r="O1" s="496" t="inlineStr">
        <is>
          <t>FTE</t>
        </is>
      </c>
      <c r="P1" s="496" t="n"/>
      <c r="Q1" s="496" t="inlineStr">
        <is>
          <t>Type</t>
        </is>
      </c>
      <c r="R1" s="300" t="inlineStr">
        <is>
          <t>Unit</t>
        </is>
      </c>
      <c r="S1" s="300" t="inlineStr">
        <is>
          <t>day rate</t>
        </is>
      </c>
      <c r="T1" s="299" t="inlineStr">
        <is>
          <t>FTE Base
 Local</t>
        </is>
      </c>
      <c r="U1" s="300" t="inlineStr">
        <is>
          <t>FTE Base 
AUD</t>
        </is>
      </c>
      <c r="V1" s="497" t="inlineStr">
        <is>
          <t>STI</t>
        </is>
      </c>
      <c r="W1" s="303" t="inlineStr">
        <is>
          <t>Payroll</t>
        </is>
      </c>
      <c r="X1" s="303" t="inlineStr">
        <is>
          <t>Pensions</t>
        </is>
      </c>
      <c r="Y1" s="303" t="inlineStr">
        <is>
          <t>medical</t>
        </is>
      </c>
      <c r="Z1" s="303" t="inlineStr">
        <is>
          <t>CPI</t>
        </is>
      </c>
      <c r="AA1" s="303" t="inlineStr">
        <is>
          <t>Full Cost 
AUD</t>
        </is>
      </c>
      <c r="AB1" s="498" t="inlineStr">
        <is>
          <t>MyHR ee no</t>
        </is>
      </c>
    </row>
    <row r="2">
      <c r="A2" s="500" t="n">
        <v>99999101684</v>
      </c>
      <c r="B2" s="501" t="inlineStr">
        <is>
          <t>Ashley Mueller</t>
        </is>
      </c>
      <c r="C2" s="502" t="inlineStr">
        <is>
          <t>Lead – Service Assurance</t>
        </is>
      </c>
      <c r="D2" s="501" t="inlineStr">
        <is>
          <t>Mick Collins</t>
        </is>
      </c>
      <c r="E2" s="501" t="inlineStr">
        <is>
          <t>Cyber Architecture Lead</t>
        </is>
      </c>
      <c r="F2" s="501" t="inlineStr">
        <is>
          <t>Cyber, Risk &amp; Operations</t>
        </is>
      </c>
      <c r="G2" s="503" t="inlineStr">
        <is>
          <t>Service Op &amp; Assurance</t>
        </is>
      </c>
      <c r="H2" s="501" t="inlineStr">
        <is>
          <t xml:space="preserve">Service Performance &amp; Assurance </t>
        </is>
      </c>
      <c r="I2" s="501" t="inlineStr">
        <is>
          <t>NA</t>
        </is>
      </c>
      <c r="J2" s="501" t="inlineStr">
        <is>
          <t>NA</t>
        </is>
      </c>
      <c r="K2" s="501" t="inlineStr">
        <is>
          <t>NA</t>
        </is>
      </c>
      <c r="L2" s="501" t="n"/>
      <c r="M2" s="504" t="inlineStr">
        <is>
          <t>NZ</t>
        </is>
      </c>
      <c r="N2" s="505" t="inlineStr">
        <is>
          <t>CIC</t>
        </is>
      </c>
      <c r="O2" s="506" t="n">
        <v>1</v>
      </c>
      <c r="P2" s="505" t="n"/>
      <c r="Q2" s="506" t="inlineStr">
        <is>
          <t>Permanent - Full Time</t>
        </is>
      </c>
      <c r="R2" s="507" t="n"/>
      <c r="S2" s="507" t="n"/>
      <c r="T2" s="508" t="n">
        <v>165310</v>
      </c>
      <c r="U2" s="509" t="n">
        <v>152085.2</v>
      </c>
      <c r="V2" s="510" t="n">
        <v>0.15</v>
      </c>
      <c r="W2" s="506" t="n"/>
      <c r="X2" s="511" t="n">
        <v>0.05</v>
      </c>
      <c r="Y2" s="971" t="n">
        <v>2910</v>
      </c>
      <c r="Z2" s="511" t="n">
        <v>0.03</v>
      </c>
      <c r="AA2" s="972">
        <f>U2*(1+V2+X2+Z2)+Y2</f>
        <v>189974.796</v>
      </c>
      <c r="AB2" s="499" t="n">
        <v>113516</v>
      </c>
    </row>
    <row r="3">
      <c r="A3" s="500" t="n">
        <v>108013</v>
      </c>
      <c r="B3" s="501" t="inlineStr">
        <is>
          <t>Belinda Hoskens</t>
        </is>
      </c>
      <c r="C3" s="502" t="inlineStr">
        <is>
          <t>Technology Support Engineer</t>
        </is>
      </c>
      <c r="D3" s="501" t="inlineStr">
        <is>
          <t>Mark Pearson</t>
        </is>
      </c>
      <c r="E3" s="501" t="inlineStr">
        <is>
          <t xml:space="preserve">Lead Technology Support </t>
        </is>
      </c>
      <c r="F3" s="501" t="inlineStr">
        <is>
          <t>Cyber, Risk &amp; Operations</t>
        </is>
      </c>
      <c r="G3" s="503" t="inlineStr">
        <is>
          <t>Service Op &amp; Assurance</t>
        </is>
      </c>
      <c r="H3" s="501" t="inlineStr">
        <is>
          <t xml:space="preserve">Technology Support </t>
        </is>
      </c>
      <c r="I3" s="501" t="inlineStr">
        <is>
          <t>NA</t>
        </is>
      </c>
      <c r="J3" s="501" t="inlineStr">
        <is>
          <t>NA</t>
        </is>
      </c>
      <c r="K3" s="501" t="inlineStr">
        <is>
          <t>NA</t>
        </is>
      </c>
      <c r="L3" s="501" t="n"/>
      <c r="M3" s="504" t="inlineStr">
        <is>
          <t>Australia</t>
        </is>
      </c>
      <c r="N3" s="505" t="inlineStr">
        <is>
          <t>CIA</t>
        </is>
      </c>
      <c r="O3" s="505" t="n">
        <v>1</v>
      </c>
      <c r="P3" s="505" t="n"/>
      <c r="Q3" s="505" t="inlineStr">
        <is>
          <t>Permanent - Full Time</t>
        </is>
      </c>
      <c r="R3" s="507" t="n"/>
      <c r="S3" s="507" t="n"/>
      <c r="T3" s="508" t="n">
        <v>123300</v>
      </c>
      <c r="U3" s="509" t="n">
        <v>123300</v>
      </c>
      <c r="V3" s="511" t="n">
        <v>0.1</v>
      </c>
      <c r="W3" s="973" t="n">
        <v>0.055</v>
      </c>
      <c r="X3" s="973" t="n">
        <v>0.12</v>
      </c>
      <c r="Y3" s="974" t="n"/>
      <c r="Z3" s="973" t="n">
        <v>0.04</v>
      </c>
      <c r="AA3" s="972">
        <f>U3*(1+V3+W3+X3+Y3+Z3)</f>
        <v>162139.5</v>
      </c>
      <c r="AB3" s="516" t="n"/>
    </row>
    <row r="4">
      <c r="A4" s="500" t="n">
        <v>98823</v>
      </c>
      <c r="B4" s="501" t="inlineStr">
        <is>
          <t>Brian Gates</t>
        </is>
      </c>
      <c r="C4" s="502" t="inlineStr">
        <is>
          <t>Manager Risk &amp; Resilience</t>
        </is>
      </c>
      <c r="D4" s="501" t="inlineStr">
        <is>
          <t>Frances Bouzo</t>
        </is>
      </c>
      <c r="E4" s="501" t="inlineStr">
        <is>
          <t xml:space="preserve">CISO </t>
        </is>
      </c>
      <c r="F4" s="501" t="inlineStr">
        <is>
          <t>Cyber, Risk &amp; Operations</t>
        </is>
      </c>
      <c r="G4" s="503" t="inlineStr">
        <is>
          <t>Cyber Risk</t>
        </is>
      </c>
      <c r="H4" s="501" t="inlineStr">
        <is>
          <t xml:space="preserve">Risk &amp; Resilience </t>
        </is>
      </c>
      <c r="I4" s="501" t="inlineStr">
        <is>
          <t>NA</t>
        </is>
      </c>
      <c r="J4" s="501" t="inlineStr">
        <is>
          <t>NA</t>
        </is>
      </c>
      <c r="K4" s="501" t="inlineStr">
        <is>
          <t>NA</t>
        </is>
      </c>
      <c r="L4" s="501" t="n"/>
      <c r="M4" s="504" t="inlineStr">
        <is>
          <t>Australia</t>
        </is>
      </c>
      <c r="N4" s="505" t="inlineStr">
        <is>
          <t>CSB</t>
        </is>
      </c>
      <c r="O4" s="505" t="n">
        <v>1</v>
      </c>
      <c r="P4" s="505" t="n"/>
      <c r="Q4" s="505" t="inlineStr">
        <is>
          <t>Permanent - Full Time</t>
        </is>
      </c>
      <c r="R4" s="507" t="n"/>
      <c r="S4" s="507" t="n"/>
      <c r="T4" s="508" t="n">
        <v>211840</v>
      </c>
      <c r="U4" s="509" t="n">
        <v>211840</v>
      </c>
      <c r="V4" s="511" t="n">
        <v>0.14</v>
      </c>
      <c r="W4" s="973" t="n">
        <v>0.055</v>
      </c>
      <c r="X4" s="973" t="n">
        <v>0.12</v>
      </c>
      <c r="Y4" s="974" t="n"/>
      <c r="Z4" s="973" t="n">
        <v>0.04</v>
      </c>
      <c r="AA4" s="972">
        <f>U4*(1+V4+W4+X4+Y4+Z4)</f>
        <v>287043.2</v>
      </c>
      <c r="AB4" s="516" t="n"/>
    </row>
    <row r="5">
      <c r="A5" s="500" t="n">
        <v>86962</v>
      </c>
      <c r="B5" s="501" t="inlineStr">
        <is>
          <t>Cameron Watman</t>
        </is>
      </c>
      <c r="C5" s="502" t="inlineStr">
        <is>
          <t>Engineer - IDAM</t>
        </is>
      </c>
      <c r="D5" s="501" t="inlineStr">
        <is>
          <t>Joe Nahma</t>
        </is>
      </c>
      <c r="E5" s="501" t="inlineStr">
        <is>
          <t xml:space="preserve">Head of Cyber Strategy &amp; Technology </t>
        </is>
      </c>
      <c r="F5" s="501" t="inlineStr">
        <is>
          <t>Cyber, Risk &amp; Operations</t>
        </is>
      </c>
      <c r="G5" s="503" t="inlineStr">
        <is>
          <t>Cyber Strat &amp; Tech</t>
        </is>
      </c>
      <c r="H5" s="503" t="inlineStr">
        <is>
          <t xml:space="preserve">Identity &amp; Access Management </t>
        </is>
      </c>
      <c r="I5" s="501" t="inlineStr">
        <is>
          <t>NA</t>
        </is>
      </c>
      <c r="J5" s="501" t="inlineStr">
        <is>
          <t>NA</t>
        </is>
      </c>
      <c r="K5" s="501" t="inlineStr">
        <is>
          <t>NA</t>
        </is>
      </c>
      <c r="L5" s="501" t="n"/>
      <c r="M5" s="504" t="inlineStr">
        <is>
          <t>Australia</t>
        </is>
      </c>
      <c r="N5" s="507" t="inlineStr">
        <is>
          <t>CIA</t>
        </is>
      </c>
      <c r="O5" s="507" t="n">
        <v>1</v>
      </c>
      <c r="P5" s="507" t="n"/>
      <c r="Q5" s="507" t="inlineStr">
        <is>
          <t>Permanent - Full Time</t>
        </is>
      </c>
      <c r="R5" s="507" t="n"/>
      <c r="S5" s="507" t="n"/>
      <c r="T5" s="508" t="n">
        <v>131660</v>
      </c>
      <c r="U5" s="509" t="n">
        <v>131660</v>
      </c>
      <c r="V5" s="511" t="n">
        <v>0.1</v>
      </c>
      <c r="W5" s="973" t="n">
        <v>0.055</v>
      </c>
      <c r="X5" s="973" t="n">
        <v>0.12</v>
      </c>
      <c r="Y5" s="974" t="n"/>
      <c r="Z5" s="973" t="n">
        <v>0.04</v>
      </c>
      <c r="AA5" s="972">
        <f>U5*(1+V5+W5+X5+Y5+Z5)</f>
        <v>173132.9</v>
      </c>
      <c r="AB5" s="516" t="n"/>
    </row>
    <row r="6">
      <c r="A6" s="500" t="n">
        <v>106511</v>
      </c>
      <c r="B6" s="501" t="inlineStr">
        <is>
          <t>Catherine Gire</t>
        </is>
      </c>
      <c r="C6" s="502" t="inlineStr">
        <is>
          <t>Cyber Technical Business Analyst</t>
        </is>
      </c>
      <c r="D6" s="501" t="inlineStr">
        <is>
          <t>Vivienne Vasak</t>
        </is>
      </c>
      <c r="E6" s="501" t="inlineStr">
        <is>
          <t xml:space="preserve">Portfolio Manger Cyber Security </t>
        </is>
      </c>
      <c r="F6" s="501" t="inlineStr">
        <is>
          <t>Cyber, Risk &amp; Operations</t>
        </is>
      </c>
      <c r="G6" s="503" t="inlineStr">
        <is>
          <t>Cyber Strat &amp; Tech</t>
        </is>
      </c>
      <c r="H6" s="501" t="inlineStr">
        <is>
          <t>Cyber Security Uplift Program</t>
        </is>
      </c>
      <c r="I6" s="501" t="inlineStr">
        <is>
          <t>NA</t>
        </is>
      </c>
      <c r="J6" s="501" t="inlineStr">
        <is>
          <t>NA</t>
        </is>
      </c>
      <c r="K6" s="501" t="inlineStr">
        <is>
          <t>NA</t>
        </is>
      </c>
      <c r="L6" s="501" t="n"/>
      <c r="M6" s="504" t="inlineStr">
        <is>
          <t>Australia</t>
        </is>
      </c>
      <c r="N6" s="505" t="inlineStr">
        <is>
          <t>CIB</t>
        </is>
      </c>
      <c r="O6" s="505" t="n">
        <v>1</v>
      </c>
      <c r="P6" s="505" t="n"/>
      <c r="Q6" s="505" t="inlineStr">
        <is>
          <t>Permanent - Full Time</t>
        </is>
      </c>
      <c r="R6" s="507" t="n"/>
      <c r="S6" s="507" t="n"/>
      <c r="T6" s="508" t="n">
        <v>170160</v>
      </c>
      <c r="U6" s="509" t="n">
        <v>170160</v>
      </c>
      <c r="V6" s="511" t="n">
        <v>0.12</v>
      </c>
      <c r="W6" s="973" t="n">
        <v>0.055</v>
      </c>
      <c r="X6" s="973" t="n">
        <v>0.12</v>
      </c>
      <c r="Y6" s="974" t="n"/>
      <c r="Z6" s="973" t="n">
        <v>0.04</v>
      </c>
      <c r="AA6" s="972">
        <f>U6*(1+V6+W6+X6+Y6+Z6)</f>
        <v>227163.6</v>
      </c>
      <c r="AB6" s="516" t="n"/>
    </row>
    <row r="7">
      <c r="A7" s="500" t="n">
        <v>102385</v>
      </c>
      <c r="B7" s="501" t="inlineStr">
        <is>
          <t>Chris Lyons</t>
        </is>
      </c>
      <c r="C7" s="502" t="inlineStr">
        <is>
          <t>Cyber Security Architect</t>
        </is>
      </c>
      <c r="D7" s="501" t="inlineStr">
        <is>
          <t>Kevin Sheerin</t>
        </is>
      </c>
      <c r="E7" s="501" t="inlineStr">
        <is>
          <t xml:space="preserve">Head of Cyber Strategy &amp; Technology </t>
        </is>
      </c>
      <c r="F7" s="501" t="inlineStr">
        <is>
          <t>Cyber, Risk &amp; Operations</t>
        </is>
      </c>
      <c r="G7" s="503" t="inlineStr">
        <is>
          <t>Cyber Strat &amp; Tech</t>
        </is>
      </c>
      <c r="H7" s="501" t="inlineStr">
        <is>
          <t>NA</t>
        </is>
      </c>
      <c r="I7" s="501" t="inlineStr">
        <is>
          <t>NA</t>
        </is>
      </c>
      <c r="J7" s="501" t="inlineStr">
        <is>
          <t>NA</t>
        </is>
      </c>
      <c r="K7" s="501" t="inlineStr">
        <is>
          <t>NA</t>
        </is>
      </c>
      <c r="L7" s="501" t="n"/>
      <c r="M7" s="504" t="inlineStr">
        <is>
          <t>Australia</t>
        </is>
      </c>
      <c r="N7" s="505" t="inlineStr">
        <is>
          <t>CIC</t>
        </is>
      </c>
      <c r="O7" s="505" t="n">
        <v>1</v>
      </c>
      <c r="P7" s="505" t="n"/>
      <c r="Q7" s="505" t="inlineStr">
        <is>
          <t>Permanent - Full Time</t>
        </is>
      </c>
      <c r="R7" s="507" t="n"/>
      <c r="S7" s="507" t="n"/>
      <c r="T7" s="508" t="n">
        <v>212250</v>
      </c>
      <c r="U7" s="509" t="n">
        <v>212250</v>
      </c>
      <c r="V7" s="511" t="n">
        <v>0.12</v>
      </c>
      <c r="W7" s="973" t="n">
        <v>0.055</v>
      </c>
      <c r="X7" s="973" t="n">
        <v>0.12</v>
      </c>
      <c r="Y7" s="974" t="n"/>
      <c r="Z7" s="973" t="n">
        <v>0.04</v>
      </c>
      <c r="AA7" s="972">
        <f>U7*(1+V7+W7+X7+Y7+Z7)</f>
        <v>283353.75</v>
      </c>
      <c r="AB7" s="516" t="n"/>
    </row>
    <row r="8">
      <c r="A8" s="500" t="n">
        <v>84274</v>
      </c>
      <c r="B8" s="501" t="inlineStr">
        <is>
          <t>Chris Rojas</t>
        </is>
      </c>
      <c r="C8" s="502" t="inlineStr">
        <is>
          <t>Manager, Customer Support Operations</t>
        </is>
      </c>
      <c r="D8" s="501" t="inlineStr">
        <is>
          <t>Rajini Onteddu Reddy</t>
        </is>
      </c>
      <c r="E8" s="501" t="inlineStr">
        <is>
          <t xml:space="preserve">Manager Cyber Security Operations </t>
        </is>
      </c>
      <c r="F8" s="501" t="inlineStr">
        <is>
          <t>Cyber, Risk &amp; Operations</t>
        </is>
      </c>
      <c r="G8" s="503" t="inlineStr">
        <is>
          <t>Service Op &amp; Assurance</t>
        </is>
      </c>
      <c r="H8" s="501" t="inlineStr">
        <is>
          <t>NA</t>
        </is>
      </c>
      <c r="I8" s="501" t="inlineStr">
        <is>
          <t>NA</t>
        </is>
      </c>
      <c r="J8" s="501" t="inlineStr">
        <is>
          <t>NA</t>
        </is>
      </c>
      <c r="K8" s="501" t="inlineStr">
        <is>
          <t>NA</t>
        </is>
      </c>
      <c r="L8" s="501" t="n"/>
      <c r="M8" s="504" t="inlineStr">
        <is>
          <t>Australia</t>
        </is>
      </c>
      <c r="N8" s="507" t="inlineStr">
        <is>
          <t>CIC</t>
        </is>
      </c>
      <c r="O8" s="507" t="n">
        <v>1</v>
      </c>
      <c r="P8" s="507" t="n"/>
      <c r="Q8" s="507" t="inlineStr">
        <is>
          <t>Permanent - Full Time</t>
        </is>
      </c>
      <c r="R8" s="507" t="n"/>
      <c r="S8" s="507" t="n"/>
      <c r="T8" s="508" t="n">
        <v>182250</v>
      </c>
      <c r="U8" s="509" t="n">
        <v>182250</v>
      </c>
      <c r="V8" s="511" t="n">
        <v>0.12</v>
      </c>
      <c r="W8" s="973" t="n">
        <v>0.055</v>
      </c>
      <c r="X8" s="973" t="n">
        <v>0.12</v>
      </c>
      <c r="Y8" s="974" t="n"/>
      <c r="Z8" s="973" t="n">
        <v>0.04</v>
      </c>
      <c r="AA8" s="972">
        <f>U8*(1+V8+W8+X8+Y8+Z8)</f>
        <v>243303.75</v>
      </c>
      <c r="AB8" s="516" t="n"/>
    </row>
    <row r="9">
      <c r="A9" s="500" t="n">
        <v>98924</v>
      </c>
      <c r="B9" s="501" t="inlineStr">
        <is>
          <t>Dan Balsamo</t>
        </is>
      </c>
      <c r="C9" s="502" t="inlineStr">
        <is>
          <t>Senior Cyber Project Manager</t>
        </is>
      </c>
      <c r="D9" s="501" t="inlineStr">
        <is>
          <t>Vivienne Vasak</t>
        </is>
      </c>
      <c r="E9" s="501" t="inlineStr">
        <is>
          <t xml:space="preserve">Head of Cyber Strategy &amp; Technology </t>
        </is>
      </c>
      <c r="F9" s="501" t="inlineStr">
        <is>
          <t>Cyber, Risk &amp; Operations</t>
        </is>
      </c>
      <c r="G9" s="503" t="inlineStr">
        <is>
          <t>Cyber Strat &amp; Tech</t>
        </is>
      </c>
      <c r="H9" s="499" t="inlineStr">
        <is>
          <t>NA</t>
        </is>
      </c>
      <c r="I9" s="501" t="inlineStr">
        <is>
          <t>NA</t>
        </is>
      </c>
      <c r="J9" s="501" t="inlineStr">
        <is>
          <t>NA</t>
        </is>
      </c>
      <c r="K9" s="501" t="inlineStr">
        <is>
          <t>NA</t>
        </is>
      </c>
      <c r="L9" s="501" t="n"/>
      <c r="M9" s="504" t="inlineStr">
        <is>
          <t>Australia</t>
        </is>
      </c>
      <c r="N9" s="505" t="inlineStr">
        <is>
          <t>CIC</t>
        </is>
      </c>
      <c r="O9" s="505" t="n">
        <v>1</v>
      </c>
      <c r="P9" s="505" t="n"/>
      <c r="Q9" s="505" t="inlineStr">
        <is>
          <t>Permanent - Full Time</t>
        </is>
      </c>
      <c r="R9" s="507" t="n"/>
      <c r="S9" s="507" t="n"/>
      <c r="T9" s="508" t="n">
        <v>193690</v>
      </c>
      <c r="U9" s="509" t="n">
        <v>193690</v>
      </c>
      <c r="V9" s="511" t="n">
        <v>0.12</v>
      </c>
      <c r="W9" s="973" t="n">
        <v>0.055</v>
      </c>
      <c r="X9" s="973" t="n">
        <v>0.12</v>
      </c>
      <c r="Y9" s="974" t="n"/>
      <c r="Z9" s="973" t="n">
        <v>0.04</v>
      </c>
      <c r="AA9" s="972">
        <f>U9*(1+V9+W9+X9+Y9+Z9)</f>
        <v>258576.15</v>
      </c>
      <c r="AB9" s="516" t="n"/>
    </row>
    <row r="10">
      <c r="A10" s="500" t="n">
        <v>110204</v>
      </c>
      <c r="B10" s="501" t="inlineStr">
        <is>
          <t>Daniel Jolley</t>
        </is>
      </c>
      <c r="C10" s="502" t="inlineStr">
        <is>
          <t>Tech Support Technician</t>
        </is>
      </c>
      <c r="D10" s="501" t="inlineStr">
        <is>
          <t>Mark Pearson</t>
        </is>
      </c>
      <c r="E10" s="501" t="inlineStr">
        <is>
          <t xml:space="preserve">Lead Technology Support </t>
        </is>
      </c>
      <c r="F10" s="501" t="inlineStr">
        <is>
          <t>Cyber, Risk &amp; Operations</t>
        </is>
      </c>
      <c r="G10" s="503" t="inlineStr">
        <is>
          <t>Service Op &amp; Assurance</t>
        </is>
      </c>
      <c r="H10" s="499" t="inlineStr">
        <is>
          <t>NA</t>
        </is>
      </c>
      <c r="I10" s="501" t="inlineStr">
        <is>
          <t>NA</t>
        </is>
      </c>
      <c r="J10" s="501" t="inlineStr">
        <is>
          <t>NA</t>
        </is>
      </c>
      <c r="K10" s="501" t="inlineStr">
        <is>
          <t>NA</t>
        </is>
      </c>
      <c r="L10" s="501" t="n"/>
      <c r="M10" s="504" t="inlineStr">
        <is>
          <t>Australia</t>
        </is>
      </c>
      <c r="N10" s="505" t="inlineStr">
        <is>
          <t>CDC</t>
        </is>
      </c>
      <c r="O10" s="505" t="n">
        <v>1</v>
      </c>
      <c r="P10" s="505" t="n"/>
      <c r="Q10" s="505" t="inlineStr">
        <is>
          <t>Permanent - Full Time</t>
        </is>
      </c>
      <c r="R10" s="507" t="n"/>
      <c r="S10" s="507" t="n"/>
      <c r="T10" s="508" t="n">
        <v>88100</v>
      </c>
      <c r="U10" s="509" t="n">
        <v>88100</v>
      </c>
      <c r="V10" s="511" t="n">
        <v>0.1</v>
      </c>
      <c r="W10" s="973" t="n">
        <v>0.055</v>
      </c>
      <c r="X10" s="973" t="n">
        <v>0.12</v>
      </c>
      <c r="Y10" s="974" t="n"/>
      <c r="Z10" s="973" t="n">
        <v>0.04</v>
      </c>
      <c r="AA10" s="972">
        <f>U10*(1+V10+W10+X10+Y10+Z10)</f>
        <v>115851.5</v>
      </c>
      <c r="AB10" s="516" t="n"/>
    </row>
    <row r="11">
      <c r="A11" s="500" t="n">
        <v>6307</v>
      </c>
      <c r="B11" s="501" t="inlineStr">
        <is>
          <t>Darren Koller</t>
        </is>
      </c>
      <c r="C11" s="502" t="inlineStr">
        <is>
          <t>Manager, Service Management &amp; Major Incident Mgmt Lead</t>
        </is>
      </c>
      <c r="D11" s="501" t="inlineStr">
        <is>
          <t>Rajini Onteddu Reddy</t>
        </is>
      </c>
      <c r="E11" s="501" t="inlineStr">
        <is>
          <t>Head of Service Operatoins &amp; Assurance</t>
        </is>
      </c>
      <c r="F11" s="501" t="inlineStr">
        <is>
          <t>Cyber, Risk &amp; Operations</t>
        </is>
      </c>
      <c r="G11" s="503" t="inlineStr">
        <is>
          <t>Service Op &amp; Assurance</t>
        </is>
      </c>
      <c r="H11" s="501" t="inlineStr">
        <is>
          <t>NA</t>
        </is>
      </c>
      <c r="I11" s="501" t="inlineStr">
        <is>
          <t>NA</t>
        </is>
      </c>
      <c r="J11" s="501" t="inlineStr">
        <is>
          <t>NA</t>
        </is>
      </c>
      <c r="K11" s="501" t="inlineStr">
        <is>
          <t>NA</t>
        </is>
      </c>
      <c r="L11" s="501" t="n"/>
      <c r="M11" s="504" t="inlineStr">
        <is>
          <t>Australia</t>
        </is>
      </c>
      <c r="N11" s="507" t="inlineStr">
        <is>
          <t>CIC</t>
        </is>
      </c>
      <c r="O11" s="507" t="n">
        <v>1</v>
      </c>
      <c r="P11" s="507" t="n"/>
      <c r="Q11" s="507" t="inlineStr">
        <is>
          <t>Permanent - Full Time</t>
        </is>
      </c>
      <c r="R11" s="507" t="n"/>
      <c r="S11" s="507" t="n"/>
      <c r="T11" s="508" t="n">
        <v>205950</v>
      </c>
      <c r="U11" s="509" t="n">
        <v>205950</v>
      </c>
      <c r="V11" s="511" t="n">
        <v>0.12</v>
      </c>
      <c r="W11" s="973" t="n">
        <v>0.055</v>
      </c>
      <c r="X11" s="973" t="n">
        <v>0.12</v>
      </c>
      <c r="Y11" s="974" t="n"/>
      <c r="Z11" s="973" t="n">
        <v>0.04</v>
      </c>
      <c r="AA11" s="972">
        <f>U11*(1+V11+W11+X11+Y11+Z11)</f>
        <v>274943.25</v>
      </c>
      <c r="AB11" s="516" t="n"/>
    </row>
    <row r="12">
      <c r="A12" s="500" t="n">
        <v>99707</v>
      </c>
      <c r="B12" s="501" t="inlineStr">
        <is>
          <t>Darshan Suvama</t>
        </is>
      </c>
      <c r="C12" s="502" t="inlineStr">
        <is>
          <t>Cyber Offensive Security Lead</t>
        </is>
      </c>
      <c r="D12" s="501" t="inlineStr">
        <is>
          <t>Kevin Sheerin</t>
        </is>
      </c>
      <c r="E12" s="501" t="inlineStr">
        <is>
          <t>Cyber Architecture Lead</t>
        </is>
      </c>
      <c r="F12" s="501" t="inlineStr">
        <is>
          <t>Cyber, Risk &amp; Operations</t>
        </is>
      </c>
      <c r="G12" s="503" t="inlineStr">
        <is>
          <t>Cyber Strat &amp; Tech</t>
        </is>
      </c>
      <c r="H12" s="501" t="inlineStr">
        <is>
          <t>NA</t>
        </is>
      </c>
      <c r="I12" s="501" t="inlineStr">
        <is>
          <t>NA</t>
        </is>
      </c>
      <c r="J12" s="501" t="inlineStr">
        <is>
          <t>NA</t>
        </is>
      </c>
      <c r="K12" s="501" t="inlineStr">
        <is>
          <t>NA</t>
        </is>
      </c>
      <c r="L12" s="501" t="n"/>
      <c r="M12" s="504" t="inlineStr">
        <is>
          <t>Australia</t>
        </is>
      </c>
      <c r="N12" s="505" t="inlineStr">
        <is>
          <t>CIC</t>
        </is>
      </c>
      <c r="O12" s="505" t="n">
        <v>1</v>
      </c>
      <c r="P12" s="505" t="n"/>
      <c r="Q12" s="505" t="inlineStr">
        <is>
          <t>Permanent - Full Time</t>
        </is>
      </c>
      <c r="R12" s="507" t="n"/>
      <c r="S12" s="507" t="n"/>
      <c r="T12" s="508" t="n">
        <v>213740</v>
      </c>
      <c r="U12" s="509" t="n">
        <v>213740</v>
      </c>
      <c r="V12" s="511" t="n">
        <v>0.12</v>
      </c>
      <c r="W12" s="973" t="n">
        <v>0.055</v>
      </c>
      <c r="X12" s="973" t="n">
        <v>0.12</v>
      </c>
      <c r="Y12" s="974" t="n"/>
      <c r="Z12" s="973" t="n">
        <v>0.04</v>
      </c>
      <c r="AA12" s="972">
        <f>U12*(1+V12+W12+X12+Y12+Z12)</f>
        <v>285342.89999999997</v>
      </c>
      <c r="AB12" s="516" t="n"/>
    </row>
    <row r="13">
      <c r="A13" s="500" t="n">
        <v>101700</v>
      </c>
      <c r="B13" s="501" t="inlineStr">
        <is>
          <t>Diya Thomas</t>
        </is>
      </c>
      <c r="C13" s="502" t="inlineStr">
        <is>
          <t>Manager Cyber Security GRC</t>
        </is>
      </c>
      <c r="D13" s="501" t="inlineStr">
        <is>
          <t>Frances Bouzo</t>
        </is>
      </c>
      <c r="E13" s="501" t="inlineStr">
        <is>
          <t xml:space="preserve">Manager Cyber Security Operations </t>
        </is>
      </c>
      <c r="F13" s="501" t="inlineStr">
        <is>
          <t>Cyber, Risk &amp; Operations</t>
        </is>
      </c>
      <c r="G13" s="503" t="inlineStr">
        <is>
          <t>Cyber GRC</t>
        </is>
      </c>
      <c r="H13" s="501" t="inlineStr">
        <is>
          <t>NA</t>
        </is>
      </c>
      <c r="I13" s="501" t="inlineStr">
        <is>
          <t>NA</t>
        </is>
      </c>
      <c r="J13" s="501" t="inlineStr">
        <is>
          <t>NA</t>
        </is>
      </c>
      <c r="K13" s="501" t="inlineStr">
        <is>
          <t>NA</t>
        </is>
      </c>
      <c r="L13" s="501" t="n"/>
      <c r="M13" s="504" t="inlineStr">
        <is>
          <t>Australia</t>
        </is>
      </c>
      <c r="N13" s="505" t="inlineStr">
        <is>
          <t>CSB</t>
        </is>
      </c>
      <c r="O13" s="505" t="n">
        <v>1</v>
      </c>
      <c r="P13" s="505" t="n"/>
      <c r="Q13" s="505" t="inlineStr">
        <is>
          <t>Permanent - Full Time</t>
        </is>
      </c>
      <c r="R13" s="507" t="n"/>
      <c r="S13" s="507" t="n"/>
      <c r="T13" s="508" t="n">
        <v>211840</v>
      </c>
      <c r="U13" s="517" t="n">
        <v>211840</v>
      </c>
      <c r="V13" s="518" t="n">
        <v>0.14</v>
      </c>
      <c r="W13" s="975" t="n">
        <v>0.055</v>
      </c>
      <c r="X13" s="975" t="n">
        <v>0.12</v>
      </c>
      <c r="Y13" s="976" t="n"/>
      <c r="Z13" s="975" t="n">
        <v>0.04</v>
      </c>
      <c r="AA13" s="977">
        <f>U13*(1+V13+W13+X13+Y13+Z13)</f>
        <v>287043.2</v>
      </c>
      <c r="AB13" s="516" t="n"/>
    </row>
    <row r="14">
      <c r="A14" s="500" t="n">
        <v>99999102157</v>
      </c>
      <c r="B14" s="501" t="inlineStr">
        <is>
          <t>Ethan Lamhert (FT)</t>
        </is>
      </c>
      <c r="C14" s="502" t="inlineStr">
        <is>
          <t>Tech Support Technician</t>
        </is>
      </c>
      <c r="D14" s="501" t="inlineStr">
        <is>
          <t>Mark Pearson</t>
        </is>
      </c>
      <c r="E14" s="501" t="inlineStr">
        <is>
          <t xml:space="preserve">Lead Technology Support </t>
        </is>
      </c>
      <c r="F14" s="501" t="inlineStr">
        <is>
          <t>Cyber, Risk &amp; Operations</t>
        </is>
      </c>
      <c r="G14" s="503" t="inlineStr">
        <is>
          <t>Service Op &amp; Assurance</t>
        </is>
      </c>
      <c r="H14" s="501" t="inlineStr">
        <is>
          <t>NA</t>
        </is>
      </c>
      <c r="I14" s="501" t="inlineStr">
        <is>
          <t>NA</t>
        </is>
      </c>
      <c r="J14" s="501" t="inlineStr">
        <is>
          <t>NA</t>
        </is>
      </c>
      <c r="K14" s="501" t="inlineStr">
        <is>
          <t>NA</t>
        </is>
      </c>
      <c r="L14" s="501" t="n"/>
      <c r="M14" s="504" t="inlineStr">
        <is>
          <t>NZ</t>
        </is>
      </c>
      <c r="N14" s="505" t="inlineStr">
        <is>
          <t>CDB</t>
        </is>
      </c>
      <c r="O14" s="506" t="n">
        <v>1</v>
      </c>
      <c r="P14" s="505" t="n"/>
      <c r="Q14" s="506" t="inlineStr">
        <is>
          <t>Temporary - Full Time</t>
        </is>
      </c>
      <c r="R14" s="507" t="n"/>
      <c r="S14" s="507" t="n"/>
      <c r="T14" s="508" t="n">
        <v>80000</v>
      </c>
      <c r="U14" s="517" t="n">
        <v>73600</v>
      </c>
      <c r="V14" s="522" t="n">
        <v>0.1</v>
      </c>
      <c r="W14" s="523" t="n"/>
      <c r="X14" s="518" t="n">
        <v>0.05</v>
      </c>
      <c r="Y14" s="978" t="n">
        <v>2910</v>
      </c>
      <c r="Z14" s="518" t="n">
        <v>0.03</v>
      </c>
      <c r="AA14" s="977">
        <f>U14*(1+V14+X14+Z14)+Y14</f>
        <v>89758.00000000001</v>
      </c>
      <c r="AB14" s="499" t="n">
        <v>117353</v>
      </c>
    </row>
    <row r="15">
      <c r="A15" s="500" t="n">
        <v>87951</v>
      </c>
      <c r="B15" s="501" t="inlineStr">
        <is>
          <t>Iwan Wibisono</t>
        </is>
      </c>
      <c r="C15" s="502" t="inlineStr">
        <is>
          <t>Engineer - IDAM</t>
        </is>
      </c>
      <c r="D15" s="501" t="inlineStr">
        <is>
          <t>Joe Nahma</t>
        </is>
      </c>
      <c r="E15" s="501" t="inlineStr">
        <is>
          <t xml:space="preserve">Lead Service Desk </t>
        </is>
      </c>
      <c r="F15" s="501" t="inlineStr">
        <is>
          <t>Cyber, Risk &amp; Operations</t>
        </is>
      </c>
      <c r="G15" s="503" t="inlineStr">
        <is>
          <t>Cyber Strat &amp; Tech</t>
        </is>
      </c>
      <c r="H15" s="501" t="inlineStr">
        <is>
          <t>NA</t>
        </is>
      </c>
      <c r="I15" s="501" t="inlineStr">
        <is>
          <t>NA</t>
        </is>
      </c>
      <c r="J15" s="501" t="inlineStr">
        <is>
          <t>NA</t>
        </is>
      </c>
      <c r="K15" s="501" t="inlineStr">
        <is>
          <t>NA</t>
        </is>
      </c>
      <c r="L15" s="501" t="n"/>
      <c r="M15" s="504" t="inlineStr">
        <is>
          <t>Australia</t>
        </is>
      </c>
      <c r="N15" s="507" t="inlineStr">
        <is>
          <t>CIB</t>
        </is>
      </c>
      <c r="O15" s="507" t="n">
        <v>1</v>
      </c>
      <c r="P15" s="507" t="n"/>
      <c r="Q15" s="507" t="inlineStr">
        <is>
          <t>Permanent - Full Time</t>
        </is>
      </c>
      <c r="R15" s="507" t="n"/>
      <c r="S15" s="507" t="n"/>
      <c r="T15" s="508" t="n">
        <v>161560</v>
      </c>
      <c r="U15" s="517" t="n">
        <v>161560</v>
      </c>
      <c r="V15" s="518" t="n">
        <v>0.12</v>
      </c>
      <c r="W15" s="975" t="n">
        <v>0.055</v>
      </c>
      <c r="X15" s="975" t="n">
        <v>0.12</v>
      </c>
      <c r="Y15" s="976" t="n"/>
      <c r="Z15" s="975" t="n">
        <v>0.04</v>
      </c>
      <c r="AA15" s="977">
        <f>U15*(1+V15+W15+X15+Y15+Z15)</f>
        <v>215682.6</v>
      </c>
      <c r="AB15" s="516" t="n"/>
    </row>
    <row r="16">
      <c r="A16" s="500" t="n">
        <v>113382</v>
      </c>
      <c r="B16" s="501" t="inlineStr">
        <is>
          <t>Jack Jenkins</t>
        </is>
      </c>
      <c r="C16" s="502" t="inlineStr">
        <is>
          <t>Asset Analyst</t>
        </is>
      </c>
      <c r="D16" s="501" t="inlineStr">
        <is>
          <t>Vacant</t>
        </is>
      </c>
      <c r="E16" s="501" t="inlineStr">
        <is>
          <t>Lead – Asset &amp; Configuration (Vacant)</t>
        </is>
      </c>
      <c r="F16" s="501" t="inlineStr">
        <is>
          <t>Cyber, Risk &amp; Operations</t>
        </is>
      </c>
      <c r="G16" s="503" t="inlineStr">
        <is>
          <t>Service Op &amp; Assurance</t>
        </is>
      </c>
      <c r="H16" s="501" t="inlineStr">
        <is>
          <t>NA</t>
        </is>
      </c>
      <c r="I16" s="501" t="inlineStr">
        <is>
          <t>NA</t>
        </is>
      </c>
      <c r="J16" s="501" t="inlineStr">
        <is>
          <t>NA</t>
        </is>
      </c>
      <c r="K16" s="501" t="inlineStr">
        <is>
          <t>NA</t>
        </is>
      </c>
      <c r="L16" s="501" t="n"/>
      <c r="M16" s="504" t="inlineStr">
        <is>
          <t>Australia</t>
        </is>
      </c>
      <c r="N16" s="505" t="inlineStr">
        <is>
          <t>CIA</t>
        </is>
      </c>
      <c r="O16" s="505" t="n">
        <v>1</v>
      </c>
      <c r="P16" s="505" t="n"/>
      <c r="Q16" s="505" t="inlineStr">
        <is>
          <t>Permanent - Full Time</t>
        </is>
      </c>
      <c r="R16" s="507" t="n"/>
      <c r="S16" s="507" t="n"/>
      <c r="T16" s="508" t="n">
        <v>105710</v>
      </c>
      <c r="U16" s="509" t="n">
        <v>105710</v>
      </c>
      <c r="V16" s="511" t="n">
        <v>0.1</v>
      </c>
      <c r="W16" s="973" t="n">
        <v>0.055</v>
      </c>
      <c r="X16" s="973" t="n">
        <v>0.12</v>
      </c>
      <c r="Y16" s="974" t="n"/>
      <c r="Z16" s="973" t="n">
        <v>0.04</v>
      </c>
      <c r="AA16" s="972">
        <f>U16*(1+V16+W16+X16+Y16+Z16)</f>
        <v>139008.65</v>
      </c>
      <c r="AB16" s="516" t="n"/>
    </row>
    <row r="17">
      <c r="A17" s="500" t="n">
        <v>100825</v>
      </c>
      <c r="B17" s="501" t="inlineStr">
        <is>
          <t>James Byrne</t>
        </is>
      </c>
      <c r="C17" s="502" t="inlineStr">
        <is>
          <t>Head of Cyber Strategy &amp; Technology</t>
        </is>
      </c>
      <c r="D17" s="501" t="inlineStr">
        <is>
          <t>Frances Bouzo</t>
        </is>
      </c>
      <c r="E17" s="501" t="inlineStr">
        <is>
          <t xml:space="preserve">Manager Customer Support Operations </t>
        </is>
      </c>
      <c r="F17" s="501" t="inlineStr">
        <is>
          <t>Cyber, Risk &amp; Operations</t>
        </is>
      </c>
      <c r="G17" s="503" t="inlineStr">
        <is>
          <t>Cyber Strat &amp; Tech</t>
        </is>
      </c>
      <c r="H17" s="501" t="inlineStr">
        <is>
          <t>NA</t>
        </is>
      </c>
      <c r="I17" s="501" t="inlineStr">
        <is>
          <t>NA</t>
        </is>
      </c>
      <c r="J17" s="501" t="inlineStr">
        <is>
          <t>NA</t>
        </is>
      </c>
      <c r="K17" s="501" t="inlineStr">
        <is>
          <t>NA</t>
        </is>
      </c>
      <c r="L17" s="501" t="n"/>
      <c r="M17" s="504" t="inlineStr">
        <is>
          <t>Australia</t>
        </is>
      </c>
      <c r="N17" s="505" t="inlineStr">
        <is>
          <t>CSC</t>
        </is>
      </c>
      <c r="O17" s="505" t="n">
        <v>1</v>
      </c>
      <c r="P17" s="505" t="n"/>
      <c r="Q17" s="505" t="inlineStr">
        <is>
          <t>Permanent - Full Time</t>
        </is>
      </c>
      <c r="R17" s="507" t="n"/>
      <c r="S17" s="507" t="n"/>
      <c r="T17" s="508" t="n">
        <v>270380</v>
      </c>
      <c r="U17" s="509" t="n">
        <v>270380</v>
      </c>
      <c r="V17" s="511" t="n">
        <v>0.2</v>
      </c>
      <c r="W17" s="979" t="n">
        <v>0.055</v>
      </c>
      <c r="X17" s="979" t="n">
        <v>0.12</v>
      </c>
      <c r="Y17" s="980" t="n"/>
      <c r="Z17" s="979" t="n">
        <v>0.04</v>
      </c>
      <c r="AA17" s="972">
        <f>U17*(1+V17+W17+X17+Y17+Z17)</f>
        <v>382587.7</v>
      </c>
      <c r="AB17" s="516" t="n"/>
    </row>
    <row r="18">
      <c r="A18" s="500" t="n">
        <v>108727</v>
      </c>
      <c r="B18" s="501" t="inlineStr">
        <is>
          <t>Jas Mann</t>
        </is>
      </c>
      <c r="C18" s="502" t="inlineStr">
        <is>
          <t>Technology Support Engineer</t>
        </is>
      </c>
      <c r="D18" s="501" t="inlineStr">
        <is>
          <t>Mark Pearson</t>
        </is>
      </c>
      <c r="E18" s="501" t="inlineStr">
        <is>
          <t xml:space="preserve">Lead Technology Support </t>
        </is>
      </c>
      <c r="F18" s="501" t="inlineStr">
        <is>
          <t>Cyber, Risk &amp; Operations</t>
        </is>
      </c>
      <c r="G18" s="503" t="inlineStr">
        <is>
          <t>Service Op &amp; Assurance</t>
        </is>
      </c>
      <c r="H18" s="501" t="inlineStr">
        <is>
          <t>NA</t>
        </is>
      </c>
      <c r="I18" s="501" t="inlineStr">
        <is>
          <t>NA</t>
        </is>
      </c>
      <c r="J18" s="501" t="inlineStr">
        <is>
          <t>NA</t>
        </is>
      </c>
      <c r="K18" s="501" t="inlineStr">
        <is>
          <t>NA</t>
        </is>
      </c>
      <c r="L18" s="501" t="n"/>
      <c r="M18" s="504" t="inlineStr">
        <is>
          <t>Australia</t>
        </is>
      </c>
      <c r="N18" s="505" t="inlineStr">
        <is>
          <t>CIA</t>
        </is>
      </c>
      <c r="O18" s="505" t="n">
        <v>1</v>
      </c>
      <c r="P18" s="505" t="n"/>
      <c r="Q18" s="505" t="inlineStr">
        <is>
          <t>Permanent - Full Time</t>
        </is>
      </c>
      <c r="R18" s="507" t="n"/>
      <c r="S18" s="507" t="n"/>
      <c r="T18" s="508" t="n">
        <v>111700</v>
      </c>
      <c r="U18" s="509" t="n">
        <v>111700</v>
      </c>
      <c r="V18" s="511" t="n">
        <v>0.1</v>
      </c>
      <c r="W18" s="973" t="n">
        <v>0.055</v>
      </c>
      <c r="X18" s="973" t="n">
        <v>0.12</v>
      </c>
      <c r="Y18" s="974" t="n"/>
      <c r="Z18" s="973" t="n">
        <v>0.04</v>
      </c>
      <c r="AA18" s="972">
        <f>U18*(1+V18+W18+X18+Y18+Z18)</f>
        <v>146885.5</v>
      </c>
      <c r="AB18" s="516" t="n"/>
    </row>
    <row r="19">
      <c r="A19" s="500" t="n">
        <v>108809</v>
      </c>
      <c r="B19" s="501" t="inlineStr">
        <is>
          <t>Joe Nahma</t>
        </is>
      </c>
      <c r="C19" s="502" t="inlineStr">
        <is>
          <t>Manager Identity &amp; Access Management</t>
        </is>
      </c>
      <c r="D19" s="501" t="inlineStr">
        <is>
          <t>James Byrne</t>
        </is>
      </c>
      <c r="E19" s="501" t="inlineStr">
        <is>
          <t>Manager Cyber Security GRC</t>
        </is>
      </c>
      <c r="F19" s="501" t="inlineStr">
        <is>
          <t>Cyber, Risk &amp; Operations</t>
        </is>
      </c>
      <c r="G19" s="503" t="inlineStr">
        <is>
          <t>Cyber Strat &amp; Tech</t>
        </is>
      </c>
      <c r="H19" s="501" t="inlineStr">
        <is>
          <t>NA</t>
        </is>
      </c>
      <c r="I19" s="501" t="inlineStr">
        <is>
          <t>NA</t>
        </is>
      </c>
      <c r="J19" s="501" t="inlineStr">
        <is>
          <t>NA</t>
        </is>
      </c>
      <c r="K19" s="501" t="inlineStr">
        <is>
          <t>NA</t>
        </is>
      </c>
      <c r="L19" s="501" t="n"/>
      <c r="M19" s="504" t="inlineStr">
        <is>
          <t>Australia</t>
        </is>
      </c>
      <c r="N19" s="505" t="inlineStr">
        <is>
          <t>CIC</t>
        </is>
      </c>
      <c r="O19" s="505" t="n">
        <v>1</v>
      </c>
      <c r="P19" s="505" t="n"/>
      <c r="Q19" s="505" t="inlineStr">
        <is>
          <t>Permanent - Full Time</t>
        </is>
      </c>
      <c r="R19" s="507" t="n"/>
      <c r="S19" s="507" t="n"/>
      <c r="T19" s="508" t="n">
        <v>193790</v>
      </c>
      <c r="U19" s="509" t="n">
        <v>193790</v>
      </c>
      <c r="V19" s="511" t="n">
        <v>0.12</v>
      </c>
      <c r="W19" s="973" t="n">
        <v>0.055</v>
      </c>
      <c r="X19" s="973" t="n">
        <v>0.12</v>
      </c>
      <c r="Y19" s="974" t="n"/>
      <c r="Z19" s="973" t="n">
        <v>0.04</v>
      </c>
      <c r="AA19" s="972">
        <f>U19*(1+V19+W19+X19+Y19+Z19)</f>
        <v>258709.65</v>
      </c>
      <c r="AB19" s="516" t="n"/>
    </row>
    <row r="20">
      <c r="A20" s="500" t="n">
        <v>114354</v>
      </c>
      <c r="B20" s="501" t="inlineStr">
        <is>
          <t>Kaaviya Salai Manimudian</t>
        </is>
      </c>
      <c r="C20" s="502" t="inlineStr">
        <is>
          <t>Graduate</t>
        </is>
      </c>
      <c r="D20" s="501" t="inlineStr">
        <is>
          <t>Lynda Niewidok</t>
        </is>
      </c>
      <c r="E20" s="501" t="inlineStr">
        <is>
          <t xml:space="preserve">Manager Customer Support Operations </t>
        </is>
      </c>
      <c r="F20" s="501" t="inlineStr">
        <is>
          <t>Cyber, Risk &amp; Operations</t>
        </is>
      </c>
      <c r="G20" s="503" t="inlineStr">
        <is>
          <t>Service Op &amp; Assurance</t>
        </is>
      </c>
      <c r="H20" s="501" t="inlineStr">
        <is>
          <t>NA</t>
        </is>
      </c>
      <c r="I20" s="501" t="inlineStr">
        <is>
          <t>NA</t>
        </is>
      </c>
      <c r="J20" s="501" t="inlineStr">
        <is>
          <t>NA</t>
        </is>
      </c>
      <c r="K20" s="501" t="inlineStr">
        <is>
          <t>NA</t>
        </is>
      </c>
      <c r="L20" s="501" t="n"/>
      <c r="M20" s="504" t="inlineStr">
        <is>
          <t>Australia</t>
        </is>
      </c>
      <c r="N20" s="505" t="inlineStr">
        <is>
          <t>CDB</t>
        </is>
      </c>
      <c r="O20" s="505" t="n">
        <v>1</v>
      </c>
      <c r="P20" s="505" t="n"/>
      <c r="Q20" s="505" t="inlineStr">
        <is>
          <t>Permanent - Full Time</t>
        </is>
      </c>
      <c r="R20" s="507" t="n"/>
      <c r="S20" s="507" t="n"/>
      <c r="T20" s="508" t="n">
        <v>85000</v>
      </c>
      <c r="U20" s="509" t="n">
        <v>85000</v>
      </c>
      <c r="V20" s="511" t="n">
        <v>0.08</v>
      </c>
      <c r="W20" s="973" t="n">
        <v>0.055</v>
      </c>
      <c r="X20" s="973" t="n">
        <v>0.12</v>
      </c>
      <c r="Y20" s="974" t="n"/>
      <c r="Z20" s="973" t="n">
        <v>0.04</v>
      </c>
      <c r="AA20" s="972">
        <f>U20*(1+V20+W20+X20+Y20+Z20)</f>
        <v>110075.0</v>
      </c>
      <c r="AB20" s="516" t="n"/>
    </row>
    <row r="21">
      <c r="A21" s="500" t="n">
        <v>97592</v>
      </c>
      <c r="B21" s="501" t="inlineStr">
        <is>
          <t>Kevin Sheerin</t>
        </is>
      </c>
      <c r="C21" s="502" t="inlineStr">
        <is>
          <t>Cyber Architecture Lead</t>
        </is>
      </c>
      <c r="D21" s="501" t="inlineStr">
        <is>
          <t>James Byrne</t>
        </is>
      </c>
      <c r="E21" s="501" t="n"/>
      <c r="F21" s="501" t="inlineStr">
        <is>
          <t>Cyber, Risk &amp; Operations</t>
        </is>
      </c>
      <c r="G21" s="503" t="inlineStr">
        <is>
          <t>Cyber Strat &amp; Tech</t>
        </is>
      </c>
      <c r="H21" s="501" t="inlineStr">
        <is>
          <t>NA</t>
        </is>
      </c>
      <c r="I21" s="501" t="inlineStr">
        <is>
          <t>NA</t>
        </is>
      </c>
      <c r="J21" s="501" t="inlineStr">
        <is>
          <t>NA</t>
        </is>
      </c>
      <c r="K21" s="501" t="inlineStr">
        <is>
          <t>NA</t>
        </is>
      </c>
      <c r="L21" s="501" t="n"/>
      <c r="M21" s="504" t="inlineStr">
        <is>
          <t>Australia</t>
        </is>
      </c>
      <c r="N21" s="505" t="inlineStr">
        <is>
          <t>CIC</t>
        </is>
      </c>
      <c r="O21" s="505" t="n">
        <v>1</v>
      </c>
      <c r="P21" s="505" t="n"/>
      <c r="Q21" s="505" t="inlineStr">
        <is>
          <t>Permanent - Full Time</t>
        </is>
      </c>
      <c r="R21" s="507" t="n"/>
      <c r="S21" s="507" t="n"/>
      <c r="T21" s="508" t="n">
        <v>213470</v>
      </c>
      <c r="U21" s="509" t="n">
        <v>213470</v>
      </c>
      <c r="V21" s="511" t="n">
        <v>0.12</v>
      </c>
      <c r="W21" s="973" t="n">
        <v>0.055</v>
      </c>
      <c r="X21" s="973" t="n">
        <v>0.12</v>
      </c>
      <c r="Y21" s="974" t="n"/>
      <c r="Z21" s="973" t="n">
        <v>0.04</v>
      </c>
      <c r="AA21" s="972">
        <f>U21*(1+V21+W21+X21+Y21+Z21)</f>
        <v>284982.45</v>
      </c>
      <c r="AB21" s="516" t="n"/>
    </row>
    <row r="22">
      <c r="A22" s="500" t="n">
        <v>99999101673</v>
      </c>
      <c r="B22" s="501" t="inlineStr">
        <is>
          <t>Lisa Ng</t>
        </is>
      </c>
      <c r="C22" s="502" t="inlineStr">
        <is>
          <t>Cyber Security Analyst</t>
        </is>
      </c>
      <c r="D22" s="501" t="inlineStr">
        <is>
          <t>Steven Atcheson</t>
        </is>
      </c>
      <c r="E22" s="501" t="n"/>
      <c r="F22" s="501" t="inlineStr">
        <is>
          <t>Cyber, Risk &amp; Operations</t>
        </is>
      </c>
      <c r="G22" s="503" t="inlineStr">
        <is>
          <t>Cyber Sec Ops</t>
        </is>
      </c>
      <c r="H22" s="501" t="inlineStr">
        <is>
          <t>NA</t>
        </is>
      </c>
      <c r="I22" s="501" t="inlineStr">
        <is>
          <t>NA</t>
        </is>
      </c>
      <c r="J22" s="501" t="inlineStr">
        <is>
          <t>NA</t>
        </is>
      </c>
      <c r="K22" s="501" t="inlineStr">
        <is>
          <t>NA</t>
        </is>
      </c>
      <c r="L22" s="501" t="n"/>
      <c r="M22" s="504" t="inlineStr">
        <is>
          <t>NZ</t>
        </is>
      </c>
      <c r="N22" s="505" t="inlineStr">
        <is>
          <t>CIA</t>
        </is>
      </c>
      <c r="O22" s="506" t="n">
        <v>0.8</v>
      </c>
      <c r="P22" s="505" t="n"/>
      <c r="Q22" s="506" t="inlineStr">
        <is>
          <t>Permanent - Part Time</t>
        </is>
      </c>
      <c r="R22" s="507" t="n"/>
      <c r="S22" s="507" t="n"/>
      <c r="T22" s="508" t="n">
        <v>128040</v>
      </c>
      <c r="U22" s="509" t="n">
        <v>117796.8</v>
      </c>
      <c r="V22" s="510" t="n">
        <v>0.15</v>
      </c>
      <c r="W22" s="507" t="n"/>
      <c r="X22" s="511" t="n">
        <v>0.05</v>
      </c>
      <c r="Y22" s="971" t="n">
        <v>2910</v>
      </c>
      <c r="Z22" s="511" t="n">
        <v>0.03</v>
      </c>
      <c r="AA22" s="972">
        <f>U22*(1+V22+X22+Z22)+Y22</f>
        <v>147800.064</v>
      </c>
      <c r="AB22" s="499" t="n">
        <v>113576</v>
      </c>
    </row>
    <row r="23">
      <c r="A23" s="500" t="n">
        <v>96830</v>
      </c>
      <c r="B23" s="501" t="inlineStr">
        <is>
          <t>Lynda Niewidok</t>
        </is>
      </c>
      <c r="C23" s="502" t="inlineStr">
        <is>
          <t>Lead – Service Desk</t>
        </is>
      </c>
      <c r="D23" s="501" t="inlineStr">
        <is>
          <t>Chris Rojas</t>
        </is>
      </c>
      <c r="E23" s="501" t="inlineStr">
        <is>
          <t xml:space="preserve">CISO </t>
        </is>
      </c>
      <c r="F23" s="501" t="inlineStr">
        <is>
          <t>Cyber, Risk &amp; Operations</t>
        </is>
      </c>
      <c r="G23" s="503" t="inlineStr">
        <is>
          <t>Service Op &amp; Assurance</t>
        </is>
      </c>
      <c r="H23" s="501" t="inlineStr">
        <is>
          <t>NA</t>
        </is>
      </c>
      <c r="I23" s="501" t="inlineStr">
        <is>
          <t>NA</t>
        </is>
      </c>
      <c r="J23" s="501" t="inlineStr">
        <is>
          <t>NA</t>
        </is>
      </c>
      <c r="K23" s="501" t="inlineStr">
        <is>
          <t>NA</t>
        </is>
      </c>
      <c r="L23" s="501" t="n"/>
      <c r="M23" s="504" t="inlineStr">
        <is>
          <t>Australia</t>
        </is>
      </c>
      <c r="N23" s="505" t="inlineStr">
        <is>
          <t>CIB</t>
        </is>
      </c>
      <c r="O23" s="505" t="n">
        <v>1</v>
      </c>
      <c r="P23" s="505" t="n"/>
      <c r="Q23" s="505" t="inlineStr">
        <is>
          <t>Permanent - Full Time</t>
        </is>
      </c>
      <c r="R23" s="507" t="n"/>
      <c r="S23" s="507" t="n"/>
      <c r="T23" s="508" t="n">
        <v>152800</v>
      </c>
      <c r="U23" s="509" t="n">
        <v>152800</v>
      </c>
      <c r="V23" s="511" t="n">
        <v>0.12</v>
      </c>
      <c r="W23" s="973" t="n">
        <v>0.055</v>
      </c>
      <c r="X23" s="973" t="n">
        <v>0.12</v>
      </c>
      <c r="Y23" s="974" t="n"/>
      <c r="Z23" s="973" t="n">
        <v>0.04</v>
      </c>
      <c r="AA23" s="972">
        <f>U23*(1+V23+W23+X23+Y23+Z23)</f>
        <v>203988.0</v>
      </c>
      <c r="AB23" s="516" t="n"/>
    </row>
    <row r="24">
      <c r="A24" s="500" t="n">
        <v>92681</v>
      </c>
      <c r="B24" s="501" t="inlineStr">
        <is>
          <t>Mark Pearson</t>
        </is>
      </c>
      <c r="C24" s="502" t="inlineStr">
        <is>
          <t>Lead – Technology Support</t>
        </is>
      </c>
      <c r="D24" s="501" t="inlineStr">
        <is>
          <t>Chris Rojas</t>
        </is>
      </c>
      <c r="E24" s="501" t="inlineStr">
        <is>
          <t xml:space="preserve">Manager Service Management &amp; Major Incident Management Lead </t>
        </is>
      </c>
      <c r="F24" s="501" t="inlineStr">
        <is>
          <t>Cyber, Risk &amp; Operations</t>
        </is>
      </c>
      <c r="G24" s="503" t="inlineStr">
        <is>
          <t>Service Op &amp; Assurance</t>
        </is>
      </c>
      <c r="H24" s="501" t="inlineStr">
        <is>
          <t>NA</t>
        </is>
      </c>
      <c r="I24" s="501" t="inlineStr">
        <is>
          <t>NA</t>
        </is>
      </c>
      <c r="J24" s="501" t="inlineStr">
        <is>
          <t>NA</t>
        </is>
      </c>
      <c r="K24" s="501" t="inlineStr">
        <is>
          <t>NA</t>
        </is>
      </c>
      <c r="L24" s="501" t="n"/>
      <c r="M24" s="504" t="inlineStr">
        <is>
          <t>Australia</t>
        </is>
      </c>
      <c r="N24" s="505" t="inlineStr">
        <is>
          <t>CIB</t>
        </is>
      </c>
      <c r="O24" s="505" t="n">
        <v>1</v>
      </c>
      <c r="P24" s="505" t="n"/>
      <c r="Q24" s="505" t="inlineStr">
        <is>
          <t>Permanent - Full Time</t>
        </is>
      </c>
      <c r="R24" s="507" t="n"/>
      <c r="S24" s="507" t="n"/>
      <c r="T24" s="508" t="n">
        <v>152690</v>
      </c>
      <c r="U24" s="509" t="n">
        <v>152690</v>
      </c>
      <c r="V24" s="511" t="n">
        <v>0.12</v>
      </c>
      <c r="W24" s="973" t="n">
        <v>0.055</v>
      </c>
      <c r="X24" s="973" t="n">
        <v>0.12</v>
      </c>
      <c r="Y24" s="974" t="n"/>
      <c r="Z24" s="973" t="n">
        <v>0.04</v>
      </c>
      <c r="AA24" s="972">
        <f>U24*(1+V24+W24+X24+Y24+Z24)</f>
        <v>203841.15</v>
      </c>
      <c r="AB24" s="516" t="n"/>
    </row>
    <row r="25">
      <c r="A25" s="500" t="n">
        <v>90096</v>
      </c>
      <c r="B25" s="501" t="inlineStr">
        <is>
          <t>Mary-Grace Rivera</t>
        </is>
      </c>
      <c r="C25" s="502" t="inlineStr">
        <is>
          <t>Lead, Service Management</t>
        </is>
      </c>
      <c r="D25" s="527" t="inlineStr">
        <is>
          <t>Vacant</t>
        </is>
      </c>
      <c r="E25" s="501" t="inlineStr">
        <is>
          <t>Darren Koller</t>
        </is>
      </c>
      <c r="F25" s="501" t="inlineStr">
        <is>
          <t>Cyber, Risk &amp; Operations</t>
        </is>
      </c>
      <c r="G25" s="503" t="inlineStr">
        <is>
          <t>Service Op &amp; Assurance</t>
        </is>
      </c>
      <c r="H25" s="501" t="inlineStr">
        <is>
          <t>NA</t>
        </is>
      </c>
      <c r="I25" s="501" t="inlineStr">
        <is>
          <t>NA</t>
        </is>
      </c>
      <c r="J25" s="501" t="inlineStr">
        <is>
          <t>NA</t>
        </is>
      </c>
      <c r="K25" s="501" t="inlineStr">
        <is>
          <t>NA</t>
        </is>
      </c>
      <c r="L25" s="501" t="n"/>
      <c r="M25" s="504" t="inlineStr">
        <is>
          <t>Australia</t>
        </is>
      </c>
      <c r="N25" s="505" t="inlineStr">
        <is>
          <t>CIA</t>
        </is>
      </c>
      <c r="O25" s="505" t="n">
        <v>1</v>
      </c>
      <c r="P25" s="505" t="n"/>
      <c r="Q25" s="505" t="inlineStr">
        <is>
          <t>Permanent - Full Time</t>
        </is>
      </c>
      <c r="R25" s="507" t="n"/>
      <c r="S25" s="507" t="n"/>
      <c r="T25" s="508" t="n">
        <v>137620</v>
      </c>
      <c r="U25" s="509" t="n">
        <v>137620</v>
      </c>
      <c r="V25" s="511" t="n">
        <v>0.1</v>
      </c>
      <c r="W25" s="973" t="n">
        <v>0.055</v>
      </c>
      <c r="X25" s="973" t="n">
        <v>0.12</v>
      </c>
      <c r="Y25" s="974" t="n"/>
      <c r="Z25" s="973" t="n">
        <v>0.04</v>
      </c>
      <c r="AA25" s="972">
        <f>U25*(1+V25+W25+X25+Y25+Z25)</f>
        <v>180970.3</v>
      </c>
      <c r="AB25" s="516" t="n"/>
    </row>
    <row r="26">
      <c r="A26" s="500" t="n">
        <v>113900</v>
      </c>
      <c r="B26" s="501" t="inlineStr">
        <is>
          <t>Mick Collins</t>
        </is>
      </c>
      <c r="C26" s="502" t="inlineStr">
        <is>
          <t>Manager, Service Performance &amp; Assurance</t>
        </is>
      </c>
      <c r="D26" s="501" t="inlineStr">
        <is>
          <t>Rajini Onteddu Reddy</t>
        </is>
      </c>
      <c r="E26" s="501" t="n"/>
      <c r="F26" s="501" t="inlineStr">
        <is>
          <t>Cyber, Risk &amp; Operations</t>
        </is>
      </c>
      <c r="G26" s="503" t="inlineStr">
        <is>
          <t>Service Op &amp; Assurance</t>
        </is>
      </c>
      <c r="H26" s="501" t="inlineStr">
        <is>
          <t>NA</t>
        </is>
      </c>
      <c r="I26" s="501" t="inlineStr">
        <is>
          <t>NA</t>
        </is>
      </c>
      <c r="J26" s="501" t="inlineStr">
        <is>
          <t>NA</t>
        </is>
      </c>
      <c r="K26" s="501" t="inlineStr">
        <is>
          <t>NA</t>
        </is>
      </c>
      <c r="L26" s="501" t="n"/>
      <c r="M26" s="504" t="inlineStr">
        <is>
          <t>Australia</t>
        </is>
      </c>
      <c r="N26" s="505" t="inlineStr">
        <is>
          <t>CSB</t>
        </is>
      </c>
      <c r="O26" s="505" t="n">
        <v>1</v>
      </c>
      <c r="P26" s="505" t="n"/>
      <c r="Q26" s="505" t="inlineStr">
        <is>
          <t>Permanent - Full Time</t>
        </is>
      </c>
      <c r="R26" s="507" t="n"/>
      <c r="S26" s="507" t="n"/>
      <c r="T26" s="508" t="n">
        <v>200790</v>
      </c>
      <c r="U26" s="509" t="n">
        <v>200790</v>
      </c>
      <c r="V26" s="511" t="n">
        <v>0.14</v>
      </c>
      <c r="W26" s="973" t="n">
        <v>0.055</v>
      </c>
      <c r="X26" s="973" t="n">
        <v>0.12</v>
      </c>
      <c r="Y26" s="974" t="n"/>
      <c r="Z26" s="973" t="n">
        <v>0.04</v>
      </c>
      <c r="AA26" s="972">
        <f>U26*(1+V26+W26+X26+Y26+Z26)</f>
        <v>272070.45</v>
      </c>
      <c r="AB26" s="516" t="n"/>
    </row>
    <row r="27">
      <c r="A27" s="500" t="n">
        <v>97425</v>
      </c>
      <c r="B27" s="501" t="inlineStr">
        <is>
          <t>Nischal Bhusal</t>
        </is>
      </c>
      <c r="C27" s="502" t="inlineStr">
        <is>
          <t>Cyber Security Analyst</t>
        </is>
      </c>
      <c r="D27" s="501" t="inlineStr">
        <is>
          <t>Steven Atcheson</t>
        </is>
      </c>
      <c r="E27" s="501" t="n"/>
      <c r="F27" s="501" t="inlineStr">
        <is>
          <t>Cyber, Risk &amp; Operations</t>
        </is>
      </c>
      <c r="G27" s="503" t="inlineStr">
        <is>
          <t>Cyber Sec Ops</t>
        </is>
      </c>
      <c r="H27" s="501" t="inlineStr">
        <is>
          <t>NA</t>
        </is>
      </c>
      <c r="I27" s="501" t="inlineStr">
        <is>
          <t>NA</t>
        </is>
      </c>
      <c r="J27" s="501" t="inlineStr">
        <is>
          <t>NA</t>
        </is>
      </c>
      <c r="K27" s="501" t="inlineStr">
        <is>
          <t>NA</t>
        </is>
      </c>
      <c r="L27" s="501" t="n"/>
      <c r="M27" s="504" t="inlineStr">
        <is>
          <t>Australia</t>
        </is>
      </c>
      <c r="N27" s="505" t="inlineStr">
        <is>
          <t>CIB</t>
        </is>
      </c>
      <c r="O27" s="505" t="n">
        <v>1</v>
      </c>
      <c r="P27" s="505" t="n"/>
      <c r="Q27" s="505" t="inlineStr">
        <is>
          <t>Permanent - Full Time</t>
        </is>
      </c>
      <c r="R27" s="507" t="n"/>
      <c r="S27" s="507" t="n"/>
      <c r="T27" s="508" t="n">
        <v>161520</v>
      </c>
      <c r="U27" s="509" t="n">
        <v>161520</v>
      </c>
      <c r="V27" s="511" t="n">
        <v>0.12</v>
      </c>
      <c r="W27" s="973" t="n">
        <v>0.055</v>
      </c>
      <c r="X27" s="973" t="n">
        <v>0.12</v>
      </c>
      <c r="Y27" s="974" t="n"/>
      <c r="Z27" s="973" t="n">
        <v>0.04</v>
      </c>
      <c r="AA27" s="972">
        <f>U27*(1+V27+W27+X27+Y27+Z27)</f>
        <v>215629.19999999998</v>
      </c>
      <c r="AB27" s="516" t="n"/>
    </row>
    <row r="28">
      <c r="A28" s="500" t="n">
        <v>109491</v>
      </c>
      <c r="B28" s="501" t="inlineStr">
        <is>
          <t>Pooja Kuperkar</t>
        </is>
      </c>
      <c r="C28" s="502" t="inlineStr">
        <is>
          <t>Cyber GRC Analyst</t>
        </is>
      </c>
      <c r="D28" s="501" t="inlineStr">
        <is>
          <t>Diya Thomas</t>
        </is>
      </c>
      <c r="E28" s="501" t="n"/>
      <c r="F28" s="501" t="inlineStr">
        <is>
          <t>Cyber, Risk &amp; Operations</t>
        </is>
      </c>
      <c r="G28" s="503" t="inlineStr">
        <is>
          <t>Cyber GRC</t>
        </is>
      </c>
      <c r="H28" s="501" t="inlineStr">
        <is>
          <t>NA</t>
        </is>
      </c>
      <c r="I28" s="501" t="inlineStr">
        <is>
          <t>NA</t>
        </is>
      </c>
      <c r="J28" s="501" t="inlineStr">
        <is>
          <t>NA</t>
        </is>
      </c>
      <c r="K28" s="501" t="inlineStr">
        <is>
          <t>NA</t>
        </is>
      </c>
      <c r="L28" s="501" t="n"/>
      <c r="M28" s="504" t="inlineStr">
        <is>
          <t>Australia</t>
        </is>
      </c>
      <c r="N28" s="505" t="inlineStr">
        <is>
          <t>CIB</t>
        </is>
      </c>
      <c r="O28" s="505" t="n">
        <v>1</v>
      </c>
      <c r="P28" s="505" t="n"/>
      <c r="Q28" s="505" t="inlineStr">
        <is>
          <t>Permanent - Full Time</t>
        </is>
      </c>
      <c r="R28" s="507" t="n"/>
      <c r="S28" s="507" t="n"/>
      <c r="T28" s="508" t="n">
        <v>152390</v>
      </c>
      <c r="U28" s="509" t="n">
        <v>152390</v>
      </c>
      <c r="V28" s="511" t="n">
        <v>0.12</v>
      </c>
      <c r="W28" s="973" t="n">
        <v>0.055</v>
      </c>
      <c r="X28" s="973" t="n">
        <v>0.12</v>
      </c>
      <c r="Y28" s="974" t="n"/>
      <c r="Z28" s="973" t="n">
        <v>0.04</v>
      </c>
      <c r="AA28" s="972">
        <f>U28*(1+V28+W28+X28+Y28+Z28)</f>
        <v>203440.65</v>
      </c>
      <c r="AB28" s="516" t="n"/>
    </row>
    <row r="29">
      <c r="A29" s="500" t="n">
        <v>114683</v>
      </c>
      <c r="B29" s="501" t="inlineStr">
        <is>
          <t>Prashanth Chandran</t>
        </is>
      </c>
      <c r="C29" s="502" t="inlineStr">
        <is>
          <t>Senior Cyber GRC Specialist</t>
        </is>
      </c>
      <c r="D29" s="501" t="inlineStr">
        <is>
          <t>Diya Thomas</t>
        </is>
      </c>
      <c r="E29" s="501" t="inlineStr">
        <is>
          <t>Manager Cyber Security GRC</t>
        </is>
      </c>
      <c r="F29" s="501" t="inlineStr">
        <is>
          <t>Cyber, Risk &amp; Operations</t>
        </is>
      </c>
      <c r="G29" s="503" t="inlineStr">
        <is>
          <t>Cyber GRC</t>
        </is>
      </c>
      <c r="H29" s="501" t="inlineStr">
        <is>
          <t>NA</t>
        </is>
      </c>
      <c r="I29" s="501" t="inlineStr">
        <is>
          <t>NA</t>
        </is>
      </c>
      <c r="J29" s="501" t="inlineStr">
        <is>
          <t>NA</t>
        </is>
      </c>
      <c r="K29" s="501" t="inlineStr">
        <is>
          <t>NA</t>
        </is>
      </c>
      <c r="L29" s="501" t="n"/>
      <c r="M29" s="504" t="inlineStr">
        <is>
          <t>Australia</t>
        </is>
      </c>
      <c r="N29" s="505" t="inlineStr">
        <is>
          <t>CIC</t>
        </is>
      </c>
      <c r="O29" s="505" t="n">
        <v>1</v>
      </c>
      <c r="P29" s="505" t="n"/>
      <c r="Q29" s="505" t="inlineStr">
        <is>
          <t>Permanent - Full Time</t>
        </is>
      </c>
      <c r="R29" s="507" t="n"/>
      <c r="S29" s="507" t="n"/>
      <c r="T29" s="508" t="n">
        <v>165000</v>
      </c>
      <c r="U29" s="509" t="n">
        <v>165000</v>
      </c>
      <c r="V29" s="511" t="n">
        <v>0.12</v>
      </c>
      <c r="W29" s="973" t="n">
        <v>0.055</v>
      </c>
      <c r="X29" s="973" t="n">
        <v>0.12</v>
      </c>
      <c r="Y29" s="974" t="n"/>
      <c r="Z29" s="973" t="n">
        <v>0.04</v>
      </c>
      <c r="AA29" s="972">
        <f>U29*(1+V29+W29+X29+Y29+Z29)</f>
        <v>220275.0</v>
      </c>
      <c r="AB29" s="516" t="n"/>
    </row>
    <row r="30">
      <c r="A30" s="500" t="n">
        <v>104966</v>
      </c>
      <c r="B30" s="501" t="inlineStr">
        <is>
          <t>Rahul Sahni</t>
        </is>
      </c>
      <c r="C30" s="502" t="inlineStr">
        <is>
          <t>Cyber Security Architect</t>
        </is>
      </c>
      <c r="D30" s="501" t="inlineStr">
        <is>
          <t>Kevin Sheerin</t>
        </is>
      </c>
      <c r="E30" s="501" t="n"/>
      <c r="F30" s="501" t="inlineStr">
        <is>
          <t>Cyber, Risk &amp; Operations</t>
        </is>
      </c>
      <c r="G30" s="503" t="inlineStr">
        <is>
          <t>Cyber Strat &amp; Tech</t>
        </is>
      </c>
      <c r="H30" s="501" t="inlineStr">
        <is>
          <t>NA</t>
        </is>
      </c>
      <c r="I30" s="501" t="inlineStr">
        <is>
          <t>NA</t>
        </is>
      </c>
      <c r="J30" s="501" t="inlineStr">
        <is>
          <t>NA</t>
        </is>
      </c>
      <c r="K30" s="501" t="inlineStr">
        <is>
          <t>NA</t>
        </is>
      </c>
      <c r="L30" s="501" t="n"/>
      <c r="M30" s="504" t="inlineStr">
        <is>
          <t>Australia</t>
        </is>
      </c>
      <c r="N30" s="505" t="inlineStr">
        <is>
          <t>CIC</t>
        </is>
      </c>
      <c r="O30" s="505" t="n">
        <v>1</v>
      </c>
      <c r="P30" s="505" t="n"/>
      <c r="Q30" s="505" t="inlineStr">
        <is>
          <t>Permanent - Full Time</t>
        </is>
      </c>
      <c r="R30" s="507" t="n"/>
      <c r="S30" s="507" t="n"/>
      <c r="T30" s="508" t="n">
        <v>169500</v>
      </c>
      <c r="U30" s="509" t="n">
        <v>169500</v>
      </c>
      <c r="V30" s="511" t="n">
        <v>0.12</v>
      </c>
      <c r="W30" s="973" t="n">
        <v>0.055</v>
      </c>
      <c r="X30" s="973" t="n">
        <v>0.12</v>
      </c>
      <c r="Y30" s="974" t="n"/>
      <c r="Z30" s="973" t="n">
        <v>0.04</v>
      </c>
      <c r="AA30" s="972">
        <f>U30*(1+V30+W30+X30+Y30+Z30)</f>
        <v>226282.5</v>
      </c>
      <c r="AB30" s="516" t="n"/>
    </row>
    <row r="31">
      <c r="A31" s="500" t="n">
        <v>105647</v>
      </c>
      <c r="B31" s="501" t="inlineStr">
        <is>
          <t>Rajini Onteddu Reddy</t>
        </is>
      </c>
      <c r="C31" s="502" t="inlineStr">
        <is>
          <t>Head of Service Operations &amp; Assurance</t>
        </is>
      </c>
      <c r="D31" s="501" t="inlineStr">
        <is>
          <t>Frances Bouzo</t>
        </is>
      </c>
      <c r="E31" s="501" t="inlineStr">
        <is>
          <t xml:space="preserve">Manager Service Management &amp; Major Incident Management Lead </t>
        </is>
      </c>
      <c r="F31" s="501" t="inlineStr">
        <is>
          <t>Cyber, Risk &amp; Operations</t>
        </is>
      </c>
      <c r="G31" s="503" t="inlineStr">
        <is>
          <t>Service Op &amp; Assurance</t>
        </is>
      </c>
      <c r="H31" s="501" t="inlineStr">
        <is>
          <t>NA</t>
        </is>
      </c>
      <c r="I31" s="501" t="inlineStr">
        <is>
          <t>NA</t>
        </is>
      </c>
      <c r="J31" s="501" t="inlineStr">
        <is>
          <t>NA</t>
        </is>
      </c>
      <c r="K31" s="501" t="inlineStr">
        <is>
          <t>NA</t>
        </is>
      </c>
      <c r="L31" s="501" t="n"/>
      <c r="M31" s="504" t="inlineStr">
        <is>
          <t>Australia</t>
        </is>
      </c>
      <c r="N31" s="505" t="inlineStr">
        <is>
          <t>CSC</t>
        </is>
      </c>
      <c r="O31" s="505" t="n">
        <v>1</v>
      </c>
      <c r="P31" s="505" t="n"/>
      <c r="Q31" s="505" t="inlineStr">
        <is>
          <t>Permanent - Full Time</t>
        </is>
      </c>
      <c r="R31" s="507" t="n"/>
      <c r="S31" s="507" t="n"/>
      <c r="T31" s="508" t="n">
        <v>283160</v>
      </c>
      <c r="U31" s="509" t="n">
        <v>283160</v>
      </c>
      <c r="V31" s="511" t="n">
        <v>0.2</v>
      </c>
      <c r="W31" s="973" t="n">
        <v>0.055</v>
      </c>
      <c r="X31" s="973" t="n">
        <v>0.12</v>
      </c>
      <c r="Y31" s="974" t="n"/>
      <c r="Z31" s="973" t="n">
        <v>0.04</v>
      </c>
      <c r="AA31" s="972">
        <f>U31*(1+V31+W31+X31+Y31+Z31)</f>
        <v>400671.4</v>
      </c>
      <c r="AB31" s="516" t="n"/>
    </row>
    <row r="32">
      <c r="A32" s="500" t="n">
        <v>116241</v>
      </c>
      <c r="B32" s="501" t="inlineStr">
        <is>
          <t>Raymond Cheung</t>
        </is>
      </c>
      <c r="C32" s="502" t="inlineStr">
        <is>
          <t>Engineer - IDAM</t>
        </is>
      </c>
      <c r="D32" s="501" t="inlineStr">
        <is>
          <t>Joe Nahma</t>
        </is>
      </c>
      <c r="E32" s="501" t="inlineStr">
        <is>
          <t xml:space="preserve">Head Cyber Strategy &amp; Technology </t>
        </is>
      </c>
      <c r="F32" s="501" t="inlineStr">
        <is>
          <t>Cyber, Risk &amp; Operations</t>
        </is>
      </c>
      <c r="G32" s="503" t="inlineStr">
        <is>
          <t>Cyber Strat &amp; Tech</t>
        </is>
      </c>
      <c r="H32" s="501" t="inlineStr">
        <is>
          <t>NA</t>
        </is>
      </c>
      <c r="I32" s="501" t="inlineStr">
        <is>
          <t>NA</t>
        </is>
      </c>
      <c r="J32" s="501" t="inlineStr">
        <is>
          <t>NA</t>
        </is>
      </c>
      <c r="K32" s="501" t="inlineStr">
        <is>
          <t>NA</t>
        </is>
      </c>
      <c r="L32" s="501" t="n"/>
      <c r="M32" s="504" t="inlineStr">
        <is>
          <t>Australia</t>
        </is>
      </c>
      <c r="N32" s="505" t="inlineStr">
        <is>
          <t>CIA</t>
        </is>
      </c>
      <c r="O32" s="505" t="n">
        <v>1</v>
      </c>
      <c r="P32" s="505" t="n"/>
      <c r="Q32" s="505" t="inlineStr">
        <is>
          <t>Permanent - Full Time</t>
        </is>
      </c>
      <c r="R32" s="507" t="n"/>
      <c r="S32" s="507" t="n"/>
      <c r="T32" s="508" t="n">
        <v>145000</v>
      </c>
      <c r="U32" s="509" t="n">
        <v>145000</v>
      </c>
      <c r="V32" s="511" t="n">
        <v>0.1</v>
      </c>
      <c r="W32" s="973" t="n">
        <v>0.055</v>
      </c>
      <c r="X32" s="973" t="n">
        <v>0.12</v>
      </c>
      <c r="Y32" s="974" t="n"/>
      <c r="Z32" s="973" t="n">
        <v>0.04</v>
      </c>
      <c r="AA32" s="972">
        <f>U32*(1+V32+W32+X32+Y32+Z32)</f>
        <v>190675.0</v>
      </c>
      <c r="AB32" s="516" t="n"/>
    </row>
    <row r="33">
      <c r="A33" s="500" t="n">
        <v>108728</v>
      </c>
      <c r="B33" s="501" t="inlineStr">
        <is>
          <t>Remya Pookat</t>
        </is>
      </c>
      <c r="C33" s="502" t="inlineStr">
        <is>
          <t>Lead – Change &amp; Release Management</t>
        </is>
      </c>
      <c r="D33" s="501" t="inlineStr">
        <is>
          <t>Darren Koller</t>
        </is>
      </c>
      <c r="E33" s="501" t="inlineStr">
        <is>
          <t>Manager Cyber Security GRC</t>
        </is>
      </c>
      <c r="F33" s="501" t="inlineStr">
        <is>
          <t>Cyber, Risk &amp; Operations</t>
        </is>
      </c>
      <c r="G33" s="503" t="inlineStr">
        <is>
          <t>Service Op &amp; Assurance</t>
        </is>
      </c>
      <c r="H33" s="501" t="inlineStr">
        <is>
          <t>NA</t>
        </is>
      </c>
      <c r="I33" s="501" t="inlineStr">
        <is>
          <t>NA</t>
        </is>
      </c>
      <c r="J33" s="501" t="inlineStr">
        <is>
          <t>NA</t>
        </is>
      </c>
      <c r="K33" s="501" t="inlineStr">
        <is>
          <t>NA</t>
        </is>
      </c>
      <c r="L33" s="501" t="n"/>
      <c r="M33" s="504" t="inlineStr">
        <is>
          <t>Australia</t>
        </is>
      </c>
      <c r="N33" s="505" t="inlineStr">
        <is>
          <t>CIB</t>
        </is>
      </c>
      <c r="O33" s="505" t="n">
        <v>1</v>
      </c>
      <c r="P33" s="505" t="n"/>
      <c r="Q33" s="505" t="inlineStr">
        <is>
          <t>Permanent - Full Time</t>
        </is>
      </c>
      <c r="R33" s="507" t="n"/>
      <c r="S33" s="507" t="n"/>
      <c r="T33" s="508" t="n">
        <v>165450</v>
      </c>
      <c r="U33" s="509" t="n">
        <v>165450</v>
      </c>
      <c r="V33" s="511" t="n">
        <v>0.12</v>
      </c>
      <c r="W33" s="973" t="n">
        <v>0.055</v>
      </c>
      <c r="X33" s="973" t="n">
        <v>0.12</v>
      </c>
      <c r="Y33" s="974" t="n"/>
      <c r="Z33" s="973" t="n">
        <v>0.04</v>
      </c>
      <c r="AA33" s="972">
        <f>U33*(1+V33+W33+X33+Y33+Z33)</f>
        <v>220875.75</v>
      </c>
      <c r="AB33" s="516" t="n"/>
    </row>
    <row r="34">
      <c r="A34" s="500" t="n">
        <v>104555</v>
      </c>
      <c r="B34" s="501" t="inlineStr">
        <is>
          <t>Ritika Salaria</t>
        </is>
      </c>
      <c r="C34" s="502" t="inlineStr">
        <is>
          <t>Configuration Analyst</t>
        </is>
      </c>
      <c r="D34" s="501" t="inlineStr">
        <is>
          <t>Lead – Asset &amp; Configuration (Vacant)</t>
        </is>
      </c>
      <c r="E34" s="501" t="n"/>
      <c r="F34" s="501" t="inlineStr">
        <is>
          <t>Cyber, Risk &amp; Operations</t>
        </is>
      </c>
      <c r="G34" s="503" t="inlineStr">
        <is>
          <t>Service Op &amp; Assurance</t>
        </is>
      </c>
      <c r="H34" s="499" t="inlineStr">
        <is>
          <t>NA</t>
        </is>
      </c>
      <c r="I34" s="501" t="inlineStr">
        <is>
          <t>NA</t>
        </is>
      </c>
      <c r="J34" s="501" t="inlineStr">
        <is>
          <t>NA</t>
        </is>
      </c>
      <c r="K34" s="501" t="inlineStr">
        <is>
          <t>NA</t>
        </is>
      </c>
      <c r="L34" s="501" t="n"/>
      <c r="M34" s="504" t="inlineStr">
        <is>
          <t>Australia</t>
        </is>
      </c>
      <c r="N34" s="505" t="inlineStr">
        <is>
          <t>CIA</t>
        </is>
      </c>
      <c r="O34" s="505" t="n">
        <v>1</v>
      </c>
      <c r="P34" s="505" t="n"/>
      <c r="Q34" s="505" t="inlineStr">
        <is>
          <t>Permanent - Full Time</t>
        </is>
      </c>
      <c r="R34" s="507" t="n"/>
      <c r="S34" s="507" t="n"/>
      <c r="T34" s="508" t="n">
        <v>131640</v>
      </c>
      <c r="U34" s="509" t="n">
        <v>131640</v>
      </c>
      <c r="V34" s="511" t="n">
        <v>0.1</v>
      </c>
      <c r="W34" s="973" t="n">
        <v>0.055</v>
      </c>
      <c r="X34" s="973" t="n">
        <v>0.12</v>
      </c>
      <c r="Y34" s="974" t="n"/>
      <c r="Z34" s="973" t="n">
        <v>0.04</v>
      </c>
      <c r="AA34" s="972">
        <f>U34*(1+V34+W34+X34+Y34+Z34)</f>
        <v>173106.6</v>
      </c>
      <c r="AB34" s="516" t="n"/>
    </row>
    <row r="35">
      <c r="A35" s="500" t="n">
        <v>99999101321</v>
      </c>
      <c r="B35" s="501" t="inlineStr">
        <is>
          <t>Sameer Pattanaik</t>
        </is>
      </c>
      <c r="C35" s="502" t="inlineStr">
        <is>
          <t>Cyber Security Operations Lead</t>
        </is>
      </c>
      <c r="D35" s="501" t="inlineStr">
        <is>
          <t>Steven Atcheson</t>
        </is>
      </c>
      <c r="E35" s="501" t="n"/>
      <c r="F35" s="501" t="inlineStr">
        <is>
          <t>Cyber, Risk &amp; Operations</t>
        </is>
      </c>
      <c r="G35" s="503" t="inlineStr">
        <is>
          <t>Cyber Sec Ops</t>
        </is>
      </c>
      <c r="H35" s="501" t="inlineStr">
        <is>
          <t>NA</t>
        </is>
      </c>
      <c r="I35" s="501" t="inlineStr">
        <is>
          <t>NA</t>
        </is>
      </c>
      <c r="J35" s="501" t="inlineStr">
        <is>
          <t>NA</t>
        </is>
      </c>
      <c r="K35" s="501" t="inlineStr">
        <is>
          <t>NA</t>
        </is>
      </c>
      <c r="L35" s="501" t="n"/>
      <c r="M35" s="504" t="inlineStr">
        <is>
          <t>NZ</t>
        </is>
      </c>
      <c r="N35" s="505" t="inlineStr">
        <is>
          <t>CIC</t>
        </is>
      </c>
      <c r="O35" s="506" t="n">
        <v>1</v>
      </c>
      <c r="P35" s="505" t="n"/>
      <c r="Q35" s="506" t="inlineStr">
        <is>
          <t>Permanent - Full Time</t>
        </is>
      </c>
      <c r="R35" s="507" t="n"/>
      <c r="S35" s="507" t="n"/>
      <c r="T35" s="508" t="n">
        <v>185550</v>
      </c>
      <c r="U35" s="509" t="n">
        <v>170706</v>
      </c>
      <c r="V35" s="510" t="n">
        <v>0.15</v>
      </c>
      <c r="W35" s="507" t="n"/>
      <c r="X35" s="511" t="n">
        <v>0.05</v>
      </c>
      <c r="Y35" s="971" t="n">
        <v>2910</v>
      </c>
      <c r="Z35" s="511" t="n">
        <v>0.03</v>
      </c>
      <c r="AA35" s="972">
        <f>U35*(1+V35+X35+Z35)+Y35</f>
        <v>212878.38</v>
      </c>
      <c r="AB35" s="499" t="n">
        <v>113609</v>
      </c>
    </row>
    <row r="36">
      <c r="A36" s="500" t="n">
        <v>99999101346</v>
      </c>
      <c r="B36" s="501" t="inlineStr">
        <is>
          <t>Shomiya Shayal</t>
        </is>
      </c>
      <c r="C36" s="502" t="inlineStr">
        <is>
          <t>Risk &amp; Resilience Lead</t>
        </is>
      </c>
      <c r="D36" s="501" t="inlineStr">
        <is>
          <t>Brian Gates</t>
        </is>
      </c>
      <c r="E36" s="501" t="inlineStr">
        <is>
          <t xml:space="preserve">Manager Risk &amp; Resilience </t>
        </is>
      </c>
      <c r="F36" s="501" t="inlineStr">
        <is>
          <t>Cyber, Risk &amp; Operations</t>
        </is>
      </c>
      <c r="G36" s="503" t="inlineStr">
        <is>
          <t>Cyber Risk</t>
        </is>
      </c>
      <c r="H36" s="501" t="inlineStr">
        <is>
          <t>NA</t>
        </is>
      </c>
      <c r="I36" s="501" t="inlineStr">
        <is>
          <t>NA</t>
        </is>
      </c>
      <c r="J36" s="501" t="inlineStr">
        <is>
          <t>NA</t>
        </is>
      </c>
      <c r="K36" s="501" t="inlineStr">
        <is>
          <t>NA</t>
        </is>
      </c>
      <c r="L36" s="501" t="n"/>
      <c r="M36" s="504" t="inlineStr">
        <is>
          <t>NZ</t>
        </is>
      </c>
      <c r="N36" s="505" t="inlineStr">
        <is>
          <t>CIC</t>
        </is>
      </c>
      <c r="O36" s="506" t="n">
        <v>1</v>
      </c>
      <c r="P36" s="505" t="n"/>
      <c r="Q36" s="506" t="inlineStr">
        <is>
          <t>Permanent - Full Time</t>
        </is>
      </c>
      <c r="R36" s="507" t="n"/>
      <c r="S36" s="507" t="n"/>
      <c r="T36" s="508" t="n">
        <v>164020</v>
      </c>
      <c r="U36" s="509" t="n">
        <v>150898.4</v>
      </c>
      <c r="V36" s="510" t="n">
        <v>0.15</v>
      </c>
      <c r="W36" s="507" t="n"/>
      <c r="X36" s="511" t="n">
        <v>0.05</v>
      </c>
      <c r="Y36" s="971" t="n">
        <v>2910</v>
      </c>
      <c r="Z36" s="511" t="n">
        <v>0.03</v>
      </c>
      <c r="AA36" s="972">
        <f>U36*(1+V36+X36+Z36)+Y36</f>
        <v>188515.03199999998</v>
      </c>
      <c r="AB36" s="499" t="n">
        <v>113615</v>
      </c>
    </row>
    <row r="37">
      <c r="A37" s="500" t="n">
        <v>104805</v>
      </c>
      <c r="B37" s="501" t="inlineStr">
        <is>
          <t>Shruti Manchanda</t>
        </is>
      </c>
      <c r="C37" s="502" t="inlineStr">
        <is>
          <t>Cyber GRC Analyst</t>
        </is>
      </c>
      <c r="D37" s="501" t="inlineStr">
        <is>
          <t>Diya Thomas</t>
        </is>
      </c>
      <c r="E37" s="501" t="n"/>
      <c r="F37" s="501" t="inlineStr">
        <is>
          <t>Cyber, Risk &amp; Operations</t>
        </is>
      </c>
      <c r="G37" s="503" t="inlineStr">
        <is>
          <t>Cyber GRC</t>
        </is>
      </c>
      <c r="H37" s="501" t="inlineStr">
        <is>
          <t>NA</t>
        </is>
      </c>
      <c r="I37" s="501" t="inlineStr">
        <is>
          <t>NA</t>
        </is>
      </c>
      <c r="J37" s="501" t="inlineStr">
        <is>
          <t>NA</t>
        </is>
      </c>
      <c r="K37" s="501" t="inlineStr">
        <is>
          <t>NA</t>
        </is>
      </c>
      <c r="L37" s="501" t="n"/>
      <c r="M37" s="504" t="inlineStr">
        <is>
          <t>Australia</t>
        </is>
      </c>
      <c r="N37" s="505" t="inlineStr">
        <is>
          <t>CIB</t>
        </is>
      </c>
      <c r="O37" s="505" t="n">
        <v>1</v>
      </c>
      <c r="P37" s="505" t="n"/>
      <c r="Q37" s="505" t="inlineStr">
        <is>
          <t>Permanent - Full Time</t>
        </is>
      </c>
      <c r="R37" s="507" t="n"/>
      <c r="S37" s="507" t="n"/>
      <c r="T37" s="508" t="n">
        <v>171450</v>
      </c>
      <c r="U37" s="509" t="n">
        <v>171450</v>
      </c>
      <c r="V37" s="511" t="n">
        <v>0.12</v>
      </c>
      <c r="W37" s="973" t="n">
        <v>0.055</v>
      </c>
      <c r="X37" s="973" t="n">
        <v>0.12</v>
      </c>
      <c r="Y37" s="974" t="n"/>
      <c r="Z37" s="973" t="n">
        <v>0.04</v>
      </c>
      <c r="AA37" s="972">
        <f>U37*(1+V37+W37+X37+Y37+Z37)</f>
        <v>228885.75</v>
      </c>
      <c r="AB37" s="516" t="n"/>
    </row>
    <row r="38">
      <c r="A38" s="500" t="n">
        <v>99999100770</v>
      </c>
      <c r="B38" s="501" t="inlineStr">
        <is>
          <t>Spoilagi Bhutwala</t>
        </is>
      </c>
      <c r="C38" s="502" t="inlineStr">
        <is>
          <t>Tech Support Technician</t>
        </is>
      </c>
      <c r="D38" s="501" t="inlineStr">
        <is>
          <t>Mark Pearson</t>
        </is>
      </c>
      <c r="E38" s="501" t="inlineStr">
        <is>
          <t xml:space="preserve">Lead Technology Support </t>
        </is>
      </c>
      <c r="F38" s="501" t="inlineStr">
        <is>
          <t>Cyber, Risk &amp; Operations</t>
        </is>
      </c>
      <c r="G38" s="503" t="inlineStr">
        <is>
          <t>Service Op &amp; Assurance</t>
        </is>
      </c>
      <c r="H38" s="501" t="inlineStr">
        <is>
          <t>NA</t>
        </is>
      </c>
      <c r="I38" s="501" t="inlineStr">
        <is>
          <t>NA</t>
        </is>
      </c>
      <c r="J38" s="501" t="inlineStr">
        <is>
          <t>NA</t>
        </is>
      </c>
      <c r="K38" s="501" t="inlineStr">
        <is>
          <t>NA</t>
        </is>
      </c>
      <c r="L38" s="501" t="n"/>
      <c r="M38" s="504" t="inlineStr">
        <is>
          <t>NZ</t>
        </is>
      </c>
      <c r="N38" s="505" t="inlineStr">
        <is>
          <t>CDB</t>
        </is>
      </c>
      <c r="O38" s="506" t="n">
        <v>1</v>
      </c>
      <c r="P38" s="505" t="n"/>
      <c r="Q38" s="506" t="inlineStr">
        <is>
          <t>Permanent - Full Time</t>
        </is>
      </c>
      <c r="R38" s="507" t="n"/>
      <c r="S38" s="507" t="n"/>
      <c r="T38" s="508" t="n">
        <v>86890</v>
      </c>
      <c r="U38" s="509" t="n">
        <v>79938.8</v>
      </c>
      <c r="V38" s="510" t="n">
        <v>0.1</v>
      </c>
      <c r="W38" s="507" t="n"/>
      <c r="X38" s="511" t="n">
        <v>0.05</v>
      </c>
      <c r="Y38" s="971" t="n">
        <v>2910</v>
      </c>
      <c r="Z38" s="511" t="n">
        <v>0.03</v>
      </c>
      <c r="AA38" s="972">
        <f>U38*(1+V38+X38+Z38)+Y38</f>
        <v>97237.78400000001</v>
      </c>
      <c r="AB38" s="499" t="n">
        <v>113569</v>
      </c>
    </row>
    <row r="39">
      <c r="A39" s="500" t="n">
        <v>98371</v>
      </c>
      <c r="B39" s="501" t="inlineStr">
        <is>
          <t>Stafford Dowling</t>
        </is>
      </c>
      <c r="C39" s="502" t="inlineStr">
        <is>
          <t>Cyber Security Analyst</t>
        </is>
      </c>
      <c r="D39" s="501" t="inlineStr">
        <is>
          <t>Steven Atcheson</t>
        </is>
      </c>
      <c r="E39" s="501" t="n"/>
      <c r="F39" s="501" t="inlineStr">
        <is>
          <t>Cyber, Risk &amp; Operations</t>
        </is>
      </c>
      <c r="G39" s="503" t="inlineStr">
        <is>
          <t>Cyber Sec Ops</t>
        </is>
      </c>
      <c r="H39" s="501" t="inlineStr">
        <is>
          <t>NA</t>
        </is>
      </c>
      <c r="I39" s="501" t="inlineStr">
        <is>
          <t>NA</t>
        </is>
      </c>
      <c r="J39" s="501" t="inlineStr">
        <is>
          <t>NA</t>
        </is>
      </c>
      <c r="K39" s="501" t="inlineStr">
        <is>
          <t>NA</t>
        </is>
      </c>
      <c r="L39" s="501" t="n"/>
      <c r="M39" s="504" t="inlineStr">
        <is>
          <t>Australia</t>
        </is>
      </c>
      <c r="N39" s="505" t="inlineStr">
        <is>
          <t>CIB</t>
        </is>
      </c>
      <c r="O39" s="505" t="n">
        <v>1</v>
      </c>
      <c r="P39" s="505" t="n"/>
      <c r="Q39" s="505" t="inlineStr">
        <is>
          <t>Permanent - Full Time</t>
        </is>
      </c>
      <c r="R39" s="507" t="n"/>
      <c r="S39" s="507" t="n"/>
      <c r="T39" s="508" t="n">
        <v>163830</v>
      </c>
      <c r="U39" s="509" t="n">
        <v>163830</v>
      </c>
      <c r="V39" s="511" t="n">
        <v>0.12</v>
      </c>
      <c r="W39" s="973" t="n">
        <v>0.055</v>
      </c>
      <c r="X39" s="973" t="n">
        <v>0.12</v>
      </c>
      <c r="Y39" s="974" t="n"/>
      <c r="Z39" s="973" t="n">
        <v>0.04</v>
      </c>
      <c r="AA39" s="972">
        <f>U39*(1+V39+W39+X39+Y39+Z39)</f>
        <v>218713.05</v>
      </c>
      <c r="AB39" s="516" t="n"/>
    </row>
    <row r="40">
      <c r="A40" s="500" t="n">
        <v>101504</v>
      </c>
      <c r="B40" s="501" t="inlineStr">
        <is>
          <t>Steven Atcheson</t>
        </is>
      </c>
      <c r="C40" s="502" t="inlineStr">
        <is>
          <t>Manager Cyber Security Operations</t>
        </is>
      </c>
      <c r="D40" s="501" t="inlineStr">
        <is>
          <t>Frances Bouzo</t>
        </is>
      </c>
      <c r="E40" s="501" t="inlineStr">
        <is>
          <t xml:space="preserve">Manager, Risk &amp; Resilience </t>
        </is>
      </c>
      <c r="F40" s="501" t="inlineStr">
        <is>
          <t>Cyber, Risk &amp; Operations</t>
        </is>
      </c>
      <c r="G40" s="503" t="inlineStr">
        <is>
          <t>Cyber Sec Ops</t>
        </is>
      </c>
      <c r="H40" s="501" t="inlineStr">
        <is>
          <t>NA</t>
        </is>
      </c>
      <c r="I40" s="501" t="inlineStr">
        <is>
          <t>NA</t>
        </is>
      </c>
      <c r="J40" s="501" t="inlineStr">
        <is>
          <t>NA</t>
        </is>
      </c>
      <c r="K40" s="501" t="inlineStr">
        <is>
          <t>NA</t>
        </is>
      </c>
      <c r="L40" s="501" t="n"/>
      <c r="M40" s="504" t="inlineStr">
        <is>
          <t>Australia</t>
        </is>
      </c>
      <c r="N40" s="505" t="inlineStr">
        <is>
          <t>CSB</t>
        </is>
      </c>
      <c r="O40" s="505" t="n">
        <v>1</v>
      </c>
      <c r="P40" s="505" t="n"/>
      <c r="Q40" s="505" t="inlineStr">
        <is>
          <t>Permanent - Full Time</t>
        </is>
      </c>
      <c r="R40" s="507" t="n"/>
      <c r="S40" s="507" t="n"/>
      <c r="T40" s="508" t="n">
        <v>233630</v>
      </c>
      <c r="U40" s="509" t="n">
        <v>233630</v>
      </c>
      <c r="V40" s="511" t="n">
        <v>0.14</v>
      </c>
      <c r="W40" s="973" t="n">
        <v>0.055</v>
      </c>
      <c r="X40" s="973" t="n">
        <v>0.12</v>
      </c>
      <c r="Y40" s="974" t="n"/>
      <c r="Z40" s="973" t="n">
        <v>0.04</v>
      </c>
      <c r="AA40" s="972">
        <f>U40*(1+V40+W40+X40+Y40+Z40)</f>
        <v>316568.65</v>
      </c>
      <c r="AB40" s="516" t="n"/>
    </row>
    <row r="41">
      <c r="A41" s="500" t="n">
        <v>114383</v>
      </c>
      <c r="B41" s="501" t="inlineStr">
        <is>
          <t>Tony Keeler</t>
        </is>
      </c>
      <c r="C41" s="502" t="inlineStr">
        <is>
          <t>Cyber Business Analyst</t>
        </is>
      </c>
      <c r="D41" s="501" t="inlineStr">
        <is>
          <t>Vivienne Vasak</t>
        </is>
      </c>
      <c r="E41" s="501" t="inlineStr">
        <is>
          <t xml:space="preserve">Portfolio Manger Cyber Security </t>
        </is>
      </c>
      <c r="F41" s="501" t="inlineStr">
        <is>
          <t>Cyber, Risk &amp; Operations</t>
        </is>
      </c>
      <c r="G41" s="503" t="inlineStr">
        <is>
          <t>Cyber Strat &amp; Tech</t>
        </is>
      </c>
      <c r="H41" s="501" t="inlineStr">
        <is>
          <t>NA</t>
        </is>
      </c>
      <c r="I41" s="501" t="inlineStr">
        <is>
          <t>NA</t>
        </is>
      </c>
      <c r="J41" s="501" t="inlineStr">
        <is>
          <t>NA</t>
        </is>
      </c>
      <c r="K41" s="501" t="inlineStr">
        <is>
          <t>NA</t>
        </is>
      </c>
      <c r="L41" s="501" t="n"/>
      <c r="M41" s="504" t="inlineStr">
        <is>
          <t>Australia</t>
        </is>
      </c>
      <c r="N41" s="505" t="inlineStr">
        <is>
          <t>CIB</t>
        </is>
      </c>
      <c r="O41" s="505" t="n">
        <v>1</v>
      </c>
      <c r="P41" s="505" t="n"/>
      <c r="Q41" s="505" t="inlineStr">
        <is>
          <t>Permanent - Full Time</t>
        </is>
      </c>
      <c r="R41" s="507" t="n"/>
      <c r="S41" s="507" t="n"/>
      <c r="T41" s="508" t="n">
        <v>160000</v>
      </c>
      <c r="U41" s="509" t="n">
        <v>160000</v>
      </c>
      <c r="V41" s="511" t="n">
        <v>0.12</v>
      </c>
      <c r="W41" s="973" t="n">
        <v>0.055</v>
      </c>
      <c r="X41" s="973" t="n">
        <v>0.12</v>
      </c>
      <c r="Y41" s="974" t="n"/>
      <c r="Z41" s="973" t="n">
        <v>0.04</v>
      </c>
      <c r="AA41" s="972">
        <f>U41*(1+V41+W41+X41+Y41+Z41)</f>
        <v>213600.0</v>
      </c>
      <c r="AB41" s="516" t="n"/>
    </row>
    <row r="42">
      <c r="A42" s="500" t="inlineStr">
        <is>
          <t>V</t>
        </is>
      </c>
      <c r="B42" s="501" t="inlineStr">
        <is>
          <t>Vacant</t>
        </is>
      </c>
      <c r="C42" s="502" t="inlineStr">
        <is>
          <t>Lead – Problem Management</t>
        </is>
      </c>
      <c r="D42" s="501" t="inlineStr">
        <is>
          <t>Darren Koller</t>
        </is>
      </c>
      <c r="E42" s="501" t="inlineStr">
        <is>
          <t>Manager Cyber Security GRC</t>
        </is>
      </c>
      <c r="F42" s="501" t="inlineStr">
        <is>
          <t>Cyber, Risk &amp; Operations</t>
        </is>
      </c>
      <c r="G42" s="503" t="inlineStr">
        <is>
          <t>Service Op &amp; Assurance</t>
        </is>
      </c>
      <c r="H42" s="501" t="inlineStr">
        <is>
          <t>NA</t>
        </is>
      </c>
      <c r="I42" s="501" t="inlineStr">
        <is>
          <t>NA</t>
        </is>
      </c>
      <c r="J42" s="501" t="inlineStr">
        <is>
          <t>NA</t>
        </is>
      </c>
      <c r="K42" s="501" t="inlineStr">
        <is>
          <t>NA</t>
        </is>
      </c>
      <c r="L42" s="501" t="n"/>
      <c r="M42" s="504" t="inlineStr">
        <is>
          <t>Australia</t>
        </is>
      </c>
      <c r="N42" s="505" t="inlineStr">
        <is>
          <t>CIA</t>
        </is>
      </c>
      <c r="O42" s="505" t="n">
        <v>1</v>
      </c>
      <c r="P42" s="505" t="n"/>
      <c r="Q42" s="505" t="inlineStr">
        <is>
          <t>v</t>
        </is>
      </c>
      <c r="R42" s="507" t="n"/>
      <c r="S42" s="507" t="n"/>
      <c r="T42" s="508" t="n">
        <v>129650</v>
      </c>
      <c r="U42" s="509" t="n">
        <v>129650</v>
      </c>
      <c r="V42" s="511" t="n">
        <v>0.1</v>
      </c>
      <c r="W42" s="973" t="n">
        <v>0.055</v>
      </c>
      <c r="X42" s="973" t="n">
        <v>0.12</v>
      </c>
      <c r="Y42" s="974" t="n"/>
      <c r="Z42" s="973" t="n">
        <v>0.04</v>
      </c>
      <c r="AA42" s="972">
        <f>U42*(1+V42+W42+X42+Y42+Z42)</f>
        <v>170489.75</v>
      </c>
      <c r="AB42" s="516" t="n"/>
    </row>
    <row r="43">
      <c r="A43" s="500" t="inlineStr">
        <is>
          <t>V</t>
        </is>
      </c>
      <c r="B43" s="501" t="inlineStr">
        <is>
          <t>Vacant</t>
        </is>
      </c>
      <c r="C43" s="502" t="inlineStr">
        <is>
          <t>Cyber Architect (backfill for EGI Secondment)</t>
        </is>
      </c>
      <c r="D43" s="501" t="inlineStr">
        <is>
          <t>Kevin Sheerin</t>
        </is>
      </c>
      <c r="E43" s="501" t="n"/>
      <c r="F43" s="501" t="inlineStr">
        <is>
          <t>Cyber, Risk &amp; Operations</t>
        </is>
      </c>
      <c r="G43" s="503" t="inlineStr">
        <is>
          <t>Cyber Strat &amp; Tech</t>
        </is>
      </c>
      <c r="H43" s="501" t="inlineStr">
        <is>
          <t>NA</t>
        </is>
      </c>
      <c r="I43" s="501" t="inlineStr">
        <is>
          <t>NA</t>
        </is>
      </c>
      <c r="J43" s="501" t="inlineStr">
        <is>
          <t>NA</t>
        </is>
      </c>
      <c r="K43" s="501" t="inlineStr">
        <is>
          <t>NA</t>
        </is>
      </c>
      <c r="L43" s="501" t="n"/>
      <c r="M43" s="504" t="inlineStr">
        <is>
          <t>Australia</t>
        </is>
      </c>
      <c r="N43" s="505" t="inlineStr">
        <is>
          <t>CIB</t>
        </is>
      </c>
      <c r="O43" s="505" t="n">
        <v>1</v>
      </c>
      <c r="P43" s="505" t="n"/>
      <c r="Q43" s="505" t="inlineStr">
        <is>
          <t>V</t>
        </is>
      </c>
      <c r="R43" s="507" t="n"/>
      <c r="S43" s="507" t="n"/>
      <c r="T43" s="508" t="n">
        <v>160000</v>
      </c>
      <c r="U43" s="509" t="n">
        <v>160000</v>
      </c>
      <c r="V43" s="511" t="n">
        <v>0.12</v>
      </c>
      <c r="W43" s="973" t="n">
        <v>0.055</v>
      </c>
      <c r="X43" s="973" t="n">
        <v>0.12</v>
      </c>
      <c r="Y43" s="974" t="n"/>
      <c r="Z43" s="973" t="n">
        <v>0.04</v>
      </c>
      <c r="AA43" s="972">
        <f>U43*(1+V43+W43+X43+Y43+Z43)</f>
        <v>213600.0</v>
      </c>
      <c r="AB43" s="516" t="n"/>
    </row>
    <row r="44">
      <c r="A44" s="500" t="inlineStr">
        <is>
          <t>V</t>
        </is>
      </c>
      <c r="B44" s="501" t="inlineStr">
        <is>
          <t>Vacant</t>
        </is>
      </c>
      <c r="C44" s="502" t="inlineStr">
        <is>
          <t>Lead – Asset &amp; Configuration</t>
        </is>
      </c>
      <c r="D44" s="501" t="inlineStr">
        <is>
          <t>Mick Collins</t>
        </is>
      </c>
      <c r="E44" s="501" t="inlineStr">
        <is>
          <t xml:space="preserve">Manager Cyber Security Operations </t>
        </is>
      </c>
      <c r="F44" s="501" t="inlineStr">
        <is>
          <t>Cyber, Risk &amp; Operations</t>
        </is>
      </c>
      <c r="G44" s="503" t="inlineStr">
        <is>
          <t>Service Op &amp; Assurance</t>
        </is>
      </c>
      <c r="H44" s="501" t="inlineStr">
        <is>
          <t>NA</t>
        </is>
      </c>
      <c r="I44" s="499" t="inlineStr">
        <is>
          <t>NA</t>
        </is>
      </c>
      <c r="J44" s="501" t="inlineStr">
        <is>
          <t>NA</t>
        </is>
      </c>
      <c r="K44" s="501" t="inlineStr">
        <is>
          <t>NA</t>
        </is>
      </c>
      <c r="L44" s="501" t="n"/>
      <c r="M44" s="504" t="inlineStr">
        <is>
          <t>Australia</t>
        </is>
      </c>
      <c r="N44" s="505" t="inlineStr">
        <is>
          <t>CIB</t>
        </is>
      </c>
      <c r="O44" s="505" t="n">
        <v>1</v>
      </c>
      <c r="P44" s="505" t="n"/>
      <c r="Q44" s="505" t="inlineStr">
        <is>
          <t>v</t>
        </is>
      </c>
      <c r="R44" s="507" t="n"/>
      <c r="S44" s="507" t="n"/>
      <c r="T44" s="508" t="n">
        <v>151950</v>
      </c>
      <c r="U44" s="509" t="n">
        <v>151950</v>
      </c>
      <c r="V44" s="511" t="n">
        <v>0.12</v>
      </c>
      <c r="W44" s="973" t="n">
        <v>0.055</v>
      </c>
      <c r="X44" s="973" t="n">
        <v>0.12</v>
      </c>
      <c r="Y44" s="974" t="n"/>
      <c r="Z44" s="973" t="n">
        <v>0.04</v>
      </c>
      <c r="AA44" s="972">
        <f>U44*(1+V44+W44+X44+Y44+Z44)</f>
        <v>202853.25</v>
      </c>
      <c r="AB44" s="516" t="n"/>
    </row>
    <row r="45">
      <c r="A45" s="500" t="inlineStr">
        <is>
          <t>V</t>
        </is>
      </c>
      <c r="B45" s="501" t="inlineStr">
        <is>
          <t>Vacant</t>
        </is>
      </c>
      <c r="C45" s="502" t="inlineStr">
        <is>
          <t>Lead – Service Performance &amp; Insights</t>
        </is>
      </c>
      <c r="D45" s="501" t="inlineStr">
        <is>
          <t>Mick Collins</t>
        </is>
      </c>
      <c r="E45" s="501" t="inlineStr">
        <is>
          <t xml:space="preserve">Manager Identity &amp; Access Management </t>
        </is>
      </c>
      <c r="F45" s="501" t="inlineStr">
        <is>
          <t>Cyber, Risk &amp; Operations</t>
        </is>
      </c>
      <c r="G45" s="503" t="inlineStr">
        <is>
          <t>Service Op &amp; Assurance</t>
        </is>
      </c>
      <c r="H45" s="501" t="inlineStr">
        <is>
          <t>NA</t>
        </is>
      </c>
      <c r="I45" s="501" t="inlineStr">
        <is>
          <t>NA</t>
        </is>
      </c>
      <c r="J45" s="501" t="inlineStr">
        <is>
          <t>NA</t>
        </is>
      </c>
      <c r="K45" s="501" t="inlineStr">
        <is>
          <t>NA</t>
        </is>
      </c>
      <c r="L45" s="501" t="n"/>
      <c r="M45" s="504" t="inlineStr">
        <is>
          <t>Australia</t>
        </is>
      </c>
      <c r="N45" s="505" t="inlineStr">
        <is>
          <t>CIB</t>
        </is>
      </c>
      <c r="O45" s="505" t="n">
        <v>1</v>
      </c>
      <c r="P45" s="505" t="n"/>
      <c r="Q45" s="505" t="inlineStr">
        <is>
          <t>v</t>
        </is>
      </c>
      <c r="R45" s="507" t="n"/>
      <c r="S45" s="507" t="n"/>
      <c r="T45" s="508" t="n">
        <v>151950</v>
      </c>
      <c r="U45" s="509" t="n">
        <v>151950</v>
      </c>
      <c r="V45" s="511" t="n">
        <v>0.12</v>
      </c>
      <c r="W45" s="973" t="n">
        <v>0.055</v>
      </c>
      <c r="X45" s="973" t="n">
        <v>0.12</v>
      </c>
      <c r="Y45" s="974" t="n"/>
      <c r="Z45" s="973" t="n">
        <v>0.04</v>
      </c>
      <c r="AA45" s="972">
        <f>U45*(1+V45+W45+X45+Y45+Z45)</f>
        <v>202853.25</v>
      </c>
      <c r="AB45" s="516" t="n"/>
    </row>
    <row r="46">
      <c r="A46" s="500" t="inlineStr">
        <is>
          <t>V</t>
        </is>
      </c>
      <c r="B46" s="501" t="inlineStr">
        <is>
          <t>Vacant</t>
        </is>
      </c>
      <c r="C46" s="502" t="inlineStr">
        <is>
          <t>Operations Analyst</t>
        </is>
      </c>
      <c r="D46" s="501" t="inlineStr">
        <is>
          <t>Mick Collins</t>
        </is>
      </c>
      <c r="E46" s="501" t="inlineStr">
        <is>
          <t>Cyber Architecture Lead</t>
        </is>
      </c>
      <c r="F46" s="501" t="inlineStr">
        <is>
          <t>Cyber, Risk &amp; Operations</t>
        </is>
      </c>
      <c r="G46" s="503" t="inlineStr">
        <is>
          <t>Service Op &amp; Assurance</t>
        </is>
      </c>
      <c r="H46" s="501" t="inlineStr">
        <is>
          <t>NA</t>
        </is>
      </c>
      <c r="I46" s="501" t="inlineStr">
        <is>
          <t>NA</t>
        </is>
      </c>
      <c r="J46" s="501" t="inlineStr">
        <is>
          <t>NA</t>
        </is>
      </c>
      <c r="K46" s="501" t="inlineStr">
        <is>
          <t>NA</t>
        </is>
      </c>
      <c r="L46" s="501" t="n"/>
      <c r="M46" s="504" t="inlineStr">
        <is>
          <t>Australia</t>
        </is>
      </c>
      <c r="N46" s="505" t="inlineStr">
        <is>
          <t>cia</t>
        </is>
      </c>
      <c r="O46" s="505" t="n">
        <v>1</v>
      </c>
      <c r="P46" s="505" t="n"/>
      <c r="Q46" s="505" t="inlineStr">
        <is>
          <t>v</t>
        </is>
      </c>
      <c r="R46" s="507" t="n"/>
      <c r="S46" s="507" t="n"/>
      <c r="T46" s="508" t="n">
        <v>129650</v>
      </c>
      <c r="U46" s="509" t="n">
        <v>129650</v>
      </c>
      <c r="V46" s="511" t="n">
        <v>0.1</v>
      </c>
      <c r="W46" s="973" t="n">
        <v>0.055</v>
      </c>
      <c r="X46" s="973" t="n">
        <v>0.12</v>
      </c>
      <c r="Y46" s="974" t="n"/>
      <c r="Z46" s="973" t="n">
        <v>0.04</v>
      </c>
      <c r="AA46" s="972">
        <f>U46*(1+V46+W46+X46+Y46+Z46)</f>
        <v>170489.75</v>
      </c>
      <c r="AB46" s="516" t="n"/>
    </row>
    <row r="47">
      <c r="A47" s="500" t="inlineStr">
        <is>
          <t>V</t>
        </is>
      </c>
      <c r="B47" s="501" t="inlineStr">
        <is>
          <t>Vacant</t>
        </is>
      </c>
      <c r="C47" s="502" t="inlineStr">
        <is>
          <t>Operations Analyst</t>
        </is>
      </c>
      <c r="D47" s="501" t="inlineStr">
        <is>
          <t>Mick Collins</t>
        </is>
      </c>
      <c r="E47" s="501" t="inlineStr">
        <is>
          <t xml:space="preserve">Manager Service Management &amp; Major Incident Management Lead </t>
        </is>
      </c>
      <c r="F47" s="501" t="inlineStr">
        <is>
          <t>Cyber, Risk &amp; Operations</t>
        </is>
      </c>
      <c r="G47" s="503" t="inlineStr">
        <is>
          <t>Service Op &amp; Assurance</t>
        </is>
      </c>
      <c r="H47" s="501" t="inlineStr">
        <is>
          <t>NA</t>
        </is>
      </c>
      <c r="I47" s="501" t="inlineStr">
        <is>
          <t>NA</t>
        </is>
      </c>
      <c r="J47" s="501" t="inlineStr">
        <is>
          <t>NA</t>
        </is>
      </c>
      <c r="K47" s="501" t="inlineStr">
        <is>
          <t>NA</t>
        </is>
      </c>
      <c r="L47" s="501" t="n"/>
      <c r="M47" s="504" t="inlineStr">
        <is>
          <t>Australia</t>
        </is>
      </c>
      <c r="N47" s="505" t="inlineStr">
        <is>
          <t>cia</t>
        </is>
      </c>
      <c r="O47" s="505" t="n">
        <v>1</v>
      </c>
      <c r="P47" s="505" t="n"/>
      <c r="Q47" s="505" t="inlineStr">
        <is>
          <t>v</t>
        </is>
      </c>
      <c r="R47" s="507" t="n"/>
      <c r="S47" s="507" t="n"/>
      <c r="T47" s="508" t="n">
        <v>129650</v>
      </c>
      <c r="U47" s="509" t="n">
        <v>129650</v>
      </c>
      <c r="V47" s="511" t="n">
        <v>0.1</v>
      </c>
      <c r="W47" s="973" t="n">
        <v>0.055</v>
      </c>
      <c r="X47" s="973" t="n">
        <v>0.12</v>
      </c>
      <c r="Y47" s="974" t="n"/>
      <c r="Z47" s="973" t="n">
        <v>0.04</v>
      </c>
      <c r="AA47" s="972">
        <f>U47*(1+V47+W47+X47+Y47+Z47)</f>
        <v>170489.75</v>
      </c>
      <c r="AB47" s="516" t="n"/>
    </row>
    <row r="48">
      <c r="A48" s="500" t="inlineStr">
        <is>
          <t>V</t>
        </is>
      </c>
      <c r="B48" s="501" t="inlineStr">
        <is>
          <t xml:space="preserve">Vacant </t>
        </is>
      </c>
      <c r="C48" s="502" t="inlineStr">
        <is>
          <t>Data Risk Analyst</t>
        </is>
      </c>
      <c r="D48" s="501" t="inlineStr">
        <is>
          <t>Brian Gates</t>
        </is>
      </c>
      <c r="E48" s="501" t="n"/>
      <c r="F48" s="501" t="inlineStr">
        <is>
          <t>Cyber, Risk &amp; Operations</t>
        </is>
      </c>
      <c r="G48" s="503" t="inlineStr">
        <is>
          <t>Cyber Risk</t>
        </is>
      </c>
      <c r="H48" s="501" t="inlineStr">
        <is>
          <t>NA</t>
        </is>
      </c>
      <c r="I48" s="501" t="inlineStr">
        <is>
          <t>NA</t>
        </is>
      </c>
      <c r="J48" s="501" t="inlineStr">
        <is>
          <t>NA</t>
        </is>
      </c>
      <c r="K48" s="501" t="inlineStr">
        <is>
          <t>NA</t>
        </is>
      </c>
      <c r="L48" s="501" t="n"/>
      <c r="M48" s="504" t="inlineStr">
        <is>
          <t>Australia</t>
        </is>
      </c>
      <c r="N48" s="505" t="inlineStr">
        <is>
          <t>CIA</t>
        </is>
      </c>
      <c r="O48" s="505" t="n">
        <v>1</v>
      </c>
      <c r="P48" s="505" t="n"/>
      <c r="Q48" s="505" t="inlineStr">
        <is>
          <t>V</t>
        </is>
      </c>
      <c r="R48" s="507" t="n"/>
      <c r="S48" s="507" t="n"/>
      <c r="T48" s="508" t="n">
        <v>129650</v>
      </c>
      <c r="U48" s="509" t="n">
        <v>129650</v>
      </c>
      <c r="V48" s="511" t="n">
        <v>0.1</v>
      </c>
      <c r="W48" s="973" t="n">
        <v>0.055</v>
      </c>
      <c r="X48" s="973" t="n">
        <v>0.12</v>
      </c>
      <c r="Y48" s="974" t="n"/>
      <c r="Z48" s="973" t="n">
        <v>0.04</v>
      </c>
      <c r="AA48" s="972">
        <f>U48*(1+V48+W48+X48+Y48+Z48)</f>
        <v>170489.75</v>
      </c>
      <c r="AB48" s="516" t="n"/>
    </row>
    <row r="49">
      <c r="A49" s="500" t="inlineStr">
        <is>
          <t>V</t>
        </is>
      </c>
      <c r="B49" s="501" t="inlineStr">
        <is>
          <t xml:space="preserve">Vacant </t>
        </is>
      </c>
      <c r="C49" s="502" t="inlineStr">
        <is>
          <t>Data Risk Analyst</t>
        </is>
      </c>
      <c r="D49" s="501" t="inlineStr">
        <is>
          <t>Brian Gates</t>
        </is>
      </c>
      <c r="E49" s="501" t="n"/>
      <c r="F49" s="501" t="inlineStr">
        <is>
          <t>Cyber, Risk &amp; Operations</t>
        </is>
      </c>
      <c r="G49" s="503" t="inlineStr">
        <is>
          <t>Cyber Risk</t>
        </is>
      </c>
      <c r="H49" s="501" t="inlineStr">
        <is>
          <t>NA</t>
        </is>
      </c>
      <c r="I49" s="501" t="inlineStr">
        <is>
          <t>NA</t>
        </is>
      </c>
      <c r="J49" s="501" t="inlineStr">
        <is>
          <t>NA</t>
        </is>
      </c>
      <c r="K49" s="501" t="inlineStr">
        <is>
          <t>NA</t>
        </is>
      </c>
      <c r="L49" s="501" t="n"/>
      <c r="M49" s="504" t="inlineStr">
        <is>
          <t>Australia</t>
        </is>
      </c>
      <c r="N49" s="505" t="inlineStr">
        <is>
          <t>CIA</t>
        </is>
      </c>
      <c r="O49" s="505" t="n">
        <v>1</v>
      </c>
      <c r="P49" s="505" t="n"/>
      <c r="Q49" s="505" t="inlineStr">
        <is>
          <t>V</t>
        </is>
      </c>
      <c r="R49" s="507" t="n"/>
      <c r="S49" s="507" t="n"/>
      <c r="T49" s="508" t="n">
        <v>129650</v>
      </c>
      <c r="U49" s="509" t="n">
        <v>129650</v>
      </c>
      <c r="V49" s="511" t="n">
        <v>0.1</v>
      </c>
      <c r="W49" s="973" t="n">
        <v>0.055</v>
      </c>
      <c r="X49" s="973" t="n">
        <v>0.12</v>
      </c>
      <c r="Y49" s="974" t="n"/>
      <c r="Z49" s="973" t="n">
        <v>0.04</v>
      </c>
      <c r="AA49" s="972">
        <f>U49*(1+V49+W49+X49+Y49+Z49)</f>
        <v>170489.75</v>
      </c>
      <c r="AB49" s="516" t="n"/>
    </row>
    <row r="50">
      <c r="A50" s="500" t="inlineStr">
        <is>
          <t>V</t>
        </is>
      </c>
      <c r="B50" s="501" t="inlineStr">
        <is>
          <t>Vacant  (AKL )</t>
        </is>
      </c>
      <c r="C50" s="502" t="inlineStr">
        <is>
          <t>Tech Support Technician</t>
        </is>
      </c>
      <c r="D50" s="501" t="inlineStr">
        <is>
          <t>Mark Pearson</t>
        </is>
      </c>
      <c r="E50" s="501" t="n"/>
      <c r="F50" s="501" t="inlineStr">
        <is>
          <t>Cyber, Risk &amp; Operations</t>
        </is>
      </c>
      <c r="G50" s="503" t="inlineStr">
        <is>
          <t>Service Op &amp; Assurance</t>
        </is>
      </c>
      <c r="H50" s="501" t="inlineStr">
        <is>
          <t>NA</t>
        </is>
      </c>
      <c r="I50" s="501" t="inlineStr">
        <is>
          <t>NA</t>
        </is>
      </c>
      <c r="J50" s="501" t="inlineStr">
        <is>
          <t>NA</t>
        </is>
      </c>
      <c r="K50" s="501" t="inlineStr">
        <is>
          <t>NA</t>
        </is>
      </c>
      <c r="L50" s="501" t="n"/>
      <c r="M50" s="504" t="inlineStr">
        <is>
          <t>Australia</t>
        </is>
      </c>
      <c r="N50" s="505" t="inlineStr">
        <is>
          <t>CDB</t>
        </is>
      </c>
      <c r="O50" s="505" t="n">
        <v>1</v>
      </c>
      <c r="P50" s="505" t="n"/>
      <c r="Q50" s="505" t="inlineStr">
        <is>
          <t>v</t>
        </is>
      </c>
      <c r="R50" s="507" t="n"/>
      <c r="S50" s="507" t="n"/>
      <c r="T50" s="508" t="n">
        <v>94650</v>
      </c>
      <c r="U50" s="509" t="n">
        <v>94650</v>
      </c>
      <c r="V50" s="511" t="n">
        <v>0.08</v>
      </c>
      <c r="W50" s="973" t="n">
        <v>0.055</v>
      </c>
      <c r="X50" s="973" t="n">
        <v>0.12</v>
      </c>
      <c r="Y50" s="974" t="n"/>
      <c r="Z50" s="973" t="n">
        <v>0.04</v>
      </c>
      <c r="AA50" s="972">
        <f>U50*(1+V50+W50+X50+Y50+Z50)</f>
        <v>122571.75</v>
      </c>
      <c r="AB50" s="516" t="n"/>
    </row>
    <row r="51">
      <c r="A51" s="500" t="inlineStr">
        <is>
          <t>V</t>
        </is>
      </c>
      <c r="B51" s="501" t="inlineStr">
        <is>
          <t>Vacant (SYD)</t>
        </is>
      </c>
      <c r="C51" s="502" t="inlineStr">
        <is>
          <t>Tech Support Technician</t>
        </is>
      </c>
      <c r="D51" s="501" t="inlineStr">
        <is>
          <t>Mark Pearson</t>
        </is>
      </c>
      <c r="E51" s="501" t="n"/>
      <c r="F51" s="501" t="inlineStr">
        <is>
          <t>Cyber, Risk &amp; Operations</t>
        </is>
      </c>
      <c r="G51" s="503" t="inlineStr">
        <is>
          <t>Service Op &amp; Assurance</t>
        </is>
      </c>
      <c r="H51" s="501" t="inlineStr">
        <is>
          <t>NA</t>
        </is>
      </c>
      <c r="I51" s="501" t="inlineStr">
        <is>
          <t>NA</t>
        </is>
      </c>
      <c r="J51" s="501" t="inlineStr">
        <is>
          <t>NA</t>
        </is>
      </c>
      <c r="K51" s="501" t="inlineStr">
        <is>
          <t>NA</t>
        </is>
      </c>
      <c r="L51" s="501" t="n"/>
      <c r="M51" s="504" t="inlineStr">
        <is>
          <t>Australia</t>
        </is>
      </c>
      <c r="N51" s="505" t="inlineStr">
        <is>
          <t>CDB</t>
        </is>
      </c>
      <c r="O51" s="505" t="n">
        <v>1</v>
      </c>
      <c r="P51" s="505" t="n"/>
      <c r="Q51" s="505" t="inlineStr">
        <is>
          <t>v</t>
        </is>
      </c>
      <c r="R51" s="507" t="n"/>
      <c r="S51" s="507" t="n"/>
      <c r="T51" s="508" t="n">
        <v>94650</v>
      </c>
      <c r="U51" s="509" t="n">
        <v>94650</v>
      </c>
      <c r="V51" s="511" t="n">
        <v>0.08</v>
      </c>
      <c r="W51" s="973" t="n">
        <v>0.055</v>
      </c>
      <c r="X51" s="973" t="n">
        <v>0.12</v>
      </c>
      <c r="Y51" s="974" t="n"/>
      <c r="Z51" s="973" t="n">
        <v>0.04</v>
      </c>
      <c r="AA51" s="972">
        <f>U51*(1+V51+W51+X51+Y51+Z51)</f>
        <v>122571.75</v>
      </c>
      <c r="AB51" s="516" t="n"/>
    </row>
    <row r="52">
      <c r="A52" s="500" t="n">
        <v>99999101697</v>
      </c>
      <c r="B52" s="501" t="inlineStr">
        <is>
          <t>Vanessa Castro</t>
        </is>
      </c>
      <c r="C52" s="502" t="inlineStr">
        <is>
          <t>Cyber GRC Analyst</t>
        </is>
      </c>
      <c r="D52" s="501" t="inlineStr">
        <is>
          <t>Diya Thomas</t>
        </is>
      </c>
      <c r="E52" s="501" t="n"/>
      <c r="F52" s="501" t="inlineStr">
        <is>
          <t>Cyber, Risk &amp; Operations</t>
        </is>
      </c>
      <c r="G52" s="503" t="inlineStr">
        <is>
          <t>Cyber GRC</t>
        </is>
      </c>
      <c r="H52" s="501" t="inlineStr">
        <is>
          <t>NA</t>
        </is>
      </c>
      <c r="I52" s="501" t="inlineStr">
        <is>
          <t>NA</t>
        </is>
      </c>
      <c r="J52" s="501" t="inlineStr">
        <is>
          <t>NA</t>
        </is>
      </c>
      <c r="K52" s="501" t="inlineStr">
        <is>
          <t>NA</t>
        </is>
      </c>
      <c r="L52" s="501" t="n"/>
      <c r="M52" s="504" t="inlineStr">
        <is>
          <t>NZ</t>
        </is>
      </c>
      <c r="N52" s="505" t="inlineStr">
        <is>
          <t>CIA</t>
        </is>
      </c>
      <c r="O52" s="506" t="n">
        <v>1</v>
      </c>
      <c r="P52" s="505" t="n"/>
      <c r="Q52" s="506" t="inlineStr">
        <is>
          <t>Permanent - Full Time</t>
        </is>
      </c>
      <c r="R52" s="507" t="n"/>
      <c r="S52" s="507" t="n"/>
      <c r="T52" s="508" t="n">
        <v>113930</v>
      </c>
      <c r="U52" s="509" t="n">
        <v>104815.6</v>
      </c>
      <c r="V52" s="510" t="n">
        <v>0.15</v>
      </c>
      <c r="W52" s="507" t="n"/>
      <c r="X52" s="511" t="n">
        <v>0.05</v>
      </c>
      <c r="Y52" s="971" t="n">
        <v>2910</v>
      </c>
      <c r="Z52" s="511" t="n">
        <v>0.03</v>
      </c>
      <c r="AA52" s="972">
        <f>U52*(1+V52+X52+Z52)+Y52</f>
        <v>131833.18800000002</v>
      </c>
      <c r="AB52" s="499" t="n">
        <v>113621</v>
      </c>
    </row>
    <row r="53">
      <c r="A53" s="500" t="n">
        <v>101830</v>
      </c>
      <c r="B53" s="501" t="inlineStr">
        <is>
          <t>Vivienne Vasak</t>
        </is>
      </c>
      <c r="C53" s="502" t="inlineStr">
        <is>
          <t>Portfolio Manager Cyber Security</t>
        </is>
      </c>
      <c r="D53" s="501" t="inlineStr">
        <is>
          <t>James Byrne</t>
        </is>
      </c>
      <c r="E53" s="501" t="inlineStr">
        <is>
          <t xml:space="preserve">Manager Service Perforance &amp; Assurance </t>
        </is>
      </c>
      <c r="F53" s="501" t="inlineStr">
        <is>
          <t>Cyber, Risk &amp; Operations</t>
        </is>
      </c>
      <c r="G53" s="503" t="inlineStr">
        <is>
          <t>Cyber Strat &amp; Tech</t>
        </is>
      </c>
      <c r="H53" s="501" t="inlineStr">
        <is>
          <t>NA</t>
        </is>
      </c>
      <c r="I53" s="501" t="inlineStr">
        <is>
          <t>NA</t>
        </is>
      </c>
      <c r="J53" s="501" t="inlineStr">
        <is>
          <t>NA</t>
        </is>
      </c>
      <c r="K53" s="501" t="inlineStr">
        <is>
          <t>NA</t>
        </is>
      </c>
      <c r="L53" s="501" t="n"/>
      <c r="M53" s="504" t="inlineStr">
        <is>
          <t>Australia</t>
        </is>
      </c>
      <c r="N53" s="505" t="inlineStr">
        <is>
          <t>CSB</t>
        </is>
      </c>
      <c r="O53" s="505" t="n">
        <v>1</v>
      </c>
      <c r="P53" s="505" t="n"/>
      <c r="Q53" s="505" t="inlineStr">
        <is>
          <t>Permanent - Full Time</t>
        </is>
      </c>
      <c r="R53" s="507" t="n"/>
      <c r="S53" s="507" t="n"/>
      <c r="T53" s="508" t="n">
        <v>232970</v>
      </c>
      <c r="U53" s="509" t="n">
        <v>232970</v>
      </c>
      <c r="V53" s="511" t="n">
        <v>0.14</v>
      </c>
      <c r="W53" s="973" t="n">
        <v>0.055</v>
      </c>
      <c r="X53" s="973" t="n">
        <v>0.12</v>
      </c>
      <c r="Y53" s="974" t="n"/>
      <c r="Z53" s="973" t="n">
        <v>0.04</v>
      </c>
      <c r="AA53" s="972">
        <f>U53*(1+V53+W53+X53+Y53+Z53)</f>
        <v>315674.35</v>
      </c>
      <c r="AB53" s="516" t="n"/>
    </row>
    <row r="54">
      <c r="A54" s="500" t="inlineStr">
        <is>
          <t>C</t>
        </is>
      </c>
      <c r="B54" s="501" t="inlineStr">
        <is>
          <t>Ahmed Yehya</t>
        </is>
      </c>
      <c r="C54" s="502" t="inlineStr">
        <is>
          <t>TDD Strategic Delivery</t>
        </is>
      </c>
      <c r="D54" s="501" t="inlineStr">
        <is>
          <t>Greg Cassis</t>
        </is>
      </c>
      <c r="E54" s="503" t="inlineStr">
        <is>
          <t>GM TDD, EGI</t>
        </is>
      </c>
      <c r="F54" s="501" t="inlineStr">
        <is>
          <t>EGI</t>
        </is>
      </c>
      <c r="G54" s="503" t="inlineStr">
        <is>
          <t>EGI</t>
        </is>
      </c>
      <c r="H54" s="503" t="inlineStr">
        <is>
          <t>EGI</t>
        </is>
      </c>
      <c r="I54" s="503" t="inlineStr">
        <is>
          <t>EGI</t>
        </is>
      </c>
      <c r="J54" s="503" t="inlineStr">
        <is>
          <t>EGI</t>
        </is>
      </c>
      <c r="K54" s="503" t="inlineStr">
        <is>
          <t>EGI</t>
        </is>
      </c>
      <c r="L54" s="503" t="n"/>
      <c r="M54" s="504" t="inlineStr">
        <is>
          <t>Australia</t>
        </is>
      </c>
      <c r="N54" s="505" t="inlineStr">
        <is>
          <t>na</t>
        </is>
      </c>
      <c r="O54" s="505" t="n">
        <v>1</v>
      </c>
      <c r="P54" s="505" t="n"/>
      <c r="Q54" s="507" t="inlineStr">
        <is>
          <t>cxc</t>
        </is>
      </c>
      <c r="R54" s="507" t="inlineStr">
        <is>
          <t>Daily</t>
        </is>
      </c>
      <c r="S54" s="507" t="n">
        <v>1250</v>
      </c>
      <c r="T54" s="508" t="n">
        <v>0</v>
      </c>
      <c r="U54" s="509" t="n"/>
      <c r="V54" s="511" t="n"/>
      <c r="W54" s="973" t="n"/>
      <c r="X54" s="973" t="n"/>
      <c r="Y54" s="974" t="n"/>
      <c r="Z54" s="973" t="n"/>
      <c r="AA54" s="528">
        <f>S54*222</f>
        <v>277500.0</v>
      </c>
      <c r="AB54" s="516" t="n"/>
    </row>
    <row r="55">
      <c r="A55" s="500" t="inlineStr">
        <is>
          <t>C</t>
        </is>
      </c>
      <c r="B55" s="501" t="inlineStr">
        <is>
          <t>Anthony Huynh</t>
        </is>
      </c>
      <c r="C55" s="502" t="inlineStr">
        <is>
          <t>Strategic Delivery Consultant</t>
        </is>
      </c>
      <c r="D55" s="501" t="inlineStr">
        <is>
          <t>Greg Cassis</t>
        </is>
      </c>
      <c r="E55" s="503" t="inlineStr">
        <is>
          <t>GM TDD, EGI</t>
        </is>
      </c>
      <c r="F55" s="501" t="inlineStr">
        <is>
          <t>EGI</t>
        </is>
      </c>
      <c r="G55" s="503" t="inlineStr">
        <is>
          <t>EGI</t>
        </is>
      </c>
      <c r="H55" s="503" t="inlineStr">
        <is>
          <t>EGI</t>
        </is>
      </c>
      <c r="I55" s="503" t="inlineStr">
        <is>
          <t>EGI</t>
        </is>
      </c>
      <c r="J55" s="501" t="inlineStr">
        <is>
          <t>EGI</t>
        </is>
      </c>
      <c r="K55" s="501" t="inlineStr">
        <is>
          <t>EGI</t>
        </is>
      </c>
      <c r="L55" s="503" t="n"/>
      <c r="M55" s="504" t="inlineStr">
        <is>
          <t>australia</t>
        </is>
      </c>
      <c r="N55" s="505" t="inlineStr">
        <is>
          <t>NA</t>
        </is>
      </c>
      <c r="O55" s="505" t="n">
        <v>1</v>
      </c>
      <c r="P55" s="505" t="n"/>
      <c r="Q55" s="507" t="inlineStr">
        <is>
          <t>cxc</t>
        </is>
      </c>
      <c r="R55" s="507" t="inlineStr">
        <is>
          <t>daily</t>
        </is>
      </c>
      <c r="S55" s="507" t="n">
        <v>1357</v>
      </c>
      <c r="T55" s="508" t="n">
        <v>0</v>
      </c>
      <c r="U55" s="509" t="n"/>
      <c r="V55" s="511" t="n"/>
      <c r="W55" s="973" t="n"/>
      <c r="X55" s="973" t="n"/>
      <c r="Y55" s="974" t="n"/>
      <c r="Z55" s="973" t="n"/>
      <c r="AA55" s="528">
        <f>S55*222</f>
        <v>301254.0</v>
      </c>
      <c r="AB55" s="516" t="n"/>
    </row>
    <row r="56">
      <c r="A56" s="500" t="inlineStr">
        <is>
          <t>C</t>
        </is>
      </c>
      <c r="B56" s="501" t="inlineStr">
        <is>
          <t>Areum Kim Lee</t>
        </is>
      </c>
      <c r="C56" s="502" t="inlineStr">
        <is>
          <t>Program Manager (PEP13-EGI-UKG)</t>
        </is>
      </c>
      <c r="D56" s="501" t="inlineStr">
        <is>
          <t>Greg Cassis</t>
        </is>
      </c>
      <c r="E56" s="503" t="inlineStr">
        <is>
          <t>GM TDD, EGI</t>
        </is>
      </c>
      <c r="F56" s="501" t="inlineStr">
        <is>
          <t>EGI</t>
        </is>
      </c>
      <c r="G56" s="503" t="inlineStr">
        <is>
          <t>EGI</t>
        </is>
      </c>
      <c r="H56" s="503" t="inlineStr">
        <is>
          <t>EGI</t>
        </is>
      </c>
      <c r="I56" s="503" t="inlineStr">
        <is>
          <t>EGI</t>
        </is>
      </c>
      <c r="J56" s="503" t="inlineStr">
        <is>
          <t>EGI</t>
        </is>
      </c>
      <c r="K56" s="501" t="inlineStr">
        <is>
          <t>EGI</t>
        </is>
      </c>
      <c r="L56" s="503" t="n"/>
      <c r="M56" s="504" t="inlineStr">
        <is>
          <t>Australia</t>
        </is>
      </c>
      <c r="N56" s="507" t="inlineStr">
        <is>
          <t>NA</t>
        </is>
      </c>
      <c r="O56" s="505" t="n">
        <v>1</v>
      </c>
      <c r="P56" s="507" t="n"/>
      <c r="Q56" s="507" t="inlineStr">
        <is>
          <t>cxc</t>
        </is>
      </c>
      <c r="R56" s="529" t="inlineStr">
        <is>
          <t>Daily</t>
        </is>
      </c>
      <c r="S56" s="507" t="n">
        <v>1545.76</v>
      </c>
      <c r="T56" s="508" t="n">
        <v>0</v>
      </c>
      <c r="U56" s="508" t="n"/>
      <c r="V56" s="503" t="n"/>
      <c r="W56" s="503" t="n"/>
      <c r="X56" s="503" t="n"/>
      <c r="Y56" s="503" t="n"/>
      <c r="Z56" s="503" t="n"/>
      <c r="AA56" s="528">
        <f>S56*222</f>
        <v>343158.72</v>
      </c>
      <c r="AB56" s="516" t="n"/>
    </row>
    <row r="57">
      <c r="A57" s="500" t="inlineStr">
        <is>
          <t>C</t>
        </is>
      </c>
      <c r="B57" s="501" t="inlineStr">
        <is>
          <t>Ernesto Pereira</t>
        </is>
      </c>
      <c r="C57" s="502" t="inlineStr">
        <is>
          <t>Project Manger</t>
        </is>
      </c>
      <c r="D57" s="501" t="inlineStr">
        <is>
          <t>Trena Foote</t>
        </is>
      </c>
      <c r="E57" s="501" t="inlineStr">
        <is>
          <t>Project Manger</t>
        </is>
      </c>
      <c r="F57" s="501" t="inlineStr">
        <is>
          <t>EGI</t>
        </is>
      </c>
      <c r="G57" s="503" t="inlineStr">
        <is>
          <t>EGI</t>
        </is>
      </c>
      <c r="H57" s="503" t="inlineStr">
        <is>
          <t>EGI</t>
        </is>
      </c>
      <c r="I57" s="503" t="inlineStr">
        <is>
          <t>EGI</t>
        </is>
      </c>
      <c r="J57" s="503" t="inlineStr">
        <is>
          <t>EGI</t>
        </is>
      </c>
      <c r="K57" s="503" t="inlineStr">
        <is>
          <t>EGI</t>
        </is>
      </c>
      <c r="L57" s="503" t="n"/>
      <c r="M57" s="504" t="inlineStr">
        <is>
          <t>Australia</t>
        </is>
      </c>
      <c r="N57" s="507" t="inlineStr">
        <is>
          <t>na</t>
        </is>
      </c>
      <c r="O57" s="507" t="n">
        <v>1</v>
      </c>
      <c r="P57" s="507" t="n"/>
      <c r="Q57" s="507" t="inlineStr">
        <is>
          <t>cxc</t>
        </is>
      </c>
      <c r="R57" s="507" t="inlineStr">
        <is>
          <t>daily</t>
        </is>
      </c>
      <c r="S57" s="507" t="n">
        <v>1000</v>
      </c>
      <c r="T57" s="508" t="n">
        <v>0</v>
      </c>
      <c r="U57" s="509" t="n"/>
      <c r="V57" s="511" t="n"/>
      <c r="W57" s="973" t="n"/>
      <c r="X57" s="973" t="n"/>
      <c r="Y57" s="974" t="n"/>
      <c r="Z57" s="973" t="n"/>
      <c r="AA57" s="528">
        <f>S57*222</f>
        <v>222000.0</v>
      </c>
      <c r="AB57" s="516" t="n"/>
    </row>
    <row r="58">
      <c r="A58" s="500" t="inlineStr">
        <is>
          <t>C</t>
        </is>
      </c>
      <c r="B58" s="501" t="inlineStr">
        <is>
          <t>Harish Dasari</t>
        </is>
      </c>
      <c r="C58" s="502" t="inlineStr">
        <is>
          <t>Business Analyst (SAP Payroll)</t>
        </is>
      </c>
      <c r="D58" s="501" t="inlineStr">
        <is>
          <t>Areum Kim-Lee</t>
        </is>
      </c>
      <c r="E58" s="503" t="inlineStr">
        <is>
          <t>GM TDD, EGI</t>
        </is>
      </c>
      <c r="F58" s="501" t="inlineStr">
        <is>
          <t>EGI</t>
        </is>
      </c>
      <c r="G58" s="503" t="inlineStr">
        <is>
          <t>EGI</t>
        </is>
      </c>
      <c r="H58" s="503" t="inlineStr">
        <is>
          <t>EGI</t>
        </is>
      </c>
      <c r="I58" s="503" t="inlineStr">
        <is>
          <t>EGI</t>
        </is>
      </c>
      <c r="J58" s="503" t="inlineStr">
        <is>
          <t>EGI</t>
        </is>
      </c>
      <c r="K58" s="503" t="inlineStr">
        <is>
          <t>EGI</t>
        </is>
      </c>
      <c r="L58" s="503" t="n"/>
      <c r="M58" s="504" t="inlineStr">
        <is>
          <t>Australia</t>
        </is>
      </c>
      <c r="N58" s="505" t="inlineStr">
        <is>
          <t>na</t>
        </is>
      </c>
      <c r="O58" s="505" t="n">
        <v>1</v>
      </c>
      <c r="P58" s="505" t="n"/>
      <c r="Q58" s="507" t="inlineStr">
        <is>
          <t>cxc</t>
        </is>
      </c>
      <c r="R58" s="507" t="inlineStr">
        <is>
          <t>daily</t>
        </is>
      </c>
      <c r="S58" s="507" t="n">
        <v>1100</v>
      </c>
      <c r="T58" s="508" t="n">
        <v>0</v>
      </c>
      <c r="U58" s="509" t="n"/>
      <c r="V58" s="511" t="n"/>
      <c r="W58" s="507" t="n"/>
      <c r="X58" s="511" t="n"/>
      <c r="Y58" s="971" t="n"/>
      <c r="Z58" s="530" t="n"/>
      <c r="AA58" s="528">
        <f>S58*222</f>
        <v>244200.0</v>
      </c>
      <c r="AB58" s="516" t="n"/>
    </row>
    <row r="59">
      <c r="A59" s="500" t="inlineStr">
        <is>
          <t>C</t>
        </is>
      </c>
      <c r="B59" s="501" t="inlineStr">
        <is>
          <t>James Munt</t>
        </is>
      </c>
      <c r="C59" s="502" t="inlineStr">
        <is>
          <t>Program Manager Tech &amp; P&amp;C</t>
        </is>
      </c>
      <c r="D59" s="503" t="inlineStr">
        <is>
          <t>Greg Cassis</t>
        </is>
      </c>
      <c r="E59" s="503" t="inlineStr">
        <is>
          <t>GM TDD, EGI</t>
        </is>
      </c>
      <c r="F59" s="501" t="inlineStr">
        <is>
          <t>EGI</t>
        </is>
      </c>
      <c r="G59" s="503" t="inlineStr">
        <is>
          <t>EGI</t>
        </is>
      </c>
      <c r="H59" s="503" t="inlineStr">
        <is>
          <t>EGI</t>
        </is>
      </c>
      <c r="I59" s="503" t="inlineStr">
        <is>
          <t>EGI</t>
        </is>
      </c>
      <c r="J59" s="503" t="inlineStr">
        <is>
          <t>EGI</t>
        </is>
      </c>
      <c r="K59" s="503" t="inlineStr">
        <is>
          <t>EGI</t>
        </is>
      </c>
      <c r="L59" s="503" t="n"/>
      <c r="M59" s="504" t="inlineStr">
        <is>
          <t>Australia</t>
        </is>
      </c>
      <c r="N59" s="505" t="inlineStr">
        <is>
          <t>na</t>
        </is>
      </c>
      <c r="O59" s="505" t="n">
        <v>1</v>
      </c>
      <c r="P59" s="505" t="n"/>
      <c r="Q59" s="507" t="inlineStr">
        <is>
          <t>cxc</t>
        </is>
      </c>
      <c r="R59" s="507" t="inlineStr">
        <is>
          <t>daily</t>
        </is>
      </c>
      <c r="S59" s="507" t="n">
        <v>1200</v>
      </c>
      <c r="T59" s="508" t="n">
        <v>0</v>
      </c>
      <c r="U59" s="509" t="n"/>
      <c r="V59" s="511" t="n"/>
      <c r="W59" s="973" t="n"/>
      <c r="X59" s="973" t="n"/>
      <c r="Y59" s="974" t="n"/>
      <c r="Z59" s="973" t="n"/>
      <c r="AA59" s="528">
        <f>S59*222</f>
        <v>266400.0</v>
      </c>
      <c r="AB59" s="516" t="n"/>
    </row>
    <row r="60">
      <c r="A60" s="500" t="inlineStr">
        <is>
          <t>c</t>
        </is>
      </c>
      <c r="B60" s="501" t="inlineStr">
        <is>
          <t>Jason McNamara</t>
        </is>
      </c>
      <c r="C60" s="502" t="inlineStr">
        <is>
          <t>Project Manager Retail</t>
        </is>
      </c>
      <c r="D60" s="501" t="inlineStr">
        <is>
          <t>Greg Cassis</t>
        </is>
      </c>
      <c r="E60" s="503" t="inlineStr">
        <is>
          <t>GM TDD, EGI</t>
        </is>
      </c>
      <c r="F60" s="501" t="inlineStr">
        <is>
          <t>EGI</t>
        </is>
      </c>
      <c r="G60" s="503" t="inlineStr">
        <is>
          <t>EGI</t>
        </is>
      </c>
      <c r="H60" s="503" t="inlineStr">
        <is>
          <t>EGI</t>
        </is>
      </c>
      <c r="I60" s="503" t="inlineStr">
        <is>
          <t>EGI</t>
        </is>
      </c>
      <c r="J60" s="503" t="inlineStr">
        <is>
          <t>EGI</t>
        </is>
      </c>
      <c r="K60" s="503" t="inlineStr">
        <is>
          <t>EGI</t>
        </is>
      </c>
      <c r="L60" s="503" t="n"/>
      <c r="M60" s="504" t="inlineStr">
        <is>
          <t>Australia</t>
        </is>
      </c>
      <c r="N60" s="505" t="inlineStr">
        <is>
          <t>na</t>
        </is>
      </c>
      <c r="O60" s="506" t="n">
        <v>1</v>
      </c>
      <c r="P60" s="505" t="n"/>
      <c r="Q60" s="507" t="inlineStr">
        <is>
          <t>cxc</t>
        </is>
      </c>
      <c r="R60" s="507" t="inlineStr">
        <is>
          <t>daily</t>
        </is>
      </c>
      <c r="S60" s="507" t="n">
        <v>2200</v>
      </c>
      <c r="T60" s="508" t="n">
        <v>0</v>
      </c>
      <c r="U60" s="509" t="n"/>
      <c r="V60" s="510" t="n"/>
      <c r="W60" s="506" t="n"/>
      <c r="X60" s="511" t="n"/>
      <c r="Y60" s="971" t="n"/>
      <c r="Z60" s="511" t="n"/>
      <c r="AA60" s="528">
        <f>S60*222</f>
        <v>488400.0</v>
      </c>
    </row>
    <row r="61">
      <c r="A61" s="500" t="inlineStr">
        <is>
          <t>c</t>
        </is>
      </c>
      <c r="B61" s="501" t="inlineStr">
        <is>
          <t>Jason Sipkovic</t>
        </is>
      </c>
      <c r="C61" s="502" t="inlineStr">
        <is>
          <t>strategic program architect</t>
        </is>
      </c>
      <c r="D61" s="501" t="inlineStr">
        <is>
          <t>Trena Foote</t>
        </is>
      </c>
      <c r="E61" s="501" t="inlineStr">
        <is>
          <t>Project Manger</t>
        </is>
      </c>
      <c r="F61" s="501" t="inlineStr">
        <is>
          <t>EGI</t>
        </is>
      </c>
      <c r="G61" s="503" t="inlineStr">
        <is>
          <t>EGI</t>
        </is>
      </c>
      <c r="H61" s="503" t="inlineStr">
        <is>
          <t>EGI</t>
        </is>
      </c>
      <c r="I61" s="503" t="inlineStr">
        <is>
          <t>EGI</t>
        </is>
      </c>
      <c r="J61" s="503" t="inlineStr">
        <is>
          <t>EGI</t>
        </is>
      </c>
      <c r="K61" s="503" t="inlineStr">
        <is>
          <t>EGI</t>
        </is>
      </c>
      <c r="L61" s="503" t="n"/>
      <c r="M61" s="504" t="inlineStr">
        <is>
          <t>Australia</t>
        </is>
      </c>
      <c r="N61" s="505" t="inlineStr">
        <is>
          <t>na</t>
        </is>
      </c>
      <c r="O61" s="506" t="n">
        <v>1</v>
      </c>
      <c r="P61" s="505" t="n"/>
      <c r="Q61" s="507" t="inlineStr">
        <is>
          <t>cxc</t>
        </is>
      </c>
      <c r="R61" s="507" t="inlineStr">
        <is>
          <t>daily</t>
        </is>
      </c>
      <c r="S61" s="507" t="n">
        <v>1500</v>
      </c>
      <c r="T61" s="508" t="n">
        <v>0</v>
      </c>
      <c r="U61" s="509" t="n"/>
      <c r="V61" s="510" t="n"/>
      <c r="W61" s="506" t="n"/>
      <c r="X61" s="511" t="n"/>
      <c r="Y61" s="971" t="n"/>
      <c r="Z61" s="511" t="n"/>
      <c r="AA61" s="528">
        <f>S61*222</f>
        <v>333000.0</v>
      </c>
    </row>
    <row r="62">
      <c r="A62" s="500" t="inlineStr">
        <is>
          <t>c</t>
        </is>
      </c>
      <c r="B62" s="501" t="inlineStr">
        <is>
          <t>Kanika Narula</t>
        </is>
      </c>
      <c r="C62" s="502" t="inlineStr">
        <is>
          <t>Business Analyst Digital</t>
        </is>
      </c>
      <c r="D62" s="501" t="inlineStr">
        <is>
          <t>Mitesh Shah</t>
        </is>
      </c>
      <c r="E62" s="501" t="inlineStr">
        <is>
          <t>Technology Manager, Digitial</t>
        </is>
      </c>
      <c r="F62" s="501" t="inlineStr">
        <is>
          <t>EGI</t>
        </is>
      </c>
      <c r="G62" s="503" t="inlineStr">
        <is>
          <t>EGI</t>
        </is>
      </c>
      <c r="H62" s="503" t="inlineStr">
        <is>
          <t>EGI</t>
        </is>
      </c>
      <c r="I62" s="503" t="inlineStr">
        <is>
          <t>EGI</t>
        </is>
      </c>
      <c r="J62" s="503" t="inlineStr">
        <is>
          <t>EGI</t>
        </is>
      </c>
      <c r="K62" s="503" t="inlineStr">
        <is>
          <t>EGI</t>
        </is>
      </c>
      <c r="L62" s="501" t="n"/>
      <c r="M62" s="504" t="inlineStr">
        <is>
          <t>Australia</t>
        </is>
      </c>
      <c r="N62" s="505" t="inlineStr">
        <is>
          <t>na</t>
        </is>
      </c>
      <c r="O62" s="505" t="n">
        <v>1</v>
      </c>
      <c r="P62" s="505" t="n"/>
      <c r="Q62" s="507" t="inlineStr">
        <is>
          <t>cxc</t>
        </is>
      </c>
      <c r="R62" s="507" t="inlineStr">
        <is>
          <t>daily</t>
        </is>
      </c>
      <c r="S62" s="507" t="n">
        <v>1078.84</v>
      </c>
      <c r="T62" s="508" t="n">
        <v>0</v>
      </c>
      <c r="U62" s="509" t="n"/>
      <c r="V62" s="511" t="n"/>
      <c r="W62" s="973" t="n"/>
      <c r="X62" s="973" t="n"/>
      <c r="Y62" s="974" t="n"/>
      <c r="Z62" s="973" t="n"/>
      <c r="AA62" s="528">
        <f>S62*222</f>
        <v>239502.47999999998</v>
      </c>
      <c r="AB62" s="516" t="n"/>
    </row>
    <row r="63">
      <c r="A63" s="500" t="inlineStr">
        <is>
          <t>c</t>
        </is>
      </c>
      <c r="B63" s="501" t="inlineStr">
        <is>
          <t>Karl Reyneke</t>
        </is>
      </c>
      <c r="C63" s="502" t="inlineStr">
        <is>
          <t>Strategic Delivery Consultant</t>
        </is>
      </c>
      <c r="D63" s="501" t="inlineStr">
        <is>
          <t>Greg Cassis</t>
        </is>
      </c>
      <c r="E63" s="503" t="inlineStr">
        <is>
          <t>GM TDD, EGI</t>
        </is>
      </c>
      <c r="F63" s="501" t="inlineStr">
        <is>
          <t>EGI</t>
        </is>
      </c>
      <c r="G63" s="503" t="inlineStr">
        <is>
          <t>EGI</t>
        </is>
      </c>
      <c r="H63" s="503" t="inlineStr">
        <is>
          <t>EGI</t>
        </is>
      </c>
      <c r="I63" s="503" t="inlineStr">
        <is>
          <t>EGI</t>
        </is>
      </c>
      <c r="J63" s="503" t="inlineStr">
        <is>
          <t>EGI</t>
        </is>
      </c>
      <c r="K63" s="503" t="inlineStr">
        <is>
          <t>EGI</t>
        </is>
      </c>
      <c r="L63" s="503" t="n"/>
      <c r="M63" s="504" t="inlineStr">
        <is>
          <t>australia</t>
        </is>
      </c>
      <c r="N63" s="507" t="inlineStr">
        <is>
          <t>na</t>
        </is>
      </c>
      <c r="O63" s="505" t="n">
        <v>1</v>
      </c>
      <c r="P63" s="507" t="n"/>
      <c r="Q63" s="507" t="inlineStr">
        <is>
          <t>cxc</t>
        </is>
      </c>
      <c r="R63" s="529" t="inlineStr">
        <is>
          <t>daily</t>
        </is>
      </c>
      <c r="S63" s="507" t="n">
        <v>1350</v>
      </c>
      <c r="T63" s="508" t="n">
        <v>0</v>
      </c>
      <c r="U63" s="508" t="n"/>
      <c r="V63" s="503" t="n"/>
      <c r="W63" s="503" t="n"/>
      <c r="X63" s="503" t="n"/>
      <c r="Y63" s="503" t="n"/>
      <c r="Z63" s="503" t="n"/>
      <c r="AA63" s="528">
        <f>S63*222</f>
        <v>299700.0</v>
      </c>
      <c r="AB63" s="516" t="n"/>
    </row>
    <row r="64">
      <c r="A64" s="500" t="inlineStr">
        <is>
          <t>c</t>
        </is>
      </c>
      <c r="B64" s="501" t="inlineStr">
        <is>
          <t>michelle Siegman</t>
        </is>
      </c>
      <c r="C64" s="502" t="inlineStr">
        <is>
          <t>Strategic Delivery Consultant</t>
        </is>
      </c>
      <c r="D64" s="501" t="inlineStr">
        <is>
          <t>Greg Cassis</t>
        </is>
      </c>
      <c r="E64" s="503" t="inlineStr">
        <is>
          <t>GM TDD, EGI</t>
        </is>
      </c>
      <c r="F64" s="501" t="inlineStr">
        <is>
          <t>EGI</t>
        </is>
      </c>
      <c r="G64" s="503" t="inlineStr">
        <is>
          <t>EGI</t>
        </is>
      </c>
      <c r="H64" s="503" t="inlineStr">
        <is>
          <t>EGI</t>
        </is>
      </c>
      <c r="I64" s="503" t="inlineStr">
        <is>
          <t>EGI</t>
        </is>
      </c>
      <c r="J64" s="503" t="inlineStr">
        <is>
          <t>EGI</t>
        </is>
      </c>
      <c r="K64" s="503" t="inlineStr">
        <is>
          <t>EGI</t>
        </is>
      </c>
      <c r="L64" s="503" t="n"/>
      <c r="M64" s="504" t="inlineStr">
        <is>
          <t>Australia</t>
        </is>
      </c>
      <c r="N64" s="505" t="inlineStr">
        <is>
          <t>na</t>
        </is>
      </c>
      <c r="O64" s="506" t="n">
        <v>1</v>
      </c>
      <c r="P64" s="505" t="n"/>
      <c r="Q64" s="507" t="inlineStr">
        <is>
          <t>cxc</t>
        </is>
      </c>
      <c r="R64" s="507" t="inlineStr">
        <is>
          <t>Daily</t>
        </is>
      </c>
      <c r="S64" s="507" t="n">
        <v>1038</v>
      </c>
      <c r="T64" s="508" t="n">
        <v>0</v>
      </c>
      <c r="U64" s="509" t="n"/>
      <c r="V64" s="510" t="n"/>
      <c r="W64" s="507" t="n"/>
      <c r="X64" s="511" t="n"/>
      <c r="Y64" s="971" t="n"/>
      <c r="Z64" s="511" t="n"/>
      <c r="AA64" s="528">
        <f>S64*222</f>
        <v>230436.0</v>
      </c>
    </row>
    <row r="65">
      <c r="A65" s="531" t="n">
        <v>106830</v>
      </c>
      <c r="B65" s="501" t="inlineStr">
        <is>
          <t>Moitri Pal</t>
        </is>
      </c>
      <c r="C65" s="502" t="inlineStr">
        <is>
          <t>Portfolio Mnager</t>
        </is>
      </c>
      <c r="D65" s="501" t="inlineStr">
        <is>
          <t>Greg Cassis</t>
        </is>
      </c>
      <c r="E65" s="501" t="inlineStr">
        <is>
          <t>GM TDD, EGI</t>
        </is>
      </c>
      <c r="F65" s="501" t="inlineStr">
        <is>
          <t>EGI</t>
        </is>
      </c>
      <c r="G65" s="503" t="inlineStr">
        <is>
          <t>EGI</t>
        </is>
      </c>
      <c r="H65" s="503" t="inlineStr">
        <is>
          <t>EGI</t>
        </is>
      </c>
      <c r="I65" s="503" t="inlineStr">
        <is>
          <t>EGI</t>
        </is>
      </c>
      <c r="J65" s="503" t="inlineStr">
        <is>
          <t>EGI</t>
        </is>
      </c>
      <c r="K65" s="503" t="inlineStr">
        <is>
          <t>EGI</t>
        </is>
      </c>
      <c r="L65" s="503" t="n"/>
      <c r="M65" s="504" t="inlineStr">
        <is>
          <t>Australia</t>
        </is>
      </c>
      <c r="N65" s="505" t="inlineStr">
        <is>
          <t>CSC</t>
        </is>
      </c>
      <c r="O65" s="505" t="n">
        <v>1</v>
      </c>
      <c r="P65" s="505" t="n"/>
      <c r="Q65" s="505" t="inlineStr">
        <is>
          <t>Permanent - Full Time</t>
        </is>
      </c>
      <c r="R65" s="507" t="n"/>
      <c r="S65" s="507" t="n"/>
      <c r="T65" s="508" t="n">
        <v>230010</v>
      </c>
      <c r="U65" s="509">
        <f>T65</f>
        <v>230010.0</v>
      </c>
      <c r="V65" s="511" t="n">
        <v>0.2</v>
      </c>
      <c r="W65" s="973" t="n">
        <v>0.055</v>
      </c>
      <c r="X65" s="973" t="n">
        <v>0.12</v>
      </c>
      <c r="Y65" s="974" t="n"/>
      <c r="Z65" s="973" t="n">
        <v>0.04</v>
      </c>
      <c r="AA65" s="972">
        <f>U65*(1+V65+W65+X65+Y65+Z65)</f>
        <v>325464.15</v>
      </c>
      <c r="AB65" s="516" t="n"/>
    </row>
    <row r="66">
      <c r="A66" s="500" t="inlineStr">
        <is>
          <t>C</t>
        </is>
      </c>
      <c r="B66" s="501" t="inlineStr">
        <is>
          <t>Niall Greene</t>
        </is>
      </c>
      <c r="C66" s="502" t="inlineStr">
        <is>
          <t>Project Manager (PEP13-EGI-UKG)</t>
        </is>
      </c>
      <c r="D66" s="501" t="inlineStr">
        <is>
          <t>Areum Kim-Lee</t>
        </is>
      </c>
      <c r="E66" s="503" t="inlineStr">
        <is>
          <t>GM TDD, EGI</t>
        </is>
      </c>
      <c r="F66" s="501" t="inlineStr">
        <is>
          <t>EGI</t>
        </is>
      </c>
      <c r="G66" s="503" t="inlineStr">
        <is>
          <t>EGI</t>
        </is>
      </c>
      <c r="H66" s="503" t="inlineStr">
        <is>
          <t>EGI</t>
        </is>
      </c>
      <c r="I66" s="503" t="inlineStr">
        <is>
          <t>EGI</t>
        </is>
      </c>
      <c r="J66" s="503" t="inlineStr">
        <is>
          <t>EGI</t>
        </is>
      </c>
      <c r="K66" s="501" t="inlineStr">
        <is>
          <t>EGI</t>
        </is>
      </c>
      <c r="L66" s="503" t="n"/>
      <c r="M66" s="504" t="inlineStr">
        <is>
          <t>Australia</t>
        </is>
      </c>
      <c r="N66" s="507" t="inlineStr">
        <is>
          <t>NA</t>
        </is>
      </c>
      <c r="O66" s="505" t="n">
        <v>1</v>
      </c>
      <c r="P66" s="507" t="n"/>
      <c r="Q66" s="507" t="inlineStr">
        <is>
          <t>cxc</t>
        </is>
      </c>
      <c r="R66" s="529" t="inlineStr">
        <is>
          <t>Daily</t>
        </is>
      </c>
      <c r="S66" s="507" t="n">
        <v>1100</v>
      </c>
      <c r="T66" s="508" t="n">
        <v>0</v>
      </c>
      <c r="U66" s="508" t="n"/>
      <c r="V66" s="503" t="n"/>
      <c r="W66" s="503" t="n"/>
      <c r="X66" s="503" t="n"/>
      <c r="Y66" s="503" t="n"/>
      <c r="Z66" s="503" t="n"/>
      <c r="AA66" s="528">
        <f>S66*222</f>
        <v>244200.0</v>
      </c>
      <c r="AB66" s="516" t="n"/>
    </row>
    <row r="67">
      <c r="A67" s="500" t="inlineStr">
        <is>
          <t>c</t>
        </is>
      </c>
      <c r="B67" s="501" t="inlineStr">
        <is>
          <t>Paul Hassey</t>
        </is>
      </c>
      <c r="C67" s="502" t="inlineStr">
        <is>
          <t>Program Architect</t>
        </is>
      </c>
      <c r="D67" s="503" t="inlineStr">
        <is>
          <t>Ed Tacey</t>
        </is>
      </c>
      <c r="E67" s="501" t="n"/>
      <c r="F67" s="501" t="inlineStr">
        <is>
          <t>EGI</t>
        </is>
      </c>
      <c r="G67" s="503" t="inlineStr">
        <is>
          <t>EGI</t>
        </is>
      </c>
      <c r="H67" s="503" t="inlineStr">
        <is>
          <t>EGI</t>
        </is>
      </c>
      <c r="I67" s="503" t="inlineStr">
        <is>
          <t>EGI</t>
        </is>
      </c>
      <c r="J67" s="503" t="inlineStr">
        <is>
          <t>EGI</t>
        </is>
      </c>
      <c r="K67" s="503" t="inlineStr">
        <is>
          <t>EGI</t>
        </is>
      </c>
      <c r="L67" s="501" t="n"/>
      <c r="M67" s="504" t="inlineStr">
        <is>
          <t>Australia</t>
        </is>
      </c>
      <c r="N67" s="505" t="inlineStr">
        <is>
          <t>na</t>
        </is>
      </c>
      <c r="O67" s="505" t="n">
        <v>1</v>
      </c>
      <c r="P67" s="505" t="n"/>
      <c r="Q67" s="507" t="inlineStr">
        <is>
          <t>cxc</t>
        </is>
      </c>
      <c r="R67" s="507" t="inlineStr">
        <is>
          <t>Daily</t>
        </is>
      </c>
      <c r="S67" s="507" t="n">
        <v>1400</v>
      </c>
      <c r="T67" s="508" t="n">
        <v>0</v>
      </c>
      <c r="U67" s="509" t="n"/>
      <c r="V67" s="511" t="n"/>
      <c r="W67" s="973" t="n"/>
      <c r="X67" s="973" t="n"/>
      <c r="Y67" s="974" t="n"/>
      <c r="Z67" s="973" t="n"/>
      <c r="AA67" s="528">
        <f>S67*222</f>
        <v>310800.0</v>
      </c>
      <c r="AB67" s="516" t="n"/>
    </row>
    <row r="68">
      <c r="A68" s="500" t="inlineStr">
        <is>
          <t>c</t>
        </is>
      </c>
      <c r="B68" s="501" t="inlineStr">
        <is>
          <t>vijay Solanki</t>
        </is>
      </c>
      <c r="C68" s="502" t="inlineStr">
        <is>
          <t>Project Manager Deployment</t>
        </is>
      </c>
      <c r="D68" s="501" t="inlineStr">
        <is>
          <t>greg Cassis</t>
        </is>
      </c>
      <c r="E68" s="501" t="n"/>
      <c r="F68" s="501" t="inlineStr">
        <is>
          <t>EGI</t>
        </is>
      </c>
      <c r="G68" s="503" t="n"/>
      <c r="H68" s="501" t="n"/>
      <c r="I68" s="501" t="n"/>
      <c r="J68" s="532" t="inlineStr">
        <is>
          <t>EGI</t>
        </is>
      </c>
      <c r="K68" s="501" t="inlineStr">
        <is>
          <t>EGI</t>
        </is>
      </c>
      <c r="L68" s="503" t="n"/>
      <c r="M68" s="504" t="inlineStr">
        <is>
          <t>Australia</t>
        </is>
      </c>
      <c r="N68" s="505" t="inlineStr">
        <is>
          <t>na</t>
        </is>
      </c>
      <c r="O68" s="505" t="n">
        <v>1</v>
      </c>
      <c r="P68" s="505" t="n"/>
      <c r="Q68" s="507" t="inlineStr">
        <is>
          <t>cxc</t>
        </is>
      </c>
      <c r="R68" s="507" t="inlineStr">
        <is>
          <t>Daily</t>
        </is>
      </c>
      <c r="S68" s="507" t="n">
        <v>1200</v>
      </c>
      <c r="T68" s="508" t="n">
        <v>0</v>
      </c>
      <c r="U68" s="509" t="n"/>
      <c r="V68" s="511" t="n"/>
      <c r="W68" s="973" t="n"/>
      <c r="X68" s="973" t="n"/>
      <c r="Y68" s="974" t="n"/>
      <c r="Z68" s="973" t="n"/>
      <c r="AA68" s="528">
        <f>S68*222</f>
        <v>266400.0</v>
      </c>
      <c r="AB68" s="516" t="n"/>
    </row>
    <row r="69">
      <c r="A69" s="500" t="inlineStr">
        <is>
          <t>C</t>
        </is>
      </c>
      <c r="B69" s="501" t="inlineStr">
        <is>
          <t>Winnie Fernandes</t>
        </is>
      </c>
      <c r="C69" s="502" t="inlineStr">
        <is>
          <t>Delivery Lead - Integration</t>
        </is>
      </c>
      <c r="D69" s="501" t="inlineStr">
        <is>
          <t>Moitri Pal</t>
        </is>
      </c>
      <c r="E69" s="501" t="inlineStr">
        <is>
          <t>Program Manager - EGI</t>
        </is>
      </c>
      <c r="F69" s="501" t="inlineStr">
        <is>
          <t>EGI</t>
        </is>
      </c>
      <c r="G69" s="503" t="inlineStr">
        <is>
          <t>EGI</t>
        </is>
      </c>
      <c r="H69" s="503" t="inlineStr">
        <is>
          <t>EGI</t>
        </is>
      </c>
      <c r="I69" s="503" t="inlineStr">
        <is>
          <t>EGI</t>
        </is>
      </c>
      <c r="J69" s="503" t="inlineStr">
        <is>
          <t>EGI</t>
        </is>
      </c>
      <c r="K69" s="501" t="inlineStr">
        <is>
          <t>EGI</t>
        </is>
      </c>
      <c r="L69" s="503" t="n"/>
      <c r="M69" s="504" t="inlineStr">
        <is>
          <t>Australia</t>
        </is>
      </c>
      <c r="N69" s="507" t="inlineStr">
        <is>
          <t>NA</t>
        </is>
      </c>
      <c r="O69" s="505" t="n">
        <v>1</v>
      </c>
      <c r="P69" s="507" t="n"/>
      <c r="Q69" s="507" t="inlineStr">
        <is>
          <t>cxc</t>
        </is>
      </c>
      <c r="R69" s="529" t="inlineStr">
        <is>
          <t>Daily</t>
        </is>
      </c>
      <c r="S69" s="507" t="n">
        <v>1232</v>
      </c>
      <c r="T69" s="508" t="n">
        <v>0</v>
      </c>
      <c r="U69" s="508" t="n"/>
      <c r="V69" s="503" t="n"/>
      <c r="W69" s="503" t="n"/>
      <c r="X69" s="503" t="n"/>
      <c r="Y69" s="503" t="n"/>
      <c r="Z69" s="503" t="n"/>
      <c r="AA69" s="528">
        <f>S69*222</f>
        <v>273504.0</v>
      </c>
      <c r="AB69" s="516" t="n"/>
    </row>
    <row r="70">
      <c r="A70" s="500" t="n">
        <v>95835</v>
      </c>
      <c r="B70" s="501" t="inlineStr">
        <is>
          <t>Briony Scott</t>
        </is>
      </c>
      <c r="C70" s="502" t="inlineStr">
        <is>
          <t>Service &amp; Contract Specialist AU</t>
        </is>
      </c>
      <c r="D70" s="503" t="inlineStr">
        <is>
          <t>Vacant</t>
        </is>
      </c>
      <c r="E70" s="501" t="inlineStr">
        <is>
          <t>Commercial Director</t>
        </is>
      </c>
      <c r="F70" s="501" t="inlineStr">
        <is>
          <t>Partnering &amp; Transformation</t>
        </is>
      </c>
      <c r="G70" s="501" t="inlineStr">
        <is>
          <t>Commercial</t>
        </is>
      </c>
      <c r="H70" s="501" t="inlineStr">
        <is>
          <t>NA</t>
        </is>
      </c>
      <c r="I70" s="501" t="inlineStr">
        <is>
          <t>NA</t>
        </is>
      </c>
      <c r="J70" s="501" t="inlineStr">
        <is>
          <t>NA</t>
        </is>
      </c>
      <c r="K70" s="501" t="inlineStr">
        <is>
          <t>NA</t>
        </is>
      </c>
      <c r="L70" s="503" t="n"/>
      <c r="M70" s="504" t="inlineStr">
        <is>
          <t>Australia</t>
        </is>
      </c>
      <c r="N70" s="505" t="inlineStr">
        <is>
          <t>CIB</t>
        </is>
      </c>
      <c r="O70" s="505" t="n">
        <v>1</v>
      </c>
      <c r="P70" s="505" t="n"/>
      <c r="Q70" s="505" t="inlineStr">
        <is>
          <t>Permanent - Full Time</t>
        </is>
      </c>
      <c r="R70" s="507" t="n"/>
      <c r="S70" s="507" t="n"/>
      <c r="T70" s="508" t="n">
        <v>153600</v>
      </c>
      <c r="U70" s="509" t="n">
        <v>153600</v>
      </c>
      <c r="V70" s="511" t="n">
        <v>0.12</v>
      </c>
      <c r="W70" s="973" t="n">
        <v>0.055</v>
      </c>
      <c r="X70" s="973" t="n">
        <v>0.12</v>
      </c>
      <c r="Y70" s="974" t="n"/>
      <c r="Z70" s="973" t="n">
        <v>0.04</v>
      </c>
      <c r="AA70" s="972">
        <f>U70*(1+V70+W70+X70+Y70+Z70)</f>
        <v>205056.0</v>
      </c>
      <c r="AB70" s="516" t="n"/>
    </row>
    <row r="71">
      <c r="A71" s="500" t="n">
        <v>102411</v>
      </c>
      <c r="B71" s="501" t="inlineStr">
        <is>
          <t>Conli Mills</t>
        </is>
      </c>
      <c r="C71" s="502" t="inlineStr">
        <is>
          <t>TDD BP - Infrastructure</t>
        </is>
      </c>
      <c r="D71" s="499" t="inlineStr">
        <is>
          <t>Michael Schofield</t>
        </is>
      </c>
      <c r="E71" s="501" t="inlineStr">
        <is>
          <t>GM TDD, Partnering &amp; Transformation</t>
        </is>
      </c>
      <c r="F71" s="501" t="inlineStr">
        <is>
          <t>Partnering &amp; Transformation</t>
        </is>
      </c>
      <c r="G71" s="501" t="inlineStr">
        <is>
          <t>TDD Business Partner</t>
        </is>
      </c>
      <c r="H71" s="501" t="inlineStr">
        <is>
          <t>NA</t>
        </is>
      </c>
      <c r="I71" s="501" t="inlineStr">
        <is>
          <t>NA</t>
        </is>
      </c>
      <c r="J71" s="501" t="inlineStr">
        <is>
          <t>NA</t>
        </is>
      </c>
      <c r="K71" s="501" t="inlineStr">
        <is>
          <t>NA</t>
        </is>
      </c>
      <c r="L71" s="503" t="n"/>
      <c r="M71" s="504" t="inlineStr">
        <is>
          <t>Australia</t>
        </is>
      </c>
      <c r="N71" s="505" t="inlineStr">
        <is>
          <t>CSC</t>
        </is>
      </c>
      <c r="O71" s="505" t="n">
        <v>1</v>
      </c>
      <c r="P71" s="505" t="n"/>
      <c r="Q71" s="505" t="inlineStr">
        <is>
          <t>Permanent - Full Time</t>
        </is>
      </c>
      <c r="R71" s="507" t="n"/>
      <c r="S71" s="507" t="n"/>
      <c r="T71" s="508" t="n">
        <v>210000</v>
      </c>
      <c r="U71" s="509" t="n">
        <v>210000</v>
      </c>
      <c r="V71" s="511" t="n">
        <v>0.2</v>
      </c>
      <c r="W71" s="973" t="n">
        <v>0.055</v>
      </c>
      <c r="X71" s="973" t="n">
        <v>0.12</v>
      </c>
      <c r="Y71" s="974" t="n"/>
      <c r="Z71" s="973" t="n">
        <v>0.04</v>
      </c>
      <c r="AA71" s="972">
        <f>U71*(1+V71+W71+X71+Y71+Z71)</f>
        <v>297150.0</v>
      </c>
      <c r="AB71" s="516" t="n"/>
    </row>
    <row r="72">
      <c r="A72" s="500" t="n">
        <v>99999170371</v>
      </c>
      <c r="B72" s="501" t="inlineStr">
        <is>
          <t>Helen Ngu</t>
        </is>
      </c>
      <c r="C72" s="502" t="inlineStr">
        <is>
          <t>Service &amp; Contract Specialist NZ</t>
        </is>
      </c>
      <c r="D72" s="503" t="inlineStr">
        <is>
          <t>Vacant</t>
        </is>
      </c>
      <c r="E72" s="501" t="inlineStr">
        <is>
          <t>Commercial Director</t>
        </is>
      </c>
      <c r="F72" s="501" t="inlineStr">
        <is>
          <t>Partnering &amp; Transformation</t>
        </is>
      </c>
      <c r="G72" s="501" t="inlineStr">
        <is>
          <t>Commercial</t>
        </is>
      </c>
      <c r="H72" s="501" t="inlineStr">
        <is>
          <t>NA</t>
        </is>
      </c>
      <c r="I72" s="501" t="inlineStr">
        <is>
          <t>NA</t>
        </is>
      </c>
      <c r="J72" s="501" t="inlineStr">
        <is>
          <t>NA</t>
        </is>
      </c>
      <c r="K72" s="501" t="inlineStr">
        <is>
          <t>NA</t>
        </is>
      </c>
      <c r="L72" s="503" t="n"/>
      <c r="M72" s="504" t="inlineStr">
        <is>
          <t>NZ</t>
        </is>
      </c>
      <c r="N72" s="505" t="inlineStr">
        <is>
          <t>CIA</t>
        </is>
      </c>
      <c r="O72" s="506" t="n">
        <v>1</v>
      </c>
      <c r="P72" s="505" t="n"/>
      <c r="Q72" s="506" t="inlineStr">
        <is>
          <t>Permanent - Full Time</t>
        </is>
      </c>
      <c r="R72" s="507" t="n"/>
      <c r="S72" s="507" t="n"/>
      <c r="T72" s="508" t="n">
        <v>130870</v>
      </c>
      <c r="U72" s="509" t="n">
        <v>120400.4</v>
      </c>
      <c r="V72" s="510" t="n">
        <v>0.15</v>
      </c>
      <c r="W72" s="506" t="n"/>
      <c r="X72" s="511" t="n">
        <v>0.05</v>
      </c>
      <c r="Y72" s="971" t="n">
        <v>2910</v>
      </c>
      <c r="Z72" s="511" t="n">
        <v>0.03</v>
      </c>
      <c r="AA72" s="972">
        <f>U72*(1+V72+X72+Z72)+Y72</f>
        <v>151002.492</v>
      </c>
      <c r="AB72" s="499" t="n">
        <v>113546</v>
      </c>
    </row>
    <row r="73">
      <c r="A73" s="500" t="n">
        <v>113362</v>
      </c>
      <c r="B73" s="501" t="inlineStr">
        <is>
          <t>Jane Esclandra</t>
        </is>
      </c>
      <c r="C73" s="502" t="inlineStr">
        <is>
          <t>Software Asset Specialist</t>
        </is>
      </c>
      <c r="D73" s="503" t="inlineStr">
        <is>
          <t>Vacant</t>
        </is>
      </c>
      <c r="E73" s="501" t="inlineStr">
        <is>
          <t>Commercial Director</t>
        </is>
      </c>
      <c r="F73" s="501" t="inlineStr">
        <is>
          <t>Partnering &amp; Transformation</t>
        </is>
      </c>
      <c r="G73" s="501" t="inlineStr">
        <is>
          <t>Commercial</t>
        </is>
      </c>
      <c r="H73" s="501" t="inlineStr">
        <is>
          <t>NA</t>
        </is>
      </c>
      <c r="I73" s="501" t="inlineStr">
        <is>
          <t>NA</t>
        </is>
      </c>
      <c r="J73" s="501" t="inlineStr">
        <is>
          <t>NA</t>
        </is>
      </c>
      <c r="K73" s="501" t="inlineStr">
        <is>
          <t>NA</t>
        </is>
      </c>
      <c r="L73" s="503" t="n"/>
      <c r="M73" s="504" t="inlineStr">
        <is>
          <t>Australia</t>
        </is>
      </c>
      <c r="N73" s="505" t="inlineStr">
        <is>
          <t>CIB</t>
        </is>
      </c>
      <c r="O73" s="505" t="n">
        <v>1</v>
      </c>
      <c r="P73" s="505" t="n"/>
      <c r="Q73" s="505" t="inlineStr">
        <is>
          <t>Permanent - Full Time</t>
        </is>
      </c>
      <c r="R73" s="507" t="n"/>
      <c r="S73" s="507" t="n"/>
      <c r="T73" s="508" t="n">
        <v>137420</v>
      </c>
      <c r="U73" s="509" t="n">
        <v>137420</v>
      </c>
      <c r="V73" s="511" t="n">
        <v>0.12</v>
      </c>
      <c r="W73" s="973" t="n">
        <v>0.055</v>
      </c>
      <c r="X73" s="973" t="n">
        <v>0.12</v>
      </c>
      <c r="Y73" s="974" t="n"/>
      <c r="Z73" s="973" t="n">
        <v>0.04</v>
      </c>
      <c r="AA73" s="972">
        <f>U73*(1+V73+W73+X73+Y73+Z73)</f>
        <v>183455.69999999998</v>
      </c>
      <c r="AB73" s="516" t="n"/>
    </row>
    <row r="74">
      <c r="A74" s="500" t="n">
        <v>12992</v>
      </c>
      <c r="B74" s="501" t="inlineStr">
        <is>
          <t>Jeannie Chu</t>
        </is>
      </c>
      <c r="C74" s="502" t="inlineStr">
        <is>
          <t>Snr Finance Support Administrator</t>
        </is>
      </c>
      <c r="D74" s="499" t="inlineStr">
        <is>
          <t>Sam Chan</t>
        </is>
      </c>
      <c r="E74" s="501" t="inlineStr">
        <is>
          <t>Fin Ops Manager</t>
        </is>
      </c>
      <c r="F74" s="501" t="inlineStr">
        <is>
          <t>Partnering &amp; Transformation</t>
        </is>
      </c>
      <c r="G74" s="501" t="inlineStr">
        <is>
          <t>Transformation</t>
        </is>
      </c>
      <c r="H74" s="501" t="inlineStr">
        <is>
          <t>NA</t>
        </is>
      </c>
      <c r="I74" s="501" t="inlineStr">
        <is>
          <t>NA</t>
        </is>
      </c>
      <c r="J74" s="501" t="inlineStr">
        <is>
          <t>NA</t>
        </is>
      </c>
      <c r="K74" s="501" t="inlineStr">
        <is>
          <t>NA</t>
        </is>
      </c>
      <c r="L74" s="503" t="n"/>
      <c r="M74" s="504" t="inlineStr">
        <is>
          <t>Australia</t>
        </is>
      </c>
      <c r="N74" s="507" t="inlineStr">
        <is>
          <t>CDC</t>
        </is>
      </c>
      <c r="O74" s="507" t="n">
        <v>1</v>
      </c>
      <c r="P74" s="507" t="n"/>
      <c r="Q74" s="507" t="inlineStr">
        <is>
          <t>Permanent - Full Time</t>
        </is>
      </c>
      <c r="R74" s="507" t="n"/>
      <c r="S74" s="507" t="n"/>
      <c r="T74" s="508" t="n">
        <v>112310</v>
      </c>
      <c r="U74" s="509" t="n">
        <v>112310</v>
      </c>
      <c r="V74" s="511" t="n">
        <v>0.1</v>
      </c>
      <c r="W74" s="973" t="n">
        <v>0.055</v>
      </c>
      <c r="X74" s="973" t="n">
        <v>0.12</v>
      </c>
      <c r="Y74" s="974" t="n"/>
      <c r="Z74" s="973" t="n">
        <v>0.04</v>
      </c>
      <c r="AA74" s="972">
        <f>U74*(1+V74+W74+X74+Y74+Z74)</f>
        <v>147687.65</v>
      </c>
      <c r="AB74" s="516" t="n"/>
    </row>
    <row r="75">
      <c r="A75" s="500" t="n">
        <v>82561</v>
      </c>
      <c r="B75" s="501" t="inlineStr">
        <is>
          <t>Jenny Chan</t>
        </is>
      </c>
      <c r="C75" s="502" t="inlineStr">
        <is>
          <t>Project Finance Lead</t>
        </is>
      </c>
      <c r="D75" s="501" t="inlineStr">
        <is>
          <t>Sam Chan</t>
        </is>
      </c>
      <c r="E75" s="501" t="inlineStr">
        <is>
          <t xml:space="preserve">Manager Risk &amp; Resilience </t>
        </is>
      </c>
      <c r="F75" s="501" t="inlineStr">
        <is>
          <t>Partnering &amp; Transformation</t>
        </is>
      </c>
      <c r="G75" s="501" t="inlineStr">
        <is>
          <t>Transformation</t>
        </is>
      </c>
      <c r="H75" s="501" t="inlineStr">
        <is>
          <t>NA</t>
        </is>
      </c>
      <c r="I75" s="501" t="inlineStr">
        <is>
          <t>NA</t>
        </is>
      </c>
      <c r="J75" s="501" t="inlineStr">
        <is>
          <t>NA</t>
        </is>
      </c>
      <c r="K75" s="501" t="inlineStr">
        <is>
          <t>NA</t>
        </is>
      </c>
      <c r="L75" s="503" t="n"/>
      <c r="M75" s="504" t="inlineStr">
        <is>
          <t>Australia</t>
        </is>
      </c>
      <c r="N75" s="507" t="inlineStr">
        <is>
          <t>CIB</t>
        </is>
      </c>
      <c r="O75" s="507" t="n">
        <v>1</v>
      </c>
      <c r="P75" s="507" t="n"/>
      <c r="Q75" s="507" t="inlineStr">
        <is>
          <t>Permanent - Full Time</t>
        </is>
      </c>
      <c r="R75" s="507" t="n"/>
      <c r="S75" s="507" t="n"/>
      <c r="T75" s="508" t="n">
        <v>154400</v>
      </c>
      <c r="U75" s="509" t="n">
        <v>154400</v>
      </c>
      <c r="V75" s="511" t="n">
        <v>0.12</v>
      </c>
      <c r="W75" s="973" t="n">
        <v>0.055</v>
      </c>
      <c r="X75" s="973" t="n">
        <v>0.12</v>
      </c>
      <c r="Y75" s="974" t="n"/>
      <c r="Z75" s="973" t="n">
        <v>0.04</v>
      </c>
      <c r="AA75" s="972">
        <f>U75*(1+V75+W75+X75+Y75+Z75)</f>
        <v>206124.0</v>
      </c>
      <c r="AB75" s="516" t="n"/>
    </row>
    <row r="76">
      <c r="A76" s="500" t="inlineStr">
        <is>
          <t>tbc</t>
        </is>
      </c>
      <c r="B76" s="501" t="inlineStr">
        <is>
          <t>Malcolm Deare</t>
        </is>
      </c>
      <c r="C76" s="502" t="inlineStr">
        <is>
          <t>TDD BP, Group Functions</t>
        </is>
      </c>
      <c r="D76" s="501" t="inlineStr">
        <is>
          <t>Michael Schofield</t>
        </is>
      </c>
      <c r="E76" s="501" t="inlineStr">
        <is>
          <t>GM TDD, Partnering &amp; Transformation</t>
        </is>
      </c>
      <c r="F76" s="501" t="inlineStr">
        <is>
          <t>Partnering &amp; Transformation</t>
        </is>
      </c>
      <c r="G76" s="501" t="inlineStr">
        <is>
          <t>TDD Business Partner</t>
        </is>
      </c>
      <c r="H76" s="501" t="inlineStr">
        <is>
          <t>NA</t>
        </is>
      </c>
      <c r="I76" s="501" t="inlineStr">
        <is>
          <t>NA</t>
        </is>
      </c>
      <c r="J76" s="501" t="inlineStr">
        <is>
          <t>NA</t>
        </is>
      </c>
      <c r="K76" s="501" t="inlineStr">
        <is>
          <t>NA</t>
        </is>
      </c>
      <c r="L76" s="503" t="n"/>
      <c r="M76" s="504" t="inlineStr">
        <is>
          <t>Australia</t>
        </is>
      </c>
      <c r="N76" s="505" t="inlineStr">
        <is>
          <t>CSB</t>
        </is>
      </c>
      <c r="O76" s="505" t="n">
        <v>1</v>
      </c>
      <c r="P76" s="505" t="n"/>
      <c r="Q76" s="505" t="inlineStr">
        <is>
          <t>Permanent - Full Time</t>
        </is>
      </c>
      <c r="R76" s="507" t="n"/>
      <c r="S76" s="507" t="n"/>
      <c r="T76" s="508" t="n">
        <v>220000</v>
      </c>
      <c r="U76" s="509" t="n">
        <v>220000</v>
      </c>
      <c r="V76" s="511" t="n">
        <v>0.14</v>
      </c>
      <c r="W76" s="973" t="n">
        <v>0.055</v>
      </c>
      <c r="X76" s="973" t="n">
        <v>0.12</v>
      </c>
      <c r="Y76" s="974" t="n"/>
      <c r="Z76" s="973" t="n">
        <v>0.04</v>
      </c>
      <c r="AA76" s="972">
        <f>U76*(1+V76+W76+X76+Y76+Z76)</f>
        <v>298100.0</v>
      </c>
      <c r="AB76" s="516" t="n"/>
    </row>
    <row r="77">
      <c r="A77" s="500" t="n">
        <v>5607</v>
      </c>
      <c r="B77" s="501" t="inlineStr">
        <is>
          <t>Maria Somera</t>
        </is>
      </c>
      <c r="C77" s="502" t="inlineStr">
        <is>
          <t>Technology Finance Analyst</t>
        </is>
      </c>
      <c r="D77" s="501" t="inlineStr">
        <is>
          <t>Sam Chan</t>
        </is>
      </c>
      <c r="E77" s="501" t="inlineStr">
        <is>
          <t>Fin Ops Manager</t>
        </is>
      </c>
      <c r="F77" s="501" t="inlineStr">
        <is>
          <t>Partnering &amp; Transformation</t>
        </is>
      </c>
      <c r="G77" s="501" t="inlineStr">
        <is>
          <t>Transformation</t>
        </is>
      </c>
      <c r="H77" s="501" t="inlineStr">
        <is>
          <t>NA</t>
        </is>
      </c>
      <c r="I77" s="501" t="inlineStr">
        <is>
          <t>NA</t>
        </is>
      </c>
      <c r="J77" s="501" t="inlineStr">
        <is>
          <t>NA</t>
        </is>
      </c>
      <c r="K77" s="501" t="inlineStr">
        <is>
          <t>NA</t>
        </is>
      </c>
      <c r="L77" s="503" t="n"/>
      <c r="M77" s="504" t="inlineStr">
        <is>
          <t>Australia</t>
        </is>
      </c>
      <c r="N77" s="507" t="inlineStr">
        <is>
          <t>CIA</t>
        </is>
      </c>
      <c r="O77" s="507" t="n">
        <v>1</v>
      </c>
      <c r="P77" s="507" t="n"/>
      <c r="Q77" s="507" t="inlineStr">
        <is>
          <t>Permanent - Full Time</t>
        </is>
      </c>
      <c r="R77" s="507" t="n"/>
      <c r="S77" s="507" t="n"/>
      <c r="T77" s="508" t="n">
        <v>136360</v>
      </c>
      <c r="U77" s="509" t="n">
        <v>136360</v>
      </c>
      <c r="V77" s="511" t="n">
        <v>0.1</v>
      </c>
      <c r="W77" s="973" t="n">
        <v>0.055</v>
      </c>
      <c r="X77" s="973" t="n">
        <v>0.12</v>
      </c>
      <c r="Y77" s="974" t="n"/>
      <c r="Z77" s="973" t="n">
        <v>0.04</v>
      </c>
      <c r="AA77" s="972">
        <f>U77*(1+V77+W77+X77+Y77+Z77)</f>
        <v>179313.4</v>
      </c>
      <c r="AB77" s="516" t="n"/>
    </row>
    <row r="78">
      <c r="A78" s="500" t="n">
        <v>99999102029</v>
      </c>
      <c r="B78" s="501" t="inlineStr">
        <is>
          <t>Matt Saunders</t>
        </is>
      </c>
      <c r="C78" s="502" t="inlineStr">
        <is>
          <t>Scrum Master</t>
        </is>
      </c>
      <c r="D78" s="503" t="inlineStr">
        <is>
          <t>Vacant</t>
        </is>
      </c>
      <c r="E78" s="501" t="inlineStr">
        <is>
          <t xml:space="preserve">Lead Technology Support </t>
        </is>
      </c>
      <c r="F78" s="501" t="inlineStr">
        <is>
          <t>Partnering &amp; Transformation</t>
        </is>
      </c>
      <c r="G78" s="501" t="inlineStr">
        <is>
          <t>Transformation</t>
        </is>
      </c>
      <c r="H78" s="501" t="inlineStr">
        <is>
          <t>NA</t>
        </is>
      </c>
      <c r="I78" s="501" t="inlineStr">
        <is>
          <t>NA</t>
        </is>
      </c>
      <c r="J78" s="501" t="inlineStr">
        <is>
          <t>NA</t>
        </is>
      </c>
      <c r="K78" s="501" t="inlineStr">
        <is>
          <t>NA</t>
        </is>
      </c>
      <c r="L78" s="503" t="n"/>
      <c r="M78" s="504" t="inlineStr">
        <is>
          <t>NZ</t>
        </is>
      </c>
      <c r="N78" s="505" t="inlineStr">
        <is>
          <t>CIA</t>
        </is>
      </c>
      <c r="O78" s="506" t="n">
        <v>1</v>
      </c>
      <c r="P78" s="505" t="n"/>
      <c r="Q78" s="506" t="inlineStr">
        <is>
          <t>Permanent - Full Time</t>
        </is>
      </c>
      <c r="R78" s="507" t="n"/>
      <c r="S78" s="507" t="n"/>
      <c r="T78" s="508" t="n">
        <v>128000</v>
      </c>
      <c r="U78" s="509" t="n">
        <v>117760</v>
      </c>
      <c r="V78" s="510" t="n">
        <v>0.15</v>
      </c>
      <c r="W78" s="507" t="n"/>
      <c r="X78" s="511" t="n">
        <v>0.05</v>
      </c>
      <c r="Y78" s="971" t="n">
        <v>2910</v>
      </c>
      <c r="Z78" s="511" t="n">
        <v>0.03</v>
      </c>
      <c r="AA78" s="972">
        <f>U78*(1+V78+X78+Z78)+Y78</f>
        <v>147754.8</v>
      </c>
      <c r="AB78" s="499" t="n">
        <v>115827</v>
      </c>
    </row>
    <row r="79">
      <c r="A79" s="500" t="n">
        <v>116540</v>
      </c>
      <c r="B79" s="501" t="inlineStr">
        <is>
          <t>Neil Reilly</t>
        </is>
      </c>
      <c r="C79" s="502" t="inlineStr">
        <is>
          <t>TDD BP - T&amp;S</t>
        </is>
      </c>
      <c r="D79" s="501" t="inlineStr">
        <is>
          <t>Michael Schofield</t>
        </is>
      </c>
      <c r="E79" s="501" t="inlineStr">
        <is>
          <t>GM TDD, Partnering &amp; Transformation</t>
        </is>
      </c>
      <c r="F79" s="501" t="inlineStr">
        <is>
          <t>Partnering &amp; Transformation</t>
        </is>
      </c>
      <c r="G79" s="501" t="inlineStr">
        <is>
          <t>TDD Business Partner</t>
        </is>
      </c>
      <c r="H79" s="501" t="inlineStr">
        <is>
          <t>NA</t>
        </is>
      </c>
      <c r="I79" s="501" t="inlineStr">
        <is>
          <t>NA</t>
        </is>
      </c>
      <c r="J79" s="501" t="inlineStr">
        <is>
          <t>NA</t>
        </is>
      </c>
      <c r="K79" s="501" t="inlineStr">
        <is>
          <t>NA</t>
        </is>
      </c>
      <c r="L79" s="503" t="n"/>
      <c r="M79" s="504" t="inlineStr">
        <is>
          <t>Singapore</t>
        </is>
      </c>
      <c r="N79" s="505" t="inlineStr">
        <is>
          <t>CSC</t>
        </is>
      </c>
      <c r="O79" s="505" t="n">
        <v>1</v>
      </c>
      <c r="P79" s="505" t="n"/>
      <c r="Q79" s="505" t="inlineStr">
        <is>
          <t>Permanent - Full Time</t>
        </is>
      </c>
      <c r="R79" s="507" t="n"/>
      <c r="S79" s="507" t="n"/>
      <c r="T79" s="508" t="n">
        <v>350000</v>
      </c>
      <c r="U79" s="509" t="n">
        <v>423500</v>
      </c>
      <c r="V79" s="511" t="n">
        <v>0.35</v>
      </c>
      <c r="W79" s="507" t="n"/>
      <c r="X79" s="511" t="n">
        <v>0.17</v>
      </c>
      <c r="Y79" s="971" t="n">
        <v>3310</v>
      </c>
      <c r="Z79" s="530" t="n">
        <v>0.045</v>
      </c>
      <c r="AA79" s="972">
        <f>U79*(1+V79+X79+Z79)+Y79</f>
        <v>666087.5</v>
      </c>
      <c r="AB79" s="516" t="n"/>
    </row>
    <row r="80">
      <c r="A80" s="500" t="n">
        <v>113835</v>
      </c>
      <c r="B80" s="501" t="inlineStr">
        <is>
          <t>Ruth Chou</t>
        </is>
      </c>
      <c r="C80" s="502" t="inlineStr">
        <is>
          <t>Portfolio Reporting Manager</t>
        </is>
      </c>
      <c r="D80" s="503" t="inlineStr">
        <is>
          <t>Vacant</t>
        </is>
      </c>
      <c r="E80" s="501" t="inlineStr">
        <is>
          <t xml:space="preserve">Manager Service Perforance &amp; Assurance </t>
        </is>
      </c>
      <c r="F80" s="501" t="inlineStr">
        <is>
          <t>Partnering &amp; Transformation</t>
        </is>
      </c>
      <c r="G80" s="501" t="inlineStr">
        <is>
          <t>Transformation</t>
        </is>
      </c>
      <c r="H80" s="501" t="inlineStr">
        <is>
          <t>NA</t>
        </is>
      </c>
      <c r="I80" s="501" t="inlineStr">
        <is>
          <t>NA</t>
        </is>
      </c>
      <c r="J80" s="501" t="inlineStr">
        <is>
          <t>NA</t>
        </is>
      </c>
      <c r="K80" s="501" t="inlineStr">
        <is>
          <t>NA</t>
        </is>
      </c>
      <c r="L80" s="503" t="n"/>
      <c r="M80" s="504" t="inlineStr">
        <is>
          <t>Australia</t>
        </is>
      </c>
      <c r="N80" s="505" t="inlineStr">
        <is>
          <t>CSB</t>
        </is>
      </c>
      <c r="O80" s="505" t="n">
        <v>1</v>
      </c>
      <c r="P80" s="505" t="n"/>
      <c r="Q80" s="505" t="inlineStr">
        <is>
          <t>Permanent - Full Time</t>
        </is>
      </c>
      <c r="R80" s="507" t="n"/>
      <c r="S80" s="507" t="n"/>
      <c r="T80" s="508" t="n">
        <v>216470</v>
      </c>
      <c r="U80" s="509" t="n">
        <v>216470</v>
      </c>
      <c r="V80" s="511" t="n">
        <v>0.14</v>
      </c>
      <c r="W80" s="973" t="n">
        <v>0.055</v>
      </c>
      <c r="X80" s="973" t="n">
        <v>0.12</v>
      </c>
      <c r="Y80" s="974" t="n"/>
      <c r="Z80" s="973" t="n">
        <v>0.04</v>
      </c>
      <c r="AA80" s="972">
        <f>U80*(1+V80+W80+X80+Y80+Z80)</f>
        <v>293316.85</v>
      </c>
      <c r="AB80" s="516" t="n"/>
    </row>
    <row r="81">
      <c r="A81" s="500" t="n">
        <v>83658</v>
      </c>
      <c r="B81" s="501" t="inlineStr">
        <is>
          <t>Sam Chan</t>
        </is>
      </c>
      <c r="C81" s="502" t="inlineStr">
        <is>
          <t>FinOps Manager</t>
        </is>
      </c>
      <c r="D81" s="503" t="inlineStr">
        <is>
          <t>Vacant</t>
        </is>
      </c>
      <c r="E81" s="501" t="inlineStr">
        <is>
          <t xml:space="preserve">Manager Cyber Security Operations </t>
        </is>
      </c>
      <c r="F81" s="501" t="inlineStr">
        <is>
          <t>Partnering &amp; Transformation</t>
        </is>
      </c>
      <c r="G81" s="501" t="inlineStr">
        <is>
          <t>Transformation</t>
        </is>
      </c>
      <c r="H81" s="499" t="inlineStr">
        <is>
          <t>NA</t>
        </is>
      </c>
      <c r="I81" s="501" t="inlineStr">
        <is>
          <t>NA</t>
        </is>
      </c>
      <c r="J81" s="501" t="inlineStr">
        <is>
          <t>NA</t>
        </is>
      </c>
      <c r="K81" s="501" t="inlineStr">
        <is>
          <t>NA</t>
        </is>
      </c>
      <c r="L81" s="503" t="n"/>
      <c r="M81" s="504" t="inlineStr">
        <is>
          <t>Australia</t>
        </is>
      </c>
      <c r="N81" s="507" t="inlineStr">
        <is>
          <t>CIC</t>
        </is>
      </c>
      <c r="O81" s="507" t="n">
        <v>1</v>
      </c>
      <c r="P81" s="507" t="n"/>
      <c r="Q81" s="507" t="inlineStr">
        <is>
          <t>Permanent - Full Time</t>
        </is>
      </c>
      <c r="R81" s="507" t="n"/>
      <c r="S81" s="507" t="n"/>
      <c r="T81" s="508" t="n">
        <v>169130</v>
      </c>
      <c r="U81" s="509" t="n">
        <v>169130</v>
      </c>
      <c r="V81" s="511" t="n">
        <v>0.12</v>
      </c>
      <c r="W81" s="973" t="n">
        <v>0.055</v>
      </c>
      <c r="X81" s="973" t="n">
        <v>0.12</v>
      </c>
      <c r="Y81" s="974" t="n"/>
      <c r="Z81" s="973" t="n">
        <v>0.04</v>
      </c>
      <c r="AA81" s="972">
        <f>U81*(1+V81+W81+X81+Y81+Z81)</f>
        <v>225788.55</v>
      </c>
      <c r="AB81" s="516" t="n"/>
    </row>
    <row r="82">
      <c r="A82" s="500" t="n">
        <v>99999102144</v>
      </c>
      <c r="B82" s="501" t="inlineStr">
        <is>
          <t>Shelley Crawford</t>
        </is>
      </c>
      <c r="C82" s="502" t="inlineStr">
        <is>
          <t>TDD BP - Z</t>
        </is>
      </c>
      <c r="D82" s="501" t="inlineStr">
        <is>
          <t>Michael Schofield</t>
        </is>
      </c>
      <c r="E82" s="501" t="inlineStr">
        <is>
          <t>GM TDD, Partnering &amp; Transformation</t>
        </is>
      </c>
      <c r="F82" s="501" t="inlineStr">
        <is>
          <t>Partnering &amp; Transformation</t>
        </is>
      </c>
      <c r="G82" s="501" t="inlineStr">
        <is>
          <t>TDD Business Partner</t>
        </is>
      </c>
      <c r="H82" s="501" t="inlineStr">
        <is>
          <t>NA</t>
        </is>
      </c>
      <c r="I82" s="501" t="inlineStr">
        <is>
          <t>NA</t>
        </is>
      </c>
      <c r="J82" s="501" t="inlineStr">
        <is>
          <t>NA</t>
        </is>
      </c>
      <c r="K82" s="501" t="inlineStr">
        <is>
          <t>NA</t>
        </is>
      </c>
      <c r="L82" s="503" t="n"/>
      <c r="M82" s="504" t="inlineStr">
        <is>
          <t>NZ</t>
        </is>
      </c>
      <c r="N82" s="505" t="inlineStr">
        <is>
          <t>CSC</t>
        </is>
      </c>
      <c r="O82" s="506" t="n">
        <v>1</v>
      </c>
      <c r="P82" s="505" t="n"/>
      <c r="Q82" s="506" t="inlineStr">
        <is>
          <t>Permanent - Full Time</t>
        </is>
      </c>
      <c r="R82" s="507" t="n"/>
      <c r="S82" s="507" t="n"/>
      <c r="T82" s="508" t="n">
        <v>245000</v>
      </c>
      <c r="U82" s="509" t="n">
        <v>225400</v>
      </c>
      <c r="V82" s="510" t="n">
        <v>0.2</v>
      </c>
      <c r="W82" s="507" t="n"/>
      <c r="X82" s="511" t="n">
        <v>0.05</v>
      </c>
      <c r="Y82" s="971" t="n">
        <v>2910</v>
      </c>
      <c r="Z82" s="511" t="n">
        <v>0.03</v>
      </c>
      <c r="AA82" s="972">
        <f>U82*(1+V82+X82+Z82)+Y82</f>
        <v>291422.0</v>
      </c>
      <c r="AB82" s="499" t="n">
        <v>116452</v>
      </c>
    </row>
    <row r="83">
      <c r="A83" s="500" t="n">
        <v>113935</v>
      </c>
      <c r="B83" s="501" t="inlineStr">
        <is>
          <t>Thomas Reid</t>
        </is>
      </c>
      <c r="C83" s="502" t="inlineStr">
        <is>
          <t>TDD BP - Retail &amp; Customer - Store Digital</t>
        </is>
      </c>
      <c r="D83" s="501" t="inlineStr">
        <is>
          <t>Michael Schofield</t>
        </is>
      </c>
      <c r="E83" s="501" t="inlineStr">
        <is>
          <t>GM TDD, Partnering &amp; Transformation</t>
        </is>
      </c>
      <c r="F83" s="501" t="inlineStr">
        <is>
          <t>Partnering &amp; Transformation</t>
        </is>
      </c>
      <c r="G83" s="501" t="inlineStr">
        <is>
          <t>TDD Business Partner</t>
        </is>
      </c>
      <c r="H83" s="501" t="inlineStr">
        <is>
          <t>NA</t>
        </is>
      </c>
      <c r="I83" s="501" t="inlineStr">
        <is>
          <t>NA</t>
        </is>
      </c>
      <c r="J83" s="501" t="inlineStr">
        <is>
          <t>NA</t>
        </is>
      </c>
      <c r="K83" s="501" t="inlineStr">
        <is>
          <t>NA</t>
        </is>
      </c>
      <c r="L83" s="503" t="n"/>
      <c r="M83" s="504" t="inlineStr">
        <is>
          <t>Australia</t>
        </is>
      </c>
      <c r="N83" s="505" t="inlineStr">
        <is>
          <t>CSC</t>
        </is>
      </c>
      <c r="O83" s="505" t="n">
        <v>1</v>
      </c>
      <c r="P83" s="505" t="n"/>
      <c r="Q83" s="505" t="inlineStr">
        <is>
          <t>Permanent - Full Time</t>
        </is>
      </c>
      <c r="R83" s="507" t="n"/>
      <c r="S83" s="507" t="n"/>
      <c r="T83" s="508" t="n">
        <v>295000</v>
      </c>
      <c r="U83" s="509" t="n">
        <v>295000</v>
      </c>
      <c r="V83" s="511" t="n">
        <v>0.2</v>
      </c>
      <c r="W83" s="973" t="n">
        <v>0.055</v>
      </c>
      <c r="X83" s="973" t="n">
        <v>0.12</v>
      </c>
      <c r="Y83" s="974" t="n"/>
      <c r="Z83" s="973" t="n">
        <v>0.04</v>
      </c>
      <c r="AA83" s="972">
        <f>U83*(1+V83+W83+X83+Y83+Z83)</f>
        <v>417425.0</v>
      </c>
      <c r="AB83" s="516" t="n"/>
    </row>
    <row r="84">
      <c r="A84" s="500" t="inlineStr">
        <is>
          <t>V</t>
        </is>
      </c>
      <c r="B84" s="501" t="inlineStr">
        <is>
          <t>Vacant</t>
        </is>
      </c>
      <c r="C84" s="502" t="inlineStr">
        <is>
          <t>Commercial Director</t>
        </is>
      </c>
      <c r="D84" s="501" t="inlineStr">
        <is>
          <t>Michael Schofield</t>
        </is>
      </c>
      <c r="E84" s="501" t="inlineStr">
        <is>
          <t>GM TDD, Partnering &amp; Transformation</t>
        </is>
      </c>
      <c r="F84" s="501" t="inlineStr">
        <is>
          <t>Partnering &amp; Transformation</t>
        </is>
      </c>
      <c r="G84" s="501" t="inlineStr">
        <is>
          <t>Commercial</t>
        </is>
      </c>
      <c r="H84" s="501" t="inlineStr">
        <is>
          <t>NA</t>
        </is>
      </c>
      <c r="I84" s="501" t="inlineStr">
        <is>
          <t>NA</t>
        </is>
      </c>
      <c r="J84" s="501" t="inlineStr">
        <is>
          <t>NA</t>
        </is>
      </c>
      <c r="K84" s="501" t="inlineStr">
        <is>
          <t>NA</t>
        </is>
      </c>
      <c r="L84" s="503" t="n"/>
      <c r="M84" s="504" t="inlineStr">
        <is>
          <t>Australia</t>
        </is>
      </c>
      <c r="N84" s="505" t="inlineStr">
        <is>
          <t>LSB</t>
        </is>
      </c>
      <c r="O84" s="505" t="n">
        <v>1</v>
      </c>
      <c r="P84" s="505" t="n"/>
      <c r="Q84" s="505" t="inlineStr">
        <is>
          <t>v</t>
        </is>
      </c>
      <c r="R84" s="507" t="n"/>
      <c r="S84" s="507" t="n"/>
      <c r="T84" s="508" t="n">
        <v>300000</v>
      </c>
      <c r="U84" s="509" t="n">
        <v>300000</v>
      </c>
      <c r="V84" s="511" t="n">
        <v>0.25</v>
      </c>
      <c r="W84" s="973" t="n">
        <v>0.055</v>
      </c>
      <c r="X84" s="973" t="n">
        <v>0.12</v>
      </c>
      <c r="Y84" s="974" t="n"/>
      <c r="Z84" s="973" t="n">
        <v>0.04</v>
      </c>
      <c r="AA84" s="972">
        <f>U84*(1+V84+W84+X84+Y84+Z84)</f>
        <v>439499.99999999994</v>
      </c>
      <c r="AB84" s="516" t="n"/>
    </row>
    <row r="85">
      <c r="A85" s="500" t="inlineStr">
        <is>
          <t>V</t>
        </is>
      </c>
      <c r="B85" s="501" t="inlineStr">
        <is>
          <t>Vacant</t>
        </is>
      </c>
      <c r="C85" s="502" t="inlineStr">
        <is>
          <t>Head of Transformation</t>
        </is>
      </c>
      <c r="D85" s="501" t="inlineStr">
        <is>
          <t>Michael Schofield</t>
        </is>
      </c>
      <c r="E85" s="501" t="inlineStr">
        <is>
          <t>Head of Service Operatoins &amp; Assurance</t>
        </is>
      </c>
      <c r="F85" s="501" t="inlineStr">
        <is>
          <t>Partnering &amp; Transformation</t>
        </is>
      </c>
      <c r="G85" s="501" t="inlineStr">
        <is>
          <t>Transformation</t>
        </is>
      </c>
      <c r="H85" s="501" t="inlineStr">
        <is>
          <t>NA</t>
        </is>
      </c>
      <c r="I85" s="501" t="inlineStr">
        <is>
          <t>NA</t>
        </is>
      </c>
      <c r="J85" s="501" t="inlineStr">
        <is>
          <t>NA</t>
        </is>
      </c>
      <c r="K85" s="501" t="inlineStr">
        <is>
          <t>NA</t>
        </is>
      </c>
      <c r="L85" s="503" t="n"/>
      <c r="M85" s="504" t="inlineStr">
        <is>
          <t>Australia</t>
        </is>
      </c>
      <c r="N85" s="505" t="inlineStr">
        <is>
          <t>CSC</t>
        </is>
      </c>
      <c r="O85" s="505" t="n">
        <v>1</v>
      </c>
      <c r="P85" s="505" t="n"/>
      <c r="Q85" s="505" t="inlineStr">
        <is>
          <t>v</t>
        </is>
      </c>
      <c r="R85" s="507" t="n"/>
      <c r="S85" s="507" t="n"/>
      <c r="T85" s="508" t="n">
        <v>260000</v>
      </c>
      <c r="U85" s="509" t="n">
        <v>260000</v>
      </c>
      <c r="V85" s="511" t="n">
        <v>0.2</v>
      </c>
      <c r="W85" s="973" t="n">
        <v>0.055</v>
      </c>
      <c r="X85" s="973" t="n">
        <v>0.12</v>
      </c>
      <c r="Y85" s="974" t="n"/>
      <c r="Z85" s="973" t="n">
        <v>0.04</v>
      </c>
      <c r="AA85" s="972">
        <f>U85*(1+V85+W85+X85+Y85+Z85)</f>
        <v>367900.0</v>
      </c>
      <c r="AB85" s="516" t="n"/>
    </row>
    <row r="86">
      <c r="A86" s="500" t="inlineStr">
        <is>
          <t>V</t>
        </is>
      </c>
      <c r="B86" s="501" t="inlineStr">
        <is>
          <t>Vacant</t>
        </is>
      </c>
      <c r="C86" s="502" t="inlineStr">
        <is>
          <t>Delivery Systems Analyst</t>
        </is>
      </c>
      <c r="D86" s="501" t="inlineStr">
        <is>
          <t>Ruth Chou</t>
        </is>
      </c>
      <c r="E86" s="501" t="inlineStr">
        <is>
          <t>Portfolio Reporting Manger</t>
        </is>
      </c>
      <c r="F86" s="501" t="inlineStr">
        <is>
          <t>Partnering &amp; Transformation</t>
        </is>
      </c>
      <c r="G86" s="501" t="inlineStr">
        <is>
          <t>Transformation</t>
        </is>
      </c>
      <c r="H86" s="501" t="inlineStr">
        <is>
          <t>NA</t>
        </is>
      </c>
      <c r="I86" s="501" t="inlineStr">
        <is>
          <t>NA</t>
        </is>
      </c>
      <c r="J86" s="501" t="inlineStr">
        <is>
          <t>NA</t>
        </is>
      </c>
      <c r="K86" s="501" t="inlineStr">
        <is>
          <t>NA</t>
        </is>
      </c>
      <c r="L86" s="503" t="n"/>
      <c r="M86" s="504" t="inlineStr">
        <is>
          <t>Australia</t>
        </is>
      </c>
      <c r="N86" s="505" t="inlineStr">
        <is>
          <t>cib</t>
        </is>
      </c>
      <c r="O86" s="505" t="n">
        <v>1</v>
      </c>
      <c r="P86" s="505" t="n"/>
      <c r="Q86" s="505" t="inlineStr">
        <is>
          <t>V</t>
        </is>
      </c>
      <c r="R86" s="507" t="n"/>
      <c r="S86" s="507" t="n"/>
      <c r="T86" s="508" t="n">
        <v>151950</v>
      </c>
      <c r="U86" s="509" t="n">
        <v>151950</v>
      </c>
      <c r="V86" s="511" t="n">
        <v>0.12</v>
      </c>
      <c r="W86" s="973" t="n">
        <v>0.055</v>
      </c>
      <c r="X86" s="973" t="n">
        <v>0.12</v>
      </c>
      <c r="Y86" s="974" t="n"/>
      <c r="Z86" s="973" t="n">
        <v>0.04</v>
      </c>
      <c r="AA86" s="972">
        <f>U86*(1+V86+W86+X86+Y86+Z86)</f>
        <v>202853.25</v>
      </c>
      <c r="AB86" s="516" t="n"/>
    </row>
    <row r="87">
      <c r="A87" s="500" t="inlineStr">
        <is>
          <t>V</t>
        </is>
      </c>
      <c r="B87" s="501" t="inlineStr">
        <is>
          <t>Vacant</t>
        </is>
      </c>
      <c r="C87" s="502" t="inlineStr">
        <is>
          <t>Business Analysis Practice Lead</t>
        </is>
      </c>
      <c r="D87" s="503" t="inlineStr">
        <is>
          <t>Vacant</t>
        </is>
      </c>
      <c r="E87" s="501" t="inlineStr">
        <is>
          <t>Delivery Excellence Manager</t>
        </is>
      </c>
      <c r="F87" s="501" t="inlineStr">
        <is>
          <t>Partnering &amp; Transformation</t>
        </is>
      </c>
      <c r="G87" s="501" t="inlineStr">
        <is>
          <t>Transformation</t>
        </is>
      </c>
      <c r="H87" s="499" t="inlineStr">
        <is>
          <t>NA</t>
        </is>
      </c>
      <c r="I87" s="501" t="inlineStr">
        <is>
          <t>NA</t>
        </is>
      </c>
      <c r="J87" s="501" t="inlineStr">
        <is>
          <t>NA</t>
        </is>
      </c>
      <c r="K87" s="501" t="inlineStr">
        <is>
          <t>NA</t>
        </is>
      </c>
      <c r="L87" s="503" t="n"/>
      <c r="M87" s="504" t="inlineStr">
        <is>
          <t>Australia</t>
        </is>
      </c>
      <c r="N87" s="505" t="inlineStr">
        <is>
          <t>CIC</t>
        </is>
      </c>
      <c r="O87" s="505" t="n">
        <v>1</v>
      </c>
      <c r="P87" s="505" t="n"/>
      <c r="Q87" s="505" t="inlineStr">
        <is>
          <t>V</t>
        </is>
      </c>
      <c r="R87" s="507" t="n"/>
      <c r="S87" s="507" t="n"/>
      <c r="T87" s="508" t="n">
        <v>173550</v>
      </c>
      <c r="U87" s="509" t="n">
        <v>173550</v>
      </c>
      <c r="V87" s="511" t="n">
        <v>0.12</v>
      </c>
      <c r="W87" s="973" t="n">
        <v>0.055</v>
      </c>
      <c r="X87" s="973" t="n">
        <v>0.12</v>
      </c>
      <c r="Y87" s="974" t="n"/>
      <c r="Z87" s="973" t="n">
        <v>0.04</v>
      </c>
      <c r="AA87" s="972">
        <f>U87*(1+V87+W87+X87+Y87+Z87)</f>
        <v>231689.25</v>
      </c>
      <c r="AB87" s="516" t="n"/>
    </row>
    <row r="88">
      <c r="A88" s="500" t="inlineStr">
        <is>
          <t>V</t>
        </is>
      </c>
      <c r="B88" s="503" t="inlineStr">
        <is>
          <t>Vacant</t>
        </is>
      </c>
      <c r="C88" s="533" t="inlineStr">
        <is>
          <t>Delivery Assurance Manager</t>
        </is>
      </c>
      <c r="D88" s="503" t="inlineStr">
        <is>
          <t>Vacant</t>
        </is>
      </c>
      <c r="E88" s="503" t="inlineStr">
        <is>
          <t xml:space="preserve">Manager Identity &amp; Access Management </t>
        </is>
      </c>
      <c r="F88" s="501" t="inlineStr">
        <is>
          <t>Partnering &amp; Transformation</t>
        </is>
      </c>
      <c r="G88" s="503" t="inlineStr">
        <is>
          <t>Transformation</t>
        </is>
      </c>
      <c r="H88" s="501" t="inlineStr">
        <is>
          <t>NA</t>
        </is>
      </c>
      <c r="I88" s="501" t="inlineStr">
        <is>
          <t>NA</t>
        </is>
      </c>
      <c r="J88" s="501" t="inlineStr">
        <is>
          <t>NA</t>
        </is>
      </c>
      <c r="K88" s="501" t="inlineStr">
        <is>
          <t>NA</t>
        </is>
      </c>
      <c r="L88" s="503" t="n"/>
      <c r="M88" s="504" t="inlineStr">
        <is>
          <t>Australia</t>
        </is>
      </c>
      <c r="N88" s="505" t="inlineStr">
        <is>
          <t>CSB</t>
        </is>
      </c>
      <c r="O88" s="505" t="n">
        <v>1</v>
      </c>
      <c r="P88" s="505" t="n"/>
      <c r="Q88" s="505" t="inlineStr">
        <is>
          <t>V</t>
        </is>
      </c>
      <c r="R88" s="507" t="n"/>
      <c r="S88" s="507" t="n"/>
      <c r="T88" s="508" t="n">
        <v>203550</v>
      </c>
      <c r="U88" s="509" t="n">
        <v>203550</v>
      </c>
      <c r="V88" s="511" t="n">
        <v>0.14</v>
      </c>
      <c r="W88" s="973" t="n">
        <v>0.055</v>
      </c>
      <c r="X88" s="973" t="n">
        <v>0.12</v>
      </c>
      <c r="Y88" s="974" t="n"/>
      <c r="Z88" s="973" t="n">
        <v>0.04</v>
      </c>
      <c r="AA88" s="972">
        <f>U88*(1+V88+W88+X88+Y88+Z88)</f>
        <v>275810.25</v>
      </c>
      <c r="AB88" s="516" t="n"/>
    </row>
    <row r="89">
      <c r="A89" s="500" t="inlineStr">
        <is>
          <t>V</t>
        </is>
      </c>
      <c r="B89" s="501" t="inlineStr">
        <is>
          <t>Vacant</t>
        </is>
      </c>
      <c r="C89" s="502" t="inlineStr">
        <is>
          <t>Delivery Capacity &amp; Assurance Lead</t>
        </is>
      </c>
      <c r="D89" s="527" t="inlineStr">
        <is>
          <t>Vacant</t>
        </is>
      </c>
      <c r="E89" s="503" t="inlineStr">
        <is>
          <t>vacant</t>
        </is>
      </c>
      <c r="F89" s="501" t="inlineStr">
        <is>
          <t>Partnering &amp; Transformation</t>
        </is>
      </c>
      <c r="G89" s="501" t="inlineStr">
        <is>
          <t>Transformation</t>
        </is>
      </c>
      <c r="H89" s="501" t="inlineStr">
        <is>
          <t>NA</t>
        </is>
      </c>
      <c r="I89" s="501" t="inlineStr">
        <is>
          <t>NA</t>
        </is>
      </c>
      <c r="J89" s="501" t="inlineStr">
        <is>
          <t>NA</t>
        </is>
      </c>
      <c r="K89" s="501" t="inlineStr">
        <is>
          <t>NA</t>
        </is>
      </c>
      <c r="L89" s="503" t="n"/>
      <c r="M89" s="504" t="inlineStr">
        <is>
          <t>Australia</t>
        </is>
      </c>
      <c r="N89" s="505" t="inlineStr">
        <is>
          <t>CIC</t>
        </is>
      </c>
      <c r="O89" s="505" t="n">
        <v>1</v>
      </c>
      <c r="P89" s="505" t="n"/>
      <c r="Q89" s="505" t="inlineStr">
        <is>
          <t>V</t>
        </is>
      </c>
      <c r="R89" s="507" t="n"/>
      <c r="S89" s="507" t="n"/>
      <c r="T89" s="508" t="n">
        <v>173550</v>
      </c>
      <c r="U89" s="509" t="n">
        <v>173550</v>
      </c>
      <c r="V89" s="511" t="n">
        <v>0.12</v>
      </c>
      <c r="W89" s="973" t="n">
        <v>0.055</v>
      </c>
      <c r="X89" s="973" t="n">
        <v>0.12</v>
      </c>
      <c r="Y89" s="974" t="n"/>
      <c r="Z89" s="973" t="n">
        <v>0.04</v>
      </c>
      <c r="AA89" s="972">
        <f>U89*(1+V89+W89+X89+Y89+Z89)</f>
        <v>231689.25</v>
      </c>
      <c r="AB89" s="516" t="n"/>
    </row>
    <row r="90">
      <c r="A90" s="500" t="inlineStr">
        <is>
          <t>V</t>
        </is>
      </c>
      <c r="B90" s="501" t="inlineStr">
        <is>
          <t>Vacant</t>
        </is>
      </c>
      <c r="C90" s="502" t="inlineStr">
        <is>
          <t>Delivery Excellence Manager</t>
        </is>
      </c>
      <c r="D90" s="503" t="inlineStr">
        <is>
          <t>Vacant</t>
        </is>
      </c>
      <c r="E90" s="501" t="inlineStr">
        <is>
          <t xml:space="preserve">CISO </t>
        </is>
      </c>
      <c r="F90" s="501" t="inlineStr">
        <is>
          <t>Partnering &amp; Transformation</t>
        </is>
      </c>
      <c r="G90" s="501" t="inlineStr">
        <is>
          <t>Transformation</t>
        </is>
      </c>
      <c r="H90" s="501" t="inlineStr">
        <is>
          <t>NA</t>
        </is>
      </c>
      <c r="I90" s="501" t="inlineStr">
        <is>
          <t>NA</t>
        </is>
      </c>
      <c r="J90" s="501" t="inlineStr">
        <is>
          <t>NA</t>
        </is>
      </c>
      <c r="K90" s="501" t="inlineStr">
        <is>
          <t>NA</t>
        </is>
      </c>
      <c r="L90" s="503" t="n"/>
      <c r="M90" s="504" t="inlineStr">
        <is>
          <t>Australia</t>
        </is>
      </c>
      <c r="N90" s="505" t="inlineStr">
        <is>
          <t>CSB</t>
        </is>
      </c>
      <c r="O90" s="505" t="n">
        <v>1</v>
      </c>
      <c r="P90" s="505" t="n"/>
      <c r="Q90" s="505" t="inlineStr">
        <is>
          <t>V</t>
        </is>
      </c>
      <c r="R90" s="507" t="n"/>
      <c r="S90" s="507" t="n"/>
      <c r="T90" s="508" t="n">
        <v>203550</v>
      </c>
      <c r="U90" s="509" t="n">
        <v>203550</v>
      </c>
      <c r="V90" s="511" t="n">
        <v>0.14</v>
      </c>
      <c r="W90" s="973" t="n">
        <v>0.055</v>
      </c>
      <c r="X90" s="973" t="n">
        <v>0.12</v>
      </c>
      <c r="Y90" s="974" t="n"/>
      <c r="Z90" s="973" t="n">
        <v>0.04</v>
      </c>
      <c r="AA90" s="972">
        <f>U90*(1+V90+W90+X90+Y90+Z90)</f>
        <v>275810.25</v>
      </c>
      <c r="AB90" s="516" t="n"/>
    </row>
    <row r="91">
      <c r="A91" s="500" t="inlineStr">
        <is>
          <t>V</t>
        </is>
      </c>
      <c r="B91" s="501" t="inlineStr">
        <is>
          <t>Vacant</t>
        </is>
      </c>
      <c r="C91" s="502" t="inlineStr">
        <is>
          <t>Scrum Master</t>
        </is>
      </c>
      <c r="D91" s="503" t="inlineStr">
        <is>
          <t>Vacant</t>
        </is>
      </c>
      <c r="E91" s="501" t="inlineStr">
        <is>
          <t xml:space="preserve">Lead Technology Support </t>
        </is>
      </c>
      <c r="F91" s="501" t="inlineStr">
        <is>
          <t>Partnering &amp; Transformation</t>
        </is>
      </c>
      <c r="G91" s="501" t="inlineStr">
        <is>
          <t>Transformation</t>
        </is>
      </c>
      <c r="H91" s="501" t="inlineStr">
        <is>
          <t>NA</t>
        </is>
      </c>
      <c r="I91" s="501" t="inlineStr">
        <is>
          <t>NA</t>
        </is>
      </c>
      <c r="J91" s="501" t="inlineStr">
        <is>
          <t>NA</t>
        </is>
      </c>
      <c r="K91" s="501" t="inlineStr">
        <is>
          <t>NA</t>
        </is>
      </c>
      <c r="L91" s="503" t="n"/>
      <c r="M91" s="504" t="inlineStr">
        <is>
          <t>NZ</t>
        </is>
      </c>
      <c r="N91" s="505" t="inlineStr">
        <is>
          <t>CIA</t>
        </is>
      </c>
      <c r="O91" s="505" t="n">
        <v>1</v>
      </c>
      <c r="P91" s="505" t="n"/>
      <c r="Q91" s="505" t="inlineStr">
        <is>
          <t>v</t>
        </is>
      </c>
      <c r="R91" s="507" t="n"/>
      <c r="S91" s="507" t="n"/>
      <c r="T91" s="508" t="n">
        <v>131550</v>
      </c>
      <c r="U91" s="509" t="n">
        <v>121026</v>
      </c>
      <c r="V91" s="510" t="n">
        <v>0.15</v>
      </c>
      <c r="W91" s="507" t="n"/>
      <c r="X91" s="511" t="n">
        <v>0.05</v>
      </c>
      <c r="Y91" s="971" t="n">
        <v>2910</v>
      </c>
      <c r="Z91" s="511" t="n">
        <v>0.03</v>
      </c>
      <c r="AA91" s="972">
        <f>U91*(1+V91+X91+Z91)+Y91</f>
        <v>151771.98</v>
      </c>
      <c r="AB91" s="516" t="n"/>
    </row>
    <row r="92">
      <c r="A92" s="500" t="inlineStr">
        <is>
          <t>V</t>
        </is>
      </c>
      <c r="B92" s="501" t="inlineStr">
        <is>
          <t xml:space="preserve">Vacant </t>
        </is>
      </c>
      <c r="C92" s="502" t="inlineStr">
        <is>
          <t>Portfolio Analyst</t>
        </is>
      </c>
      <c r="D92" s="501" t="inlineStr">
        <is>
          <t>Ruth Chou</t>
        </is>
      </c>
      <c r="E92" s="501" t="inlineStr">
        <is>
          <t xml:space="preserve">Manager Service Perforance &amp; Assurance </t>
        </is>
      </c>
      <c r="F92" s="501" t="inlineStr">
        <is>
          <t>Partnering &amp; Transformation</t>
        </is>
      </c>
      <c r="G92" s="501" t="inlineStr">
        <is>
          <t>Transformation</t>
        </is>
      </c>
      <c r="H92" s="501" t="inlineStr">
        <is>
          <t>NA</t>
        </is>
      </c>
      <c r="I92" s="501" t="inlineStr">
        <is>
          <t>NA</t>
        </is>
      </c>
      <c r="J92" s="501" t="inlineStr">
        <is>
          <t>NA</t>
        </is>
      </c>
      <c r="K92" s="501" t="inlineStr">
        <is>
          <t>NA</t>
        </is>
      </c>
      <c r="L92" s="503" t="n"/>
      <c r="M92" s="504" t="inlineStr">
        <is>
          <t>Australia</t>
        </is>
      </c>
      <c r="N92" s="505" t="inlineStr">
        <is>
          <t>CIA</t>
        </is>
      </c>
      <c r="O92" s="505" t="n">
        <v>1</v>
      </c>
      <c r="P92" s="505" t="n"/>
      <c r="Q92" s="505" t="inlineStr">
        <is>
          <t>v</t>
        </is>
      </c>
      <c r="R92" s="507" t="n"/>
      <c r="S92" s="507" t="n"/>
      <c r="T92" s="508" t="n">
        <v>129650</v>
      </c>
      <c r="U92" s="509" t="n">
        <v>129650</v>
      </c>
      <c r="V92" s="511" t="n">
        <v>0.1</v>
      </c>
      <c r="W92" s="973" t="n">
        <v>0.055</v>
      </c>
      <c r="X92" s="973" t="n">
        <v>0.12</v>
      </c>
      <c r="Y92" s="974" t="n"/>
      <c r="Z92" s="973" t="n">
        <v>0.04</v>
      </c>
      <c r="AA92" s="972">
        <f>U92*(1+V92+W92+X92+Y92+Z92)</f>
        <v>170489.75</v>
      </c>
      <c r="AB92" s="516" t="n"/>
    </row>
    <row r="93">
      <c r="A93" s="500" t="n">
        <v>101862</v>
      </c>
      <c r="B93" s="501" t="inlineStr">
        <is>
          <t>Vaughn Scott</t>
        </is>
      </c>
      <c r="C93" s="502" t="inlineStr">
        <is>
          <t>TDD BP - ES</t>
        </is>
      </c>
      <c r="D93" s="501" t="inlineStr">
        <is>
          <t>Michael Schofield</t>
        </is>
      </c>
      <c r="E93" s="501" t="inlineStr">
        <is>
          <t>GM TDD, Partnering &amp; Transformation</t>
        </is>
      </c>
      <c r="F93" s="501" t="inlineStr">
        <is>
          <t>Partnering &amp; Transformation</t>
        </is>
      </c>
      <c r="G93" s="501" t="inlineStr">
        <is>
          <t>TDD Business Partner</t>
        </is>
      </c>
      <c r="H93" s="501" t="inlineStr">
        <is>
          <t>NA</t>
        </is>
      </c>
      <c r="I93" s="501" t="inlineStr">
        <is>
          <t>NA</t>
        </is>
      </c>
      <c r="J93" s="501" t="inlineStr">
        <is>
          <t>NA</t>
        </is>
      </c>
      <c r="K93" s="501" t="inlineStr">
        <is>
          <t>NA</t>
        </is>
      </c>
      <c r="L93" s="503" t="n"/>
      <c r="M93" s="504" t="inlineStr">
        <is>
          <t>Australia</t>
        </is>
      </c>
      <c r="N93" s="505" t="inlineStr">
        <is>
          <t>CSC</t>
        </is>
      </c>
      <c r="O93" s="505" t="n">
        <v>1</v>
      </c>
      <c r="P93" s="505" t="n"/>
      <c r="Q93" s="505" t="inlineStr">
        <is>
          <t>Permanent - Full Time</t>
        </is>
      </c>
      <c r="R93" s="507" t="n"/>
      <c r="S93" s="507" t="n"/>
      <c r="T93" s="508" t="n">
        <v>242660</v>
      </c>
      <c r="U93" s="509" t="n">
        <v>242660</v>
      </c>
      <c r="V93" s="511" t="n">
        <v>0.2</v>
      </c>
      <c r="W93" s="973" t="n">
        <v>0.055</v>
      </c>
      <c r="X93" s="973" t="n">
        <v>0.12</v>
      </c>
      <c r="Y93" s="974" t="n"/>
      <c r="Z93" s="973" t="n">
        <v>0.04</v>
      </c>
      <c r="AA93" s="972">
        <f>U93*(1+V93+W93+X93+Y93+Z93)</f>
        <v>343363.9</v>
      </c>
      <c r="AB93" s="516" t="n"/>
    </row>
    <row r="94">
      <c r="A94" s="500" t="n">
        <v>116032</v>
      </c>
      <c r="B94" s="503" t="inlineStr">
        <is>
          <t>Abdul Ghaffar</t>
        </is>
      </c>
      <c r="C94" s="533" t="inlineStr">
        <is>
          <t>Applications Specialist - Demand Planning</t>
        </is>
      </c>
      <c r="D94" s="501" t="inlineStr">
        <is>
          <t>Sai Konka</t>
        </is>
      </c>
      <c r="E94" s="501" t="inlineStr">
        <is>
          <t>Applications &amp; Analytics Manager</t>
        </is>
      </c>
      <c r="F94" s="534" t="inlineStr">
        <is>
          <t>Strategy, Architecture &amp; Data</t>
        </is>
      </c>
      <c r="G94" s="503" t="inlineStr">
        <is>
          <t>Group Data</t>
        </is>
      </c>
      <c r="H94" s="534" t="inlineStr">
        <is>
          <t>Data Engineering &amp; Platforms</t>
        </is>
      </c>
      <c r="I94" s="534" t="inlineStr">
        <is>
          <t>Enterprise Data</t>
        </is>
      </c>
      <c r="J94" s="534" t="inlineStr">
        <is>
          <t>EGI</t>
        </is>
      </c>
      <c r="K94" s="534" t="inlineStr">
        <is>
          <t>Reporting &amp; Analytics</t>
        </is>
      </c>
      <c r="L94" s="503" t="n"/>
      <c r="M94" s="504" t="inlineStr">
        <is>
          <t>Australia</t>
        </is>
      </c>
      <c r="N94" s="505" t="inlineStr">
        <is>
          <t>CIB</t>
        </is>
      </c>
      <c r="O94" s="505" t="n">
        <v>1</v>
      </c>
      <c r="P94" s="505" t="n"/>
      <c r="Q94" s="505" t="inlineStr">
        <is>
          <t>Permanent - Full Time</t>
        </is>
      </c>
      <c r="R94" s="507" t="n"/>
      <c r="S94" s="507" t="n"/>
      <c r="T94" s="508" t="n">
        <v>180000</v>
      </c>
      <c r="U94" s="509" t="n">
        <v>180000</v>
      </c>
      <c r="V94" s="511" t="n">
        <v>0.12</v>
      </c>
      <c r="W94" s="973" t="n">
        <v>0.055</v>
      </c>
      <c r="X94" s="973" t="n">
        <v>0.12</v>
      </c>
      <c r="Y94" s="974" t="n"/>
      <c r="Z94" s="973" t="n">
        <v>0.04</v>
      </c>
      <c r="AA94" s="972">
        <f>U94*(1+V94+W94+X94+Y94+Z94)</f>
        <v>240300.0</v>
      </c>
      <c r="AB94" s="516" t="n"/>
    </row>
    <row r="95">
      <c r="A95" s="500" t="n">
        <v>102098</v>
      </c>
      <c r="B95" s="501" t="inlineStr">
        <is>
          <t>Bobby Mason</t>
        </is>
      </c>
      <c r="C95" s="502" t="inlineStr">
        <is>
          <t>Reporting Analyst</t>
        </is>
      </c>
      <c r="D95" s="501" t="inlineStr">
        <is>
          <t>Prashanth Krishnankutty</t>
        </is>
      </c>
      <c r="E95" s="501" t="inlineStr">
        <is>
          <t>Lead, Reporting &amp; Insights</t>
        </is>
      </c>
      <c r="F95" s="534" t="inlineStr">
        <is>
          <t>Strategy, Architecture &amp; Data</t>
        </is>
      </c>
      <c r="G95" s="503" t="inlineStr">
        <is>
          <t>Group Data</t>
        </is>
      </c>
      <c r="H95" s="534" t="inlineStr">
        <is>
          <t>Data Engineering &amp; Platforms</t>
        </is>
      </c>
      <c r="I95" s="534" t="inlineStr">
        <is>
          <t>Enterprise Data</t>
        </is>
      </c>
      <c r="J95" s="534" t="inlineStr">
        <is>
          <t>Group Data</t>
        </is>
      </c>
      <c r="K95" s="534" t="inlineStr">
        <is>
          <t>Reporting &amp; Analytics</t>
        </is>
      </c>
      <c r="L95" s="503" t="n"/>
      <c r="M95" s="504" t="inlineStr">
        <is>
          <t>Australia</t>
        </is>
      </c>
      <c r="N95" s="505" t="inlineStr">
        <is>
          <t>CIB</t>
        </is>
      </c>
      <c r="O95" s="505" t="n">
        <v>1</v>
      </c>
      <c r="P95" s="505" t="n"/>
      <c r="Q95" s="505" t="inlineStr">
        <is>
          <t>Permanent - Full Time</t>
        </is>
      </c>
      <c r="R95" s="507" t="n"/>
      <c r="S95" s="507" t="n"/>
      <c r="T95" s="508" t="n">
        <v>166560</v>
      </c>
      <c r="U95" s="509" t="n">
        <v>166560</v>
      </c>
      <c r="V95" s="511" t="n">
        <v>0.12</v>
      </c>
      <c r="W95" s="973" t="n">
        <v>0.055</v>
      </c>
      <c r="X95" s="973" t="n">
        <v>0.12</v>
      </c>
      <c r="Y95" s="974" t="n"/>
      <c r="Z95" s="973" t="n">
        <v>0.04</v>
      </c>
      <c r="AA95" s="972">
        <f>U95*(1+V95+W95+X95+Y95+Z95)</f>
        <v>222357.6</v>
      </c>
      <c r="AB95" s="516" t="n"/>
    </row>
    <row r="96">
      <c r="A96" s="500" t="n">
        <v>99999101507</v>
      </c>
      <c r="B96" s="501" t="inlineStr">
        <is>
          <t>Carol Kuang</t>
        </is>
      </c>
      <c r="C96" s="502" t="inlineStr">
        <is>
          <t>Senior Data Scientist</t>
        </is>
      </c>
      <c r="D96" s="501" t="inlineStr">
        <is>
          <t>Jonathan Robinson</t>
        </is>
      </c>
      <c r="E96" s="501" t="inlineStr">
        <is>
          <t>Technology Manager, Data Science</t>
        </is>
      </c>
      <c r="F96" s="534" t="inlineStr">
        <is>
          <t>Strategy, Architecture &amp; Data</t>
        </is>
      </c>
      <c r="G96" s="503" t="inlineStr">
        <is>
          <t>Group Data</t>
        </is>
      </c>
      <c r="H96" s="534" t="inlineStr">
        <is>
          <t>Data Science</t>
        </is>
      </c>
      <c r="I96" s="534" t="inlineStr">
        <is>
          <t>Enterprise Data</t>
        </is>
      </c>
      <c r="J96" s="534" t="inlineStr">
        <is>
          <t>Group Data</t>
        </is>
      </c>
      <c r="K96" s="503" t="inlineStr">
        <is>
          <t>Data Science</t>
        </is>
      </c>
      <c r="L96" s="503" t="n"/>
      <c r="M96" s="504" t="inlineStr">
        <is>
          <t>NZ</t>
        </is>
      </c>
      <c r="N96" s="505" t="inlineStr">
        <is>
          <t>CIC</t>
        </is>
      </c>
      <c r="O96" s="506" t="n">
        <v>1</v>
      </c>
      <c r="P96" s="505" t="n"/>
      <c r="Q96" s="506" t="inlineStr">
        <is>
          <t>Permanent - Full Time</t>
        </is>
      </c>
      <c r="R96" s="507" t="n"/>
      <c r="S96" s="507" t="n"/>
      <c r="T96" s="508" t="n">
        <v>160800</v>
      </c>
      <c r="U96" s="509" t="n">
        <v>147936</v>
      </c>
      <c r="V96" s="510" t="n">
        <v>0.15</v>
      </c>
      <c r="W96" s="506" t="n"/>
      <c r="X96" s="511" t="n">
        <v>0.05</v>
      </c>
      <c r="Y96" s="971" t="n">
        <v>2910</v>
      </c>
      <c r="Z96" s="511" t="n">
        <v>0.03</v>
      </c>
      <c r="AA96" s="972">
        <f>U96*(1+V96+X96+Z96)+Y96</f>
        <v>184871.28</v>
      </c>
      <c r="AB96" s="499" t="n">
        <v>113527</v>
      </c>
    </row>
    <row r="97">
      <c r="A97" s="507" t="n">
        <v>115483</v>
      </c>
      <c r="B97" s="500" t="inlineStr">
        <is>
          <t>Craig Ambrose</t>
        </is>
      </c>
      <c r="C97" s="502" t="inlineStr">
        <is>
          <t>Domain Architect - Group Functions</t>
        </is>
      </c>
      <c r="D97" s="501" t="inlineStr">
        <is>
          <t>Vacant</t>
        </is>
      </c>
      <c r="E97" s="501" t="inlineStr">
        <is>
          <t>Head of Architecture</t>
        </is>
      </c>
      <c r="F97" s="534" t="inlineStr">
        <is>
          <t>Strategy, Architecture &amp; Data</t>
        </is>
      </c>
      <c r="G97" s="503" t="inlineStr">
        <is>
          <t>Architecture</t>
        </is>
      </c>
      <c r="H97" s="534" t="inlineStr">
        <is>
          <t>Architecture</t>
        </is>
      </c>
      <c r="I97" s="534" t="n"/>
      <c r="J97" s="534" t="n"/>
      <c r="K97" s="503" t="n"/>
      <c r="L97" s="503" t="n"/>
      <c r="M97" s="504" t="inlineStr">
        <is>
          <t>NZ</t>
        </is>
      </c>
      <c r="N97" s="505" t="inlineStr">
        <is>
          <t>CSB</t>
        </is>
      </c>
      <c r="O97" s="505" t="n">
        <v>1</v>
      </c>
      <c r="P97" s="505" t="n"/>
      <c r="Q97" s="505" t="inlineStr">
        <is>
          <t>Permanent - Full Time</t>
        </is>
      </c>
      <c r="R97" s="507" t="n"/>
      <c r="S97" s="507" t="n"/>
      <c r="T97" s="508" t="n">
        <v>211940</v>
      </c>
      <c r="U97" s="509" t="n">
        <v>194984.8</v>
      </c>
      <c r="V97" s="510" t="n">
        <v>0.15</v>
      </c>
      <c r="W97" s="507" t="n"/>
      <c r="X97" s="511" t="n">
        <v>0.05</v>
      </c>
      <c r="Y97" s="971" t="n">
        <v>2910</v>
      </c>
      <c r="Z97" s="511" t="n">
        <v>0.03</v>
      </c>
      <c r="AA97" s="972">
        <f>U97*(1+V97+X97+Z97)+Y97</f>
        <v>242741.30399999997</v>
      </c>
      <c r="AB97" s="516" t="n"/>
    </row>
    <row r="98">
      <c r="A98" s="500" t="n">
        <v>113956</v>
      </c>
      <c r="B98" s="501" t="inlineStr">
        <is>
          <t>Deepali Mahajan</t>
        </is>
      </c>
      <c r="C98" s="502" t="inlineStr">
        <is>
          <t>Data Operations Manager</t>
        </is>
      </c>
      <c r="D98" s="501" t="inlineStr">
        <is>
          <t>James Holgate</t>
        </is>
      </c>
      <c r="E98" s="501" t="inlineStr">
        <is>
          <t>Head of Technology,  Group Data</t>
        </is>
      </c>
      <c r="F98" s="534" t="inlineStr">
        <is>
          <t>Strategy, Architecture &amp; Data</t>
        </is>
      </c>
      <c r="G98" s="503" t="inlineStr">
        <is>
          <t>Group Data</t>
        </is>
      </c>
      <c r="H98" s="503" t="inlineStr">
        <is>
          <t>Data Operations</t>
        </is>
      </c>
      <c r="I98" s="534" t="inlineStr">
        <is>
          <t>Enterprise Data</t>
        </is>
      </c>
      <c r="J98" s="534" t="inlineStr">
        <is>
          <t>Leadership</t>
        </is>
      </c>
      <c r="K98" s="503" t="n"/>
      <c r="L98" s="503" t="n"/>
      <c r="M98" s="504" t="inlineStr">
        <is>
          <t>Australia</t>
        </is>
      </c>
      <c r="N98" s="505" t="inlineStr">
        <is>
          <t>CSB</t>
        </is>
      </c>
      <c r="O98" s="505" t="n">
        <v>1</v>
      </c>
      <c r="P98" s="505" t="n"/>
      <c r="Q98" s="505" t="inlineStr">
        <is>
          <t>Permanent - Full Time</t>
        </is>
      </c>
      <c r="R98" s="507" t="n"/>
      <c r="S98" s="507" t="n"/>
      <c r="T98" s="508" t="n">
        <v>218390</v>
      </c>
      <c r="U98" s="509" t="n">
        <v>218390</v>
      </c>
      <c r="V98" s="511" t="n">
        <v>0.14</v>
      </c>
      <c r="W98" s="973" t="n">
        <v>0.055</v>
      </c>
      <c r="X98" s="973" t="n">
        <v>0.12</v>
      </c>
      <c r="Y98" s="974" t="n"/>
      <c r="Z98" s="973" t="n">
        <v>0.04</v>
      </c>
      <c r="AA98" s="972">
        <f>U98*(1+V98+W98+X98+Y98+Z98)</f>
        <v>295918.45</v>
      </c>
      <c r="AB98" s="516" t="n"/>
    </row>
    <row r="99">
      <c r="A99" s="535" t="n">
        <v>105010</v>
      </c>
      <c r="B99" s="501" t="inlineStr">
        <is>
          <t>Dinesh Chandrasekaran</t>
        </is>
      </c>
      <c r="C99" s="502" t="inlineStr">
        <is>
          <t>Lead Engineer (Snowflake)</t>
        </is>
      </c>
      <c r="D99" s="501" t="inlineStr">
        <is>
          <t>Jason Gleason</t>
        </is>
      </c>
      <c r="E99" s="501" t="inlineStr">
        <is>
          <t>Technology Manager, Data Engineering &amp; Platforms</t>
        </is>
      </c>
      <c r="F99" s="501" t="inlineStr">
        <is>
          <t>Strategy, Architecture &amp; Data</t>
        </is>
      </c>
      <c r="G99" s="501" t="inlineStr">
        <is>
          <t>Group Data</t>
        </is>
      </c>
      <c r="H99" s="534" t="inlineStr">
        <is>
          <t>Data Engineering &amp; Platforms</t>
        </is>
      </c>
      <c r="I99" s="503" t="inlineStr">
        <is>
          <t>Enterprise Data</t>
        </is>
      </c>
      <c r="J99" s="534" t="inlineStr">
        <is>
          <t>Group Data</t>
        </is>
      </c>
      <c r="K99" s="503" t="inlineStr">
        <is>
          <t>Data Platform</t>
        </is>
      </c>
      <c r="L99" s="503" t="n"/>
      <c r="M99" s="504" t="inlineStr">
        <is>
          <t>Australia</t>
        </is>
      </c>
      <c r="N99" s="536" t="inlineStr">
        <is>
          <t xml:space="preserve">CIB </t>
        </is>
      </c>
      <c r="O99" s="536" t="n">
        <v>1</v>
      </c>
      <c r="P99" s="536" t="n"/>
      <c r="Q99" s="536" t="inlineStr">
        <is>
          <t>Permanent - Full Time</t>
        </is>
      </c>
      <c r="R99" s="501" t="n"/>
      <c r="S99" s="501" t="n"/>
      <c r="T99" s="537" t="n">
        <v>182760</v>
      </c>
      <c r="U99" s="509" t="n">
        <v>182760</v>
      </c>
      <c r="V99" s="511" t="n">
        <v>0.12</v>
      </c>
      <c r="W99" s="973" t="n">
        <v>0.055</v>
      </c>
      <c r="X99" s="973" t="n">
        <v>0.12</v>
      </c>
      <c r="Y99" s="974" t="n"/>
      <c r="Z99" s="973" t="n">
        <v>0.04</v>
      </c>
      <c r="AA99" s="972">
        <f>U99*(1+V99+W99+X99+Y99+Z99)</f>
        <v>243984.6</v>
      </c>
      <c r="AB99" s="516" t="n"/>
    </row>
    <row r="100">
      <c r="A100" s="500" t="n">
        <v>80469</v>
      </c>
      <c r="B100" s="501" t="inlineStr">
        <is>
          <t>James Holgate</t>
        </is>
      </c>
      <c r="C100" s="502" t="inlineStr">
        <is>
          <t>Head of Technology,  Group Data</t>
        </is>
      </c>
      <c r="D100" s="501" t="inlineStr">
        <is>
          <t>Matt Ashley</t>
        </is>
      </c>
      <c r="E100" s="501" t="inlineStr">
        <is>
          <t>GM TDD, Strategy, Architecture, Data</t>
        </is>
      </c>
      <c r="F100" s="534" t="inlineStr">
        <is>
          <t>Strategy, Architecture &amp; Data</t>
        </is>
      </c>
      <c r="G100" s="503" t="inlineStr">
        <is>
          <t>Group Data</t>
        </is>
      </c>
      <c r="H100" s="534" t="n"/>
      <c r="I100" s="503" t="n"/>
      <c r="J100" s="534" t="inlineStr">
        <is>
          <t>Leadership</t>
        </is>
      </c>
      <c r="K100" s="534" t="n"/>
      <c r="L100" s="503" t="n"/>
      <c r="M100" s="504" t="inlineStr">
        <is>
          <t>Australia</t>
        </is>
      </c>
      <c r="N100" s="507" t="inlineStr">
        <is>
          <t>CSC</t>
        </is>
      </c>
      <c r="O100" s="507" t="n">
        <v>1</v>
      </c>
      <c r="P100" s="507" t="n"/>
      <c r="Q100" s="507" t="inlineStr">
        <is>
          <t>Permanent - Full Time</t>
        </is>
      </c>
      <c r="R100" s="507" t="n"/>
      <c r="S100" s="507" t="n"/>
      <c r="T100" s="508" t="n">
        <v>289580</v>
      </c>
      <c r="U100" s="509" t="n">
        <v>289580</v>
      </c>
      <c r="V100" s="511" t="n">
        <v>0.2</v>
      </c>
      <c r="W100" s="973" t="n">
        <v>0.055</v>
      </c>
      <c r="X100" s="973" t="n">
        <v>0.12</v>
      </c>
      <c r="Y100" s="974" t="n"/>
      <c r="Z100" s="973" t="n">
        <v>0.04</v>
      </c>
      <c r="AA100" s="972">
        <f>U100*(1+V100+W100+X100+Y100+Z100)</f>
        <v>409755.7</v>
      </c>
      <c r="AB100" s="516" t="n"/>
    </row>
    <row r="101">
      <c r="A101" s="500" t="n">
        <v>99999102152</v>
      </c>
      <c r="B101" s="501" t="inlineStr">
        <is>
          <t>Jason Gleason</t>
        </is>
      </c>
      <c r="C101" s="502" t="inlineStr">
        <is>
          <t>Technology Manager, Data Engineering &amp; Platforms</t>
        </is>
      </c>
      <c r="D101" s="501" t="inlineStr">
        <is>
          <t>James Holgate</t>
        </is>
      </c>
      <c r="E101" s="501" t="inlineStr">
        <is>
          <t>Head of Technology,  Group Data</t>
        </is>
      </c>
      <c r="F101" s="534" t="inlineStr">
        <is>
          <t>Strategy, Architecture &amp; Data</t>
        </is>
      </c>
      <c r="G101" s="503" t="inlineStr">
        <is>
          <t>Group Data</t>
        </is>
      </c>
      <c r="H101" s="534" t="inlineStr">
        <is>
          <t>Data Engineering &amp; Platforms</t>
        </is>
      </c>
      <c r="I101" s="534" t="inlineStr">
        <is>
          <t>Enterprise Data</t>
        </is>
      </c>
      <c r="J101" s="538" t="inlineStr">
        <is>
          <t>Leadership</t>
        </is>
      </c>
      <c r="K101" s="503" t="n"/>
      <c r="L101" s="503" t="n"/>
      <c r="M101" s="504" t="inlineStr">
        <is>
          <t>NZ</t>
        </is>
      </c>
      <c r="N101" s="505" t="inlineStr">
        <is>
          <t>CSC</t>
        </is>
      </c>
      <c r="O101" s="506" t="n">
        <v>1</v>
      </c>
      <c r="P101" s="505" t="n"/>
      <c r="Q101" s="506" t="inlineStr">
        <is>
          <t>Permanent - Full Time</t>
        </is>
      </c>
      <c r="R101" s="507" t="n"/>
      <c r="S101" s="507" t="n"/>
      <c r="T101" s="508" t="n">
        <v>270000</v>
      </c>
      <c r="U101" s="509" t="n">
        <v>248400</v>
      </c>
      <c r="V101" s="510" t="n">
        <v>0.2</v>
      </c>
      <c r="W101" s="506" t="n"/>
      <c r="X101" s="511" t="n">
        <v>0.05</v>
      </c>
      <c r="Y101" s="971" t="n">
        <v>2910</v>
      </c>
      <c r="Z101" s="511" t="n">
        <v>0.03</v>
      </c>
      <c r="AA101" s="972">
        <f>U101*(1+V101+X101+Z101)+Y101</f>
        <v>320862.0</v>
      </c>
      <c r="AB101" s="499" t="n">
        <v>116999</v>
      </c>
    </row>
    <row r="102">
      <c r="A102" s="500" t="n">
        <v>113381</v>
      </c>
      <c r="B102" s="501" t="inlineStr">
        <is>
          <t>Joel Vijayakumar</t>
        </is>
      </c>
      <c r="C102" s="502" t="inlineStr">
        <is>
          <t>Delivery Manager, Strategy, Architecture &amp; Data</t>
        </is>
      </c>
      <c r="D102" s="501" t="inlineStr">
        <is>
          <t>Matt Ashley</t>
        </is>
      </c>
      <c r="E102" s="501" t="inlineStr">
        <is>
          <t>GM TDD, Strategy, Architecture, Data</t>
        </is>
      </c>
      <c r="F102" s="534" t="inlineStr">
        <is>
          <t>Strategy, Architecture &amp; Data</t>
        </is>
      </c>
      <c r="G102" s="503" t="inlineStr">
        <is>
          <t>Delivery, SADA</t>
        </is>
      </c>
      <c r="H102" s="503" t="n"/>
      <c r="I102" s="503" t="n"/>
      <c r="J102" s="534" t="inlineStr">
        <is>
          <t>Leadership</t>
        </is>
      </c>
      <c r="K102" s="534" t="n"/>
      <c r="L102" s="503" t="n"/>
      <c r="M102" s="504" t="inlineStr">
        <is>
          <t>Australia</t>
        </is>
      </c>
      <c r="N102" s="505" t="inlineStr">
        <is>
          <t>CSC</t>
        </is>
      </c>
      <c r="O102" s="505" t="n">
        <v>1</v>
      </c>
      <c r="P102" s="505" t="n"/>
      <c r="Q102" s="505" t="inlineStr">
        <is>
          <t>Permanent - Full Time</t>
        </is>
      </c>
      <c r="R102" s="507" t="n"/>
      <c r="S102" s="507" t="n"/>
      <c r="T102" s="508" t="n">
        <v>260840</v>
      </c>
      <c r="U102" s="509" t="n">
        <v>260840</v>
      </c>
      <c r="V102" s="511" t="n">
        <v>0.2</v>
      </c>
      <c r="W102" s="973" t="n">
        <v>0.055</v>
      </c>
      <c r="X102" s="973" t="n">
        <v>0.12</v>
      </c>
      <c r="Y102" s="974" t="n"/>
      <c r="Z102" s="973" t="n">
        <v>0.04</v>
      </c>
      <c r="AA102" s="972">
        <f>U102*(1+V102+W102+X102+Y102+Z102)</f>
        <v>369088.60000000003</v>
      </c>
      <c r="AB102" s="516" t="n"/>
    </row>
    <row r="103">
      <c r="A103" s="500" t="n"/>
      <c r="B103" s="501" t="inlineStr">
        <is>
          <t>John Forde</t>
        </is>
      </c>
      <c r="C103" s="502" t="inlineStr">
        <is>
          <t>Enterprise Architect</t>
        </is>
      </c>
      <c r="D103" s="501" t="inlineStr">
        <is>
          <t>Vacant</t>
        </is>
      </c>
      <c r="E103" s="501" t="inlineStr">
        <is>
          <t>Head of Architecture</t>
        </is>
      </c>
      <c r="F103" s="534" t="inlineStr">
        <is>
          <t>Strategy, Architecture &amp; Data</t>
        </is>
      </c>
      <c r="G103" s="503" t="inlineStr">
        <is>
          <t>Architecture</t>
        </is>
      </c>
      <c r="H103" s="534" t="inlineStr">
        <is>
          <t>Architecture</t>
        </is>
      </c>
      <c r="I103" s="534" t="n"/>
      <c r="J103" s="534" t="n"/>
      <c r="K103" s="503" t="n"/>
      <c r="L103" s="503" t="n"/>
      <c r="M103" s="504" t="inlineStr">
        <is>
          <t>NZ</t>
        </is>
      </c>
      <c r="N103" s="505" t="inlineStr">
        <is>
          <t>CSB</t>
        </is>
      </c>
      <c r="O103" s="505" t="n">
        <v>1</v>
      </c>
      <c r="P103" s="505" t="n"/>
      <c r="Q103" s="505" t="inlineStr">
        <is>
          <t>Permanent - Full Time</t>
        </is>
      </c>
      <c r="R103" s="529" t="n"/>
      <c r="S103" s="507" t="n"/>
      <c r="T103" s="508" t="n">
        <v>186780</v>
      </c>
      <c r="U103" s="509" t="n">
        <v>171837.6</v>
      </c>
      <c r="V103" s="510" t="n">
        <v>0.15</v>
      </c>
      <c r="W103" s="507" t="n"/>
      <c r="X103" s="511" t="n">
        <v>0.05</v>
      </c>
      <c r="Y103" s="971" t="n">
        <v>2910</v>
      </c>
      <c r="Z103" s="511" t="n">
        <v>0.03</v>
      </c>
      <c r="AA103" s="972">
        <f>U103*(1+V103+X103+Z103)+Y103</f>
        <v>214270.248</v>
      </c>
      <c r="AB103" s="516" t="n"/>
    </row>
    <row r="104">
      <c r="A104" s="500" t="n">
        <v>114067</v>
      </c>
      <c r="B104" s="501" t="inlineStr">
        <is>
          <t>Jonathan Robinson</t>
        </is>
      </c>
      <c r="C104" s="502" t="inlineStr">
        <is>
          <t>Technology Manager  Data Science</t>
        </is>
      </c>
      <c r="D104" s="501" t="inlineStr">
        <is>
          <t>James Holgate</t>
        </is>
      </c>
      <c r="E104" s="501" t="inlineStr">
        <is>
          <t>Head of Technology,  Group Data</t>
        </is>
      </c>
      <c r="F104" s="534" t="inlineStr">
        <is>
          <t>Strategy, Architecture &amp; Data</t>
        </is>
      </c>
      <c r="G104" s="503" t="inlineStr">
        <is>
          <t>Group Data</t>
        </is>
      </c>
      <c r="H104" s="503" t="inlineStr">
        <is>
          <t>Data Science</t>
        </is>
      </c>
      <c r="I104" s="534" t="inlineStr">
        <is>
          <t>Enterprise Data</t>
        </is>
      </c>
      <c r="J104" s="534" t="inlineStr">
        <is>
          <t>Leadership</t>
        </is>
      </c>
      <c r="K104" s="503" t="n"/>
      <c r="L104" s="503" t="n"/>
      <c r="M104" s="504" t="inlineStr">
        <is>
          <t>Australia</t>
        </is>
      </c>
      <c r="N104" s="505" t="inlineStr">
        <is>
          <t>CSB</t>
        </is>
      </c>
      <c r="O104" s="505" t="n">
        <v>1</v>
      </c>
      <c r="P104" s="505" t="n"/>
      <c r="Q104" s="505" t="inlineStr">
        <is>
          <t>Permanent - Full Time</t>
        </is>
      </c>
      <c r="R104" s="507" t="n"/>
      <c r="S104" s="507" t="n"/>
      <c r="T104" s="508" t="n">
        <v>243850</v>
      </c>
      <c r="U104" s="509" t="n">
        <v>243850</v>
      </c>
      <c r="V104" s="511" t="n">
        <v>0.14</v>
      </c>
      <c r="W104" s="973" t="n">
        <v>0.055</v>
      </c>
      <c r="X104" s="973" t="n">
        <v>0.12</v>
      </c>
      <c r="Y104" s="974" t="n"/>
      <c r="Z104" s="973" t="n">
        <v>0.04</v>
      </c>
      <c r="AA104" s="972">
        <f>U104*(1+V104+W104+X104+Y104+Z104)</f>
        <v>330416.75</v>
      </c>
      <c r="AB104" s="516" t="n"/>
    </row>
    <row r="105">
      <c r="A105" s="500" t="n">
        <v>80477</v>
      </c>
      <c r="B105" s="501" t="inlineStr">
        <is>
          <t>Kina Birkby</t>
        </is>
      </c>
      <c r="C105" s="502" t="inlineStr">
        <is>
          <t>Delivery Lead</t>
        </is>
      </c>
      <c r="D105" s="501" t="inlineStr">
        <is>
          <t>Joel Vijayakumar</t>
        </is>
      </c>
      <c r="E105" s="501" t="inlineStr">
        <is>
          <t>Delivery Manager, Strategy, Architecture &amp; Data</t>
        </is>
      </c>
      <c r="F105" s="534" t="inlineStr">
        <is>
          <t>Strategy, Architecture &amp; Data</t>
        </is>
      </c>
      <c r="G105" s="503" t="inlineStr">
        <is>
          <t>Delivery, SADA</t>
        </is>
      </c>
      <c r="H105" s="503" t="n"/>
      <c r="I105" s="534" t="inlineStr">
        <is>
          <t>Enterprise Data</t>
        </is>
      </c>
      <c r="J105" s="534" t="inlineStr">
        <is>
          <t>Group Data</t>
        </is>
      </c>
      <c r="K105" s="534" t="inlineStr">
        <is>
          <t>Reporting &amp; Analytics</t>
        </is>
      </c>
      <c r="L105" s="503" t="n"/>
      <c r="M105" s="504" t="inlineStr">
        <is>
          <t>Australia</t>
        </is>
      </c>
      <c r="N105" s="507" t="inlineStr">
        <is>
          <t>CIC</t>
        </is>
      </c>
      <c r="O105" s="507" t="n">
        <v>0.6</v>
      </c>
      <c r="P105" s="507" t="n"/>
      <c r="Q105" s="507" t="inlineStr">
        <is>
          <t>Permanent - Part Time</t>
        </is>
      </c>
      <c r="R105" s="507" t="n"/>
      <c r="S105" s="507" t="n"/>
      <c r="T105" s="508" t="n">
        <v>197180</v>
      </c>
      <c r="U105" s="509" t="n">
        <v>197180</v>
      </c>
      <c r="V105" s="511" t="n">
        <v>0.12</v>
      </c>
      <c r="W105" s="973" t="n">
        <v>0.055</v>
      </c>
      <c r="X105" s="973" t="n">
        <v>0.12</v>
      </c>
      <c r="Y105" s="974" t="n"/>
      <c r="Z105" s="973" t="n">
        <v>0.04</v>
      </c>
      <c r="AA105" s="972">
        <f>U105*(1+V105+W105+X105+Y105+Z105)</f>
        <v>263235.3</v>
      </c>
      <c r="AB105" s="516" t="n"/>
    </row>
    <row r="106">
      <c r="A106" s="500" t="n">
        <v>99999101535</v>
      </c>
      <c r="B106" s="501" t="inlineStr">
        <is>
          <t>Lynn Yiew</t>
        </is>
      </c>
      <c r="C106" s="502" t="inlineStr">
        <is>
          <t>Data Governance Specialist</t>
        </is>
      </c>
      <c r="D106" s="503" t="inlineStr">
        <is>
          <t>Sanjay Tikoo</t>
        </is>
      </c>
      <c r="E106" s="501" t="inlineStr">
        <is>
          <t>Data Capability Manager</t>
        </is>
      </c>
      <c r="F106" s="534" t="inlineStr">
        <is>
          <t>Strategy, Architecture &amp; Data</t>
        </is>
      </c>
      <c r="G106" s="503" t="inlineStr">
        <is>
          <t>Group Data</t>
        </is>
      </c>
      <c r="H106" s="503" t="inlineStr">
        <is>
          <t>Data Capability</t>
        </is>
      </c>
      <c r="I106" s="534" t="inlineStr">
        <is>
          <t>Enterprise Data</t>
        </is>
      </c>
      <c r="J106" s="534" t="inlineStr">
        <is>
          <t>Group Data</t>
        </is>
      </c>
      <c r="K106" s="503" t="n"/>
      <c r="L106" s="503" t="n"/>
      <c r="M106" s="504" t="inlineStr">
        <is>
          <t>NZ</t>
        </is>
      </c>
      <c r="N106" s="505" t="inlineStr">
        <is>
          <t>CIB</t>
        </is>
      </c>
      <c r="O106" s="506" t="n">
        <v>1</v>
      </c>
      <c r="P106" s="505" t="n"/>
      <c r="Q106" s="506" t="inlineStr">
        <is>
          <t>Permanent - Full Time</t>
        </is>
      </c>
      <c r="R106" s="507" t="n"/>
      <c r="S106" s="507" t="n"/>
      <c r="T106" s="508" t="n">
        <v>129760</v>
      </c>
      <c r="U106" s="509" t="n">
        <v>119379.2</v>
      </c>
      <c r="V106" s="510" t="n">
        <v>0.15</v>
      </c>
      <c r="W106" s="507" t="n"/>
      <c r="X106" s="511" t="n">
        <v>0.05</v>
      </c>
      <c r="Y106" s="971" t="n">
        <v>2910</v>
      </c>
      <c r="Z106" s="511" t="n">
        <v>0.03</v>
      </c>
      <c r="AA106" s="972">
        <f>U106*(1+V106+X106+Z106)+Y106</f>
        <v>149746.416</v>
      </c>
      <c r="AB106" s="499" t="n">
        <v>113582</v>
      </c>
    </row>
    <row r="107">
      <c r="A107" s="507" t="n">
        <v>113595</v>
      </c>
      <c r="B107" s="500" t="inlineStr">
        <is>
          <t>Mike Gilbert</t>
        </is>
      </c>
      <c r="C107" s="502" t="inlineStr">
        <is>
          <t xml:space="preserve">Domain Architect - CFE &amp; Infrastructure </t>
        </is>
      </c>
      <c r="D107" s="501" t="inlineStr">
        <is>
          <t>Vacant</t>
        </is>
      </c>
      <c r="E107" s="501" t="inlineStr">
        <is>
          <t>Head of Architecture</t>
        </is>
      </c>
      <c r="F107" s="534" t="inlineStr">
        <is>
          <t>Strategy, Architecture &amp; Data</t>
        </is>
      </c>
      <c r="G107" s="503" t="inlineStr">
        <is>
          <t>Architecture</t>
        </is>
      </c>
      <c r="H107" s="539" t="inlineStr">
        <is>
          <t>Architecture</t>
        </is>
      </c>
      <c r="I107" s="534" t="n"/>
      <c r="J107" s="534" t="n"/>
      <c r="K107" s="503" t="n"/>
      <c r="L107" s="503" t="n"/>
      <c r="M107" s="504" t="inlineStr">
        <is>
          <t>NZ</t>
        </is>
      </c>
      <c r="N107" s="505" t="inlineStr">
        <is>
          <t>CSB</t>
        </is>
      </c>
      <c r="O107" s="505" t="n">
        <v>1</v>
      </c>
      <c r="P107" s="505" t="n"/>
      <c r="Q107" s="505" t="inlineStr">
        <is>
          <t>Permanent - Full Time</t>
        </is>
      </c>
      <c r="R107" s="507" t="n"/>
      <c r="S107" s="507" t="n"/>
      <c r="T107" s="508" t="n">
        <v>206740</v>
      </c>
      <c r="U107" s="509" t="n">
        <v>190200.8</v>
      </c>
      <c r="V107" s="510" t="n">
        <v>0.15</v>
      </c>
      <c r="W107" s="507" t="n"/>
      <c r="X107" s="511" t="n">
        <v>0.05</v>
      </c>
      <c r="Y107" s="971" t="n">
        <v>2910</v>
      </c>
      <c r="Z107" s="511" t="n">
        <v>0.03</v>
      </c>
      <c r="AA107" s="972">
        <f>U107*(1+V107+X107+Z107)+Y107</f>
        <v>236856.984</v>
      </c>
      <c r="AB107" s="516" t="n"/>
    </row>
    <row r="108">
      <c r="A108" s="500" t="n">
        <v>100330</v>
      </c>
      <c r="B108" s="501" t="inlineStr">
        <is>
          <t>Milan Patel</t>
        </is>
      </c>
      <c r="C108" s="502" t="inlineStr">
        <is>
          <t>Platform Architect</t>
        </is>
      </c>
      <c r="D108" s="503" t="inlineStr">
        <is>
          <t>Sanjay Tikoo</t>
        </is>
      </c>
      <c r="E108" s="501" t="inlineStr">
        <is>
          <t>Data Capability Manager</t>
        </is>
      </c>
      <c r="F108" s="534" t="inlineStr">
        <is>
          <t>Strategy, Architecture &amp; Data</t>
        </is>
      </c>
      <c r="G108" s="503" t="inlineStr">
        <is>
          <t>Group Data</t>
        </is>
      </c>
      <c r="H108" s="503" t="inlineStr">
        <is>
          <t>Data Capability</t>
        </is>
      </c>
      <c r="I108" s="534" t="inlineStr">
        <is>
          <t>Enterprise Data</t>
        </is>
      </c>
      <c r="J108" s="534" t="inlineStr">
        <is>
          <t>Group Data</t>
        </is>
      </c>
      <c r="K108" s="503" t="inlineStr">
        <is>
          <t>Data Platform</t>
        </is>
      </c>
      <c r="L108" s="503" t="n"/>
      <c r="M108" s="504" t="inlineStr">
        <is>
          <t>Australia</t>
        </is>
      </c>
      <c r="N108" s="505" t="inlineStr">
        <is>
          <t>CIC</t>
        </is>
      </c>
      <c r="O108" s="505" t="n">
        <v>1</v>
      </c>
      <c r="P108" s="505" t="n"/>
      <c r="Q108" s="505" t="inlineStr">
        <is>
          <t>Permanent - Full Time</t>
        </is>
      </c>
      <c r="R108" s="507" t="n"/>
      <c r="S108" s="507" t="n"/>
      <c r="T108" s="508" t="n">
        <v>198940</v>
      </c>
      <c r="U108" s="509" t="n">
        <v>198940</v>
      </c>
      <c r="V108" s="511" t="n">
        <v>0.12</v>
      </c>
      <c r="W108" s="973" t="n">
        <v>0.055</v>
      </c>
      <c r="X108" s="973" t="n">
        <v>0.12</v>
      </c>
      <c r="Y108" s="974" t="n"/>
      <c r="Z108" s="973" t="n">
        <v>0.04</v>
      </c>
      <c r="AA108" s="972">
        <f>U108*(1+V108+W108+X108+Y108+Z108)</f>
        <v>265584.89999999997</v>
      </c>
      <c r="AB108" s="516" t="n"/>
    </row>
    <row r="109">
      <c r="A109" s="500" t="n">
        <v>99522</v>
      </c>
      <c r="B109" s="501" t="inlineStr">
        <is>
          <t>Mitchell Clarke</t>
        </is>
      </c>
      <c r="C109" s="502" t="inlineStr">
        <is>
          <t>Snr Data Governance Specialist</t>
        </is>
      </c>
      <c r="D109" s="503" t="inlineStr">
        <is>
          <t>Sanjay Tikoo</t>
        </is>
      </c>
      <c r="E109" s="501" t="inlineStr">
        <is>
          <t>Data Capability Manager</t>
        </is>
      </c>
      <c r="F109" s="534" t="inlineStr">
        <is>
          <t>Strategy, Architecture &amp; Data</t>
        </is>
      </c>
      <c r="G109" s="503" t="inlineStr">
        <is>
          <t>Group Data</t>
        </is>
      </c>
      <c r="H109" s="503" t="inlineStr">
        <is>
          <t>Data Capability</t>
        </is>
      </c>
      <c r="I109" s="534" t="inlineStr">
        <is>
          <t>Enterprise Data</t>
        </is>
      </c>
      <c r="J109" s="534" t="inlineStr">
        <is>
          <t>Group Data</t>
        </is>
      </c>
      <c r="K109" s="503" t="n"/>
      <c r="L109" s="503" t="n"/>
      <c r="M109" s="504" t="inlineStr">
        <is>
          <t>Australia</t>
        </is>
      </c>
      <c r="N109" s="505" t="inlineStr">
        <is>
          <t>CIC</t>
        </is>
      </c>
      <c r="O109" s="505" t="n">
        <v>1</v>
      </c>
      <c r="P109" s="505" t="n"/>
      <c r="Q109" s="505" t="inlineStr">
        <is>
          <t>Permanent - Full Time</t>
        </is>
      </c>
      <c r="R109" s="507" t="n"/>
      <c r="S109" s="507" t="n"/>
      <c r="T109" s="508" t="n">
        <v>169280</v>
      </c>
      <c r="U109" s="509" t="n">
        <v>169280</v>
      </c>
      <c r="V109" s="511" t="n">
        <v>0.12</v>
      </c>
      <c r="W109" s="973" t="n">
        <v>0.055</v>
      </c>
      <c r="X109" s="973" t="n">
        <v>0.12</v>
      </c>
      <c r="Y109" s="974" t="n"/>
      <c r="Z109" s="973" t="n">
        <v>0.04</v>
      </c>
      <c r="AA109" s="972">
        <f>U109*(1+V109+W109+X109+Y109+Z109)</f>
        <v>225988.8</v>
      </c>
      <c r="AB109" s="516" t="n"/>
    </row>
    <row r="110">
      <c r="A110" s="500" t="n">
        <v>107048</v>
      </c>
      <c r="B110" s="501" t="inlineStr">
        <is>
          <t>Om Singh</t>
        </is>
      </c>
      <c r="C110" s="502" t="inlineStr">
        <is>
          <t>Data Scientist</t>
        </is>
      </c>
      <c r="D110" s="501" t="inlineStr">
        <is>
          <t>Jonathan Robinson</t>
        </is>
      </c>
      <c r="E110" s="501" t="inlineStr">
        <is>
          <t>Technology Manager, Data Science</t>
        </is>
      </c>
      <c r="F110" s="534" t="inlineStr">
        <is>
          <t>Strategy, Architecture &amp; Data</t>
        </is>
      </c>
      <c r="G110" s="503" t="inlineStr">
        <is>
          <t>Group Data</t>
        </is>
      </c>
      <c r="H110" s="534" t="inlineStr">
        <is>
          <t>Data Science</t>
        </is>
      </c>
      <c r="I110" s="534" t="inlineStr">
        <is>
          <t>Enterprise Data</t>
        </is>
      </c>
      <c r="J110" s="534" t="inlineStr">
        <is>
          <t>Group Data</t>
        </is>
      </c>
      <c r="K110" s="503" t="inlineStr">
        <is>
          <t>Data Science</t>
        </is>
      </c>
      <c r="L110" s="503" t="n"/>
      <c r="M110" s="504" t="inlineStr">
        <is>
          <t>Australia</t>
        </is>
      </c>
      <c r="N110" s="505" t="inlineStr">
        <is>
          <t>CIA</t>
        </is>
      </c>
      <c r="O110" s="505" t="n">
        <v>1</v>
      </c>
      <c r="P110" s="505" t="n"/>
      <c r="Q110" s="505" t="inlineStr">
        <is>
          <t>Temporary - Full Time</t>
        </is>
      </c>
      <c r="R110" s="507" t="n"/>
      <c r="S110" s="507" t="n"/>
      <c r="T110" s="508" t="n">
        <v>138000</v>
      </c>
      <c r="U110" s="509" t="n">
        <v>138000</v>
      </c>
      <c r="V110" s="511" t="n">
        <v>0.1</v>
      </c>
      <c r="W110" s="973" t="n">
        <v>0.055</v>
      </c>
      <c r="X110" s="973" t="n">
        <v>0.12</v>
      </c>
      <c r="Y110" s="974" t="n"/>
      <c r="Z110" s="973" t="n">
        <v>0.04</v>
      </c>
      <c r="AA110" s="972">
        <f>U110*(1+V110+W110+X110+Y110+Z110)</f>
        <v>181470.0</v>
      </c>
      <c r="AB110" s="516" t="n"/>
    </row>
    <row r="111">
      <c r="A111" s="500" t="n">
        <v>107154</v>
      </c>
      <c r="B111" s="501" t="inlineStr">
        <is>
          <t>Prashant Tataskar</t>
        </is>
      </c>
      <c r="C111" s="502" t="inlineStr">
        <is>
          <t>Data Scientist</t>
        </is>
      </c>
      <c r="D111" s="501" t="inlineStr">
        <is>
          <t>Jonathan Robinson</t>
        </is>
      </c>
      <c r="E111" s="501" t="inlineStr">
        <is>
          <t>Technology Manager, Data Science</t>
        </is>
      </c>
      <c r="F111" s="534" t="inlineStr">
        <is>
          <t>Strategy, Architecture &amp; Data</t>
        </is>
      </c>
      <c r="G111" s="503" t="inlineStr">
        <is>
          <t>Group Data</t>
        </is>
      </c>
      <c r="H111" s="534" t="inlineStr">
        <is>
          <t>Data Science</t>
        </is>
      </c>
      <c r="I111" s="534" t="inlineStr">
        <is>
          <t>Enterprise Data</t>
        </is>
      </c>
      <c r="J111" s="534" t="inlineStr">
        <is>
          <t>Group Data</t>
        </is>
      </c>
      <c r="K111" s="503" t="inlineStr">
        <is>
          <t>Data Science</t>
        </is>
      </c>
      <c r="L111" s="503" t="n"/>
      <c r="M111" s="504" t="inlineStr">
        <is>
          <t>Australia</t>
        </is>
      </c>
      <c r="N111" s="505" t="inlineStr">
        <is>
          <t>CIB</t>
        </is>
      </c>
      <c r="O111" s="505" t="n">
        <v>1</v>
      </c>
      <c r="P111" s="505" t="n"/>
      <c r="Q111" s="505" t="inlineStr">
        <is>
          <t>Permanent - Full Time</t>
        </is>
      </c>
      <c r="R111" s="507" t="n"/>
      <c r="S111" s="507" t="n"/>
      <c r="T111" s="508" t="n">
        <v>156160</v>
      </c>
      <c r="U111" s="509" t="n">
        <v>156160</v>
      </c>
      <c r="V111" s="511" t="n">
        <v>0.12</v>
      </c>
      <c r="W111" s="973" t="n">
        <v>0.055</v>
      </c>
      <c r="X111" s="973" t="n">
        <v>0.12</v>
      </c>
      <c r="Y111" s="974" t="n"/>
      <c r="Z111" s="973" t="n">
        <v>0.04</v>
      </c>
      <c r="AA111" s="972">
        <f>U111*(1+V111+W111+X111+Y111+Z111)</f>
        <v>208473.6</v>
      </c>
      <c r="AB111" s="516" t="n"/>
    </row>
    <row r="112">
      <c r="A112" s="500" t="n">
        <v>113451</v>
      </c>
      <c r="B112" s="501" t="inlineStr">
        <is>
          <t>Prashanth Krishnankutty</t>
        </is>
      </c>
      <c r="C112" s="502" t="inlineStr">
        <is>
          <t>Lead Reporting &amp; Insights</t>
        </is>
      </c>
      <c r="D112" s="501" t="inlineStr">
        <is>
          <t>Jason Gleason</t>
        </is>
      </c>
      <c r="E112" s="501" t="inlineStr">
        <is>
          <t>Technology Manager, Data Engineering &amp; Platforms</t>
        </is>
      </c>
      <c r="F112" s="534" t="inlineStr">
        <is>
          <t>Strategy, Architecture &amp; Data</t>
        </is>
      </c>
      <c r="G112" s="503" t="inlineStr">
        <is>
          <t>Group Data</t>
        </is>
      </c>
      <c r="H112" s="534" t="inlineStr">
        <is>
          <t>Data Engineering &amp; Platforms</t>
        </is>
      </c>
      <c r="I112" s="534" t="inlineStr">
        <is>
          <t>Enterprise Data</t>
        </is>
      </c>
      <c r="J112" s="534" t="inlineStr">
        <is>
          <t>Group Data</t>
        </is>
      </c>
      <c r="K112" s="534" t="inlineStr">
        <is>
          <t>Reporting &amp; Analytics</t>
        </is>
      </c>
      <c r="L112" s="503" t="n"/>
      <c r="M112" s="504" t="inlineStr">
        <is>
          <t>Australia</t>
        </is>
      </c>
      <c r="N112" s="505" t="inlineStr">
        <is>
          <t>CIC</t>
        </is>
      </c>
      <c r="O112" s="505" t="n">
        <v>1</v>
      </c>
      <c r="P112" s="505" t="n"/>
      <c r="Q112" s="505" t="inlineStr">
        <is>
          <t>Permanent - Full Time</t>
        </is>
      </c>
      <c r="R112" s="507" t="n"/>
      <c r="S112" s="507" t="n"/>
      <c r="T112" s="508" t="n">
        <v>191290</v>
      </c>
      <c r="U112" s="509" t="n">
        <v>191290</v>
      </c>
      <c r="V112" s="511" t="n">
        <v>0.12</v>
      </c>
      <c r="W112" s="973" t="n">
        <v>0.055</v>
      </c>
      <c r="X112" s="973" t="n">
        <v>0.12</v>
      </c>
      <c r="Y112" s="974" t="n"/>
      <c r="Z112" s="973" t="n">
        <v>0.04</v>
      </c>
      <c r="AA112" s="972">
        <f>U112*(1+V112+W112+X112+Y112+Z112)</f>
        <v>255372.15</v>
      </c>
      <c r="AB112" s="516" t="n"/>
    </row>
    <row r="113">
      <c r="A113" s="500" t="n">
        <v>83092</v>
      </c>
      <c r="B113" s="501" t="inlineStr">
        <is>
          <t>Rakshit Kaul</t>
        </is>
      </c>
      <c r="C113" s="502" t="inlineStr">
        <is>
          <t>Applications Specialist</t>
        </is>
      </c>
      <c r="D113" s="501" t="inlineStr">
        <is>
          <t>Sai Konka</t>
        </is>
      </c>
      <c r="E113" s="501" t="inlineStr">
        <is>
          <t>Applications &amp; Analytics Manager</t>
        </is>
      </c>
      <c r="F113" s="534" t="inlineStr">
        <is>
          <t>Strategy, Architecture &amp; Data</t>
        </is>
      </c>
      <c r="G113" s="503" t="inlineStr">
        <is>
          <t>Group Data</t>
        </is>
      </c>
      <c r="H113" s="534" t="inlineStr">
        <is>
          <t>Data Engineering &amp; Platforms</t>
        </is>
      </c>
      <c r="I113" s="534" t="inlineStr">
        <is>
          <t>Enterprise Data</t>
        </is>
      </c>
      <c r="J113" s="534" t="inlineStr">
        <is>
          <t>EGI</t>
        </is>
      </c>
      <c r="K113" s="534" t="inlineStr">
        <is>
          <t>Reporting &amp; Analytics</t>
        </is>
      </c>
      <c r="L113" s="503" t="n"/>
      <c r="M113" s="504" t="inlineStr">
        <is>
          <t>Australia</t>
        </is>
      </c>
      <c r="N113" s="507" t="inlineStr">
        <is>
          <t>CIB</t>
        </is>
      </c>
      <c r="O113" s="507" t="n">
        <v>1</v>
      </c>
      <c r="P113" s="507" t="n"/>
      <c r="Q113" s="507" t="inlineStr">
        <is>
          <t>Permanent - Full Time</t>
        </is>
      </c>
      <c r="R113" s="507" t="n"/>
      <c r="S113" s="507" t="n"/>
      <c r="T113" s="508" t="n">
        <v>178100</v>
      </c>
      <c r="U113" s="509" t="n">
        <v>178100</v>
      </c>
      <c r="V113" s="511" t="n">
        <v>0.12</v>
      </c>
      <c r="W113" s="973" t="n">
        <v>0.055</v>
      </c>
      <c r="X113" s="973" t="n">
        <v>0.12</v>
      </c>
      <c r="Y113" s="974" t="n"/>
      <c r="Z113" s="973" t="n">
        <v>0.04</v>
      </c>
      <c r="AA113" s="972">
        <f>U113*(1+V113+W113+X113+Y113+Z113)</f>
        <v>237763.5</v>
      </c>
      <c r="AB113" s="516" t="n"/>
    </row>
    <row r="114">
      <c r="A114" s="500" t="n">
        <v>98599</v>
      </c>
      <c r="B114" s="501" t="inlineStr">
        <is>
          <t>Raymond Bai</t>
        </is>
      </c>
      <c r="C114" s="502" t="inlineStr">
        <is>
          <t>Data Adoption Specialist</t>
        </is>
      </c>
      <c r="D114" s="503" t="inlineStr">
        <is>
          <t>Sanjay Tikoo</t>
        </is>
      </c>
      <c r="E114" s="501" t="inlineStr">
        <is>
          <t>Lead Engineer (Databricks)</t>
        </is>
      </c>
      <c r="F114" s="534" t="inlineStr">
        <is>
          <t>Strategy, Architecture &amp; Data</t>
        </is>
      </c>
      <c r="G114" s="503" t="inlineStr">
        <is>
          <t>Group Data</t>
        </is>
      </c>
      <c r="H114" s="534" t="inlineStr">
        <is>
          <t>Data Capability</t>
        </is>
      </c>
      <c r="I114" s="503" t="inlineStr">
        <is>
          <t>Enterprise Data</t>
        </is>
      </c>
      <c r="J114" s="534" t="inlineStr">
        <is>
          <t>Group Data</t>
        </is>
      </c>
      <c r="K114" s="503" t="n"/>
      <c r="L114" s="503" t="n"/>
      <c r="M114" s="504" t="inlineStr">
        <is>
          <t>Australia</t>
        </is>
      </c>
      <c r="N114" s="505" t="inlineStr">
        <is>
          <t>CIB</t>
        </is>
      </c>
      <c r="O114" s="505" t="n">
        <v>1</v>
      </c>
      <c r="P114" s="505" t="n"/>
      <c r="Q114" s="505" t="inlineStr">
        <is>
          <t>Permanent - Full Time</t>
        </is>
      </c>
      <c r="R114" s="507" t="n"/>
      <c r="S114" s="507" t="n"/>
      <c r="T114" s="508" t="n">
        <v>131740</v>
      </c>
      <c r="U114" s="509" t="n">
        <v>131740</v>
      </c>
      <c r="V114" s="511" t="n">
        <v>0.12</v>
      </c>
      <c r="W114" s="973" t="n">
        <v>0.055</v>
      </c>
      <c r="X114" s="973" t="n">
        <v>0.12</v>
      </c>
      <c r="Y114" s="974" t="n"/>
      <c r="Z114" s="973" t="n">
        <v>0.04</v>
      </c>
      <c r="AA114" s="972">
        <f>U114*(1+V114+W114+X114+Y114+Z114)</f>
        <v>175872.9</v>
      </c>
      <c r="AB114" s="516" t="n"/>
    </row>
    <row r="115">
      <c r="A115" s="500" t="n">
        <v>110146</v>
      </c>
      <c r="B115" s="501" t="inlineStr">
        <is>
          <t>Renosh Matthew Thomas</t>
        </is>
      </c>
      <c r="C115" s="502" t="inlineStr">
        <is>
          <t>Data Enablement Lead</t>
        </is>
      </c>
      <c r="D115" s="503" t="inlineStr">
        <is>
          <t>Sanjay Tikoo</t>
        </is>
      </c>
      <c r="E115" s="501" t="inlineStr">
        <is>
          <t>Data Capability Manager</t>
        </is>
      </c>
      <c r="F115" s="534" t="inlineStr">
        <is>
          <t>Strategy, Architecture &amp; Data</t>
        </is>
      </c>
      <c r="G115" s="503" t="inlineStr">
        <is>
          <t>Group Data</t>
        </is>
      </c>
      <c r="H115" s="503" t="inlineStr">
        <is>
          <t>Data Capability</t>
        </is>
      </c>
      <c r="I115" s="534" t="inlineStr">
        <is>
          <t>Enterprise Data</t>
        </is>
      </c>
      <c r="J115" s="534" t="inlineStr">
        <is>
          <t>Group Data</t>
        </is>
      </c>
      <c r="K115" s="503" t="n"/>
      <c r="L115" s="503" t="n"/>
      <c r="M115" s="504" t="inlineStr">
        <is>
          <t>Australia</t>
        </is>
      </c>
      <c r="N115" s="505" t="inlineStr">
        <is>
          <t>CIB</t>
        </is>
      </c>
      <c r="O115" s="505" t="n">
        <v>1</v>
      </c>
      <c r="P115" s="505" t="n"/>
      <c r="Q115" s="505" t="inlineStr">
        <is>
          <t>Permanent - Full Time</t>
        </is>
      </c>
      <c r="R115" s="507" t="n"/>
      <c r="S115" s="507" t="n"/>
      <c r="T115" s="508" t="n">
        <v>170080</v>
      </c>
      <c r="U115" s="509" t="n">
        <v>170080</v>
      </c>
      <c r="V115" s="511" t="n">
        <v>0.12</v>
      </c>
      <c r="W115" s="973" t="n">
        <v>0.055</v>
      </c>
      <c r="X115" s="973" t="n">
        <v>0.12</v>
      </c>
      <c r="Y115" s="974" t="n"/>
      <c r="Z115" s="973" t="n">
        <v>0.04</v>
      </c>
      <c r="AA115" s="972">
        <f>U115*(1+V115+W115+X115+Y115+Z115)</f>
        <v>227056.8</v>
      </c>
      <c r="AB115" s="516" t="n"/>
    </row>
    <row r="116">
      <c r="A116" s="500" t="n">
        <v>94631</v>
      </c>
      <c r="B116" s="501" t="inlineStr">
        <is>
          <t>Rihan Schalkwyk</t>
        </is>
      </c>
      <c r="C116" s="502" t="inlineStr">
        <is>
          <t>Senior Business Analyst</t>
        </is>
      </c>
      <c r="D116" s="501" t="inlineStr">
        <is>
          <t>Joel Vijayakumar</t>
        </is>
      </c>
      <c r="E116" s="501" t="inlineStr">
        <is>
          <t>Delivery Manager, Strategy, Architecture &amp; Data</t>
        </is>
      </c>
      <c r="F116" s="534" t="inlineStr">
        <is>
          <t>Strategy, Architecture &amp; Data</t>
        </is>
      </c>
      <c r="G116" s="503" t="inlineStr">
        <is>
          <t>Delivery, SADA</t>
        </is>
      </c>
      <c r="H116" s="503" t="n"/>
      <c r="I116" s="503" t="n"/>
      <c r="J116" s="534" t="n"/>
      <c r="K116" s="503" t="n"/>
      <c r="L116" s="503" t="n"/>
      <c r="M116" s="504" t="inlineStr">
        <is>
          <t>Australia</t>
        </is>
      </c>
      <c r="N116" s="505" t="inlineStr">
        <is>
          <t>CIC</t>
        </is>
      </c>
      <c r="O116" s="505" t="n">
        <v>1</v>
      </c>
      <c r="P116" s="505" t="n"/>
      <c r="Q116" s="505" t="inlineStr">
        <is>
          <t>Permanent - Full Time</t>
        </is>
      </c>
      <c r="R116" s="507" t="n"/>
      <c r="S116" s="507" t="n"/>
      <c r="T116" s="508" t="n">
        <v>186610</v>
      </c>
      <c r="U116" s="509" t="n">
        <v>186610</v>
      </c>
      <c r="V116" s="511" t="n">
        <v>0.12</v>
      </c>
      <c r="W116" s="973" t="n">
        <v>0.055</v>
      </c>
      <c r="X116" s="973" t="n">
        <v>0.12</v>
      </c>
      <c r="Y116" s="974" t="n"/>
      <c r="Z116" s="973" t="n">
        <v>0.04</v>
      </c>
      <c r="AA116" s="972">
        <f>U116*(1+V116+W116+X116+Y116+Z116)</f>
        <v>249124.35</v>
      </c>
      <c r="AB116" s="516" t="n"/>
    </row>
    <row r="117">
      <c r="A117" s="500" t="inlineStr">
        <is>
          <t>V</t>
        </is>
      </c>
      <c r="B117" s="501" t="inlineStr">
        <is>
          <t>ring fenced</t>
        </is>
      </c>
      <c r="C117" s="502" t="inlineStr">
        <is>
          <t>Enterprise Architect</t>
        </is>
      </c>
      <c r="D117" s="501" t="inlineStr">
        <is>
          <t>Vacant</t>
        </is>
      </c>
      <c r="E117" s="501" t="inlineStr">
        <is>
          <t>Head of Architecture</t>
        </is>
      </c>
      <c r="F117" s="534" t="inlineStr">
        <is>
          <t>Strategy, Architecture &amp; Data</t>
        </is>
      </c>
      <c r="G117" s="503" t="inlineStr">
        <is>
          <t>Architecture</t>
        </is>
      </c>
      <c r="H117" s="534" t="inlineStr">
        <is>
          <t>Architecture</t>
        </is>
      </c>
      <c r="I117" s="534" t="n"/>
      <c r="J117" s="534" t="n"/>
      <c r="K117" s="503" t="n"/>
      <c r="L117" s="503" t="n"/>
      <c r="M117" s="504" t="inlineStr">
        <is>
          <t>Australia</t>
        </is>
      </c>
      <c r="N117" s="505" t="inlineStr">
        <is>
          <t>CSB</t>
        </is>
      </c>
      <c r="O117" s="505" t="n">
        <v>1</v>
      </c>
      <c r="P117" s="505" t="n"/>
      <c r="Q117" s="505" t="inlineStr">
        <is>
          <t>Pause</t>
        </is>
      </c>
      <c r="R117" s="529" t="n"/>
      <c r="S117" s="507" t="n"/>
      <c r="T117" s="508" t="n">
        <v>203550</v>
      </c>
      <c r="U117" s="509" t="n">
        <v>203550</v>
      </c>
      <c r="V117" s="511" t="n">
        <v>0.14</v>
      </c>
      <c r="W117" s="973" t="n">
        <v>0.055</v>
      </c>
      <c r="X117" s="973" t="n">
        <v>0.12</v>
      </c>
      <c r="Y117" s="974" t="n"/>
      <c r="Z117" s="973" t="n">
        <v>0.04</v>
      </c>
      <c r="AA117" s="972">
        <f>U117*(1+V117+W117+X117+Y117+Z117)</f>
        <v>275810.25</v>
      </c>
      <c r="AB117" s="516" t="n"/>
    </row>
    <row r="118">
      <c r="A118" s="500" t="n"/>
      <c r="B118" s="501" t="inlineStr">
        <is>
          <t>ring fenced</t>
        </is>
      </c>
      <c r="C118" s="502" t="inlineStr">
        <is>
          <t>Domain Architect - Customer &amp; Digital Tech</t>
        </is>
      </c>
      <c r="D118" s="501" t="inlineStr">
        <is>
          <t>Vacant</t>
        </is>
      </c>
      <c r="E118" s="501" t="inlineStr">
        <is>
          <t>Head of Architecture</t>
        </is>
      </c>
      <c r="F118" s="534" t="inlineStr">
        <is>
          <t>Strategy, Architecture &amp; Data</t>
        </is>
      </c>
      <c r="G118" s="503" t="inlineStr">
        <is>
          <t>Architecture</t>
        </is>
      </c>
      <c r="H118" s="534" t="inlineStr">
        <is>
          <t>Architecture</t>
        </is>
      </c>
      <c r="I118" s="534" t="n"/>
      <c r="J118" s="534" t="n"/>
      <c r="K118" s="503" t="n"/>
      <c r="L118" s="503" t="n"/>
      <c r="M118" s="504" t="inlineStr">
        <is>
          <t>Australia</t>
        </is>
      </c>
      <c r="N118" s="505" t="inlineStr">
        <is>
          <t>CIC</t>
        </is>
      </c>
      <c r="O118" s="505" t="n">
        <v>1</v>
      </c>
      <c r="P118" s="505" t="n"/>
      <c r="Q118" s="505" t="inlineStr">
        <is>
          <t>v</t>
        </is>
      </c>
      <c r="R118" s="529" t="n"/>
      <c r="S118" s="507" t="n"/>
      <c r="T118" s="508" t="n">
        <v>173550</v>
      </c>
      <c r="U118" s="509" t="n">
        <v>173550</v>
      </c>
      <c r="V118" s="511" t="n">
        <v>0.12</v>
      </c>
      <c r="W118" s="973" t="n">
        <v>0.055</v>
      </c>
      <c r="X118" s="973" t="n">
        <v>0.12</v>
      </c>
      <c r="Y118" s="974" t="n"/>
      <c r="Z118" s="973" t="n">
        <v>0.04</v>
      </c>
      <c r="AA118" s="972">
        <f>U118*(1+V118+W118+X118+Y118+Z118)</f>
        <v>231689.25</v>
      </c>
      <c r="AB118" s="516" t="n"/>
    </row>
    <row r="119">
      <c r="A119" s="500" t="n"/>
      <c r="B119" s="501" t="inlineStr">
        <is>
          <t>ring fenced</t>
        </is>
      </c>
      <c r="C119" s="502" t="inlineStr">
        <is>
          <t>Domain Architect - Retail &amp; Z</t>
        </is>
      </c>
      <c r="D119" s="501" t="inlineStr">
        <is>
          <t>Vacant</t>
        </is>
      </c>
      <c r="E119" s="501" t="inlineStr">
        <is>
          <t>Head of Architecture</t>
        </is>
      </c>
      <c r="F119" s="534" t="inlineStr">
        <is>
          <t>Strategy, Architecture &amp; Data</t>
        </is>
      </c>
      <c r="G119" s="503" t="inlineStr">
        <is>
          <t>Architecture</t>
        </is>
      </c>
      <c r="H119" s="534" t="inlineStr">
        <is>
          <t>Architecture</t>
        </is>
      </c>
      <c r="I119" s="534" t="n"/>
      <c r="J119" s="534" t="n"/>
      <c r="K119" s="503" t="n"/>
      <c r="L119" s="503" t="n"/>
      <c r="M119" s="504" t="inlineStr">
        <is>
          <t>Australia</t>
        </is>
      </c>
      <c r="N119" s="505" t="inlineStr">
        <is>
          <t>CIC</t>
        </is>
      </c>
      <c r="O119" s="505" t="n">
        <v>1</v>
      </c>
      <c r="P119" s="505" t="n"/>
      <c r="Q119" s="505" t="inlineStr">
        <is>
          <t>v</t>
        </is>
      </c>
      <c r="R119" s="529" t="n"/>
      <c r="S119" s="507" t="n"/>
      <c r="T119" s="508" t="n">
        <v>173550</v>
      </c>
      <c r="U119" s="509" t="n">
        <v>173550</v>
      </c>
      <c r="V119" s="511" t="n">
        <v>0.12</v>
      </c>
      <c r="W119" s="973" t="n">
        <v>0.055</v>
      </c>
      <c r="X119" s="973" t="n">
        <v>0.12</v>
      </c>
      <c r="Y119" s="974" t="n"/>
      <c r="Z119" s="973" t="n">
        <v>0.04</v>
      </c>
      <c r="AA119" s="972">
        <f>U119*(1+V119+W119+X119+Y119+Z119)</f>
        <v>231689.25</v>
      </c>
      <c r="AB119" s="516" t="n"/>
    </row>
    <row r="120">
      <c r="A120" s="500" t="n"/>
      <c r="B120" s="501" t="inlineStr">
        <is>
          <t>ring fenced</t>
        </is>
      </c>
      <c r="C120" s="502" t="inlineStr">
        <is>
          <t>Domain Architect - TDD</t>
        </is>
      </c>
      <c r="D120" s="501" t="inlineStr">
        <is>
          <t>Vacant</t>
        </is>
      </c>
      <c r="E120" s="501" t="inlineStr">
        <is>
          <t>Head of Architecture</t>
        </is>
      </c>
      <c r="F120" s="534" t="inlineStr">
        <is>
          <t>Strategy, Architecture &amp; Data</t>
        </is>
      </c>
      <c r="G120" s="503" t="inlineStr">
        <is>
          <t>Architecture</t>
        </is>
      </c>
      <c r="H120" s="534" t="inlineStr">
        <is>
          <t>Architecture</t>
        </is>
      </c>
      <c r="I120" s="534" t="n"/>
      <c r="J120" s="534" t="n"/>
      <c r="K120" s="503" t="n"/>
      <c r="L120" s="503" t="n"/>
      <c r="M120" s="504" t="inlineStr">
        <is>
          <t>Australia</t>
        </is>
      </c>
      <c r="N120" s="505" t="inlineStr">
        <is>
          <t>CIC</t>
        </is>
      </c>
      <c r="O120" s="505" t="n">
        <v>1</v>
      </c>
      <c r="P120" s="505" t="n"/>
      <c r="Q120" s="505" t="inlineStr">
        <is>
          <t>v</t>
        </is>
      </c>
      <c r="R120" s="529" t="n"/>
      <c r="S120" s="507" t="n"/>
      <c r="T120" s="508" t="n">
        <v>173550</v>
      </c>
      <c r="U120" s="509" t="n">
        <v>173550</v>
      </c>
      <c r="V120" s="511" t="n">
        <v>0.12</v>
      </c>
      <c r="W120" s="973" t="n">
        <v>0.055</v>
      </c>
      <c r="X120" s="973" t="n">
        <v>0.12</v>
      </c>
      <c r="Y120" s="974" t="n"/>
      <c r="Z120" s="973" t="n">
        <v>0.04</v>
      </c>
      <c r="AA120" s="972">
        <f>U120*(1+V120+W120+X120+Y120+Z120)</f>
        <v>231689.25</v>
      </c>
      <c r="AB120" s="516" t="n"/>
    </row>
    <row r="121">
      <c r="A121" s="500" t="n">
        <v>109802</v>
      </c>
      <c r="B121" s="501" t="inlineStr">
        <is>
          <t>Roger Blazey</t>
        </is>
      </c>
      <c r="C121" s="502" t="inlineStr">
        <is>
          <t>Architect (AI Innovation)</t>
        </is>
      </c>
      <c r="D121" s="501" t="inlineStr">
        <is>
          <t>Vacant</t>
        </is>
      </c>
      <c r="E121" s="501" t="inlineStr">
        <is>
          <t>Head of Technology  Strategy &amp; AI Capability</t>
        </is>
      </c>
      <c r="F121" s="534" t="inlineStr">
        <is>
          <t>Strategy, Architecture &amp; Data</t>
        </is>
      </c>
      <c r="G121" s="503" t="inlineStr">
        <is>
          <t>Technology Strategy &amp; AI Capability</t>
        </is>
      </c>
      <c r="H121" s="503" t="inlineStr">
        <is>
          <t>Technology Strategy &amp; AI Capability</t>
        </is>
      </c>
      <c r="I121" s="534" t="n"/>
      <c r="J121" s="534" t="n"/>
      <c r="K121" s="503" t="n"/>
      <c r="L121" s="503" t="n"/>
      <c r="M121" s="504" t="inlineStr">
        <is>
          <t>Australia</t>
        </is>
      </c>
      <c r="N121" s="505" t="inlineStr">
        <is>
          <t>CIC</t>
        </is>
      </c>
      <c r="O121" s="505" t="n">
        <v>1</v>
      </c>
      <c r="P121" s="505" t="n"/>
      <c r="Q121" s="505" t="inlineStr">
        <is>
          <t>Permanent - Full Time</t>
        </is>
      </c>
      <c r="R121" s="507" t="n"/>
      <c r="S121" s="507" t="n"/>
      <c r="T121" s="508" t="n">
        <v>187450</v>
      </c>
      <c r="U121" s="509" t="n">
        <v>187450</v>
      </c>
      <c r="V121" s="511" t="n">
        <v>0.12</v>
      </c>
      <c r="W121" s="973" t="n">
        <v>0.055</v>
      </c>
      <c r="X121" s="973" t="n">
        <v>0.12</v>
      </c>
      <c r="Y121" s="974" t="n"/>
      <c r="Z121" s="973" t="n">
        <v>0.04</v>
      </c>
      <c r="AA121" s="972">
        <f>U121*(1+V121+W121+X121+Y121+Z121)</f>
        <v>250245.75</v>
      </c>
      <c r="AB121" s="516" t="n"/>
    </row>
    <row r="122">
      <c r="A122" s="500" t="n">
        <v>99999101674</v>
      </c>
      <c r="B122" s="501" t="inlineStr">
        <is>
          <t>Roozbeh Shahbazirad</t>
        </is>
      </c>
      <c r="C122" s="502" t="inlineStr">
        <is>
          <t>Lead Engineer</t>
        </is>
      </c>
      <c r="D122" s="501" t="inlineStr">
        <is>
          <t>Jason Gleason</t>
        </is>
      </c>
      <c r="E122" s="501" t="inlineStr">
        <is>
          <t>Technology Manager, Data Engineering &amp; Platforms</t>
        </is>
      </c>
      <c r="F122" s="534" t="inlineStr">
        <is>
          <t>Strategy, Architecture &amp; Data</t>
        </is>
      </c>
      <c r="G122" s="503" t="inlineStr">
        <is>
          <t>Group Data</t>
        </is>
      </c>
      <c r="H122" s="534" t="inlineStr">
        <is>
          <t>Data Engineering &amp; Platforms</t>
        </is>
      </c>
      <c r="I122" s="503" t="inlineStr">
        <is>
          <t>Enterprise Data</t>
        </is>
      </c>
      <c r="J122" s="534" t="inlineStr">
        <is>
          <t>Group Data</t>
        </is>
      </c>
      <c r="K122" s="503" t="inlineStr">
        <is>
          <t>Data Platform</t>
        </is>
      </c>
      <c r="L122" s="503" t="n"/>
      <c r="M122" s="504" t="inlineStr">
        <is>
          <t>NZ</t>
        </is>
      </c>
      <c r="N122" s="505" t="inlineStr">
        <is>
          <t>CIC</t>
        </is>
      </c>
      <c r="O122" s="506" t="n">
        <v>1</v>
      </c>
      <c r="P122" s="505" t="n"/>
      <c r="Q122" s="506" t="inlineStr">
        <is>
          <t>Permanent - Full Time</t>
        </is>
      </c>
      <c r="R122" s="507" t="n"/>
      <c r="S122" s="507" t="n"/>
      <c r="T122" s="508" t="n">
        <v>177710</v>
      </c>
      <c r="U122" s="509" t="n">
        <v>163493.2</v>
      </c>
      <c r="V122" s="510" t="n">
        <v>0.15</v>
      </c>
      <c r="W122" s="507" t="n"/>
      <c r="X122" s="511" t="n">
        <v>0.05</v>
      </c>
      <c r="Y122" s="971" t="n">
        <v>2910</v>
      </c>
      <c r="Z122" s="511" t="n">
        <v>0.03</v>
      </c>
      <c r="AA122" s="972">
        <f>U122*(1+V122+X122+Z122)+Y122</f>
        <v>204006.636</v>
      </c>
      <c r="AB122" s="499" t="n">
        <v>113607</v>
      </c>
    </row>
    <row r="123">
      <c r="A123" s="500" t="n">
        <v>12010</v>
      </c>
      <c r="B123" s="501" t="inlineStr">
        <is>
          <t>Sai Konka</t>
        </is>
      </c>
      <c r="C123" s="502" t="inlineStr">
        <is>
          <t>Application &amp; Analytics Manager</t>
        </is>
      </c>
      <c r="D123" s="501" t="inlineStr">
        <is>
          <t>Jason Gleason</t>
        </is>
      </c>
      <c r="E123" s="501" t="inlineStr">
        <is>
          <t>Technology Manager, Data Engineering &amp; Platforms</t>
        </is>
      </c>
      <c r="F123" s="534" t="inlineStr">
        <is>
          <t>Strategy, Architecture &amp; Data</t>
        </is>
      </c>
      <c r="G123" s="503" t="inlineStr">
        <is>
          <t>Group Data</t>
        </is>
      </c>
      <c r="H123" s="534" t="inlineStr">
        <is>
          <t>Data Engineering &amp; Platforms</t>
        </is>
      </c>
      <c r="I123" s="534" t="inlineStr">
        <is>
          <t>Enterprise Data</t>
        </is>
      </c>
      <c r="J123" s="534" t="inlineStr">
        <is>
          <t>EGI</t>
        </is>
      </c>
      <c r="K123" s="534" t="inlineStr">
        <is>
          <t>Reporting &amp; Analytics</t>
        </is>
      </c>
      <c r="L123" s="503" t="n"/>
      <c r="M123" s="504" t="inlineStr">
        <is>
          <t>Australia</t>
        </is>
      </c>
      <c r="N123" s="507" t="inlineStr">
        <is>
          <t>CIC</t>
        </is>
      </c>
      <c r="O123" s="507" t="n">
        <v>1</v>
      </c>
      <c r="P123" s="507" t="n"/>
      <c r="Q123" s="507" t="inlineStr">
        <is>
          <t>Permanent - Full Time</t>
        </is>
      </c>
      <c r="R123" s="507" t="n"/>
      <c r="S123" s="507" t="n"/>
      <c r="T123" s="508" t="n">
        <v>197480</v>
      </c>
      <c r="U123" s="509" t="n">
        <v>197480</v>
      </c>
      <c r="V123" s="511" t="n">
        <v>0.12</v>
      </c>
      <c r="W123" s="973" t="n">
        <v>0.055</v>
      </c>
      <c r="X123" s="973" t="n">
        <v>0.12</v>
      </c>
      <c r="Y123" s="974" t="n"/>
      <c r="Z123" s="973" t="n">
        <v>0.04</v>
      </c>
      <c r="AA123" s="972">
        <f>U123*(1+V123+W123+X123+Y123+Z123)</f>
        <v>263635.8</v>
      </c>
      <c r="AB123" s="516" t="n"/>
    </row>
    <row r="124">
      <c r="A124" s="500" t="n"/>
      <c r="B124" s="501" t="inlineStr">
        <is>
          <t>Sanjay Tikoo</t>
        </is>
      </c>
      <c r="C124" s="502" t="inlineStr">
        <is>
          <t>Principal, Data Architecture &amp; Governance</t>
        </is>
      </c>
      <c r="D124" s="501" t="inlineStr">
        <is>
          <t>James Holgate</t>
        </is>
      </c>
      <c r="E124" s="501" t="inlineStr">
        <is>
          <t>Head of Technology,  Group Data</t>
        </is>
      </c>
      <c r="F124" s="534" t="inlineStr">
        <is>
          <t>Strategy, Architecture &amp; Data</t>
        </is>
      </c>
      <c r="G124" s="503" t="inlineStr">
        <is>
          <t>Group Data</t>
        </is>
      </c>
      <c r="H124" s="503" t="inlineStr">
        <is>
          <t>Data Capability</t>
        </is>
      </c>
      <c r="I124" s="534" t="inlineStr">
        <is>
          <t>Enterprise Data</t>
        </is>
      </c>
      <c r="J124" s="534" t="inlineStr">
        <is>
          <t>Leadership</t>
        </is>
      </c>
      <c r="K124" s="503" t="n"/>
      <c r="L124" s="503" t="n"/>
      <c r="M124" s="504" t="inlineStr">
        <is>
          <t>Australia</t>
        </is>
      </c>
      <c r="N124" s="505" t="inlineStr">
        <is>
          <t>CSC</t>
        </is>
      </c>
      <c r="O124" s="505" t="n">
        <v>1</v>
      </c>
      <c r="P124" s="505" t="n"/>
      <c r="Q124" s="505" t="inlineStr">
        <is>
          <t>Permanent - Full Time</t>
        </is>
      </c>
      <c r="R124" s="507" t="n"/>
      <c r="S124" s="507" t="n"/>
      <c r="T124" s="508" t="n">
        <v>275000</v>
      </c>
      <c r="U124" s="509" t="n">
        <v>275000</v>
      </c>
      <c r="V124" s="511" t="n">
        <v>0.2</v>
      </c>
      <c r="W124" s="973" t="n">
        <v>0.055</v>
      </c>
      <c r="X124" s="973" t="n">
        <v>0.12</v>
      </c>
      <c r="Y124" s="974" t="n"/>
      <c r="Z124" s="973" t="n">
        <v>0.04</v>
      </c>
      <c r="AA124" s="972">
        <f>U124*(1+V124+W124+X124+Y124+Z124)</f>
        <v>389125.0</v>
      </c>
      <c r="AB124" s="516" t="n"/>
    </row>
    <row r="125">
      <c r="A125" s="500" t="n">
        <v>80549</v>
      </c>
      <c r="B125" s="501" t="inlineStr">
        <is>
          <t>Steve Murray</t>
        </is>
      </c>
      <c r="C125" s="502" t="inlineStr">
        <is>
          <t>Applications Specialist</t>
        </is>
      </c>
      <c r="D125" s="501" t="inlineStr">
        <is>
          <t>Sai Konka</t>
        </is>
      </c>
      <c r="E125" s="501" t="inlineStr">
        <is>
          <t>Applications &amp; Analytics Manager</t>
        </is>
      </c>
      <c r="F125" s="534" t="inlineStr">
        <is>
          <t>Strategy, Architecture &amp; Data</t>
        </is>
      </c>
      <c r="G125" s="503" t="inlineStr">
        <is>
          <t>Group Data</t>
        </is>
      </c>
      <c r="H125" s="534" t="inlineStr">
        <is>
          <t>Data Engineering &amp; Platforms</t>
        </is>
      </c>
      <c r="I125" s="534" t="inlineStr">
        <is>
          <t>Enterprise Data</t>
        </is>
      </c>
      <c r="J125" s="534" t="inlineStr">
        <is>
          <t>EGI</t>
        </is>
      </c>
      <c r="K125" s="534" t="inlineStr">
        <is>
          <t>Reporting &amp; Analytics</t>
        </is>
      </c>
      <c r="L125" s="503" t="n"/>
      <c r="M125" s="504" t="inlineStr">
        <is>
          <t>Australia</t>
        </is>
      </c>
      <c r="N125" s="507" t="inlineStr">
        <is>
          <t>CIB</t>
        </is>
      </c>
      <c r="O125" s="507" t="n">
        <v>1</v>
      </c>
      <c r="P125" s="507" t="n"/>
      <c r="Q125" s="507" t="inlineStr">
        <is>
          <t>Permanent - Full Time</t>
        </is>
      </c>
      <c r="R125" s="507" t="n"/>
      <c r="S125" s="507" t="n"/>
      <c r="T125" s="508" t="n">
        <v>182000</v>
      </c>
      <c r="U125" s="509" t="n">
        <v>182000</v>
      </c>
      <c r="V125" s="511" t="n">
        <v>0.12</v>
      </c>
      <c r="W125" s="973" t="n">
        <v>0.055</v>
      </c>
      <c r="X125" s="973" t="n">
        <v>0.12</v>
      </c>
      <c r="Y125" s="974" t="n"/>
      <c r="Z125" s="973" t="n">
        <v>0.04</v>
      </c>
      <c r="AA125" s="972">
        <f>U125*(1+V125+W125+X125+Y125+Z125)</f>
        <v>242970.0</v>
      </c>
      <c r="AB125" s="516" t="n"/>
    </row>
    <row r="126">
      <c r="A126" s="500" t="n">
        <v>114147</v>
      </c>
      <c r="B126" s="501" t="inlineStr">
        <is>
          <t>Sumathi Manikkampichai</t>
        </is>
      </c>
      <c r="C126" s="502" t="inlineStr">
        <is>
          <t>Data Architect</t>
        </is>
      </c>
      <c r="D126" s="501" t="inlineStr">
        <is>
          <t>Jason Gleason</t>
        </is>
      </c>
      <c r="E126" s="501" t="inlineStr">
        <is>
          <t>Technology Manager, Data Engineering &amp; Platforms</t>
        </is>
      </c>
      <c r="F126" s="534" t="inlineStr">
        <is>
          <t>Strategy, Architecture &amp; Data</t>
        </is>
      </c>
      <c r="G126" s="503" t="inlineStr">
        <is>
          <t>Group Data</t>
        </is>
      </c>
      <c r="H126" s="534" t="inlineStr">
        <is>
          <t>Data Engineering &amp; Platforms</t>
        </is>
      </c>
      <c r="I126" s="534" t="inlineStr">
        <is>
          <t>Enterprise Data</t>
        </is>
      </c>
      <c r="J126" s="534" t="inlineStr">
        <is>
          <t>EGI</t>
        </is>
      </c>
      <c r="K126" s="534" t="inlineStr">
        <is>
          <t>Reporting &amp; Analytics</t>
        </is>
      </c>
      <c r="L126" s="503" t="n"/>
      <c r="M126" s="504" t="inlineStr">
        <is>
          <t>Australia</t>
        </is>
      </c>
      <c r="N126" s="505" t="inlineStr">
        <is>
          <t>CIC</t>
        </is>
      </c>
      <c r="O126" s="505" t="n">
        <v>1</v>
      </c>
      <c r="P126" s="505" t="n"/>
      <c r="Q126" s="505" t="inlineStr">
        <is>
          <t>Permanent - Full Time</t>
        </is>
      </c>
      <c r="R126" s="507" t="n"/>
      <c r="S126" s="507" t="n"/>
      <c r="T126" s="508" t="n">
        <v>188010</v>
      </c>
      <c r="U126" s="509" t="n">
        <v>188010</v>
      </c>
      <c r="V126" s="511" t="n">
        <v>0.12</v>
      </c>
      <c r="W126" s="973" t="n">
        <v>0.055</v>
      </c>
      <c r="X126" s="973" t="n">
        <v>0.12</v>
      </c>
      <c r="Y126" s="974" t="n"/>
      <c r="Z126" s="973" t="n">
        <v>0.04</v>
      </c>
      <c r="AA126" s="972">
        <f>U126*(1+V126+W126+X126+Y126+Z126)</f>
        <v>250993.35</v>
      </c>
      <c r="AB126" s="516" t="n"/>
    </row>
    <row r="127">
      <c r="A127" s="500" t="n">
        <v>99999101251</v>
      </c>
      <c r="B127" s="501" t="inlineStr">
        <is>
          <t>Tim Snedden</t>
        </is>
      </c>
      <c r="C127" s="502" t="inlineStr">
        <is>
          <t>Delivery Lead</t>
        </is>
      </c>
      <c r="D127" s="501" t="inlineStr">
        <is>
          <t>Joel Vijayakumar</t>
        </is>
      </c>
      <c r="E127" s="501" t="inlineStr">
        <is>
          <t>Delivery Manager, Strategy, Architecture &amp; Data</t>
        </is>
      </c>
      <c r="F127" s="534" t="inlineStr">
        <is>
          <t>Strategy, Architecture &amp; Data</t>
        </is>
      </c>
      <c r="G127" s="503" t="inlineStr">
        <is>
          <t>Delivery, SADA</t>
        </is>
      </c>
      <c r="H127" s="503" t="n"/>
      <c r="I127" s="503" t="inlineStr">
        <is>
          <t>Enterprise Data</t>
        </is>
      </c>
      <c r="J127" s="534" t="inlineStr">
        <is>
          <t>Group Data</t>
        </is>
      </c>
      <c r="K127" s="503" t="inlineStr">
        <is>
          <t>Data Platform</t>
        </is>
      </c>
      <c r="L127" s="503" t="n"/>
      <c r="M127" s="504" t="inlineStr">
        <is>
          <t>NZ</t>
        </is>
      </c>
      <c r="N127" s="505" t="inlineStr">
        <is>
          <t>CSB</t>
        </is>
      </c>
      <c r="O127" s="506" t="n">
        <v>1</v>
      </c>
      <c r="P127" s="505" t="n"/>
      <c r="Q127" s="506" t="inlineStr">
        <is>
          <t>Permanent - Full Time</t>
        </is>
      </c>
      <c r="R127" s="507" t="n"/>
      <c r="S127" s="507" t="n"/>
      <c r="T127" s="508" t="n">
        <v>161600</v>
      </c>
      <c r="U127" s="509" t="n">
        <v>148672</v>
      </c>
      <c r="V127" s="510" t="n">
        <v>0.15</v>
      </c>
      <c r="W127" s="507" t="n"/>
      <c r="X127" s="511" t="n">
        <v>0.05</v>
      </c>
      <c r="Y127" s="971" t="n">
        <v>2910</v>
      </c>
      <c r="Z127" s="511" t="n">
        <v>0.03</v>
      </c>
      <c r="AA127" s="972">
        <f>U127*(1+V127+X127+Z127)+Y127</f>
        <v>185776.56</v>
      </c>
      <c r="AB127" s="499" t="n">
        <v>15175</v>
      </c>
    </row>
    <row r="128">
      <c r="A128" s="500" t="inlineStr">
        <is>
          <t>V</t>
        </is>
      </c>
      <c r="B128" s="501" t="inlineStr">
        <is>
          <t>Vacant</t>
        </is>
      </c>
      <c r="C128" s="502" t="inlineStr">
        <is>
          <t>Service Transition Lead</t>
        </is>
      </c>
      <c r="D128" s="501" t="inlineStr">
        <is>
          <t>Deepali Mahajan</t>
        </is>
      </c>
      <c r="E128" s="501" t="inlineStr">
        <is>
          <t>Data Operations Manager</t>
        </is>
      </c>
      <c r="F128" s="534" t="inlineStr">
        <is>
          <t>Strategy, Architecture &amp; Data</t>
        </is>
      </c>
      <c r="G128" s="503" t="inlineStr">
        <is>
          <t>Group Data</t>
        </is>
      </c>
      <c r="H128" s="534" t="inlineStr">
        <is>
          <t>Data Operations</t>
        </is>
      </c>
      <c r="I128" s="534" t="inlineStr">
        <is>
          <t>Enterprise Data</t>
        </is>
      </c>
      <c r="J128" s="503" t="inlineStr">
        <is>
          <t>Leadership</t>
        </is>
      </c>
      <c r="K128" s="503" t="n"/>
      <c r="L128" s="503" t="n"/>
      <c r="M128" s="504" t="inlineStr">
        <is>
          <t>Australia</t>
        </is>
      </c>
      <c r="N128" s="505" t="inlineStr">
        <is>
          <t>CIB</t>
        </is>
      </c>
      <c r="O128" s="505" t="n">
        <v>1</v>
      </c>
      <c r="P128" s="505" t="n"/>
      <c r="Q128" s="505" t="inlineStr">
        <is>
          <t>v</t>
        </is>
      </c>
      <c r="R128" s="507" t="n"/>
      <c r="S128" s="507" t="n"/>
      <c r="T128" s="508" t="n">
        <v>151950</v>
      </c>
      <c r="U128" s="509" t="n">
        <v>151950</v>
      </c>
      <c r="V128" s="511" t="n">
        <v>0.12</v>
      </c>
      <c r="W128" s="973" t="n">
        <v>0.055</v>
      </c>
      <c r="X128" s="973" t="n">
        <v>0.12</v>
      </c>
      <c r="Y128" s="974" t="n"/>
      <c r="Z128" s="973" t="n">
        <v>0.04</v>
      </c>
      <c r="AA128" s="972">
        <f>U128*(1+V128+W128+X128+Y128+Z128)</f>
        <v>202853.25</v>
      </c>
      <c r="AB128" s="516" t="n"/>
    </row>
    <row r="129">
      <c r="A129" s="500" t="inlineStr">
        <is>
          <t>V</t>
        </is>
      </c>
      <c r="B129" s="501" t="inlineStr">
        <is>
          <t>Vacant</t>
        </is>
      </c>
      <c r="C129" s="502" t="inlineStr">
        <is>
          <t xml:space="preserve">Engineer Data  </t>
        </is>
      </c>
      <c r="D129" s="501" t="inlineStr">
        <is>
          <t>Dinesh Chandrasekaran</t>
        </is>
      </c>
      <c r="E129" s="501" t="inlineStr">
        <is>
          <t>Lead Engineer (Snowflake)</t>
        </is>
      </c>
      <c r="F129" s="534" t="inlineStr">
        <is>
          <t>Strategy, Architecture &amp; Data</t>
        </is>
      </c>
      <c r="G129" s="503" t="inlineStr">
        <is>
          <t>Group Data</t>
        </is>
      </c>
      <c r="H129" s="534" t="inlineStr">
        <is>
          <t>Data Engineering &amp; Platforms</t>
        </is>
      </c>
      <c r="I129" s="503" t="inlineStr">
        <is>
          <t>Enterprise Data</t>
        </is>
      </c>
      <c r="J129" s="534" t="inlineStr">
        <is>
          <t>Group Data</t>
        </is>
      </c>
      <c r="K129" s="503" t="inlineStr">
        <is>
          <t>Data Platform</t>
        </is>
      </c>
      <c r="L129" s="503" t="n"/>
      <c r="M129" s="504" t="inlineStr">
        <is>
          <t>Australia</t>
        </is>
      </c>
      <c r="N129" s="505" t="inlineStr">
        <is>
          <t>CIB</t>
        </is>
      </c>
      <c r="O129" s="505" t="n">
        <v>1</v>
      </c>
      <c r="P129" s="505" t="n"/>
      <c r="Q129" s="505" t="inlineStr">
        <is>
          <t>V</t>
        </is>
      </c>
      <c r="R129" s="507" t="n"/>
      <c r="S129" s="507" t="n"/>
      <c r="T129" s="508" t="n">
        <v>151950</v>
      </c>
      <c r="U129" s="509" t="n">
        <v>151950</v>
      </c>
      <c r="V129" s="511" t="n">
        <v>0.12</v>
      </c>
      <c r="W129" s="973" t="n">
        <v>0.055</v>
      </c>
      <c r="X129" s="973" t="n">
        <v>0.12</v>
      </c>
      <c r="Y129" s="974" t="n"/>
      <c r="Z129" s="973" t="n">
        <v>0.04</v>
      </c>
      <c r="AA129" s="972">
        <f>U129*(1+V129+W129+X129+Y129+Z129)</f>
        <v>202853.25</v>
      </c>
      <c r="AB129" s="516" t="n"/>
    </row>
    <row r="130">
      <c r="A130" s="500" t="inlineStr">
        <is>
          <t>V</t>
        </is>
      </c>
      <c r="B130" s="501" t="inlineStr">
        <is>
          <t>Vacant</t>
        </is>
      </c>
      <c r="C130" s="502" t="inlineStr">
        <is>
          <t>Engineer Data - Reporting</t>
        </is>
      </c>
      <c r="D130" s="501" t="inlineStr">
        <is>
          <t>Dinesh Chandrasekaran</t>
        </is>
      </c>
      <c r="E130" s="501" t="inlineStr">
        <is>
          <t>Lead Engineer (Snowflake)</t>
        </is>
      </c>
      <c r="F130" s="534" t="inlineStr">
        <is>
          <t>Strategy, Architecture &amp; Data</t>
        </is>
      </c>
      <c r="G130" s="503" t="inlineStr">
        <is>
          <t>Group Data</t>
        </is>
      </c>
      <c r="H130" s="534" t="inlineStr">
        <is>
          <t>Data Engineering &amp; Platforms</t>
        </is>
      </c>
      <c r="I130" s="534" t="inlineStr">
        <is>
          <t>Enterprise Data</t>
        </is>
      </c>
      <c r="J130" s="534" t="inlineStr">
        <is>
          <t>Group Data</t>
        </is>
      </c>
      <c r="K130" s="534" t="inlineStr">
        <is>
          <t>Reporting &amp; Analytics</t>
        </is>
      </c>
      <c r="L130" s="503" t="n"/>
      <c r="M130" s="504" t="inlineStr">
        <is>
          <t>Australia</t>
        </is>
      </c>
      <c r="N130" s="505" t="inlineStr">
        <is>
          <t>CIB</t>
        </is>
      </c>
      <c r="O130" s="505" t="n">
        <v>1</v>
      </c>
      <c r="P130" s="505" t="n"/>
      <c r="Q130" s="505" t="inlineStr">
        <is>
          <t>Pause</t>
        </is>
      </c>
      <c r="R130" s="507" t="n"/>
      <c r="S130" s="507" t="n"/>
      <c r="T130" s="508" t="n">
        <v>151950</v>
      </c>
      <c r="U130" s="509" t="n">
        <v>151950</v>
      </c>
      <c r="V130" s="511" t="n">
        <v>0.12</v>
      </c>
      <c r="W130" s="973" t="n">
        <v>0.055</v>
      </c>
      <c r="X130" s="973" t="n">
        <v>0.12</v>
      </c>
      <c r="Y130" s="974" t="n"/>
      <c r="Z130" s="973" t="n">
        <v>0.04</v>
      </c>
      <c r="AA130" s="972">
        <f>U130*(1+V130+W130+X130+Y130+Z130)</f>
        <v>202853.25</v>
      </c>
      <c r="AB130" s="516" t="n"/>
    </row>
    <row r="131">
      <c r="A131" s="500" t="inlineStr">
        <is>
          <t>V</t>
        </is>
      </c>
      <c r="B131" s="501" t="inlineStr">
        <is>
          <t>Vacant</t>
        </is>
      </c>
      <c r="C131" s="502" t="inlineStr">
        <is>
          <t>Quality Assurance</t>
        </is>
      </c>
      <c r="D131" s="501" t="inlineStr">
        <is>
          <t>Dinesh Chandrasekaran</t>
        </is>
      </c>
      <c r="E131" s="501" t="inlineStr">
        <is>
          <t>Lead Engineer (Snowflake)</t>
        </is>
      </c>
      <c r="F131" s="534" t="inlineStr">
        <is>
          <t>Strategy, Architecture &amp; Data</t>
        </is>
      </c>
      <c r="G131" s="503" t="inlineStr">
        <is>
          <t>Group Data</t>
        </is>
      </c>
      <c r="H131" s="534" t="inlineStr">
        <is>
          <t>Data Engineering &amp; Platforms</t>
        </is>
      </c>
      <c r="I131" s="503" t="inlineStr">
        <is>
          <t>Enterprise Data</t>
        </is>
      </c>
      <c r="J131" s="534" t="inlineStr">
        <is>
          <t>Group Data</t>
        </is>
      </c>
      <c r="K131" s="503" t="inlineStr">
        <is>
          <t>Data Platform</t>
        </is>
      </c>
      <c r="L131" s="503" t="n"/>
      <c r="M131" s="504" t="inlineStr">
        <is>
          <t>Australia</t>
        </is>
      </c>
      <c r="N131" s="505" t="inlineStr">
        <is>
          <t>CIA</t>
        </is>
      </c>
      <c r="O131" s="505" t="n">
        <v>1</v>
      </c>
      <c r="P131" s="505" t="n"/>
      <c r="Q131" s="505" t="inlineStr">
        <is>
          <t>v</t>
        </is>
      </c>
      <c r="R131" s="507" t="n"/>
      <c r="S131" s="507" t="n"/>
      <c r="T131" s="508" t="n">
        <v>129650</v>
      </c>
      <c r="U131" s="509" t="n">
        <v>129650</v>
      </c>
      <c r="V131" s="511" t="n">
        <v>0.1</v>
      </c>
      <c r="W131" s="973" t="n">
        <v>0.055</v>
      </c>
      <c r="X131" s="973" t="n">
        <v>0.12</v>
      </c>
      <c r="Y131" s="974" t="n"/>
      <c r="Z131" s="973" t="n">
        <v>0.04</v>
      </c>
      <c r="AA131" s="972">
        <f>U131*(1+V131+W131+X131+Y131+Z131)</f>
        <v>170489.75</v>
      </c>
      <c r="AB131" s="516" t="n"/>
    </row>
    <row r="132">
      <c r="A132" s="500" t="inlineStr">
        <is>
          <t>V</t>
        </is>
      </c>
      <c r="B132" s="501" t="inlineStr">
        <is>
          <t>Vacant</t>
        </is>
      </c>
      <c r="C132" s="502" t="inlineStr">
        <is>
          <t>Engineer - DevOps</t>
        </is>
      </c>
      <c r="D132" s="501" t="inlineStr">
        <is>
          <t>Jason Gleason</t>
        </is>
      </c>
      <c r="E132" s="501" t="inlineStr">
        <is>
          <t>Technology Manager, Data Engineering &amp; Platforms</t>
        </is>
      </c>
      <c r="F132" s="534" t="inlineStr">
        <is>
          <t>Strategy, Architecture &amp; Data</t>
        </is>
      </c>
      <c r="G132" s="516" t="inlineStr">
        <is>
          <t>Group Data</t>
        </is>
      </c>
      <c r="H132" s="538" t="inlineStr">
        <is>
          <t>Data Engineering &amp; Platforms</t>
        </is>
      </c>
      <c r="I132" s="503" t="inlineStr">
        <is>
          <t>Enterprise Data</t>
        </is>
      </c>
      <c r="J132" s="534" t="inlineStr">
        <is>
          <t>Group Data</t>
        </is>
      </c>
      <c r="K132" s="503" t="inlineStr">
        <is>
          <t>Data Platform</t>
        </is>
      </c>
      <c r="L132" s="503" t="n"/>
      <c r="M132" s="504" t="inlineStr">
        <is>
          <t>Australia</t>
        </is>
      </c>
      <c r="N132" s="505" t="inlineStr">
        <is>
          <t>cib</t>
        </is>
      </c>
      <c r="O132" s="505" t="n">
        <v>1</v>
      </c>
      <c r="P132" s="505" t="n"/>
      <c r="Q132" s="505" t="inlineStr">
        <is>
          <t>V</t>
        </is>
      </c>
      <c r="R132" s="507" t="n"/>
      <c r="S132" s="507" t="n"/>
      <c r="T132" s="508" t="n">
        <v>151950</v>
      </c>
      <c r="U132" s="509" t="n">
        <v>151950</v>
      </c>
      <c r="V132" s="511" t="n">
        <v>0.12</v>
      </c>
      <c r="W132" s="973" t="n">
        <v>0.055</v>
      </c>
      <c r="X132" s="973" t="n">
        <v>0.12</v>
      </c>
      <c r="Y132" s="974" t="n"/>
      <c r="Z132" s="973" t="n">
        <v>0.04</v>
      </c>
      <c r="AA132" s="972">
        <f>U132*(1+V132+W132+X132+Y132+Z132)</f>
        <v>202853.25</v>
      </c>
      <c r="AB132" s="516" t="n"/>
    </row>
    <row r="133">
      <c r="A133" s="500" t="inlineStr">
        <is>
          <t>V</t>
        </is>
      </c>
      <c r="B133" s="501" t="inlineStr">
        <is>
          <t>Vacant</t>
        </is>
      </c>
      <c r="C133" s="502" t="inlineStr">
        <is>
          <t>Business Analyst</t>
        </is>
      </c>
      <c r="D133" s="501" t="inlineStr">
        <is>
          <t>Joel Vijayakumar</t>
        </is>
      </c>
      <c r="E133" s="501" t="inlineStr">
        <is>
          <t>Delivery Manager, Strategy, Architecture &amp; Data</t>
        </is>
      </c>
      <c r="F133" s="534" t="inlineStr">
        <is>
          <t>Strategy, Architecture &amp; Data</t>
        </is>
      </c>
      <c r="G133" s="503" t="inlineStr">
        <is>
          <t>Delivery, SADA</t>
        </is>
      </c>
      <c r="H133" s="503" t="n"/>
      <c r="I133" s="503" t="inlineStr">
        <is>
          <t>Enterprise Data</t>
        </is>
      </c>
      <c r="J133" s="534" t="inlineStr">
        <is>
          <t>Group Data</t>
        </is>
      </c>
      <c r="K133" s="503" t="inlineStr">
        <is>
          <t>Data Platform</t>
        </is>
      </c>
      <c r="L133" s="503" t="n"/>
      <c r="M133" s="504" t="inlineStr">
        <is>
          <t>Australia</t>
        </is>
      </c>
      <c r="N133" s="505" t="inlineStr">
        <is>
          <t>CIB</t>
        </is>
      </c>
      <c r="O133" s="505" t="n">
        <v>1</v>
      </c>
      <c r="P133" s="505" t="n"/>
      <c r="Q133" s="505" t="inlineStr">
        <is>
          <t>V</t>
        </is>
      </c>
      <c r="R133" s="507" t="n"/>
      <c r="S133" s="507" t="n"/>
      <c r="T133" s="508" t="n">
        <v>151950</v>
      </c>
      <c r="U133" s="509" t="n">
        <v>151950</v>
      </c>
      <c r="V133" s="511" t="n">
        <v>0.12</v>
      </c>
      <c r="W133" s="973" t="n">
        <v>0.055</v>
      </c>
      <c r="X133" s="973" t="n">
        <v>0.12</v>
      </c>
      <c r="Y133" s="974" t="n"/>
      <c r="Z133" s="973" t="n">
        <v>0.04</v>
      </c>
      <c r="AA133" s="972">
        <f>U133*(1+V133+W133+X133+Y133+Z133)</f>
        <v>202853.25</v>
      </c>
      <c r="AB133" s="516" t="n"/>
    </row>
    <row r="134">
      <c r="A134" s="500" t="inlineStr">
        <is>
          <t>V</t>
        </is>
      </c>
      <c r="B134" s="501" t="inlineStr">
        <is>
          <t>Vacant</t>
        </is>
      </c>
      <c r="C134" s="502" t="inlineStr">
        <is>
          <t>Business Analyst</t>
        </is>
      </c>
      <c r="D134" s="501" t="inlineStr">
        <is>
          <t>Joel Vijayakumar</t>
        </is>
      </c>
      <c r="E134" s="501" t="inlineStr">
        <is>
          <t>Delivery Manager, Strategy, Architecture &amp; Data</t>
        </is>
      </c>
      <c r="F134" s="534" t="inlineStr">
        <is>
          <t>Strategy, Architecture &amp; Data</t>
        </is>
      </c>
      <c r="G134" s="503" t="inlineStr">
        <is>
          <t>Delivery, SADA</t>
        </is>
      </c>
      <c r="H134" s="503" t="n"/>
      <c r="I134" s="534" t="inlineStr">
        <is>
          <t>Enterprise Data</t>
        </is>
      </c>
      <c r="J134" s="534" t="inlineStr">
        <is>
          <t>EGI</t>
        </is>
      </c>
      <c r="K134" s="534" t="inlineStr">
        <is>
          <t>Reporting &amp; Analytics</t>
        </is>
      </c>
      <c r="L134" s="503" t="n"/>
      <c r="M134" s="504" t="inlineStr">
        <is>
          <t>Australia</t>
        </is>
      </c>
      <c r="N134" s="505" t="inlineStr">
        <is>
          <t>CIB</t>
        </is>
      </c>
      <c r="O134" s="505" t="n">
        <v>1</v>
      </c>
      <c r="P134" s="505" t="n"/>
      <c r="Q134" s="505" t="inlineStr">
        <is>
          <t>Pause</t>
        </is>
      </c>
      <c r="R134" s="507" t="n"/>
      <c r="S134" s="507" t="n"/>
      <c r="T134" s="508" t="n">
        <v>151950</v>
      </c>
      <c r="U134" s="509" t="n">
        <v>151950</v>
      </c>
      <c r="V134" s="511" t="n">
        <v>0.12</v>
      </c>
      <c r="W134" s="973" t="n">
        <v>0.055</v>
      </c>
      <c r="X134" s="973" t="n">
        <v>0.12</v>
      </c>
      <c r="Y134" s="974" t="n"/>
      <c r="Z134" s="973" t="n">
        <v>0.04</v>
      </c>
      <c r="AA134" s="972">
        <f>U134*(1+V134+W134+X134+Y134+Z134)</f>
        <v>202853.25</v>
      </c>
      <c r="AB134" s="516" t="n"/>
    </row>
    <row r="135">
      <c r="A135" s="500" t="inlineStr">
        <is>
          <t>V</t>
        </is>
      </c>
      <c r="B135" s="501" t="inlineStr">
        <is>
          <t>vacant</t>
        </is>
      </c>
      <c r="C135" s="502" t="inlineStr">
        <is>
          <t>Data Analyst</t>
        </is>
      </c>
      <c r="D135" s="501" t="inlineStr">
        <is>
          <t>Jonathan Robinson</t>
        </is>
      </c>
      <c r="E135" s="501" t="inlineStr">
        <is>
          <t>Technology Manager, Data Science</t>
        </is>
      </c>
      <c r="F135" s="534" t="inlineStr">
        <is>
          <t>Strategy, Architecture &amp; Data</t>
        </is>
      </c>
      <c r="G135" s="503" t="inlineStr">
        <is>
          <t>Group Data</t>
        </is>
      </c>
      <c r="H135" s="534" t="inlineStr">
        <is>
          <t>Data Science</t>
        </is>
      </c>
      <c r="I135" s="534" t="inlineStr">
        <is>
          <t>Enterprise Data</t>
        </is>
      </c>
      <c r="J135" s="534" t="inlineStr">
        <is>
          <t>Group Data</t>
        </is>
      </c>
      <c r="K135" s="503" t="inlineStr">
        <is>
          <t>Data Science</t>
        </is>
      </c>
      <c r="L135" s="503" t="n"/>
      <c r="M135" s="504" t="inlineStr">
        <is>
          <t>Australia</t>
        </is>
      </c>
      <c r="N135" s="505" t="inlineStr">
        <is>
          <t>CIB</t>
        </is>
      </c>
      <c r="O135" s="505" t="n">
        <v>1</v>
      </c>
      <c r="P135" s="505" t="n"/>
      <c r="Q135" s="505" t="inlineStr">
        <is>
          <t>Pause</t>
        </is>
      </c>
      <c r="R135" s="507" t="n"/>
      <c r="S135" s="507" t="n"/>
      <c r="T135" s="508" t="n">
        <v>151000</v>
      </c>
      <c r="U135" s="509" t="n">
        <v>151000</v>
      </c>
      <c r="V135" s="511" t="n">
        <v>0.12</v>
      </c>
      <c r="W135" s="973" t="n">
        <v>0.055</v>
      </c>
      <c r="X135" s="973" t="n">
        <v>0.12</v>
      </c>
      <c r="Y135" s="974" t="n"/>
      <c r="Z135" s="973" t="n">
        <v>0.04</v>
      </c>
      <c r="AA135" s="972">
        <f>U135*(1+V135+W135+X135+Y135+Z135)</f>
        <v>201585.0</v>
      </c>
      <c r="AB135" s="516" t="n"/>
    </row>
    <row r="136">
      <c r="A136" s="500" t="inlineStr">
        <is>
          <t>V</t>
        </is>
      </c>
      <c r="B136" s="501" t="inlineStr">
        <is>
          <t>Vacant</t>
        </is>
      </c>
      <c r="C136" s="502" t="inlineStr">
        <is>
          <t>Data Analyst</t>
        </is>
      </c>
      <c r="D136" s="501" t="inlineStr">
        <is>
          <t>Jonathan Robinson</t>
        </is>
      </c>
      <c r="E136" s="501" t="inlineStr">
        <is>
          <t>Technology Manager, Data Science</t>
        </is>
      </c>
      <c r="F136" s="534" t="inlineStr">
        <is>
          <t>Strategy, Architecture &amp; Data</t>
        </is>
      </c>
      <c r="G136" s="503" t="inlineStr">
        <is>
          <t>Group Data</t>
        </is>
      </c>
      <c r="H136" s="534" t="inlineStr">
        <is>
          <t>Data Science</t>
        </is>
      </c>
      <c r="I136" s="534" t="inlineStr">
        <is>
          <t>Enterprise Data</t>
        </is>
      </c>
      <c r="J136" s="534" t="inlineStr">
        <is>
          <t>Group Data</t>
        </is>
      </c>
      <c r="K136" s="503" t="inlineStr">
        <is>
          <t>Data Science</t>
        </is>
      </c>
      <c r="L136" s="503" t="n"/>
      <c r="M136" s="504" t="inlineStr">
        <is>
          <t>Australia</t>
        </is>
      </c>
      <c r="N136" s="505" t="inlineStr">
        <is>
          <t>CIB</t>
        </is>
      </c>
      <c r="O136" s="505" t="n">
        <v>1</v>
      </c>
      <c r="P136" s="505" t="n"/>
      <c r="Q136" s="505" t="inlineStr">
        <is>
          <t>Pause</t>
        </is>
      </c>
      <c r="R136" s="507" t="n"/>
      <c r="S136" s="507" t="n"/>
      <c r="T136" s="508" t="n">
        <v>151000</v>
      </c>
      <c r="U136" s="509" t="n">
        <v>151000</v>
      </c>
      <c r="V136" s="511" t="n">
        <v>0.12</v>
      </c>
      <c r="W136" s="973" t="n">
        <v>0.055</v>
      </c>
      <c r="X136" s="973" t="n">
        <v>0.12</v>
      </c>
      <c r="Y136" s="974" t="n"/>
      <c r="Z136" s="973" t="n">
        <v>0.04</v>
      </c>
      <c r="AA136" s="972">
        <f>U136*(1+V136+W136+X136+Y136+Z136)</f>
        <v>201585.0</v>
      </c>
      <c r="AB136" s="516" t="n"/>
    </row>
    <row r="137">
      <c r="A137" s="500" t="inlineStr">
        <is>
          <t>V</t>
        </is>
      </c>
      <c r="B137" s="501" t="inlineStr">
        <is>
          <t>vacant</t>
        </is>
      </c>
      <c r="C137" s="502" t="inlineStr">
        <is>
          <t>Data Scientist</t>
        </is>
      </c>
      <c r="D137" s="501" t="inlineStr">
        <is>
          <t>Jonathan Robinson</t>
        </is>
      </c>
      <c r="E137" s="501" t="inlineStr">
        <is>
          <t>Technology Manager, Data Science</t>
        </is>
      </c>
      <c r="F137" s="534" t="inlineStr">
        <is>
          <t>Strategy, Architecture &amp; Data</t>
        </is>
      </c>
      <c r="G137" s="503" t="inlineStr">
        <is>
          <t>Group Data</t>
        </is>
      </c>
      <c r="H137" s="534" t="inlineStr">
        <is>
          <t>Data Science</t>
        </is>
      </c>
      <c r="I137" s="534" t="inlineStr">
        <is>
          <t>Enterprise Data</t>
        </is>
      </c>
      <c r="J137" s="534" t="inlineStr">
        <is>
          <t>Group Data</t>
        </is>
      </c>
      <c r="K137" s="503" t="inlineStr">
        <is>
          <t>Data Science</t>
        </is>
      </c>
      <c r="L137" s="503" t="n"/>
      <c r="M137" s="504" t="inlineStr">
        <is>
          <t>Australia</t>
        </is>
      </c>
      <c r="N137" s="505" t="inlineStr">
        <is>
          <t>CIB</t>
        </is>
      </c>
      <c r="O137" s="505" t="n">
        <v>1</v>
      </c>
      <c r="P137" s="505" t="n"/>
      <c r="Q137" s="505" t="inlineStr">
        <is>
          <t>Pause</t>
        </is>
      </c>
      <c r="R137" s="507" t="n"/>
      <c r="S137" s="507" t="n"/>
      <c r="T137" s="508" t="n">
        <v>151950</v>
      </c>
      <c r="U137" s="509" t="n">
        <v>151950</v>
      </c>
      <c r="V137" s="511" t="n">
        <v>0.12</v>
      </c>
      <c r="W137" s="973" t="n">
        <v>0.055</v>
      </c>
      <c r="X137" s="973" t="n">
        <v>0.12</v>
      </c>
      <c r="Y137" s="974" t="n"/>
      <c r="Z137" s="973" t="n">
        <v>0.04</v>
      </c>
      <c r="AA137" s="972">
        <f>U137*(1+V137+W137+X137+Y137+Z137)</f>
        <v>202853.25</v>
      </c>
      <c r="AB137" s="516" t="n"/>
    </row>
    <row r="138">
      <c r="A138" s="500" t="inlineStr">
        <is>
          <t>V</t>
        </is>
      </c>
      <c r="B138" s="501" t="inlineStr">
        <is>
          <t>Vacant</t>
        </is>
      </c>
      <c r="C138" s="502" t="inlineStr">
        <is>
          <t xml:space="preserve">Reporting Lead </t>
        </is>
      </c>
      <c r="D138" s="501" t="inlineStr">
        <is>
          <t>Prashanth Krishnankutty</t>
        </is>
      </c>
      <c r="E138" s="501" t="inlineStr">
        <is>
          <t>Lead, Reporting &amp; Insights</t>
        </is>
      </c>
      <c r="F138" s="534" t="inlineStr">
        <is>
          <t>Strategy, Architecture &amp; Data</t>
        </is>
      </c>
      <c r="G138" s="503" t="inlineStr">
        <is>
          <t>Group Data</t>
        </is>
      </c>
      <c r="H138" s="534" t="inlineStr">
        <is>
          <t>Data Engineering &amp; Platforms</t>
        </is>
      </c>
      <c r="I138" s="534" t="inlineStr">
        <is>
          <t>Enterprise Data</t>
        </is>
      </c>
      <c r="J138" s="534" t="inlineStr">
        <is>
          <t>Group Data</t>
        </is>
      </c>
      <c r="K138" s="534" t="inlineStr">
        <is>
          <t>Reporting &amp; Analytics</t>
        </is>
      </c>
      <c r="L138" s="503" t="n"/>
      <c r="M138" s="504" t="inlineStr">
        <is>
          <t>Australia</t>
        </is>
      </c>
      <c r="N138" s="505" t="inlineStr">
        <is>
          <t>CIB</t>
        </is>
      </c>
      <c r="O138" s="505" t="n">
        <v>1</v>
      </c>
      <c r="P138" s="505" t="n"/>
      <c r="Q138" s="505" t="inlineStr">
        <is>
          <t>Pause</t>
        </is>
      </c>
      <c r="R138" s="507" t="n"/>
      <c r="S138" s="507" t="n"/>
      <c r="T138" s="508" t="n">
        <v>151950</v>
      </c>
      <c r="U138" s="509" t="n">
        <v>151950</v>
      </c>
      <c r="V138" s="511" t="n">
        <v>0.12</v>
      </c>
      <c r="W138" s="973" t="n">
        <v>0.055</v>
      </c>
      <c r="X138" s="973" t="n">
        <v>0.12</v>
      </c>
      <c r="Y138" s="974" t="n"/>
      <c r="Z138" s="973" t="n">
        <v>0.04</v>
      </c>
      <c r="AA138" s="972">
        <f>U138*(1+V138+W138+X138+Y138+Z138)</f>
        <v>202853.25</v>
      </c>
      <c r="AB138" s="516" t="n"/>
    </row>
    <row r="139">
      <c r="A139" s="500" t="inlineStr">
        <is>
          <t>V</t>
        </is>
      </c>
      <c r="B139" s="501" t="inlineStr">
        <is>
          <t>vacant</t>
        </is>
      </c>
      <c r="C139" s="502" t="inlineStr">
        <is>
          <t>Engineer - Data</t>
        </is>
      </c>
      <c r="D139" s="501" t="inlineStr">
        <is>
          <t>Roozbeh Shahbazirad</t>
        </is>
      </c>
      <c r="E139" s="501" t="inlineStr">
        <is>
          <t>Lead Engineer (Databricks)</t>
        </is>
      </c>
      <c r="F139" s="534" t="inlineStr">
        <is>
          <t>Strategy, Architecture &amp; Data</t>
        </is>
      </c>
      <c r="G139" s="503" t="inlineStr">
        <is>
          <t>Group Data</t>
        </is>
      </c>
      <c r="H139" s="534" t="inlineStr">
        <is>
          <t>Data Engineering &amp; Platforms</t>
        </is>
      </c>
      <c r="I139" s="503" t="inlineStr">
        <is>
          <t>Enterprise Data</t>
        </is>
      </c>
      <c r="J139" s="534" t="inlineStr">
        <is>
          <t>Group Data</t>
        </is>
      </c>
      <c r="K139" s="503" t="inlineStr">
        <is>
          <t>Data Platform</t>
        </is>
      </c>
      <c r="L139" s="503" t="n"/>
      <c r="M139" s="504" t="inlineStr">
        <is>
          <t>Australia</t>
        </is>
      </c>
      <c r="N139" s="505" t="inlineStr">
        <is>
          <t>CIB</t>
        </is>
      </c>
      <c r="O139" s="505" t="n">
        <v>1</v>
      </c>
      <c r="P139" s="505" t="n"/>
      <c r="Q139" s="505" t="inlineStr">
        <is>
          <t>V</t>
        </is>
      </c>
      <c r="R139" s="507" t="n"/>
      <c r="S139" s="507" t="n"/>
      <c r="T139" s="508" t="n">
        <v>151950</v>
      </c>
      <c r="U139" s="509" t="n">
        <v>151950</v>
      </c>
      <c r="V139" s="511" t="n">
        <v>0.12</v>
      </c>
      <c r="W139" s="973" t="n">
        <v>0.055</v>
      </c>
      <c r="X139" s="973" t="n">
        <v>0.12</v>
      </c>
      <c r="Y139" s="974" t="n"/>
      <c r="Z139" s="973" t="n">
        <v>0.04</v>
      </c>
      <c r="AA139" s="972">
        <f>U139*(1+V139+W139+X139+Y139+Z139)</f>
        <v>202853.25</v>
      </c>
      <c r="AB139" s="516" t="n"/>
    </row>
    <row r="140">
      <c r="A140" s="500" t="inlineStr">
        <is>
          <t>V</t>
        </is>
      </c>
      <c r="B140" s="501" t="inlineStr">
        <is>
          <t>vacant</t>
        </is>
      </c>
      <c r="C140" s="502" t="inlineStr">
        <is>
          <t>Quality Assurance</t>
        </is>
      </c>
      <c r="D140" s="501" t="inlineStr">
        <is>
          <t>Roozbeh Shahbazirad</t>
        </is>
      </c>
      <c r="E140" s="501" t="inlineStr">
        <is>
          <t>Lead Engineer (Databricks)</t>
        </is>
      </c>
      <c r="F140" s="534" t="inlineStr">
        <is>
          <t>Strategy, Architecture &amp; Data</t>
        </is>
      </c>
      <c r="G140" s="503" t="inlineStr">
        <is>
          <t>Group Data</t>
        </is>
      </c>
      <c r="H140" s="534" t="inlineStr">
        <is>
          <t>Data Engineering &amp; Platforms</t>
        </is>
      </c>
      <c r="I140" s="503" t="inlineStr">
        <is>
          <t>Enterprise Data</t>
        </is>
      </c>
      <c r="J140" s="534" t="inlineStr">
        <is>
          <t>EGI</t>
        </is>
      </c>
      <c r="K140" s="503" t="inlineStr">
        <is>
          <t>Data Platform</t>
        </is>
      </c>
      <c r="L140" s="503" t="n"/>
      <c r="M140" s="504" t="inlineStr">
        <is>
          <t>Australia</t>
        </is>
      </c>
      <c r="N140" s="505" t="inlineStr">
        <is>
          <t>CIA</t>
        </is>
      </c>
      <c r="O140" s="505" t="n">
        <v>1</v>
      </c>
      <c r="P140" s="505" t="n"/>
      <c r="Q140" s="505" t="inlineStr">
        <is>
          <t>v</t>
        </is>
      </c>
      <c r="R140" s="507" t="n"/>
      <c r="S140" s="507" t="n"/>
      <c r="T140" s="508" t="n">
        <v>129650</v>
      </c>
      <c r="U140" s="509" t="n">
        <v>129650</v>
      </c>
      <c r="V140" s="511" t="n">
        <v>0.1</v>
      </c>
      <c r="W140" s="973" t="n">
        <v>0.055</v>
      </c>
      <c r="X140" s="973" t="n">
        <v>0.12</v>
      </c>
      <c r="Y140" s="974" t="n"/>
      <c r="Z140" s="973" t="n">
        <v>0.04</v>
      </c>
      <c r="AA140" s="972">
        <f>U140*(1+V140+W140+X140+Y140+Z140)</f>
        <v>170489.75</v>
      </c>
      <c r="AB140" s="516" t="n"/>
    </row>
    <row r="141">
      <c r="A141" s="500" t="inlineStr">
        <is>
          <t>V</t>
        </is>
      </c>
      <c r="B141" s="501" t="inlineStr">
        <is>
          <t>Vacant</t>
        </is>
      </c>
      <c r="C141" s="502" t="inlineStr">
        <is>
          <t>Data Governance Lead</t>
        </is>
      </c>
      <c r="D141" s="503" t="inlineStr">
        <is>
          <t>Sanjay Tikoo</t>
        </is>
      </c>
      <c r="E141" s="501" t="inlineStr">
        <is>
          <t>Data Capability Manager</t>
        </is>
      </c>
      <c r="F141" s="534" t="inlineStr">
        <is>
          <t>Strategy, Architecture &amp; Data</t>
        </is>
      </c>
      <c r="G141" s="527" t="inlineStr">
        <is>
          <t>Group Data</t>
        </is>
      </c>
      <c r="H141" s="539" t="inlineStr">
        <is>
          <t>Data Capability</t>
        </is>
      </c>
      <c r="I141" s="534" t="inlineStr">
        <is>
          <t>Enterprise Data</t>
        </is>
      </c>
      <c r="J141" s="534" t="inlineStr">
        <is>
          <t>Group Data</t>
        </is>
      </c>
      <c r="K141" s="503" t="n"/>
      <c r="L141" s="503" t="n"/>
      <c r="M141" s="504" t="inlineStr">
        <is>
          <t>australia</t>
        </is>
      </c>
      <c r="N141" s="540" t="inlineStr">
        <is>
          <t>CSC</t>
        </is>
      </c>
      <c r="O141" s="505" t="n">
        <v>1</v>
      </c>
      <c r="P141" s="505" t="n"/>
      <c r="Q141" s="505" t="inlineStr">
        <is>
          <t>V</t>
        </is>
      </c>
      <c r="R141" s="507" t="n"/>
      <c r="S141" s="507" t="n"/>
      <c r="T141" s="508" t="n">
        <v>275340</v>
      </c>
      <c r="U141" s="509" t="n">
        <v>275340</v>
      </c>
      <c r="V141" s="511" t="n">
        <v>0.2</v>
      </c>
      <c r="W141" s="973" t="n">
        <v>0.055</v>
      </c>
      <c r="X141" s="973" t="n">
        <v>0.12</v>
      </c>
      <c r="Y141" s="974" t="n"/>
      <c r="Z141" s="973" t="n">
        <v>0.04</v>
      </c>
      <c r="AA141" s="972">
        <f>U141*(1+V141+W141+X141+Y141+Z141)</f>
        <v>389606.10000000003</v>
      </c>
      <c r="AB141" s="516" t="n"/>
    </row>
    <row r="142">
      <c r="A142" s="500" t="inlineStr">
        <is>
          <t>V</t>
        </is>
      </c>
      <c r="B142" s="501" t="inlineStr">
        <is>
          <t>Vacant</t>
        </is>
      </c>
      <c r="C142" s="502" t="inlineStr">
        <is>
          <t>Head of Architecture</t>
        </is>
      </c>
      <c r="D142" s="501" t="inlineStr">
        <is>
          <t>Matt Ashley</t>
        </is>
      </c>
      <c r="E142" s="501" t="inlineStr">
        <is>
          <t>GM TDD, Strategy, Architecture, Data</t>
        </is>
      </c>
      <c r="F142" s="534" t="inlineStr">
        <is>
          <t>Strategy, Architecture &amp; Data</t>
        </is>
      </c>
      <c r="G142" s="503" t="inlineStr">
        <is>
          <t>Architecture</t>
        </is>
      </c>
      <c r="H142" s="503" t="n"/>
      <c r="I142" s="503" t="n"/>
      <c r="J142" s="534" t="inlineStr">
        <is>
          <t>Leadership</t>
        </is>
      </c>
      <c r="K142" s="534" t="n"/>
      <c r="L142" s="503" t="n"/>
      <c r="M142" s="504" t="inlineStr">
        <is>
          <t>Australia</t>
        </is>
      </c>
      <c r="N142" s="505" t="inlineStr">
        <is>
          <t>CSC</t>
        </is>
      </c>
      <c r="O142" s="505" t="n">
        <v>1</v>
      </c>
      <c r="P142" s="505" t="n"/>
      <c r="Q142" s="505" t="inlineStr">
        <is>
          <t>v</t>
        </is>
      </c>
      <c r="R142" s="507" t="n"/>
      <c r="S142" s="507" t="n"/>
      <c r="T142" s="508" t="n">
        <v>236730</v>
      </c>
      <c r="U142" s="509" t="n">
        <v>236730</v>
      </c>
      <c r="V142" s="511" t="n">
        <v>0.2</v>
      </c>
      <c r="W142" s="973" t="n">
        <v>0.055</v>
      </c>
      <c r="X142" s="973" t="n">
        <v>0.12</v>
      </c>
      <c r="Y142" s="974" t="n"/>
      <c r="Z142" s="973" t="n">
        <v>0.04</v>
      </c>
      <c r="AA142" s="972">
        <f>U142*(1+V142+W142+X142+Y142+Z142)</f>
        <v>334972.95</v>
      </c>
      <c r="AB142" s="516" t="n"/>
    </row>
    <row r="143">
      <c r="A143" s="500" t="inlineStr">
        <is>
          <t>V</t>
        </is>
      </c>
      <c r="B143" s="501" t="inlineStr">
        <is>
          <t>Vacant</t>
        </is>
      </c>
      <c r="C143" s="502" t="inlineStr">
        <is>
          <t>Head of Technology Strategy &amp; AI Capability</t>
        </is>
      </c>
      <c r="D143" s="501" t="inlineStr">
        <is>
          <t>Matt Ashley</t>
        </is>
      </c>
      <c r="E143" s="501" t="inlineStr">
        <is>
          <t>GM TDD, Strategy, Architecture, Data</t>
        </is>
      </c>
      <c r="F143" s="534" t="inlineStr">
        <is>
          <t>Strategy, Architecture &amp; Data</t>
        </is>
      </c>
      <c r="G143" s="503" t="inlineStr">
        <is>
          <t>Technology Strategy &amp; AI Capability</t>
        </is>
      </c>
      <c r="H143" s="516" t="n"/>
      <c r="I143" s="503" t="n"/>
      <c r="J143" s="534" t="inlineStr">
        <is>
          <t>Leadership</t>
        </is>
      </c>
      <c r="K143" s="534" t="n"/>
      <c r="L143" s="503" t="n"/>
      <c r="M143" s="504" t="inlineStr">
        <is>
          <t>Australia</t>
        </is>
      </c>
      <c r="N143" s="505" t="inlineStr">
        <is>
          <t>CSC</t>
        </is>
      </c>
      <c r="O143" s="505" t="n">
        <v>1</v>
      </c>
      <c r="P143" s="505" t="n"/>
      <c r="Q143" s="505" t="inlineStr">
        <is>
          <t>v</t>
        </is>
      </c>
      <c r="R143" s="507" t="n"/>
      <c r="S143" s="507" t="n"/>
      <c r="T143" s="508" t="n">
        <v>235350</v>
      </c>
      <c r="U143" s="509" t="n">
        <v>235350</v>
      </c>
      <c r="V143" s="511" t="n">
        <v>0.2</v>
      </c>
      <c r="W143" s="973" t="n">
        <v>0.055</v>
      </c>
      <c r="X143" s="973" t="n">
        <v>0.12</v>
      </c>
      <c r="Y143" s="974" t="n"/>
      <c r="Z143" s="973" t="n">
        <v>0.04</v>
      </c>
      <c r="AA143" s="972">
        <f>U143*(1+V143+W143+X143+Y143+Z143)</f>
        <v>333020.25</v>
      </c>
      <c r="AB143" s="516" t="n"/>
    </row>
    <row r="144">
      <c r="A144" s="500" t="inlineStr">
        <is>
          <t>V</t>
        </is>
      </c>
      <c r="B144" s="501" t="inlineStr">
        <is>
          <t>Vacant</t>
        </is>
      </c>
      <c r="C144" s="502" t="inlineStr">
        <is>
          <t>Senior Communications Advisor</t>
        </is>
      </c>
      <c r="D144" s="501" t="inlineStr">
        <is>
          <t>Matt Ashley</t>
        </is>
      </c>
      <c r="E144" s="501" t="inlineStr">
        <is>
          <t>GM TDD, Strategy, Architecture, Data</t>
        </is>
      </c>
      <c r="F144" s="534" t="inlineStr">
        <is>
          <t>Strategy, Architecture &amp; Data</t>
        </is>
      </c>
      <c r="G144" s="503" t="inlineStr">
        <is>
          <t>na</t>
        </is>
      </c>
      <c r="H144" s="503" t="n"/>
      <c r="I144" s="503" t="n"/>
      <c r="J144" s="534" t="inlineStr">
        <is>
          <t>Leadership</t>
        </is>
      </c>
      <c r="K144" s="534" t="n"/>
      <c r="L144" s="503" t="n"/>
      <c r="M144" s="504" t="inlineStr">
        <is>
          <t>Australia</t>
        </is>
      </c>
      <c r="N144" s="505" t="inlineStr">
        <is>
          <t>CIB</t>
        </is>
      </c>
      <c r="O144" s="505" t="n">
        <v>1</v>
      </c>
      <c r="P144" s="505" t="n"/>
      <c r="Q144" s="505" t="inlineStr">
        <is>
          <t>v</t>
        </is>
      </c>
      <c r="R144" s="507" t="n"/>
      <c r="S144" s="507" t="n"/>
      <c r="T144" s="508" t="n">
        <v>140000</v>
      </c>
      <c r="U144" s="509" t="n">
        <v>140000</v>
      </c>
      <c r="V144" s="511" t="n">
        <v>0.12</v>
      </c>
      <c r="W144" s="973" t="n">
        <v>0.055</v>
      </c>
      <c r="X144" s="973" t="n">
        <v>0.12</v>
      </c>
      <c r="Y144" s="974" t="n"/>
      <c r="Z144" s="973" t="n">
        <v>0.04</v>
      </c>
      <c r="AA144" s="972">
        <f>U144*(1+V144+W144+X144+Y144+Z144)</f>
        <v>186900.0</v>
      </c>
      <c r="AB144" s="516" t="n"/>
    </row>
    <row r="145">
      <c r="A145" s="500" t="inlineStr">
        <is>
          <t>V</t>
        </is>
      </c>
      <c r="B145" s="541" t="inlineStr">
        <is>
          <t>Vacant</t>
        </is>
      </c>
      <c r="C145" s="542" t="inlineStr">
        <is>
          <t>Enterprise Data Architect</t>
        </is>
      </c>
      <c r="D145" s="543" t="inlineStr">
        <is>
          <t>Sanjay Tikoo</t>
        </is>
      </c>
      <c r="E145" s="541" t="inlineStr">
        <is>
          <t>Data Capability Manager</t>
        </is>
      </c>
      <c r="F145" s="544" t="inlineStr">
        <is>
          <t>Strategy, Architecture &amp; Data</t>
        </is>
      </c>
      <c r="G145" s="545" t="inlineStr">
        <is>
          <t>Group Data</t>
        </is>
      </c>
      <c r="H145" s="545" t="inlineStr">
        <is>
          <t>Data Capability</t>
        </is>
      </c>
      <c r="I145" s="544" t="inlineStr">
        <is>
          <t>Enterprise Data</t>
        </is>
      </c>
      <c r="J145" s="544" t="inlineStr">
        <is>
          <t>Group Data</t>
        </is>
      </c>
      <c r="K145" s="545" t="n"/>
      <c r="L145" s="545" t="n"/>
      <c r="M145" s="504" t="inlineStr">
        <is>
          <t>Australia</t>
        </is>
      </c>
      <c r="N145" s="505" t="inlineStr">
        <is>
          <t>CSB</t>
        </is>
      </c>
      <c r="O145" s="505" t="n">
        <v>1</v>
      </c>
      <c r="P145" s="505" t="n"/>
      <c r="Q145" s="505" t="inlineStr">
        <is>
          <t>Pause</t>
        </is>
      </c>
      <c r="R145" s="529" t="n"/>
      <c r="S145" s="507" t="n"/>
      <c r="T145" s="508" t="n">
        <v>203550</v>
      </c>
      <c r="U145" s="509" t="n">
        <v>203550</v>
      </c>
      <c r="V145" s="511" t="n">
        <v>0.14</v>
      </c>
      <c r="W145" s="973" t="n">
        <v>0.055</v>
      </c>
      <c r="X145" s="973" t="n">
        <v>0.12</v>
      </c>
      <c r="Y145" s="974" t="n"/>
      <c r="Z145" s="973" t="n">
        <v>0.04</v>
      </c>
      <c r="AA145" s="972">
        <f>U145*(1+V145+W145+X145+Y145+Z145)</f>
        <v>275810.25</v>
      </c>
      <c r="AB145" s="516" t="n"/>
    </row>
    <row r="146">
      <c r="A146" s="500" t="inlineStr">
        <is>
          <t>V</t>
        </is>
      </c>
      <c r="B146" s="501" t="inlineStr">
        <is>
          <t>Vacant</t>
        </is>
      </c>
      <c r="C146" s="502" t="inlineStr">
        <is>
          <t>AI Capability Lead</t>
        </is>
      </c>
      <c r="D146" s="499" t="inlineStr">
        <is>
          <t>Vacant</t>
        </is>
      </c>
      <c r="E146" s="501" t="inlineStr">
        <is>
          <t>Head of Technology  Strategy &amp; AI Capability</t>
        </is>
      </c>
      <c r="F146" s="534" t="inlineStr">
        <is>
          <t>Strategy, Architecture &amp; Data</t>
        </is>
      </c>
      <c r="G146" s="503" t="inlineStr">
        <is>
          <t>Technology Strategy &amp; AI Capability</t>
        </is>
      </c>
      <c r="H146" s="503" t="inlineStr">
        <is>
          <t>Technology Strategy &amp; AI Capability</t>
        </is>
      </c>
      <c r="I146" s="534" t="n"/>
      <c r="J146" s="534" t="n"/>
      <c r="K146" s="503" t="n"/>
      <c r="L146" s="503" t="n"/>
      <c r="M146" s="504" t="inlineStr">
        <is>
          <t>Australia</t>
        </is>
      </c>
      <c r="N146" s="505" t="inlineStr">
        <is>
          <t>CSB</t>
        </is>
      </c>
      <c r="O146" s="505" t="n">
        <v>1</v>
      </c>
      <c r="P146" s="505" t="n"/>
      <c r="Q146" s="505" t="inlineStr">
        <is>
          <t>V</t>
        </is>
      </c>
      <c r="R146" s="507" t="n"/>
      <c r="S146" s="507" t="n"/>
      <c r="T146" s="508" t="n">
        <v>203550</v>
      </c>
      <c r="U146" s="509" t="n">
        <v>203550</v>
      </c>
      <c r="V146" s="511" t="n">
        <v>0.14</v>
      </c>
      <c r="W146" s="973" t="n">
        <v>0.055</v>
      </c>
      <c r="X146" s="973" t="n">
        <v>0.12</v>
      </c>
      <c r="Y146" s="974" t="n"/>
      <c r="Z146" s="973" t="n">
        <v>0.04</v>
      </c>
      <c r="AA146" s="972">
        <f>U146*(1+V146+W146+X146+Y146+Z146)</f>
        <v>275810.25</v>
      </c>
      <c r="AB146" s="516" t="n"/>
    </row>
    <row r="147">
      <c r="A147" s="500" t="inlineStr">
        <is>
          <t>V</t>
        </is>
      </c>
      <c r="B147" s="501" t="inlineStr">
        <is>
          <t>Vacant</t>
        </is>
      </c>
      <c r="C147" s="502" t="inlineStr">
        <is>
          <t>Enterprise Process Lead</t>
        </is>
      </c>
      <c r="D147" s="499" t="inlineStr">
        <is>
          <t>Vacant</t>
        </is>
      </c>
      <c r="E147" s="501" t="inlineStr">
        <is>
          <t>Head of Technology  Strategy &amp; AI Capability</t>
        </is>
      </c>
      <c r="F147" s="534" t="inlineStr">
        <is>
          <t>Strategy, Architecture &amp; Data</t>
        </is>
      </c>
      <c r="G147" s="503" t="inlineStr">
        <is>
          <t>Technology Strategy &amp; AI Capability</t>
        </is>
      </c>
      <c r="H147" s="503" t="inlineStr">
        <is>
          <t>Technology Strategy &amp; AI Capability</t>
        </is>
      </c>
      <c r="I147" s="534" t="n"/>
      <c r="J147" s="534" t="n"/>
      <c r="K147" s="503" t="n"/>
      <c r="L147" s="503" t="n"/>
      <c r="M147" s="504" t="inlineStr">
        <is>
          <t>Australia</t>
        </is>
      </c>
      <c r="N147" s="505" t="inlineStr">
        <is>
          <t>CIB</t>
        </is>
      </c>
      <c r="O147" s="505" t="n">
        <v>1</v>
      </c>
      <c r="P147" s="505" t="n"/>
      <c r="Q147" s="505" t="inlineStr">
        <is>
          <t>V</t>
        </is>
      </c>
      <c r="R147" s="507" t="n"/>
      <c r="S147" s="507" t="n"/>
      <c r="T147" s="508" t="n">
        <v>151950</v>
      </c>
      <c r="U147" s="509" t="n">
        <v>151950</v>
      </c>
      <c r="V147" s="511" t="n">
        <v>0.12</v>
      </c>
      <c r="W147" s="973" t="n">
        <v>0.055</v>
      </c>
      <c r="X147" s="973" t="n">
        <v>0.12</v>
      </c>
      <c r="Y147" s="974" t="n"/>
      <c r="Z147" s="973" t="n">
        <v>0.04</v>
      </c>
      <c r="AA147" s="972">
        <f>U147*(1+V147+W147+X147+Y147+Z147)</f>
        <v>202853.25</v>
      </c>
      <c r="AB147" s="516" t="n"/>
    </row>
    <row r="148">
      <c r="A148" s="500" t="inlineStr">
        <is>
          <t>V</t>
        </is>
      </c>
      <c r="B148" s="501" t="inlineStr">
        <is>
          <t>Vacant</t>
        </is>
      </c>
      <c r="C148" s="502" t="inlineStr">
        <is>
          <t>EnterpriseProcess Analyst</t>
        </is>
      </c>
      <c r="D148" s="516" t="inlineStr">
        <is>
          <t>Vacant</t>
        </is>
      </c>
      <c r="E148" s="501" t="inlineStr">
        <is>
          <t>Enterprise Process Lead</t>
        </is>
      </c>
      <c r="F148" s="534" t="inlineStr">
        <is>
          <t>Strategy, Architecture &amp; Data</t>
        </is>
      </c>
      <c r="G148" s="503" t="inlineStr">
        <is>
          <t>Technology Strategy &amp; AI Capability</t>
        </is>
      </c>
      <c r="H148" s="503" t="inlineStr">
        <is>
          <t>Technology Strategy &amp; AI Capability</t>
        </is>
      </c>
      <c r="I148" s="534" t="n"/>
      <c r="J148" s="534" t="n"/>
      <c r="K148" s="503" t="n"/>
      <c r="L148" s="503" t="n"/>
      <c r="M148" s="504" t="inlineStr">
        <is>
          <t>Australia</t>
        </is>
      </c>
      <c r="N148" s="505" t="inlineStr">
        <is>
          <t>CIA</t>
        </is>
      </c>
      <c r="O148" s="505" t="n">
        <v>1</v>
      </c>
      <c r="P148" s="505" t="n"/>
      <c r="Q148" s="505" t="inlineStr">
        <is>
          <t>V</t>
        </is>
      </c>
      <c r="R148" s="507" t="n"/>
      <c r="S148" s="507" t="n"/>
      <c r="T148" s="508" t="n">
        <v>129650</v>
      </c>
      <c r="U148" s="509" t="n">
        <v>129650</v>
      </c>
      <c r="V148" s="511" t="n">
        <v>0.1</v>
      </c>
      <c r="W148" s="973" t="n">
        <v>0.055</v>
      </c>
      <c r="X148" s="973" t="n">
        <v>0.12</v>
      </c>
      <c r="Y148" s="974" t="n"/>
      <c r="Z148" s="973" t="n">
        <v>0.04</v>
      </c>
      <c r="AA148" s="972">
        <f>U148*(1+V148+W148+X148+Y148+Z148)</f>
        <v>170489.75</v>
      </c>
      <c r="AB148" s="516" t="n"/>
    </row>
    <row r="149">
      <c r="A149" s="500" t="inlineStr">
        <is>
          <t>V</t>
        </is>
      </c>
      <c r="B149" s="501" t="inlineStr">
        <is>
          <t>Vacant</t>
        </is>
      </c>
      <c r="C149" s="502" t="inlineStr">
        <is>
          <t>Strategy Analyst</t>
        </is>
      </c>
      <c r="D149" s="499" t="inlineStr">
        <is>
          <t>Vacant</t>
        </is>
      </c>
      <c r="E149" s="501" t="inlineStr">
        <is>
          <t>Head of Technology  Strategy &amp; AI Capability</t>
        </is>
      </c>
      <c r="F149" s="534" t="inlineStr">
        <is>
          <t>Strategy, Architecture &amp; Data</t>
        </is>
      </c>
      <c r="G149" s="503" t="inlineStr">
        <is>
          <t>Technology Strategy &amp; AI Capability</t>
        </is>
      </c>
      <c r="H149" s="516" t="inlineStr">
        <is>
          <t>Technology Strategy &amp; AI Capability</t>
        </is>
      </c>
      <c r="I149" s="534" t="n"/>
      <c r="J149" s="534" t="n"/>
      <c r="K149" s="503" t="n"/>
      <c r="L149" s="503" t="n"/>
      <c r="M149" s="504" t="inlineStr">
        <is>
          <t>Australia</t>
        </is>
      </c>
      <c r="N149" s="505" t="inlineStr">
        <is>
          <t>CIA</t>
        </is>
      </c>
      <c r="O149" s="505" t="n">
        <v>1</v>
      </c>
      <c r="P149" s="505" t="n"/>
      <c r="Q149" s="505" t="inlineStr">
        <is>
          <t>v</t>
        </is>
      </c>
      <c r="R149" s="507" t="n"/>
      <c r="S149" s="507" t="n"/>
      <c r="T149" s="508" t="n">
        <v>129650</v>
      </c>
      <c r="U149" s="509" t="n">
        <v>129650</v>
      </c>
      <c r="V149" s="511" t="n">
        <v>0.1</v>
      </c>
      <c r="W149" s="973" t="n">
        <v>0.055</v>
      </c>
      <c r="X149" s="973" t="n">
        <v>0.12</v>
      </c>
      <c r="Y149" s="974" t="n"/>
      <c r="Z149" s="973" t="n">
        <v>0.04</v>
      </c>
      <c r="AA149" s="972">
        <f>U149*(1+V149+W149+X149+Y149+Z149)</f>
        <v>170489.75</v>
      </c>
      <c r="AB149" s="516" t="n"/>
    </row>
    <row r="150">
      <c r="A150" s="500" t="inlineStr">
        <is>
          <t>V</t>
        </is>
      </c>
      <c r="B150" s="501" t="inlineStr">
        <is>
          <t>Vacant  (Contract)</t>
        </is>
      </c>
      <c r="C150" s="502" t="inlineStr">
        <is>
          <t>Applications Specialist - Strategic Programs</t>
        </is>
      </c>
      <c r="D150" s="499" t="inlineStr">
        <is>
          <t>Sai Konka</t>
        </is>
      </c>
      <c r="E150" s="499" t="inlineStr">
        <is>
          <t>Applications &amp; Analytics Manager</t>
        </is>
      </c>
      <c r="F150" s="534" t="inlineStr">
        <is>
          <t>Strategy, Architecture &amp; Data</t>
        </is>
      </c>
      <c r="G150" s="503" t="inlineStr">
        <is>
          <t>Group Data</t>
        </is>
      </c>
      <c r="H150" s="534" t="inlineStr">
        <is>
          <t>Data Engineering &amp; Platforms</t>
        </is>
      </c>
      <c r="I150" s="503" t="inlineStr">
        <is>
          <t>Enterprise Data</t>
        </is>
      </c>
      <c r="J150" s="534" t="inlineStr">
        <is>
          <t>EGI</t>
        </is>
      </c>
      <c r="K150" s="534" t="inlineStr">
        <is>
          <t>Reporting &amp; Analytics</t>
        </is>
      </c>
      <c r="L150" s="503" t="n"/>
      <c r="M150" s="504" t="inlineStr">
        <is>
          <t>Australia</t>
        </is>
      </c>
      <c r="N150" s="505" t="inlineStr">
        <is>
          <t>CIB</t>
        </is>
      </c>
      <c r="O150" s="505" t="n">
        <v>1</v>
      </c>
      <c r="P150" s="505" t="n"/>
      <c r="Q150" s="505" t="inlineStr">
        <is>
          <t>Pause</t>
        </is>
      </c>
      <c r="R150" s="507" t="n"/>
      <c r="S150" s="507" t="n"/>
      <c r="T150" s="508" t="n">
        <v>151950</v>
      </c>
      <c r="U150" s="509" t="n">
        <v>151950</v>
      </c>
      <c r="V150" s="511" t="n">
        <v>0.12</v>
      </c>
      <c r="W150" s="973" t="n">
        <v>0.055</v>
      </c>
      <c r="X150" s="973" t="n">
        <v>0.12</v>
      </c>
      <c r="Y150" s="974" t="n"/>
      <c r="Z150" s="973" t="n">
        <v>0.04</v>
      </c>
      <c r="AA150" s="972">
        <f>U150*(1+V150+W150+X150+Y150+Z150)</f>
        <v>202853.25</v>
      </c>
      <c r="AB150" s="516" t="n"/>
    </row>
    <row r="151">
      <c r="A151" s="500" t="inlineStr">
        <is>
          <t>V</t>
        </is>
      </c>
      <c r="B151" s="501" t="inlineStr">
        <is>
          <t>Vacant (contract)</t>
        </is>
      </c>
      <c r="C151" s="502" t="inlineStr">
        <is>
          <t>Reporting analysts - Strategic Programs</t>
        </is>
      </c>
      <c r="D151" s="499" t="inlineStr">
        <is>
          <t>Prashanth Krishnankutty</t>
        </is>
      </c>
      <c r="E151" s="501" t="inlineStr">
        <is>
          <t>Lead, Reporting &amp; Insights</t>
        </is>
      </c>
      <c r="F151" s="534" t="inlineStr">
        <is>
          <t>Strategy, Architecture &amp; Data</t>
        </is>
      </c>
      <c r="G151" s="503" t="inlineStr">
        <is>
          <t>Group Data</t>
        </is>
      </c>
      <c r="H151" s="534" t="inlineStr">
        <is>
          <t>Data Engineering &amp; Platforms</t>
        </is>
      </c>
      <c r="I151" s="503" t="inlineStr">
        <is>
          <t>Enterprise Data</t>
        </is>
      </c>
      <c r="J151" s="534" t="inlineStr">
        <is>
          <t>Group Data</t>
        </is>
      </c>
      <c r="K151" s="534" t="inlineStr">
        <is>
          <t>Reporting &amp; Analytics</t>
        </is>
      </c>
      <c r="L151" s="503" t="n"/>
      <c r="M151" s="504" t="inlineStr">
        <is>
          <t>Australia</t>
        </is>
      </c>
      <c r="N151" s="505" t="inlineStr">
        <is>
          <t>CIB</t>
        </is>
      </c>
      <c r="O151" s="505" t="n">
        <v>1</v>
      </c>
      <c r="P151" s="505" t="n"/>
      <c r="Q151" s="505" t="inlineStr">
        <is>
          <t>Pause</t>
        </is>
      </c>
      <c r="R151" s="507" t="n"/>
      <c r="S151" s="507" t="n"/>
      <c r="T151" s="508" t="n">
        <v>151950</v>
      </c>
      <c r="U151" s="509" t="n">
        <v>151950</v>
      </c>
      <c r="V151" s="511" t="n">
        <v>0.12</v>
      </c>
      <c r="W151" s="973" t="n">
        <v>0.055</v>
      </c>
      <c r="X151" s="973" t="n">
        <v>0.12</v>
      </c>
      <c r="Y151" s="974" t="n"/>
      <c r="Z151" s="973" t="n">
        <v>0.04</v>
      </c>
      <c r="AA151" s="972">
        <f>U151*(1+V151+W151+X151+Y151+Z151)</f>
        <v>202853.25</v>
      </c>
      <c r="AB151" s="516" t="n"/>
    </row>
    <row r="152">
      <c r="A152" s="500" t="n">
        <v>106026</v>
      </c>
      <c r="B152" s="501" t="inlineStr">
        <is>
          <t>Vincent Lu</t>
        </is>
      </c>
      <c r="C152" s="502" t="inlineStr">
        <is>
          <t>Reporting Analyst</t>
        </is>
      </c>
      <c r="D152" s="499" t="inlineStr">
        <is>
          <t>Prashanth Krishnankutty</t>
        </is>
      </c>
      <c r="E152" s="501" t="inlineStr">
        <is>
          <t>Lead, Reporting &amp; Insights</t>
        </is>
      </c>
      <c r="F152" s="534" t="inlineStr">
        <is>
          <t>Strategy, Architecture &amp; Data</t>
        </is>
      </c>
      <c r="G152" s="503" t="inlineStr">
        <is>
          <t>Group Data</t>
        </is>
      </c>
      <c r="H152" s="534" t="inlineStr">
        <is>
          <t>Data Engineering &amp; Platforms</t>
        </is>
      </c>
      <c r="I152" s="534" t="inlineStr">
        <is>
          <t>Enterprise Data</t>
        </is>
      </c>
      <c r="J152" s="534" t="inlineStr">
        <is>
          <t>Group Data</t>
        </is>
      </c>
      <c r="K152" s="534" t="inlineStr">
        <is>
          <t>Reporting &amp; Analytics</t>
        </is>
      </c>
      <c r="L152" s="503" t="n"/>
      <c r="M152" s="504" t="inlineStr">
        <is>
          <t>Australia</t>
        </is>
      </c>
      <c r="N152" s="505" t="inlineStr">
        <is>
          <t>CIB</t>
        </is>
      </c>
      <c r="O152" s="505" t="n">
        <v>1</v>
      </c>
      <c r="P152" s="505" t="n"/>
      <c r="Q152" s="505" t="inlineStr">
        <is>
          <t>Permanent - Full Time</t>
        </is>
      </c>
      <c r="R152" s="507" t="n"/>
      <c r="S152" s="507" t="n"/>
      <c r="T152" s="508" t="n">
        <v>134550</v>
      </c>
      <c r="U152" s="509" t="n">
        <v>134550</v>
      </c>
      <c r="V152" s="511" t="n">
        <v>0.12</v>
      </c>
      <c r="W152" s="973" t="n">
        <v>0.055</v>
      </c>
      <c r="X152" s="973" t="n">
        <v>0.12</v>
      </c>
      <c r="Y152" s="974" t="n"/>
      <c r="Z152" s="973" t="n">
        <v>0.04</v>
      </c>
      <c r="AA152" s="972">
        <f>U152*(1+V152+W152+X152+Y152+Z152)</f>
        <v>179624.25</v>
      </c>
      <c r="AB152" s="516" t="n"/>
    </row>
    <row r="153">
      <c r="A153" s="500" t="n">
        <v>101166</v>
      </c>
      <c r="B153" s="503" t="inlineStr">
        <is>
          <t>Yu Chen</t>
        </is>
      </c>
      <c r="C153" s="533" t="inlineStr">
        <is>
          <t>Senior Data Scientist</t>
        </is>
      </c>
      <c r="D153" s="499" t="inlineStr">
        <is>
          <t>Jonathan Robinson</t>
        </is>
      </c>
      <c r="E153" s="501" t="inlineStr">
        <is>
          <t>Technology Manager, Data Science</t>
        </is>
      </c>
      <c r="F153" s="534" t="inlineStr">
        <is>
          <t>Strategy, Architecture &amp; Data</t>
        </is>
      </c>
      <c r="G153" s="503" t="inlineStr">
        <is>
          <t>Group Data</t>
        </is>
      </c>
      <c r="H153" s="534" t="inlineStr">
        <is>
          <t>Data Science</t>
        </is>
      </c>
      <c r="I153" s="534" t="inlineStr">
        <is>
          <t>Enterprise Data</t>
        </is>
      </c>
      <c r="J153" s="534" t="inlineStr">
        <is>
          <t>Group Data</t>
        </is>
      </c>
      <c r="K153" s="503" t="inlineStr">
        <is>
          <t>Data Science</t>
        </is>
      </c>
      <c r="L153" s="503" t="n"/>
      <c r="M153" s="504" t="inlineStr">
        <is>
          <t>Australia</t>
        </is>
      </c>
      <c r="N153" s="505" t="inlineStr">
        <is>
          <t>CIC</t>
        </is>
      </c>
      <c r="O153" s="505" t="n">
        <v>1</v>
      </c>
      <c r="P153" s="505" t="n"/>
      <c r="Q153" s="505" t="inlineStr">
        <is>
          <t>Permanent - Full Time</t>
        </is>
      </c>
      <c r="R153" s="507" t="n"/>
      <c r="S153" s="507" t="n"/>
      <c r="T153" s="508" t="n">
        <v>173470</v>
      </c>
      <c r="U153" s="509" t="n">
        <v>173470</v>
      </c>
      <c r="V153" s="511" t="n">
        <v>0.12</v>
      </c>
      <c r="W153" s="973" t="n">
        <v>0.055</v>
      </c>
      <c r="X153" s="973" t="n">
        <v>0.12</v>
      </c>
      <c r="Y153" s="974" t="n"/>
      <c r="Z153" s="973" t="n">
        <v>0.04</v>
      </c>
      <c r="AA153" s="972">
        <f>U153*(1+V153+W153+X153+Y153+Z153)</f>
        <v>231582.44999999998</v>
      </c>
      <c r="AB153" s="516" t="n"/>
    </row>
  </sheetData>
  <autoFilter ref="A1:AB153"/>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B2:I15"/>
  <sheetViews>
    <sheetView showGridLines="0" zoomScaleNormal="100" workbookViewId="0">
      <selection activeCell="A1" sqref="A1"/>
    </sheetView>
  </sheetViews>
  <sheetFormatPr baseColWidth="8" defaultColWidth="8.54296875" defaultRowHeight="14.5"/>
  <cols>
    <col width="20" customWidth="1" style="849" min="2" max="2"/>
    <col width="36.54296875" customWidth="1" style="849" min="3" max="3"/>
    <col width="10" customWidth="1" style="849" min="4" max="4"/>
    <col width="15" customWidth="1" style="849" min="5" max="6"/>
    <col width="13" customWidth="1" style="849" min="7" max="7"/>
    <col width="15" customWidth="1" style="849" min="8" max="8"/>
    <col width="10" customWidth="1" style="849" min="9" max="9"/>
  </cols>
  <sheetData>
    <row r="2" ht="18" customHeight="1" s="849">
      <c r="B2" s="2" t="inlineStr">
        <is>
          <t>FY2026 Budget by Business Segment</t>
        </is>
      </c>
    </row>
    <row r="3">
      <c r="B3" s="18" t="n"/>
    </row>
    <row r="5">
      <c r="B5" s="1" t="inlineStr">
        <is>
          <t>Business Segment</t>
        </is>
      </c>
      <c r="C5" s="1" t="inlineStr">
        <is>
          <t>TDD GM</t>
        </is>
      </c>
      <c r="D5" s="1" t="inlineStr">
        <is>
          <t>Total</t>
        </is>
      </c>
      <c r="E5" s="1" t="inlineStr">
        <is>
          <t>OpEx: Lights On</t>
        </is>
      </c>
      <c r="F5" s="1" t="inlineStr">
        <is>
          <t>OpEx: Initiatives</t>
        </is>
      </c>
      <c r="G5" s="1" t="inlineStr">
        <is>
          <t>Depreciation</t>
        </is>
      </c>
      <c r="H5" s="1" t="inlineStr">
        <is>
          <t>Significant Items</t>
        </is>
      </c>
      <c r="I5" s="1" t="inlineStr">
        <is>
          <t>CapEx</t>
        </is>
      </c>
    </row>
    <row r="6">
      <c r="B6" s="19" t="inlineStr">
        <is>
          <t>TDD (Corporate)</t>
        </is>
      </c>
      <c r="C6" s="19" t="inlineStr">
        <is>
          <t>Brad Blyth / Greg Cassis</t>
        </is>
      </c>
      <c r="D6" s="20" t="n">
        <v>112.75951309</v>
      </c>
      <c r="E6" s="20" t="n">
        <v>78.89486321</v>
      </c>
      <c r="F6" s="20" t="n">
        <v>3</v>
      </c>
      <c r="G6" s="20" t="n">
        <v>5.80004988</v>
      </c>
      <c r="H6" s="20" t="n">
        <v>20.1966</v>
      </c>
      <c r="I6" s="20"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19" t="inlineStr">
        <is>
          <t>Commercial Fuels</t>
        </is>
      </c>
      <c r="C8" s="19" t="inlineStr">
        <is>
          <t>Roanne Steele</t>
        </is>
      </c>
      <c r="D8" s="20" t="n">
        <v>40.53422304</v>
      </c>
      <c r="E8" s="20" t="n">
        <v>13.65558128</v>
      </c>
      <c r="F8" s="20" t="n">
        <v>5.86172092</v>
      </c>
      <c r="G8" s="20" t="n">
        <v>0</v>
      </c>
      <c r="H8" s="20" t="n">
        <v>14.219208</v>
      </c>
      <c r="I8" s="20" t="n">
        <v>6.79771284</v>
      </c>
    </row>
    <row r="9">
      <c r="B9" s="8" t="inlineStr">
        <is>
          <t>Retail</t>
        </is>
      </c>
      <c r="C9" s="8" t="inlineStr">
        <is>
          <t>Vance Anderson</t>
        </is>
      </c>
      <c r="D9" s="9" t="n">
        <v>33.88085459</v>
      </c>
      <c r="E9" s="9" t="n">
        <v>13.92585459</v>
      </c>
      <c r="F9" s="9" t="n">
        <v>1.31</v>
      </c>
      <c r="G9" s="9" t="n">
        <v>0</v>
      </c>
      <c r="H9" s="9" t="n">
        <v>6.845</v>
      </c>
      <c r="I9" s="9" t="n">
        <v>11.8</v>
      </c>
    </row>
    <row r="10">
      <c r="B10" s="19" t="inlineStr">
        <is>
          <t>Energy Solutions</t>
        </is>
      </c>
      <c r="C10" s="19" t="inlineStr">
        <is>
          <t>Roanne Steele</t>
        </is>
      </c>
      <c r="D10" s="20" t="n">
        <v>8.009524369999999</v>
      </c>
      <c r="E10" s="20" t="n">
        <v>4.04193945</v>
      </c>
      <c r="F10" s="20" t="n">
        <v>0.97</v>
      </c>
      <c r="G10" s="20" t="n">
        <v>0</v>
      </c>
      <c r="H10" s="20" t="n">
        <v>0</v>
      </c>
      <c r="I10" s="20"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19" t="inlineStr">
        <is>
          <t>Finance &amp; Other Corp</t>
        </is>
      </c>
      <c r="C12" s="19" t="inlineStr">
        <is>
          <t>Emily Mogic</t>
        </is>
      </c>
      <c r="D12" s="20" t="n">
        <v>3.88077368</v>
      </c>
      <c r="E12" s="20" t="n">
        <v>2.94528707</v>
      </c>
      <c r="F12" s="20" t="n">
        <v>0.93548661</v>
      </c>
      <c r="G12" s="20" t="n">
        <v>0</v>
      </c>
      <c r="H12" s="20" t="n">
        <v>0</v>
      </c>
      <c r="I12" s="20" t="n">
        <v>0</v>
      </c>
    </row>
    <row r="13">
      <c r="B13" s="8" t="inlineStr">
        <is>
          <t>P&amp;C</t>
        </is>
      </c>
      <c r="C13" s="8" t="inlineStr">
        <is>
          <t>Emily Mogic</t>
        </is>
      </c>
      <c r="D13" s="9" t="n">
        <v>5.81303803</v>
      </c>
      <c r="E13" s="9" t="n">
        <v>2.14803803</v>
      </c>
      <c r="F13" s="9" t="n">
        <v>1.975</v>
      </c>
      <c r="G13" s="9" t="n">
        <v>0</v>
      </c>
      <c r="H13" s="9" t="n">
        <v>1.36</v>
      </c>
      <c r="I13" s="9" t="n">
        <v>0.33</v>
      </c>
    </row>
    <row r="14">
      <c r="B14" s="19" t="inlineStr">
        <is>
          <t>Customer</t>
        </is>
      </c>
      <c r="C14" s="19" t="inlineStr">
        <is>
          <t>Harley Giles</t>
        </is>
      </c>
      <c r="D14" s="20" t="n">
        <v>11.69153287</v>
      </c>
      <c r="E14" s="20" t="n">
        <v>1.69153283</v>
      </c>
      <c r="F14" s="20" t="n">
        <v>0</v>
      </c>
      <c r="G14" s="20" t="n">
        <v>0</v>
      </c>
      <c r="H14" s="20" t="n">
        <v>5.00000004</v>
      </c>
      <c r="I14" s="20" t="n">
        <v>5</v>
      </c>
    </row>
    <row r="15">
      <c r="B15" s="12" t="inlineStr">
        <is>
          <t>Total Technology</t>
        </is>
      </c>
      <c r="D15" s="21">
        <f>SUM(D6:D14)</f>
        <v>302.52234968</v>
      </c>
      <c r="E15" s="21">
        <f>SUM(E6:E14)</f>
        <v>173.12295208000003</v>
      </c>
      <c r="F15" s="21">
        <f>SUM(F6:F14)</f>
        <v>16.26180953</v>
      </c>
      <c r="G15" s="21">
        <f>SUM(G6:G14)</f>
        <v>17.10657047</v>
      </c>
      <c r="H15" s="21">
        <f>SUM(H6:H14)</f>
        <v>47.62080804</v>
      </c>
      <c r="I15" s="21">
        <f>SUM(I6:I14)</f>
        <v>48.41020956</v>
      </c>
    </row>
  </sheetData>
  <pageMargins left="0.75" right="0.75" top="1" bottom="1"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C7:I54"/>
  <sheetViews>
    <sheetView showGridLines="0" zoomScale="70" zoomScaleNormal="70" workbookViewId="0">
      <selection activeCell="A1" sqref="A1"/>
    </sheetView>
  </sheetViews>
  <sheetFormatPr baseColWidth="8" defaultColWidth="8.54296875" defaultRowHeight="14.5"/>
  <cols>
    <col width="37" customWidth="1" style="849" min="4" max="4"/>
    <col width="23.453125" customWidth="1" style="849" min="5" max="5"/>
    <col width="28" customWidth="1" style="849" min="6" max="6"/>
    <col width="10.54296875" customWidth="1" style="849" min="7" max="7"/>
    <col width="12.81640625" customWidth="1" style="849" min="8" max="8"/>
  </cols>
  <sheetData>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32" t="inlineStr">
        <is>
          <t>Onshore</t>
        </is>
      </c>
    </row>
    <row r="9">
      <c r="F9" t="inlineStr">
        <is>
          <t>Ampol Web</t>
        </is>
      </c>
      <c r="G9" t="inlineStr">
        <is>
          <t>Engineering</t>
        </is>
      </c>
      <c r="H9" t="inlineStr">
        <is>
          <t>L</t>
        </is>
      </c>
      <c r="I9" s="232" t="inlineStr">
        <is>
          <t>Onshore</t>
        </is>
      </c>
    </row>
    <row r="10">
      <c r="F10" t="inlineStr">
        <is>
          <t>Digital Operations</t>
        </is>
      </c>
      <c r="G10" t="inlineStr">
        <is>
          <t>Operations</t>
        </is>
      </c>
      <c r="H10" t="inlineStr">
        <is>
          <t>M</t>
        </is>
      </c>
      <c r="I10" s="232" t="inlineStr">
        <is>
          <t>Onshore</t>
        </is>
      </c>
    </row>
    <row r="11">
      <c r="E11" t="inlineStr">
        <is>
          <t>Customer Z</t>
        </is>
      </c>
      <c r="F11" t="inlineStr">
        <is>
          <t>Z Energy Apps</t>
        </is>
      </c>
      <c r="G11" t="inlineStr">
        <is>
          <t>Product</t>
        </is>
      </c>
      <c r="H11" t="inlineStr">
        <is>
          <t>M</t>
        </is>
      </c>
      <c r="I11" s="232" t="inlineStr">
        <is>
          <t>Onshore</t>
        </is>
      </c>
    </row>
    <row r="12">
      <c r="F12" t="inlineStr">
        <is>
          <t>Z Energy Martech</t>
        </is>
      </c>
      <c r="G12" t="inlineStr">
        <is>
          <t>Product</t>
        </is>
      </c>
      <c r="H12" t="inlineStr">
        <is>
          <t>L</t>
        </is>
      </c>
      <c r="I12" s="232" t="inlineStr">
        <is>
          <t>Onshore</t>
        </is>
      </c>
    </row>
    <row r="13">
      <c r="E13" t="inlineStr">
        <is>
          <t>Group Customer Platforms</t>
        </is>
      </c>
      <c r="F13" t="inlineStr">
        <is>
          <t>Loyalty &amp; Martech</t>
        </is>
      </c>
      <c r="G13" t="inlineStr">
        <is>
          <t>Product</t>
        </is>
      </c>
      <c r="H13" t="inlineStr">
        <is>
          <t>L</t>
        </is>
      </c>
      <c r="I13" s="232" t="inlineStr">
        <is>
          <t>Onshore</t>
        </is>
      </c>
    </row>
    <row r="15">
      <c r="D15" t="inlineStr">
        <is>
          <t>Enterprise Data</t>
        </is>
      </c>
      <c r="E15" t="inlineStr">
        <is>
          <t>Group Data</t>
        </is>
      </c>
      <c r="F15" t="inlineStr">
        <is>
          <t>Data Science</t>
        </is>
      </c>
      <c r="G15" s="232" t="inlineStr">
        <is>
          <t>Enterprise Data and Insights</t>
        </is>
      </c>
      <c r="H15" t="inlineStr">
        <is>
          <t>M</t>
        </is>
      </c>
      <c r="I15" s="232" t="inlineStr">
        <is>
          <t>Onshore</t>
        </is>
      </c>
    </row>
    <row r="16">
      <c r="F16" t="inlineStr">
        <is>
          <t>Reporting &amp; Analytics</t>
        </is>
      </c>
      <c r="G16" s="232" t="inlineStr">
        <is>
          <t>Build and Run</t>
        </is>
      </c>
      <c r="H16" t="inlineStr">
        <is>
          <t>L</t>
        </is>
      </c>
      <c r="I16" s="232" t="inlineStr">
        <is>
          <t>Onshore</t>
        </is>
      </c>
    </row>
    <row r="17">
      <c r="F17" t="inlineStr">
        <is>
          <t>Data Platforms</t>
        </is>
      </c>
      <c r="G17" s="232" t="inlineStr">
        <is>
          <t>Build and Run</t>
        </is>
      </c>
      <c r="H17" t="inlineStr">
        <is>
          <t>L</t>
        </is>
      </c>
      <c r="I17" s="232" t="inlineStr">
        <is>
          <t>Onshore</t>
        </is>
      </c>
    </row>
    <row r="18">
      <c r="F18" t="inlineStr">
        <is>
          <t>Enterprise Data Delivery</t>
        </is>
      </c>
      <c r="G18" s="232" t="inlineStr">
        <is>
          <t>Enterprise Data and Insights</t>
        </is>
      </c>
      <c r="H18" s="232" t="inlineStr">
        <is>
          <t>M</t>
        </is>
      </c>
      <c r="I18" t="inlineStr">
        <is>
          <t>Offshore</t>
        </is>
      </c>
    </row>
    <row r="21">
      <c r="D21" t="inlineStr">
        <is>
          <t>TDD Group Functions</t>
        </is>
      </c>
      <c r="E21" t="inlineStr">
        <is>
          <t>TDD Group Functions</t>
        </is>
      </c>
      <c r="F21" t="inlineStr">
        <is>
          <t>Workplace &amp; Enterprise Tooling</t>
        </is>
      </c>
      <c r="G21" s="232" t="inlineStr">
        <is>
          <t>Configuration / Integration</t>
        </is>
      </c>
      <c r="H21" t="inlineStr">
        <is>
          <t>S</t>
        </is>
      </c>
      <c r="I21" s="232" t="inlineStr">
        <is>
          <t>Onshore</t>
        </is>
      </c>
    </row>
    <row r="22">
      <c r="F22" t="inlineStr">
        <is>
          <t>Network &amp; Infrastructure</t>
        </is>
      </c>
      <c r="G22" s="232" t="inlineStr">
        <is>
          <t>Operations</t>
        </is>
      </c>
      <c r="H22" s="232" t="inlineStr">
        <is>
          <t>M</t>
        </is>
      </c>
      <c r="I22" s="232" t="inlineStr">
        <is>
          <t>Onshore</t>
        </is>
      </c>
    </row>
    <row r="23">
      <c r="F23" t="inlineStr">
        <is>
          <t>DevOps &amp; Engineering</t>
        </is>
      </c>
      <c r="G23" t="inlineStr">
        <is>
          <t>Engineering</t>
        </is>
      </c>
      <c r="H23" t="inlineStr">
        <is>
          <t>S</t>
        </is>
      </c>
      <c r="I23" s="232" t="inlineStr">
        <is>
          <t>Onshore</t>
        </is>
      </c>
    </row>
    <row r="24">
      <c r="F24" t="inlineStr">
        <is>
          <t>Integration</t>
        </is>
      </c>
      <c r="G24" s="232" t="inlineStr">
        <is>
          <t>Configuration / Integration</t>
        </is>
      </c>
      <c r="H24" s="232" t="inlineStr">
        <is>
          <t>M</t>
        </is>
      </c>
      <c r="I24" s="232" t="inlineStr">
        <is>
          <t>Onshore</t>
        </is>
      </c>
    </row>
    <row r="26">
      <c r="D26" t="inlineStr">
        <is>
          <t>P&amp;C</t>
        </is>
      </c>
      <c r="E26" t="inlineStr">
        <is>
          <t>P&amp;C</t>
        </is>
      </c>
      <c r="F26" t="inlineStr">
        <is>
          <t>P&amp;C</t>
        </is>
      </c>
      <c r="G26" s="232" t="inlineStr">
        <is>
          <t>Configuration / Integration</t>
        </is>
      </c>
      <c r="H26" t="inlineStr">
        <is>
          <t>M</t>
        </is>
      </c>
      <c r="I26" s="232" t="inlineStr">
        <is>
          <t>Onshore</t>
        </is>
      </c>
    </row>
    <row r="27">
      <c r="F27" t="inlineStr">
        <is>
          <t>P&amp;C - RTA</t>
        </is>
      </c>
      <c r="G27" s="232" t="inlineStr">
        <is>
          <t>Configuration / Integration</t>
        </is>
      </c>
      <c r="H27" t="inlineStr">
        <is>
          <t>S</t>
        </is>
      </c>
      <c r="I27" s="232" t="inlineStr">
        <is>
          <t>Onshore</t>
        </is>
      </c>
    </row>
    <row r="29">
      <c r="D29" t="inlineStr">
        <is>
          <t>Finance</t>
        </is>
      </c>
      <c r="E29" t="inlineStr">
        <is>
          <t>Finance</t>
        </is>
      </c>
      <c r="F29" t="inlineStr">
        <is>
          <t xml:space="preserve">AU Finance </t>
        </is>
      </c>
      <c r="G29" s="232" t="inlineStr">
        <is>
          <t>Configuration / Integration</t>
        </is>
      </c>
      <c r="H29" t="inlineStr">
        <is>
          <t>L</t>
        </is>
      </c>
      <c r="I29" s="232" t="inlineStr">
        <is>
          <t>Onshore</t>
        </is>
      </c>
    </row>
    <row r="30">
      <c r="F30" t="inlineStr">
        <is>
          <t xml:space="preserve">NZ Finance </t>
        </is>
      </c>
      <c r="G30" s="232" t="inlineStr">
        <is>
          <t>Configuration / Integration</t>
        </is>
      </c>
      <c r="H30" t="inlineStr">
        <is>
          <t>L</t>
        </is>
      </c>
      <c r="I30" s="232" t="inlineStr">
        <is>
          <t>Onshore</t>
        </is>
      </c>
    </row>
    <row r="32">
      <c r="D32" t="inlineStr">
        <is>
          <t>Infrastructure</t>
        </is>
      </c>
      <c r="E32" t="inlineStr">
        <is>
          <t>Distribution</t>
        </is>
      </c>
      <c r="F32" t="inlineStr">
        <is>
          <t>Distribution, Sales &amp; Services</t>
        </is>
      </c>
      <c r="G32" s="232" t="inlineStr">
        <is>
          <t>Configuration / Integration</t>
        </is>
      </c>
      <c r="H32" t="inlineStr">
        <is>
          <t>M</t>
        </is>
      </c>
      <c r="I32" s="232" t="inlineStr">
        <is>
          <t>Onshore</t>
        </is>
      </c>
    </row>
    <row r="33">
      <c r="E33" t="inlineStr">
        <is>
          <t>Manufacturing</t>
        </is>
      </c>
      <c r="F33" t="inlineStr">
        <is>
          <t>Manufacturing &amp; Group Projects</t>
        </is>
      </c>
      <c r="G33" s="232" t="inlineStr">
        <is>
          <t>Configuration / Integration</t>
        </is>
      </c>
      <c r="H33" t="inlineStr">
        <is>
          <t>M</t>
        </is>
      </c>
      <c r="I33" s="232" t="inlineStr">
        <is>
          <t>Onshore</t>
        </is>
      </c>
    </row>
    <row r="34">
      <c r="F34" t="inlineStr">
        <is>
          <t>Technology Support</t>
        </is>
      </c>
      <c r="G34" s="232" t="inlineStr">
        <is>
          <t>Operations</t>
        </is>
      </c>
      <c r="H34" t="inlineStr">
        <is>
          <t>S</t>
        </is>
      </c>
      <c r="I34" s="232" t="inlineStr">
        <is>
          <t>Onshore</t>
        </is>
      </c>
    </row>
    <row r="35">
      <c r="E35" t="inlineStr">
        <is>
          <t>Data &amp; Insights</t>
        </is>
      </c>
      <c r="F35" t="inlineStr">
        <is>
          <t>Data &amp; Insights</t>
        </is>
      </c>
      <c r="G35" s="232" t="inlineStr">
        <is>
          <t>Configuration / Integration</t>
        </is>
      </c>
      <c r="H35" t="inlineStr">
        <is>
          <t>S</t>
        </is>
      </c>
      <c r="I35" s="232" t="inlineStr">
        <is>
          <t>Onshore</t>
        </is>
      </c>
    </row>
    <row r="37">
      <c r="D37" t="inlineStr">
        <is>
          <t>Energy Solutions &amp; B2B</t>
        </is>
      </c>
      <c r="E37" t="inlineStr">
        <is>
          <t>Energy Solutions</t>
        </is>
      </c>
      <c r="F37" t="inlineStr">
        <is>
          <t>Energy</t>
        </is>
      </c>
      <c r="G37" t="inlineStr">
        <is>
          <t>Engineering</t>
        </is>
      </c>
      <c r="H37" t="inlineStr">
        <is>
          <t>L</t>
        </is>
      </c>
      <c r="I37" s="232" t="inlineStr">
        <is>
          <t>Onshore</t>
        </is>
      </c>
    </row>
    <row r="38">
      <c r="F38" t="inlineStr">
        <is>
          <t>EVCI</t>
        </is>
      </c>
      <c r="G38" t="inlineStr">
        <is>
          <t>Engineering</t>
        </is>
      </c>
      <c r="H38" t="inlineStr">
        <is>
          <t>M</t>
        </is>
      </c>
      <c r="I38" s="232" t="inlineStr">
        <is>
          <t>Onshore</t>
        </is>
      </c>
    </row>
    <row r="39">
      <c r="E39" t="inlineStr">
        <is>
          <t>B2B</t>
        </is>
      </c>
      <c r="F39" t="inlineStr">
        <is>
          <t>B2B</t>
        </is>
      </c>
      <c r="G39" t="inlineStr">
        <is>
          <t>Engineering</t>
        </is>
      </c>
      <c r="H39" t="inlineStr">
        <is>
          <t>L</t>
        </is>
      </c>
      <c r="I39" s="232" t="inlineStr">
        <is>
          <t>Onshore</t>
        </is>
      </c>
    </row>
    <row r="41">
      <c r="D41" t="inlineStr">
        <is>
          <t>Commercial Fuels</t>
        </is>
      </c>
      <c r="E41" t="inlineStr">
        <is>
          <t xml:space="preserve">Trading &amp; Shipping </t>
        </is>
      </c>
      <c r="F41" t="inlineStr">
        <is>
          <t>Trading &amp; Shipping</t>
        </is>
      </c>
      <c r="G41" s="232" t="inlineStr">
        <is>
          <t>Configuration / Integration</t>
        </is>
      </c>
      <c r="H41" t="inlineStr">
        <is>
          <t>M</t>
        </is>
      </c>
      <c r="I41" s="232" t="inlineStr">
        <is>
          <t>Onshore</t>
        </is>
      </c>
    </row>
    <row r="42">
      <c r="F42" t="inlineStr">
        <is>
          <t>Trading &amp; Shipping Data</t>
        </is>
      </c>
      <c r="G42" s="232" t="inlineStr">
        <is>
          <t>Enterprise Data and Insights</t>
        </is>
      </c>
      <c r="H42" t="inlineStr">
        <is>
          <t>M</t>
        </is>
      </c>
      <c r="I42" s="232" t="inlineStr">
        <is>
          <t>Onshore</t>
        </is>
      </c>
    </row>
    <row r="43">
      <c r="E43" t="inlineStr">
        <is>
          <t>Supply</t>
        </is>
      </c>
      <c r="F43" t="inlineStr">
        <is>
          <t>Supply</t>
        </is>
      </c>
      <c r="G43" s="232" t="inlineStr">
        <is>
          <t>Configuration / Integration</t>
        </is>
      </c>
      <c r="H43" t="inlineStr">
        <is>
          <t>M</t>
        </is>
      </c>
      <c r="I43" s="232" t="inlineStr">
        <is>
          <t>Onshore</t>
        </is>
      </c>
    </row>
    <row r="44">
      <c r="E44" t="inlineStr">
        <is>
          <t>CTRM</t>
        </is>
      </c>
      <c r="F44" t="inlineStr">
        <is>
          <t>CTRM</t>
        </is>
      </c>
      <c r="G44" s="232" t="inlineStr">
        <is>
          <t>Configuration / Integration</t>
        </is>
      </c>
      <c r="H44" t="inlineStr">
        <is>
          <t>M</t>
        </is>
      </c>
      <c r="I44" s="232" t="inlineStr">
        <is>
          <t>Onshore</t>
        </is>
      </c>
    </row>
    <row r="46">
      <c r="D46" t="inlineStr">
        <is>
          <t>Z Retail</t>
        </is>
      </c>
      <c r="E46" t="inlineStr">
        <is>
          <t>Z Supply</t>
        </is>
      </c>
      <c r="F46" t="inlineStr">
        <is>
          <t>Z Supply</t>
        </is>
      </c>
      <c r="G46" s="232" t="inlineStr">
        <is>
          <t>Configuration / Integration</t>
        </is>
      </c>
      <c r="H46" s="232" t="inlineStr">
        <is>
          <t>M</t>
        </is>
      </c>
      <c r="I46" s="232" t="inlineStr">
        <is>
          <t>Onshore</t>
        </is>
      </c>
    </row>
    <row r="47">
      <c r="E47" t="inlineStr">
        <is>
          <t>Z Customer</t>
        </is>
      </c>
      <c r="F47" t="inlineStr">
        <is>
          <t>Site Systems</t>
        </is>
      </c>
      <c r="G47" s="232" t="inlineStr">
        <is>
          <t>Configuration / Integration</t>
        </is>
      </c>
      <c r="H47" s="232" t="inlineStr">
        <is>
          <t>M</t>
        </is>
      </c>
      <c r="I47" s="232" t="inlineStr">
        <is>
          <t>Onshore</t>
        </is>
      </c>
    </row>
    <row r="48">
      <c r="F48" t="inlineStr">
        <is>
          <t>Z Retail Backend</t>
        </is>
      </c>
      <c r="G48" s="232" t="inlineStr">
        <is>
          <t>Engineering</t>
        </is>
      </c>
      <c r="H48" s="232" t="inlineStr">
        <is>
          <t>M</t>
        </is>
      </c>
      <c r="I48" s="232" t="inlineStr">
        <is>
          <t>Onshore</t>
        </is>
      </c>
    </row>
    <row r="50">
      <c r="D50" t="inlineStr">
        <is>
          <t>TDD Cyber</t>
        </is>
      </c>
      <c r="E50" t="inlineStr">
        <is>
          <t>TDD Cyber</t>
        </is>
      </c>
      <c r="F50" t="inlineStr">
        <is>
          <t>TDD Cyber</t>
        </is>
      </c>
      <c r="G50" s="232" t="inlineStr">
        <is>
          <t>Operations</t>
        </is>
      </c>
      <c r="H50" s="232" t="inlineStr">
        <is>
          <t>M</t>
        </is>
      </c>
      <c r="I50" s="232" t="inlineStr">
        <is>
          <t>Onshore</t>
        </is>
      </c>
    </row>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1.xml><?xml version="1.0" encoding="utf-8"?>
<worksheet xmlns="http://schemas.openxmlformats.org/spreadsheetml/2006/main">
  <sheetPr>
    <outlinePr summaryBelow="1" summaryRight="1"/>
    <pageSetUpPr/>
  </sheetPr>
  <dimension ref="A1:U18"/>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c r="T1" t="inlineStr">
        <is>
          <t>Ampol Retail</t>
        </is>
      </c>
      <c r="U1" t="inlineStr">
        <is>
          <t>Ampol Retail</t>
        </is>
      </c>
    </row>
    <row r="2">
      <c r="A2" t="inlineStr">
        <is>
          <t>Engineering</t>
        </is>
      </c>
      <c r="B2" t="inlineStr">
        <is>
          <t>XS</t>
        </is>
      </c>
      <c r="C2" t="inlineStr">
        <is>
          <t>Onshore</t>
        </is>
      </c>
      <c r="D2" s="233" t="n">
        <v>0</v>
      </c>
      <c r="E2" t="inlineStr">
        <is>
          <t>Business Partnering</t>
        </is>
      </c>
      <c r="F2" t="inlineStr">
        <is>
          <t>Strategy &amp; Architecture</t>
        </is>
      </c>
      <c r="G2" t="inlineStr">
        <is>
          <t>TDD COE</t>
        </is>
      </c>
      <c r="J2" t="inlineStr">
        <is>
          <t>Ampol Retail</t>
        </is>
      </c>
      <c r="K2">
        <f>'3.3 FTE View'!$G$22</f>
        <v>47.5</v>
      </c>
      <c r="T2" t="inlineStr">
        <is>
          <t>Retail</t>
        </is>
      </c>
      <c r="U2" t="inlineStr">
        <is>
          <t>Ampol Retail</t>
        </is>
      </c>
    </row>
    <row r="3">
      <c r="A3" t="inlineStr">
        <is>
          <t>Configuration / Integration</t>
        </is>
      </c>
      <c r="B3" t="inlineStr">
        <is>
          <t>S</t>
        </is>
      </c>
      <c r="C3" t="inlineStr">
        <is>
          <t>Offshore</t>
        </is>
      </c>
      <c r="D3" s="233" t="n">
        <v>0.2</v>
      </c>
      <c r="E3" t="inlineStr">
        <is>
          <t>Transformation</t>
        </is>
      </c>
      <c r="F3" t="inlineStr">
        <is>
          <t>Data - COE</t>
        </is>
      </c>
      <c r="G3" t="inlineStr">
        <is>
          <t>TDD Cyber</t>
        </is>
      </c>
      <c r="J3" t="inlineStr">
        <is>
          <t>Customer</t>
        </is>
      </c>
      <c r="K3">
        <f>'3.3 FTE View'!$G$36</f>
        <v>61.0</v>
      </c>
      <c r="T3" t="inlineStr">
        <is>
          <t>RETAIL</t>
        </is>
      </c>
      <c r="U3" t="inlineStr">
        <is>
          <t>Ampol Retail</t>
        </is>
      </c>
    </row>
    <row r="4">
      <c r="A4" t="inlineStr">
        <is>
          <t>Product</t>
        </is>
      </c>
      <c r="B4" t="inlineStr">
        <is>
          <t>M</t>
        </is>
      </c>
      <c r="D4" s="233" t="n">
        <v>0.3</v>
      </c>
      <c r="E4" t="inlineStr">
        <is>
          <t>Exclude</t>
        </is>
      </c>
      <c r="F4" t="inlineStr">
        <is>
          <t>Exclude</t>
        </is>
      </c>
      <c r="G4" t="inlineStr">
        <is>
          <t>Exclude</t>
        </is>
      </c>
      <c r="J4" t="inlineStr">
        <is>
          <t>Enterprise Data</t>
        </is>
      </c>
      <c r="K4">
        <f>'3.3 FTE View'!$G$43</f>
        <v>33.0</v>
      </c>
      <c r="T4" t="inlineStr">
        <is>
          <t>Z</t>
        </is>
      </c>
      <c r="U4" t="inlineStr">
        <is>
          <t>Z Retail</t>
        </is>
      </c>
    </row>
    <row r="5">
      <c r="A5" t="inlineStr">
        <is>
          <t>Operations</t>
        </is>
      </c>
      <c r="B5" t="inlineStr">
        <is>
          <t>L</t>
        </is>
      </c>
      <c r="D5" t="n">
        <v>0.4</v>
      </c>
      <c r="J5" t="inlineStr">
        <is>
          <t>TDD Group Functions</t>
        </is>
      </c>
      <c r="K5">
        <f>'3.3 FTE View'!$G$51</f>
        <v>26.5</v>
      </c>
      <c r="T5" t="inlineStr">
        <is>
          <t>Customer</t>
        </is>
      </c>
      <c r="U5" t="inlineStr">
        <is>
          <t>Customer</t>
        </is>
      </c>
    </row>
    <row r="6">
      <c r="A6" t="inlineStr">
        <is>
          <t>Enterprise Data and Insights</t>
        </is>
      </c>
      <c r="D6" t="n">
        <v>0.5</v>
      </c>
      <c r="J6" t="inlineStr">
        <is>
          <t>P&amp;C</t>
        </is>
      </c>
      <c r="K6">
        <f>'3.3 FTE View'!$G$57</f>
        <v>15.0</v>
      </c>
      <c r="T6" t="inlineStr">
        <is>
          <t>Ampol Customer</t>
        </is>
      </c>
      <c r="U6" t="inlineStr">
        <is>
          <t>Customer</t>
        </is>
      </c>
    </row>
    <row r="7">
      <c r="A7" t="inlineStr">
        <is>
          <t>Build and Run</t>
        </is>
      </c>
      <c r="D7" t="n">
        <v>0.7</v>
      </c>
      <c r="J7" t="inlineStr">
        <is>
          <t>Finance</t>
        </is>
      </c>
      <c r="K7">
        <f>'3.3 FTE View'!$G$63</f>
        <v>20.0</v>
      </c>
      <c r="T7" t="inlineStr">
        <is>
          <t>Enterprise Data</t>
        </is>
      </c>
      <c r="U7" t="inlineStr">
        <is>
          <t>Enterprise Data</t>
        </is>
      </c>
    </row>
    <row r="8">
      <c r="A8" t="inlineStr">
        <is>
          <t>Strategic Programs</t>
        </is>
      </c>
      <c r="D8" t="n">
        <v>0.8</v>
      </c>
      <c r="J8" t="inlineStr">
        <is>
          <t>Infrastructure</t>
        </is>
      </c>
      <c r="K8">
        <f>'3.3 FTE View'!$G$71</f>
        <v>28.0</v>
      </c>
      <c r="T8" t="inlineStr">
        <is>
          <t>TDD</t>
        </is>
      </c>
      <c r="U8" t="inlineStr">
        <is>
          <t>TDD Group Functions</t>
        </is>
      </c>
    </row>
    <row r="9">
      <c r="D9" t="n">
        <v>0.9</v>
      </c>
      <c r="J9" t="inlineStr">
        <is>
          <t>Energy Solutions &amp; B2B</t>
        </is>
      </c>
      <c r="K9">
        <f>'3.3 FTE View'!$G$77</f>
        <v>32.0</v>
      </c>
      <c r="T9" t="inlineStr">
        <is>
          <t>Infrastructure</t>
        </is>
      </c>
      <c r="U9" t="inlineStr">
        <is>
          <t>Infrastructure</t>
        </is>
      </c>
    </row>
    <row r="10">
      <c r="D10" t="n">
        <v>1</v>
      </c>
      <c r="J10" t="inlineStr">
        <is>
          <t>Commercial Fuels</t>
        </is>
      </c>
      <c r="K10">
        <f>'3.3 FTE View'!$G$85</f>
        <v>25.5</v>
      </c>
      <c r="T10" t="inlineStr">
        <is>
          <t>B2B &amp; Energy Solutions</t>
        </is>
      </c>
      <c r="U10" t="inlineStr">
        <is>
          <t>Energy Solutions &amp; B2B</t>
        </is>
      </c>
    </row>
    <row r="11">
      <c r="J11" t="inlineStr">
        <is>
          <t>Z Retail</t>
        </is>
      </c>
      <c r="K11">
        <f>'3.3 FTE View'!$G$91</f>
        <v>27.0</v>
      </c>
      <c r="T11" t="inlineStr">
        <is>
          <t>Commercial Fuels</t>
        </is>
      </c>
      <c r="U11" t="inlineStr">
        <is>
          <t>Commercial Fuels</t>
        </is>
      </c>
    </row>
    <row r="12">
      <c r="J12" t="inlineStr">
        <is>
          <t>TDD Cyber</t>
        </is>
      </c>
      <c r="K12">
        <f>'3.3 FTE View'!$G$94</f>
        <v>0.0</v>
      </c>
      <c r="T12" t="inlineStr">
        <is>
          <t>Finance</t>
        </is>
      </c>
      <c r="U12" t="inlineStr">
        <is>
          <t>Finance</t>
        </is>
      </c>
    </row>
    <row r="13">
      <c r="T13" t="inlineStr">
        <is>
          <t>P&amp;C</t>
        </is>
      </c>
      <c r="U13" t="inlineStr">
        <is>
          <t>P&amp;C</t>
        </is>
      </c>
    </row>
    <row r="14">
      <c r="T14" t="inlineStr">
        <is>
          <t>P&amp;C, Finance &amp; Legal</t>
        </is>
      </c>
      <c r="U14" t="inlineStr">
        <is>
          <t>P&amp;C</t>
        </is>
      </c>
    </row>
    <row r="15">
      <c r="T15" t="inlineStr">
        <is>
          <t>EGI</t>
        </is>
      </c>
      <c r="U15" t="inlineStr">
        <is>
          <t>EGI &amp; Central</t>
        </is>
      </c>
    </row>
    <row r="16">
      <c r="T16" t="inlineStr">
        <is>
          <t>COE - Cyber, Risk &amp; Operations</t>
        </is>
      </c>
      <c r="U16" t="inlineStr">
        <is>
          <t>COE Cyber</t>
        </is>
      </c>
    </row>
    <row r="17">
      <c r="T17" t="inlineStr">
        <is>
          <t>COE - Partnering &amp; Transformation</t>
        </is>
      </c>
      <c r="U17" t="inlineStr">
        <is>
          <t>COE BP&amp;T</t>
        </is>
      </c>
    </row>
    <row r="18">
      <c r="T18" t="inlineStr">
        <is>
          <t>COE - Strategy, Architecture, Data</t>
        </is>
      </c>
      <c r="U18" t="inlineStr">
        <is>
          <t>COE SA&amp;D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2026-07-23T05:24:55Z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